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N:\QC\QC-1\IPT\Skiftspecifika dokument\PQC analyst\JESPER\Scripts\Click Less Project v05\"/>
    </mc:Choice>
  </mc:AlternateContent>
  <xr:revisionPtr revIDLastSave="0" documentId="13_ncr:1_{17961931-5069-4F9B-A480-5C13E68301C7}" xr6:coauthVersionLast="47" xr6:coauthVersionMax="47" xr10:uidLastSave="{00000000-0000-0000-0000-000000000000}"/>
  <bookViews>
    <workbookView xWindow="-120" yWindow="-120" windowWidth="29040" windowHeight="15720" activeTab="1" xr2:uid="{D33D2DD8-AFF9-4737-B3E8-3C933E4F3614}"/>
  </bookViews>
  <sheets>
    <sheet name="Information" sheetId="3" r:id="rId1"/>
    <sheet name="Seal Test Info" sheetId="2" r:id="rId2"/>
    <sheet name="STF Sum" sheetId="1" r:id="rId3"/>
    <sheet name="Utrustninglista IPT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" l="1"/>
  <c r="E12" i="2"/>
  <c r="E13" i="2"/>
  <c r="E14" i="2"/>
  <c r="E15" i="2"/>
  <c r="F10" i="2"/>
  <c r="E10" i="2"/>
  <c r="F11" i="2"/>
  <c r="F12" i="2"/>
  <c r="F13" i="2"/>
  <c r="F14" i="2"/>
  <c r="F1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Fredriksson, Jesper</author>
  </authors>
  <commentList>
    <comment ref="A1" authorId="0" shapeId="0" xr:uid="{59001269-D0F0-4B9B-87D9-F807B838DC3D}">
      <text>
        <r>
          <rPr>
            <b/>
            <sz val="9"/>
            <color indexed="81"/>
            <rFont val="Tahoma"/>
            <family val="2"/>
          </rPr>
          <t>Generell spårbarhetsinfo samt Minitab-makro om tillgängligt.</t>
        </r>
      </text>
    </comment>
    <comment ref="A7" authorId="0" shapeId="0" xr:uid="{993BAAD4-0C45-4FAA-8D8E-5559A4B52086}">
      <text>
        <r>
          <rPr>
            <b/>
            <sz val="9"/>
            <color indexed="81"/>
            <rFont val="Tahoma"/>
            <family val="2"/>
          </rPr>
          <t xml:space="preserve">Kort summering av vald .csv-fil.
</t>
        </r>
      </text>
    </comment>
    <comment ref="B14" authorId="0" shapeId="0" xr:uid="{AB9A84C3-A84D-4672-B192-5A6173DAE588}">
      <text>
        <r>
          <rPr>
            <b/>
            <sz val="9"/>
            <color indexed="81"/>
            <rFont val="Tahoma"/>
            <family val="2"/>
          </rPr>
          <t>Visar alltid Bag Number och summerar antal tester på Infinity.</t>
        </r>
      </text>
    </comment>
    <comment ref="A16" authorId="0" shapeId="0" xr:uid="{D1764DE1-6360-4F96-AC38-896C27856E45}">
      <text>
        <r>
          <rPr>
            <b/>
            <sz val="9"/>
            <color indexed="81"/>
            <rFont val="Tahoma"/>
            <family val="2"/>
          </rPr>
          <t>Extreherar information från respektive fil och reagerar på avvikande innehåll.</t>
        </r>
      </text>
    </comment>
    <comment ref="A33" authorId="0" shapeId="0" xr:uid="{20FD785E-539A-4B14-A210-1A0FCA80C424}">
      <text>
        <r>
          <rPr>
            <b/>
            <sz val="9"/>
            <color indexed="81"/>
            <rFont val="Tahoma"/>
            <family val="2"/>
          </rPr>
          <t>Direktlänkar till funnet "Batch Number" i SharePoint (om valt) samt diverse IPT-relaterade verktyg.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<sst xmlns="http://schemas.openxmlformats.org/spreadsheetml/2006/main" count="860" uniqueCount="322">
  <si>
    <t>Seal Test Information</t>
  </si>
  <si>
    <t>Neg</t>
  </si>
  <si>
    <t>Pos</t>
  </si>
  <si>
    <t>ROBAL</t>
  </si>
  <si>
    <t>Part Number</t>
  </si>
  <si>
    <t>Batch Number</t>
  </si>
  <si>
    <t>Cartridge Number (LSP)</t>
  </si>
  <si>
    <t>PO Number</t>
  </si>
  <si>
    <t>Assay Family</t>
  </si>
  <si>
    <t>Weight Loss Spec</t>
  </si>
  <si>
    <t>Balance ID Number</t>
  </si>
  <si>
    <t>Balance Cal Due Date</t>
  </si>
  <si>
    <t>Vacuum Oven ID Number</t>
  </si>
  <si>
    <t>Vacuum Oven Cal Due Date</t>
  </si>
  <si>
    <t>Timer ID Number</t>
  </si>
  <si>
    <t>Timer Cal Due Date</t>
  </si>
  <si>
    <t>Name of Tester</t>
  </si>
  <si>
    <t>Print Full Name, Sign, and Date</t>
  </si>
  <si>
    <t>Datasheet</t>
  </si>
  <si>
    <t>Cartridge ID</t>
  </si>
  <si>
    <t>Initial Weight (mg)</t>
  </si>
  <si>
    <t>Final Weight (mg)</t>
  </si>
  <si>
    <t>Weight Loss (mg)</t>
  </si>
  <si>
    <t>Weight Loss Pass/Fail</t>
  </si>
  <si>
    <t>Observation</t>
  </si>
  <si>
    <t>NEG</t>
  </si>
  <si>
    <t>POS</t>
  </si>
  <si>
    <t>Skriptversion</t>
  </si>
  <si>
    <t>Användare</t>
  </si>
  <si>
    <t>Datum Tid</t>
  </si>
  <si>
    <t>Seal Test NEG</t>
  </si>
  <si>
    <t>Seal Test POS</t>
  </si>
  <si>
    <t>Minitab Macro</t>
  </si>
  <si>
    <t>IPT App</t>
  </si>
  <si>
    <t>CSV Uploader</t>
  </si>
  <si>
    <t>BMRAM</t>
  </si>
  <si>
    <t>Agile</t>
  </si>
  <si>
    <t>Worksheet</t>
  </si>
  <si>
    <t>Part No.</t>
  </si>
  <si>
    <t>Document Number</t>
  </si>
  <si>
    <t>Rev</t>
  </si>
  <si>
    <t>Effective</t>
  </si>
  <si>
    <t>MES Login</t>
  </si>
  <si>
    <t>Information</t>
  </si>
  <si>
    <t>Cartridge No. (LSP)</t>
  </si>
  <si>
    <t>CSV</t>
  </si>
  <si>
    <t>Batch No(s)</t>
  </si>
  <si>
    <t>Antal tester</t>
  </si>
  <si>
    <t>Använda INF/GX</t>
  </si>
  <si>
    <t>Dublett Cartridge S/N</t>
  </si>
  <si>
    <t>CSV INFO</t>
  </si>
  <si>
    <t>Dublett Sample ID</t>
  </si>
  <si>
    <t>Bag Numbers Tested Using Infinity:</t>
  </si>
  <si>
    <t>HEADER INFO</t>
  </si>
  <si>
    <t>LÄNKAR</t>
  </si>
  <si>
    <t>SharePoint Batch Link</t>
  </si>
  <si>
    <t>LSP</t>
  </si>
  <si>
    <t>003478</t>
  </si>
  <si>
    <t>003587</t>
  </si>
  <si>
    <t>003298</t>
  </si>
  <si>
    <t>003346</t>
  </si>
  <si>
    <t>003070</t>
  </si>
  <si>
    <t>SCLSYS03</t>
  </si>
  <si>
    <t>SCLSYS01</t>
  </si>
  <si>
    <t>SCLSYS04</t>
  </si>
  <si>
    <t>Mar-26</t>
  </si>
  <si>
    <t xml:space="preserve">     In Process Testing</t>
  </si>
  <si>
    <t>Kontroll och kalibrering</t>
  </si>
  <si>
    <t>Utförd av Cepheid</t>
  </si>
  <si>
    <t>Utförd av externt företag</t>
  </si>
  <si>
    <t xml:space="preserve">Utrusningens namn: </t>
  </si>
  <si>
    <t>Asset Type:</t>
  </si>
  <si>
    <t>Asset ID/BMRAM ID:</t>
  </si>
  <si>
    <t xml:space="preserve">Modell/serienr. </t>
  </si>
  <si>
    <t>Serial #</t>
  </si>
  <si>
    <t xml:space="preserve">Rum: </t>
  </si>
  <si>
    <t xml:space="preserve">Nästa kontroll </t>
  </si>
  <si>
    <t>Frekvens</t>
  </si>
  <si>
    <t>Nästa kontroll</t>
  </si>
  <si>
    <t>Nästa kontroll-datum</t>
  </si>
  <si>
    <t>GeneXpert / Infinity</t>
  </si>
  <si>
    <t>GeneXpert XVI - 16 Sites (Dell Computer), GX1</t>
  </si>
  <si>
    <t>GX16 Instrument</t>
  </si>
  <si>
    <t>000199</t>
  </si>
  <si>
    <t>N/A</t>
  </si>
  <si>
    <t>Positivt labb 5.575</t>
  </si>
  <si>
    <t>2 gång/år</t>
  </si>
  <si>
    <t>GeneXpert XVI - 16 Sites (Dell Computer), GX2</t>
  </si>
  <si>
    <t>000368</t>
  </si>
  <si>
    <t>GeneXpert XVI - 16 Sites (Dell Computer), GX3</t>
  </si>
  <si>
    <t>000369</t>
  </si>
  <si>
    <t>GeneXpert XVI - 16 Sites (Dell Computor), GX-7</t>
  </si>
  <si>
    <t>003474</t>
  </si>
  <si>
    <t>Infinity-I.</t>
  </si>
  <si>
    <t>Genexpert Infinity-80</t>
  </si>
  <si>
    <t>000375</t>
  </si>
  <si>
    <t>Infinity-80</t>
  </si>
  <si>
    <t>Mar-25</t>
  </si>
  <si>
    <t>Infinity-I</t>
  </si>
  <si>
    <t>Infinity-III</t>
  </si>
  <si>
    <t>001163</t>
  </si>
  <si>
    <t>Infinity-V</t>
  </si>
  <si>
    <t>002593</t>
  </si>
  <si>
    <t>Infinity-VI</t>
  </si>
  <si>
    <t>002796</t>
  </si>
  <si>
    <t>Negativt labb 5.409</t>
  </si>
  <si>
    <t>Infinity-VIII</t>
  </si>
  <si>
    <t>003066</t>
  </si>
  <si>
    <t>GeneXpert Infinity-80, PN 900-0503R</t>
  </si>
  <si>
    <t>GeneXpert XVI - 16 Sites (Dell Computor), GX5</t>
  </si>
  <si>
    <t>003081</t>
  </si>
  <si>
    <t>GeneXpert XVI - 16 Sites (Dell Computor), GX6</t>
  </si>
  <si>
    <t>003082</t>
  </si>
  <si>
    <t>Sealtest</t>
  </si>
  <si>
    <t>Vakuumugn</t>
  </si>
  <si>
    <t>VD56 + pump S/N 234346</t>
  </si>
  <si>
    <t>20230000019821</t>
  </si>
  <si>
    <t>1 gg/år</t>
  </si>
  <si>
    <t>VD56 + pump S/N 100603504-100556308</t>
  </si>
  <si>
    <t>VD56 + pump S/N 233829</t>
  </si>
  <si>
    <t>13-05094</t>
  </si>
  <si>
    <t>Positivt lab 5.576</t>
  </si>
  <si>
    <t>VD56 + pump S/N 234348</t>
  </si>
  <si>
    <t>20230000019820</t>
  </si>
  <si>
    <t>Våg</t>
  </si>
  <si>
    <t>XSR104</t>
  </si>
  <si>
    <t>C214830934</t>
  </si>
  <si>
    <t>SWE-SCLSYS01-SCALE01</t>
  </si>
  <si>
    <t>XS104 / 850-0305</t>
  </si>
  <si>
    <t>B838450098</t>
  </si>
  <si>
    <t>SWE-SCLSYS03-SCALE01</t>
  </si>
  <si>
    <t>XS104 / 850-0627</t>
  </si>
  <si>
    <t>B838450099</t>
  </si>
  <si>
    <t>SWE-SCLSYS04-SCALE01</t>
  </si>
  <si>
    <t>B838450100</t>
  </si>
  <si>
    <t>Timer Nr. 18</t>
  </si>
  <si>
    <t>Timer</t>
  </si>
  <si>
    <t>003753</t>
  </si>
  <si>
    <t>EU 609-0206</t>
  </si>
  <si>
    <t>E2423931</t>
  </si>
  <si>
    <t>Timers byts ut efter att kalibreringsdatum utgått</t>
  </si>
  <si>
    <t>Timer Nr. 19</t>
  </si>
  <si>
    <t>003754</t>
  </si>
  <si>
    <t>E2423935</t>
  </si>
  <si>
    <t>Timer Nr. 20</t>
  </si>
  <si>
    <t>003755</t>
  </si>
  <si>
    <t>D2421658</t>
  </si>
  <si>
    <t>Timer Nr. 21</t>
  </si>
  <si>
    <t>003756</t>
  </si>
  <si>
    <t>D2421660</t>
  </si>
  <si>
    <t>Pippeter</t>
  </si>
  <si>
    <t>Apr-24</t>
  </si>
  <si>
    <t>Multipette® nr. 13</t>
  </si>
  <si>
    <t>Multipette</t>
  </si>
  <si>
    <t>001361</t>
  </si>
  <si>
    <t>Multipette stream E3</t>
  </si>
  <si>
    <t>G42574F</t>
  </si>
  <si>
    <t>1gång/3mån</t>
  </si>
  <si>
    <t>Multipette® nr. 16</t>
  </si>
  <si>
    <t>002026</t>
  </si>
  <si>
    <t>Multipette E3</t>
  </si>
  <si>
    <t>M45826G</t>
  </si>
  <si>
    <t>Jul-24</t>
  </si>
  <si>
    <t>Multipette® nr. 17</t>
  </si>
  <si>
    <t>002077</t>
  </si>
  <si>
    <t>M37056H</t>
  </si>
  <si>
    <t>Multipette® nr. 18</t>
  </si>
  <si>
    <t>002112</t>
  </si>
  <si>
    <t>Eppendorf Multipette ® E3x</t>
  </si>
  <si>
    <t>L50185H</t>
  </si>
  <si>
    <t>Multipette® nr. 19</t>
  </si>
  <si>
    <t>002114</t>
  </si>
  <si>
    <t>L50216H</t>
  </si>
  <si>
    <t>Multipette® nr. 20</t>
  </si>
  <si>
    <t>002538</t>
  </si>
  <si>
    <t>Q21180I</t>
  </si>
  <si>
    <t>Multipette® nr. 21</t>
  </si>
  <si>
    <t>002539</t>
  </si>
  <si>
    <t>Q21012I</t>
  </si>
  <si>
    <t>Multipette® nr. 22</t>
  </si>
  <si>
    <t>003064</t>
  </si>
  <si>
    <t>Eppendorf Multipette E3</t>
  </si>
  <si>
    <t>G16044L</t>
  </si>
  <si>
    <t>Multipette® nr. 34</t>
  </si>
  <si>
    <t>003077</t>
  </si>
  <si>
    <t>J17233L</t>
  </si>
  <si>
    <t>Multipette® nr. 37</t>
  </si>
  <si>
    <t>002391</t>
  </si>
  <si>
    <t>G30024H</t>
  </si>
  <si>
    <t>Sep-25</t>
  </si>
  <si>
    <t>Multipette® nr. 31</t>
  </si>
  <si>
    <t>003056</t>
  </si>
  <si>
    <t>K46056K</t>
  </si>
  <si>
    <t>Multipette® nr. 32</t>
  </si>
  <si>
    <t>003057</t>
  </si>
  <si>
    <t>K46102K</t>
  </si>
  <si>
    <t>Multipette® nr. 33</t>
  </si>
  <si>
    <t>003065</t>
  </si>
  <si>
    <t>G16092L</t>
  </si>
  <si>
    <t>Multipette® nr. 35</t>
  </si>
  <si>
    <t>003078</t>
  </si>
  <si>
    <t>J17307L</t>
  </si>
  <si>
    <t>Multipette® nr. 36</t>
  </si>
  <si>
    <t>003079</t>
  </si>
  <si>
    <t>J17321L</t>
  </si>
  <si>
    <t>Finnpipette F1 Nr.3 
20-200µl</t>
  </si>
  <si>
    <t>Finnpipette</t>
  </si>
  <si>
    <t>000466</t>
  </si>
  <si>
    <t>F1 20-200uL nr 3</t>
  </si>
  <si>
    <t>HJ04851</t>
  </si>
  <si>
    <t>Finnpipette F3 Nr 4
100-1000µl</t>
  </si>
  <si>
    <t>002393</t>
  </si>
  <si>
    <t>100-1000 ul Nr 4</t>
  </si>
  <si>
    <t>QH72852</t>
  </si>
  <si>
    <t>Finnpipette Nr 6 
20-200µl</t>
  </si>
  <si>
    <t>002666</t>
  </si>
  <si>
    <t>20-200 ul</t>
  </si>
  <si>
    <t>K45707I</t>
  </si>
  <si>
    <t>Finnpipette F3 Nr 7
100-1000µl</t>
  </si>
  <si>
    <t>003126</t>
  </si>
  <si>
    <t>Research plus 1-channel</t>
  </si>
  <si>
    <t>L19743I</t>
  </si>
  <si>
    <t xml:space="preserve">Negativt labb 5.409 </t>
  </si>
  <si>
    <t>Finnpipette F3 Nr 23
100-1000µl</t>
  </si>
  <si>
    <t>003007</t>
  </si>
  <si>
    <t>Finnpipette F3 100-1000 ul</t>
  </si>
  <si>
    <t>SH92611</t>
  </si>
  <si>
    <t>Finnpipette F3 Nr 24
100-1000µl</t>
  </si>
  <si>
    <t>003006</t>
  </si>
  <si>
    <t>SH92610</t>
  </si>
  <si>
    <t>Finnpipette Nr 25
20-200µl</t>
  </si>
  <si>
    <t>002109</t>
  </si>
  <si>
    <t>Eppendorf Research® Plus 1-channel</t>
  </si>
  <si>
    <t>Q42723G</t>
  </si>
  <si>
    <t>Finnpipette Nr 26 
2-20 µl</t>
  </si>
  <si>
    <t>002111</t>
  </si>
  <si>
    <t>Q45392G</t>
  </si>
  <si>
    <t xml:space="preserve">Övrigt </t>
  </si>
  <si>
    <t>Referensvikt 1 g 003229</t>
  </si>
  <si>
    <t>Vikt</t>
  </si>
  <si>
    <t>003229</t>
  </si>
  <si>
    <t>158397 - 1g OIML Class: E2</t>
  </si>
  <si>
    <t>C123934096</t>
  </si>
  <si>
    <t>Referensvikt 100 g (E2)003246</t>
  </si>
  <si>
    <t>003246</t>
  </si>
  <si>
    <t>ZG6L (E2)</t>
  </si>
  <si>
    <t>S2301067</t>
  </si>
  <si>
    <t>Referensvikt 100g 000519</t>
  </si>
  <si>
    <t>000519</t>
  </si>
  <si>
    <t>NA</t>
  </si>
  <si>
    <t>Referensvikt 1g 002937</t>
  </si>
  <si>
    <t>002937</t>
  </si>
  <si>
    <t>Item number 158397</t>
  </si>
  <si>
    <t>C123934097</t>
  </si>
  <si>
    <t>LAF 1</t>
  </si>
  <si>
    <t>LAF-bänk</t>
  </si>
  <si>
    <t>003055</t>
  </si>
  <si>
    <t>ScanLaf Mars 1200 Labogen Class 2 cabinet</t>
  </si>
  <si>
    <t>LAF 2</t>
  </si>
  <si>
    <t>003059</t>
  </si>
  <si>
    <t>LAF 3</t>
  </si>
  <si>
    <t>003060</t>
  </si>
  <si>
    <t>000412</t>
  </si>
  <si>
    <t>Mars 1200</t>
  </si>
  <si>
    <t>L.04110289</t>
  </si>
  <si>
    <t>LAF 5</t>
  </si>
  <si>
    <t>001747</t>
  </si>
  <si>
    <t>Mars Premium 1200</t>
  </si>
  <si>
    <t>L.11150043</t>
  </si>
  <si>
    <t>LAF 4</t>
  </si>
  <si>
    <t>002441</t>
  </si>
  <si>
    <t>Cabinet Biosafety Biovanguard</t>
  </si>
  <si>
    <t>G19118701-01</t>
  </si>
  <si>
    <t>002897</t>
  </si>
  <si>
    <t>Esco</t>
  </si>
  <si>
    <t>2015-99627</t>
  </si>
  <si>
    <t>FQC LAF</t>
  </si>
  <si>
    <t>002898</t>
  </si>
  <si>
    <t>ESCO</t>
  </si>
  <si>
    <t>2015-99629</t>
  </si>
  <si>
    <t>003407</t>
  </si>
  <si>
    <t>VBA Venting Fixture</t>
  </si>
  <si>
    <t>700-8285</t>
  </si>
  <si>
    <t>003406</t>
  </si>
  <si>
    <t>003303</t>
  </si>
  <si>
    <t>Diskmaskin</t>
  </si>
  <si>
    <t>GW0160</t>
  </si>
  <si>
    <t>003045</t>
  </si>
  <si>
    <t xml:space="preserve">Infinity-II </t>
  </si>
  <si>
    <t>In-Process</t>
  </si>
  <si>
    <t>UM0020 Cepheid AB</t>
  </si>
  <si>
    <t>FI labb 5.544</t>
  </si>
  <si>
    <t>Mar-23</t>
  </si>
  <si>
    <t>Infinity-VII</t>
  </si>
  <si>
    <t>Aug-23</t>
  </si>
  <si>
    <t>Ugn+pump - används ej</t>
  </si>
  <si>
    <t>000405</t>
  </si>
  <si>
    <t>VD53</t>
  </si>
  <si>
    <t>11-04137</t>
  </si>
  <si>
    <t>Korridor</t>
  </si>
  <si>
    <t>000408</t>
  </si>
  <si>
    <t>000407</t>
  </si>
  <si>
    <t>Pump</t>
  </si>
  <si>
    <t>000409</t>
  </si>
  <si>
    <t>002289</t>
  </si>
  <si>
    <t>002333</t>
  </si>
  <si>
    <t>Timer Nr. 22</t>
  </si>
  <si>
    <t>003757</t>
  </si>
  <si>
    <t>D2421661</t>
  </si>
  <si>
    <t>Timer Nr. 23</t>
  </si>
  <si>
    <t>003758</t>
  </si>
  <si>
    <t>E2423934</t>
  </si>
  <si>
    <t>Senast uppdaterad:</t>
  </si>
  <si>
    <t>003478, 003298</t>
  </si>
  <si>
    <t>SCLSYS03, SCLSYS04</t>
  </si>
  <si>
    <t>Nr. 20, Nr. 21</t>
  </si>
  <si>
    <t>SCLSYS01, 003070</t>
  </si>
  <si>
    <t xml:space="preserve"> Apr-26</t>
  </si>
  <si>
    <t>003346, 003587</t>
  </si>
  <si>
    <t xml:space="preserve"> Jun-26</t>
  </si>
  <si>
    <t>Nr. 18,  Nr. 19</t>
  </si>
  <si>
    <t xml:space="preserve"> Mar-26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</si>
</sst>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\-yy;@"/>
    <numFmt numFmtId="165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u/>
      <sz val="11"/>
      <color rgb="FF0066CC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8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99"/>
      </patternFill>
    </fill>
    <fill>
      <patternFill patternType="solid">
        <fgColor rgb="FFB5E6A2"/>
      </patternFill>
    </fill>
    <fill>
      <patternFill patternType="solid">
        <fgColor rgb="FFFFB3B3"/>
      </patternFill>
    </fill>
    <fill>
      <patternFill patternType="solid">
        <fgColor rgb="FFFFFFFF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CFFFF"/>
      </patternFill>
    </fill>
    <fill>
      <patternFill patternType="solid">
        <fgColor rgb="FFD9D9D9"/>
      </patternFill>
    </fill>
    <fill>
      <patternFill patternType="solid">
        <fgColor rgb="FFB5E6A2"/>
        <bgColor indexed="64"/>
      </patternFill>
    </fill>
    <fill>
      <patternFill patternType="solid">
        <fgColor rgb="FFFFB3B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17">
    <xf numFmtId="0" fontId="0" fillId="0" borderId="0" xfId="0"/>
    <xf numFmtId="0" fontId="3" fillId="6" borderId="6" xfId="0" applyFont="1" applyFill="1" applyBorder="1"/>
    <xf numFmtId="0" fontId="3" fillId="6" borderId="7" xfId="0" applyFont="1" applyFill="1" applyBorder="1"/>
    <xf numFmtId="0" fontId="3" fillId="0" borderId="0" xfId="0" applyFont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top"/>
    </xf>
    <xf numFmtId="0" fontId="3" fillId="6" borderId="5" xfId="0" applyFont="1" applyFill="1" applyBorder="1" applyAlignment="1">
      <alignment horizontal="left" vertical="center"/>
    </xf>
    <xf numFmtId="49" fontId="0" fillId="7" borderId="10" xfId="0" applyNumberFormat="1" applyFill="1" applyBorder="1" applyAlignment="1">
      <alignment horizontal="center" vertical="center"/>
    </xf>
    <xf numFmtId="49" fontId="0" fillId="7" borderId="11" xfId="0" applyNumberFormat="1" applyFill="1" applyBorder="1" applyAlignment="1">
      <alignment horizontal="center" vertical="center"/>
    </xf>
    <xf numFmtId="49" fontId="0" fillId="7" borderId="12" xfId="0" applyNumberFormat="1" applyFill="1" applyBorder="1" applyAlignment="1">
      <alignment horizontal="center" vertical="center"/>
    </xf>
    <xf numFmtId="49" fontId="0" fillId="7" borderId="13" xfId="0" applyNumberFormat="1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49" fontId="0" fillId="11" borderId="16" xfId="0" applyNumberFormat="1" applyFill="1" applyBorder="1" applyAlignment="1">
      <alignment horizontal="center"/>
    </xf>
    <xf numFmtId="0" fontId="4" fillId="4" borderId="17" xfId="0" applyFont="1" applyFill="1" applyBorder="1"/>
    <xf numFmtId="0" fontId="6" fillId="9" borderId="18" xfId="0" applyFont="1" applyFill="1" applyBorder="1" applyAlignment="1">
      <alignment horizontal="center" vertical="center"/>
    </xf>
    <xf numFmtId="165" fontId="0" fillId="9" borderId="18" xfId="0" applyNumberFormat="1" applyFill="1" applyBorder="1" applyAlignment="1">
      <alignment horizontal="center" vertical="center"/>
    </xf>
    <xf numFmtId="165" fontId="8" fillId="8" borderId="18" xfId="0" applyNumberFormat="1" applyFont="1" applyFill="1" applyBorder="1" applyAlignment="1">
      <alignment horizontal="center" vertical="center"/>
    </xf>
    <xf numFmtId="0" fontId="7" fillId="8" borderId="18" xfId="0" applyFont="1" applyFill="1" applyBorder="1" applyAlignment="1">
      <alignment horizontal="center" vertical="center"/>
    </xf>
    <xf numFmtId="0" fontId="1" fillId="10" borderId="19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4" fillId="4" borderId="21" xfId="0" applyFont="1" applyFill="1" applyBorder="1"/>
    <xf numFmtId="0" fontId="6" fillId="9" borderId="22" xfId="0" applyFont="1" applyFill="1" applyBorder="1" applyAlignment="1">
      <alignment horizontal="center" vertical="center"/>
    </xf>
    <xf numFmtId="165" fontId="0" fillId="9" borderId="22" xfId="0" applyNumberFormat="1" applyFill="1" applyBorder="1" applyAlignment="1">
      <alignment horizontal="center" vertical="center"/>
    </xf>
    <xf numFmtId="165" fontId="8" fillId="8" borderId="22" xfId="0" applyNumberFormat="1" applyFont="1" applyFill="1" applyBorder="1" applyAlignment="1">
      <alignment horizontal="center"/>
    </xf>
    <xf numFmtId="0" fontId="7" fillId="8" borderId="22" xfId="0" applyFont="1" applyFill="1" applyBorder="1" applyAlignment="1">
      <alignment horizontal="center" vertical="center"/>
    </xf>
    <xf numFmtId="0" fontId="1" fillId="10" borderId="23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165" fontId="8" fillId="8" borderId="22" xfId="0" applyNumberFormat="1" applyFont="1" applyFill="1" applyBorder="1" applyAlignment="1">
      <alignment horizontal="center" vertical="center"/>
    </xf>
    <xf numFmtId="0" fontId="4" fillId="5" borderId="21" xfId="0" applyFont="1" applyFill="1" applyBorder="1"/>
    <xf numFmtId="0" fontId="4" fillId="5" borderId="25" xfId="0" applyFont="1" applyFill="1" applyBorder="1"/>
    <xf numFmtId="0" fontId="6" fillId="9" borderId="26" xfId="0" applyFont="1" applyFill="1" applyBorder="1" applyAlignment="1">
      <alignment horizontal="center" vertical="center"/>
    </xf>
    <xf numFmtId="165" fontId="0" fillId="9" borderId="26" xfId="0" applyNumberFormat="1" applyFill="1" applyBorder="1" applyAlignment="1">
      <alignment horizontal="center" vertical="center"/>
    </xf>
    <xf numFmtId="165" fontId="8" fillId="8" borderId="26" xfId="0" applyNumberFormat="1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1" fillId="10" borderId="27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6" fillId="9" borderId="29" xfId="0" applyFont="1" applyFill="1" applyBorder="1" applyAlignment="1">
      <alignment horizontal="center" vertical="center"/>
    </xf>
    <xf numFmtId="165" fontId="0" fillId="9" borderId="29" xfId="0" applyNumberFormat="1" applyFill="1" applyBorder="1" applyAlignment="1">
      <alignment horizontal="center" vertical="center"/>
    </xf>
    <xf numFmtId="165" fontId="8" fillId="8" borderId="29" xfId="0" applyNumberFormat="1" applyFont="1" applyFill="1" applyBorder="1" applyAlignment="1">
      <alignment horizontal="center" vertical="center"/>
    </xf>
    <xf numFmtId="0" fontId="7" fillId="8" borderId="29" xfId="0" applyFont="1" applyFill="1" applyBorder="1" applyAlignment="1">
      <alignment horizontal="center" vertical="center"/>
    </xf>
    <xf numFmtId="0" fontId="1" fillId="10" borderId="30" xfId="0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2" borderId="4" xfId="0" applyFont="1" applyFill="1" applyBorder="1" applyAlignment="1" applyProtection="1">
      <alignment horizontal="center" vertical="center"/>
      <protection locked="0"/>
    </xf>
    <xf numFmtId="0" fontId="9" fillId="0" borderId="0" xfId="0" applyFont="1"/>
    <xf numFmtId="0" fontId="0" fillId="7" borderId="19" xfId="0" applyFill="1" applyBorder="1" applyAlignment="1">
      <alignment horizontal="center" vertical="center"/>
    </xf>
    <xf numFmtId="0" fontId="0" fillId="7" borderId="30" xfId="0" applyFill="1" applyBorder="1" applyAlignment="1">
      <alignment horizontal="center" vertical="center"/>
    </xf>
    <xf numFmtId="0" fontId="0" fillId="7" borderId="27" xfId="0" applyFill="1" applyBorder="1" applyAlignment="1">
      <alignment horizontal="center" vertical="center"/>
    </xf>
    <xf numFmtId="0" fontId="10" fillId="12" borderId="11" xfId="0" applyFont="1" applyFill="1" applyBorder="1"/>
    <xf numFmtId="0" fontId="10" fillId="9" borderId="36" xfId="0" applyFont="1" applyFill="1" applyBorder="1"/>
    <xf numFmtId="0" fontId="9" fillId="9" borderId="34" xfId="0" applyFont="1" applyFill="1" applyBorder="1"/>
    <xf numFmtId="0" fontId="9" fillId="9" borderId="35" xfId="0" applyFont="1" applyFill="1" applyBorder="1"/>
    <xf numFmtId="0" fontId="10" fillId="14" borderId="36" xfId="0" applyFont="1" applyFill="1" applyBorder="1"/>
    <xf numFmtId="0" fontId="9" fillId="14" borderId="34" xfId="0" applyFont="1" applyFill="1" applyBorder="1"/>
    <xf numFmtId="0" fontId="9" fillId="14" borderId="35" xfId="0" applyFont="1" applyFill="1" applyBorder="1"/>
    <xf numFmtId="0" fontId="9" fillId="13" borderId="34" xfId="0" applyFont="1" applyFill="1" applyBorder="1"/>
    <xf numFmtId="0" fontId="9" fillId="13" borderId="35" xfId="0" applyFont="1" applyFill="1" applyBorder="1"/>
    <xf numFmtId="0" fontId="10" fillId="0" borderId="0" xfId="0" applyFont="1"/>
    <xf numFmtId="0" fontId="10" fillId="16" borderId="36" xfId="0" applyFont="1" applyFill="1" applyBorder="1"/>
    <xf numFmtId="0" fontId="9" fillId="16" borderId="34" xfId="0" applyFont="1" applyFill="1" applyBorder="1"/>
    <xf numFmtId="0" fontId="9" fillId="15" borderId="15" xfId="0" applyFont="1" applyFill="1" applyBorder="1"/>
    <xf numFmtId="0" fontId="9" fillId="15" borderId="14" xfId="0" applyFont="1" applyFill="1" applyBorder="1"/>
    <xf numFmtId="0" fontId="9" fillId="12" borderId="15" xfId="0" applyFont="1" applyFill="1" applyBorder="1"/>
    <xf numFmtId="0" fontId="9" fillId="12" borderId="14" xfId="0" applyFont="1" applyFill="1" applyBorder="1"/>
    <xf numFmtId="0" fontId="9" fillId="0" borderId="0" xfId="0" applyFont="1" applyAlignment="1">
      <alignment horizontal="left" vertical="top"/>
    </xf>
    <xf numFmtId="0" fontId="9" fillId="0" borderId="11" xfId="0" applyFont="1" applyBorder="1" applyAlignment="1">
      <alignment horizontal="left" vertical="top"/>
    </xf>
    <xf numFmtId="0" fontId="9" fillId="0" borderId="15" xfId="0" applyFont="1" applyBorder="1" applyAlignment="1">
      <alignment horizontal="left" vertical="top"/>
    </xf>
    <xf numFmtId="0" fontId="9" fillId="0" borderId="14" xfId="0" applyFont="1" applyBorder="1" applyAlignment="1">
      <alignment horizontal="left" vertical="top"/>
    </xf>
    <xf numFmtId="0" fontId="10" fillId="0" borderId="25" xfId="0" applyFont="1" applyBorder="1"/>
    <xf numFmtId="49" fontId="9" fillId="0" borderId="11" xfId="0" applyNumberFormat="1" applyFont="1" applyBorder="1" applyAlignment="1">
      <alignment horizontal="left" vertical="top"/>
    </xf>
    <xf numFmtId="0" fontId="9" fillId="0" borderId="15" xfId="0" applyFont="1" applyBorder="1"/>
    <xf numFmtId="49" fontId="9" fillId="0" borderId="15" xfId="0" applyNumberFormat="1" applyFont="1" applyBorder="1" applyAlignment="1">
      <alignment horizontal="left" vertical="top"/>
    </xf>
    <xf numFmtId="49" fontId="9" fillId="16" borderId="35" xfId="0" applyNumberFormat="1" applyFont="1" applyFill="1" applyBorder="1"/>
    <xf numFmtId="49" fontId="9" fillId="0" borderId="14" xfId="0" applyNumberFormat="1" applyFont="1" applyBorder="1" applyAlignment="1">
      <alignment horizontal="left" vertical="top"/>
    </xf>
    <xf numFmtId="49" fontId="9" fillId="0" borderId="0" xfId="0" applyNumberFormat="1" applyFont="1"/>
    <xf numFmtId="49" fontId="9" fillId="0" borderId="0" xfId="0" applyNumberFormat="1" applyFont="1" applyAlignment="1">
      <alignment horizontal="left" vertical="top"/>
    </xf>
    <xf numFmtId="0" fontId="10" fillId="13" borderId="38" xfId="0" applyFont="1" applyFill="1" applyBorder="1"/>
    <xf numFmtId="49" fontId="9" fillId="0" borderId="37" xfId="0" applyNumberFormat="1" applyFont="1" applyBorder="1" applyAlignment="1">
      <alignment horizontal="left" vertical="top"/>
    </xf>
    <xf numFmtId="0" fontId="10" fillId="15" borderId="11" xfId="0" applyFont="1" applyFill="1" applyBorder="1"/>
    <xf numFmtId="0" fontId="12" fillId="0" borderId="11" xfId="0" applyFont="1" applyBorder="1" applyAlignment="1">
      <alignment horizontal="left" vertical="top"/>
    </xf>
    <xf numFmtId="0" fontId="12" fillId="0" borderId="15" xfId="1" applyFont="1" applyBorder="1" applyAlignment="1">
      <alignment horizontal="left" vertical="top"/>
    </xf>
    <xf numFmtId="0" fontId="12" fillId="0" borderId="14" xfId="1" applyFont="1" applyBorder="1" applyAlignment="1">
      <alignment horizontal="left" vertical="top"/>
    </xf>
    <xf numFmtId="0" fontId="10" fillId="0" borderId="0" xfId="0" applyFont="1" applyAlignment="1">
      <alignment horizontal="center"/>
    </xf>
    <xf numFmtId="0" fontId="15" fillId="0" borderId="0" xfId="0" applyFont="1" applyAlignment="1">
      <alignment vertical="center"/>
    </xf>
    <xf numFmtId="49" fontId="0" fillId="0" borderId="0" xfId="0" applyNumberFormat="1"/>
    <xf numFmtId="164" fontId="0" fillId="0" borderId="0" xfId="0" applyNumberFormat="1"/>
    <xf numFmtId="1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6" fillId="0" borderId="0" xfId="0" applyFont="1" applyAlignment="1">
      <alignment vertical="center"/>
    </xf>
    <xf numFmtId="49" fontId="0" fillId="11" borderId="30" xfId="0" applyNumberFormat="1" applyFill="1" applyBorder="1" applyAlignment="1">
      <alignment horizontal="center" vertical="center"/>
    </xf>
    <xf numFmtId="49" fontId="0" fillId="11" borderId="15" xfId="0" applyNumberFormat="1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164" fontId="0" fillId="11" borderId="27" xfId="0" applyNumberFormat="1" applyFill="1" applyBorder="1" applyAlignment="1">
      <alignment horizontal="center" vertical="center"/>
    </xf>
    <xf numFmtId="164" fontId="0" fillId="11" borderId="14" xfId="0" applyNumberForma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49" fontId="17" fillId="0" borderId="0" xfId="0" quotePrefix="1" applyNumberFormat="1" applyFont="1" applyAlignment="1">
      <alignment horizontal="center" vertical="center"/>
    </xf>
    <xf numFmtId="164" fontId="18" fillId="0" borderId="0" xfId="0" applyNumberFormat="1" applyFont="1" applyAlignment="1">
      <alignment horizontal="center" vertical="center"/>
    </xf>
    <xf numFmtId="0" fontId="18" fillId="0" borderId="0" xfId="0" quotePrefix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49" fontId="0" fillId="11" borderId="11" xfId="0" applyNumberForma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5E6A2"/>
      <color rgb="FFD9D9D9"/>
      <color rgb="FFCCFFFF"/>
      <color rgb="FFFFB3B3"/>
      <color rgb="FFFFC5B7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498DB"/>
  </sheetPr>
  <dimension ref="A1:C39"/>
  <sheetViews>
    <sheetView zoomScale="85" zoomScaleNormal="85" workbookViewId="0">
      <selection activeCell="D1" sqref="D1:D1048576"/>
    </sheetView>
  </sheetViews>
  <sheetFormatPr defaultColWidth="9.140625" defaultRowHeight="14.25" x14ac:dyDescent="0.2"/>
  <cols>
    <col min="1" max="1" width="34.7109375" style="51" bestFit="1" customWidth="1"/>
    <col min="2" max="2" width="69.28515625" style="51" customWidth="1"/>
    <col min="3" max="3" width="31.140625" style="51" customWidth="1"/>
    <col min="4" max="16384" width="9.140625" style="51"/>
  </cols>
  <sheetData>
    <row r="1" spans="1:3" ht="15.75" thickBot="1" x14ac:dyDescent="0.3">
      <c r="A1" s="75" t="s">
        <v>43</v>
      </c>
      <c r="B1" s="64"/>
    </row>
    <row r="2" spans="1:3" ht="15" x14ac:dyDescent="0.25">
      <c r="A2" s="55" t="s">
        <v>27</v>
      </c>
      <c r="B2" s="72"/>
    </row>
    <row r="3" spans="1:3" x14ac:dyDescent="0.2">
      <c r="A3" s="69" t="s">
        <v>28</v>
      </c>
      <c r="B3" s="73"/>
    </row>
    <row r="4" spans="1:3" x14ac:dyDescent="0.2">
      <c r="A4" s="69" t="s">
        <v>29</v>
      </c>
      <c r="B4" s="73"/>
    </row>
    <row r="5" spans="1:3" ht="15" thickBot="1" x14ac:dyDescent="0.25">
      <c r="A5" s="70" t="s">
        <v>32</v>
      </c>
      <c r="B5" s="74"/>
    </row>
    <row r="6" spans="1:3" ht="15.75" thickBot="1" x14ac:dyDescent="0.3">
      <c r="A6" s="64"/>
      <c r="B6" s="71"/>
    </row>
    <row r="7" spans="1:3" ht="15.75" thickBot="1" x14ac:dyDescent="0.3">
      <c r="A7" s="75" t="s">
        <v>50</v>
      </c>
    </row>
    <row r="8" spans="1:3" ht="15" customHeight="1" x14ac:dyDescent="0.25">
      <c r="A8" s="65" t="s">
        <v>45</v>
      </c>
      <c r="B8" s="76"/>
      <c r="C8" s="89"/>
    </row>
    <row r="9" spans="1:3" ht="14.25" customHeight="1" x14ac:dyDescent="0.2">
      <c r="A9" s="66" t="s">
        <v>56</v>
      </c>
      <c r="B9" s="73"/>
    </row>
    <row r="10" spans="1:3" ht="14.25" customHeight="1" x14ac:dyDescent="0.2">
      <c r="A10" s="66" t="s">
        <v>47</v>
      </c>
      <c r="B10" s="77"/>
    </row>
    <row r="11" spans="1:3" ht="14.25" customHeight="1" x14ac:dyDescent="0.2">
      <c r="A11" s="66" t="s">
        <v>51</v>
      </c>
      <c r="B11" s="78"/>
    </row>
    <row r="12" spans="1:3" x14ac:dyDescent="0.2">
      <c r="A12" s="66" t="s">
        <v>49</v>
      </c>
      <c r="B12" s="78"/>
    </row>
    <row r="13" spans="1:3" ht="15" customHeight="1" x14ac:dyDescent="0.2">
      <c r="A13" s="66" t="s">
        <v>48</v>
      </c>
      <c r="B13" s="78"/>
    </row>
    <row r="14" spans="1:3" ht="15.75" thickBot="1" x14ac:dyDescent="0.3">
      <c r="A14" s="79" t="s">
        <v>52</v>
      </c>
      <c r="B14" s="80"/>
      <c r="C14" s="89"/>
    </row>
    <row r="15" spans="1:3" ht="15" thickBot="1" x14ac:dyDescent="0.25">
      <c r="A15" s="81"/>
      <c r="B15" s="82"/>
    </row>
    <row r="16" spans="1:3" ht="15.75" thickBot="1" x14ac:dyDescent="0.3">
      <c r="A16" s="75" t="s">
        <v>53</v>
      </c>
      <c r="B16" s="71"/>
    </row>
    <row r="17" spans="1:2" ht="15" x14ac:dyDescent="0.25">
      <c r="A17" s="56" t="s">
        <v>37</v>
      </c>
      <c r="B17" s="76"/>
    </row>
    <row r="18" spans="1:2" x14ac:dyDescent="0.2">
      <c r="A18" s="57" t="s">
        <v>38</v>
      </c>
      <c r="B18" s="73"/>
    </row>
    <row r="19" spans="1:2" x14ac:dyDescent="0.2">
      <c r="A19" s="57" t="s">
        <v>46</v>
      </c>
      <c r="B19" s="73"/>
    </row>
    <row r="20" spans="1:2" x14ac:dyDescent="0.2">
      <c r="A20" s="57" t="s">
        <v>44</v>
      </c>
      <c r="B20" s="73"/>
    </row>
    <row r="21" spans="1:2" x14ac:dyDescent="0.2">
      <c r="A21" s="57" t="s">
        <v>39</v>
      </c>
      <c r="B21" s="73"/>
    </row>
    <row r="22" spans="1:2" x14ac:dyDescent="0.2">
      <c r="A22" s="57" t="s">
        <v>40</v>
      </c>
      <c r="B22" s="73"/>
    </row>
    <row r="23" spans="1:2" ht="15" thickBot="1" x14ac:dyDescent="0.25">
      <c r="A23" s="58" t="s">
        <v>41</v>
      </c>
      <c r="B23" s="74"/>
    </row>
    <row r="24" spans="1:2" ht="15" x14ac:dyDescent="0.25">
      <c r="A24" s="59" t="s">
        <v>31</v>
      </c>
      <c r="B24" s="76"/>
    </row>
    <row r="25" spans="1:2" x14ac:dyDescent="0.2">
      <c r="A25" s="60" t="s">
        <v>39</v>
      </c>
      <c r="B25" s="73"/>
    </row>
    <row r="26" spans="1:2" x14ac:dyDescent="0.2">
      <c r="A26" s="60" t="s">
        <v>40</v>
      </c>
      <c r="B26" s="73"/>
    </row>
    <row r="27" spans="1:2" ht="15" thickBot="1" x14ac:dyDescent="0.25">
      <c r="A27" s="61" t="s">
        <v>41</v>
      </c>
      <c r="B27" s="74"/>
    </row>
    <row r="28" spans="1:2" ht="15" x14ac:dyDescent="0.25">
      <c r="A28" s="83" t="s">
        <v>30</v>
      </c>
      <c r="B28" s="84"/>
    </row>
    <row r="29" spans="1:2" x14ac:dyDescent="0.2">
      <c r="A29" s="62" t="s">
        <v>39</v>
      </c>
      <c r="B29" s="73"/>
    </row>
    <row r="30" spans="1:2" x14ac:dyDescent="0.2">
      <c r="A30" s="62" t="s">
        <v>40</v>
      </c>
      <c r="B30" s="73"/>
    </row>
    <row r="31" spans="1:2" ht="15" thickBot="1" x14ac:dyDescent="0.25">
      <c r="A31" s="63" t="s">
        <v>41</v>
      </c>
      <c r="B31" s="74"/>
    </row>
    <row r="32" spans="1:2" ht="15" thickBot="1" x14ac:dyDescent="0.25"/>
    <row r="33" spans="1:2" ht="15.75" thickBot="1" x14ac:dyDescent="0.3">
      <c r="A33" s="75" t="s">
        <v>54</v>
      </c>
    </row>
    <row r="34" spans="1:2" ht="15" x14ac:dyDescent="0.25">
      <c r="A34" s="85" t="s">
        <v>55</v>
      </c>
      <c r="B34" s="86"/>
    </row>
    <row r="35" spans="1:2" x14ac:dyDescent="0.2">
      <c r="A35" s="67" t="s">
        <v>33</v>
      </c>
      <c r="B35" s="87"/>
    </row>
    <row r="36" spans="1:2" x14ac:dyDescent="0.2">
      <c r="A36" s="67" t="s">
        <v>42</v>
      </c>
      <c r="B36" s="87"/>
    </row>
    <row r="37" spans="1:2" x14ac:dyDescent="0.2">
      <c r="A37" s="67" t="s">
        <v>34</v>
      </c>
      <c r="B37" s="87"/>
    </row>
    <row r="38" spans="1:2" x14ac:dyDescent="0.2">
      <c r="A38" s="67" t="s">
        <v>35</v>
      </c>
      <c r="B38" s="87"/>
    </row>
    <row r="39" spans="1:2" ht="15" thickBot="1" x14ac:dyDescent="0.25">
      <c r="A39" s="68" t="s">
        <v>36</v>
      </c>
      <c r="B39" s="88"/>
    </row>
  </sheetData>
  <pageMargins left="0.7" right="0.7" top="0.75" bottom="0.75" header="0.3" footer="0.3"/>
  <pageSetup paperSize="9" orientation="portrait" verticalDpi="0" r:id="rId1"/>
  <headerFooter differentOddEven="1" differentFirst="1">
    <oddHeader>&amp;C&amp;"Arial,Bold"&amp;14 UNCONTROLLED</oddHeader>
    <evenHeader>&amp;C&amp;"Arial,Bold"&amp;14 UNCONTROLLED</evenHeader>
    <firstHeader>&amp;C&amp;"Arial,Bold"&amp;14 UNCONTROLLED</firstHead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24BF-1E95-4435-B62C-9A995DBDC3DD}">
  <sheetPr>
    <tabColor rgb="FFFFFF00"/>
  </sheetPr>
  <dimension ref="A1:K31"/>
  <sheetViews>
    <sheetView tabSelected="1" zoomScaleNormal="100" workbookViewId="0"/>
  </sheetViews>
  <sheetFormatPr defaultColWidth="8.85546875" defaultRowHeight="15" x14ac:dyDescent="0.25"/>
  <cols>
    <col min="1" max="1" width="25.42578125" bestFit="1" customWidth="1"/>
    <col min="2" max="3" width="40" customWidth="1"/>
    <col min="4" max="4" width="20.28515625" customWidth="1"/>
    <col min="5" max="8" width="11.85546875" customWidth="1"/>
    <col min="9" max="9" width="18.28515625" bestFit="1" customWidth="1"/>
    <col min="10" max="11" width="24.28515625" bestFit="1" customWidth="1"/>
    <col min="12" max="12" width="21.140625" bestFit="1" customWidth="1"/>
    <col min="13" max="13" width="24.28515625" bestFit="1" customWidth="1"/>
    <col min="14" max="14" width="21.140625" bestFit="1" customWidth="1"/>
  </cols>
  <sheetData>
    <row r="1" spans="1:11" ht="15.75" thickBot="1" x14ac:dyDescent="0.3">
      <c r="A1" s="6"/>
      <c r="B1" s="112" t="s">
        <v>0</v>
      </c>
      <c r="C1" s="112"/>
    </row>
    <row r="2" spans="1:11" ht="15.75" thickBot="1" x14ac:dyDescent="0.3">
      <c r="B2" s="4" t="s">
        <v>1</v>
      </c>
      <c r="C2" s="5" t="s">
        <v>2</v>
      </c>
    </row>
    <row r="3" spans="1:11" x14ac:dyDescent="0.25">
      <c r="A3" s="7" t="s">
        <v>3</v>
      </c>
      <c r="B3" s="8"/>
      <c r="C3" s="9"/>
    </row>
    <row r="4" spans="1:11" x14ac:dyDescent="0.25">
      <c r="A4" s="1" t="s">
        <v>4</v>
      </c>
      <c r="B4" s="10"/>
      <c r="C4" s="11"/>
    </row>
    <row r="5" spans="1:11" ht="15" customHeight="1" x14ac:dyDescent="0.25">
      <c r="A5" s="1" t="s">
        <v>5</v>
      </c>
      <c r="B5" s="10"/>
      <c r="C5" s="11"/>
      <c r="E5" s="90"/>
      <c r="F5" s="90"/>
      <c r="G5" s="90"/>
      <c r="H5" s="90"/>
      <c r="I5" s="90"/>
      <c r="J5" s="90"/>
    </row>
    <row r="6" spans="1:11" ht="15.75" customHeight="1" x14ac:dyDescent="0.25">
      <c r="A6" s="1" t="s">
        <v>6</v>
      </c>
      <c r="B6" s="10"/>
      <c r="C6" s="11"/>
      <c r="E6" s="90"/>
      <c r="F6" s="90"/>
      <c r="G6" s="90"/>
      <c r="H6" s="90"/>
      <c r="I6" s="90"/>
      <c r="J6" s="90"/>
    </row>
    <row r="7" spans="1:11" x14ac:dyDescent="0.25">
      <c r="A7" s="1" t="s">
        <v>7</v>
      </c>
      <c r="B7" s="10"/>
      <c r="C7" s="11"/>
    </row>
    <row r="8" spans="1:11" x14ac:dyDescent="0.25">
      <c r="A8" s="1" t="s">
        <v>8</v>
      </c>
      <c r="B8" s="10"/>
      <c r="C8" s="11"/>
    </row>
    <row r="9" spans="1:11" ht="15.75" thickBot="1" x14ac:dyDescent="0.3">
      <c r="A9" s="1" t="s">
        <v>9</v>
      </c>
      <c r="B9" s="12"/>
      <c r="C9" s="13"/>
    </row>
    <row r="10" spans="1:11" x14ac:dyDescent="0.25">
      <c r="A10" s="1" t="s">
        <v>10</v>
      </c>
      <c r="B10" s="98"/>
      <c r="C10" s="99"/>
      <c r="E10" t="b">
        <f>B10=I10</f>
        <v>0</v>
      </c>
      <c r="F10" t="b">
        <f>C10=J10</f>
        <v>0</v>
      </c>
      <c r="I10" s="111" t="s">
        <v>316</v>
      </c>
      <c r="J10" s="111" t="s">
        <v>314</v>
      </c>
    </row>
    <row r="11" spans="1:11" x14ac:dyDescent="0.25">
      <c r="A11" s="1" t="s">
        <v>11</v>
      </c>
      <c r="B11" s="100"/>
      <c r="C11" s="101"/>
      <c r="E11" t="b">
        <f>B11=I11</f>
        <v>0</v>
      </c>
      <c r="F11" t="b">
        <f>C11=J11</f>
        <v>0</v>
      </c>
      <c r="I11" s="101" t="s">
        <v>317</v>
      </c>
      <c r="J11" s="101" t="s">
        <v>317</v>
      </c>
    </row>
    <row r="12" spans="1:11" x14ac:dyDescent="0.25">
      <c r="A12" s="1" t="s">
        <v>12</v>
      </c>
      <c r="B12" s="98"/>
      <c r="C12" s="99"/>
      <c r="E12" t="b">
        <f>B12=I12</f>
        <v>0</v>
      </c>
      <c r="F12" t="b">
        <f>C12=J12</f>
        <v>0</v>
      </c>
      <c r="I12" s="99" t="s">
        <v>313</v>
      </c>
      <c r="J12" s="99" t="s">
        <v>318</v>
      </c>
    </row>
    <row r="13" spans="1:11" x14ac:dyDescent="0.25">
      <c r="A13" s="1" t="s">
        <v>13</v>
      </c>
      <c r="B13" s="100"/>
      <c r="C13" s="101"/>
      <c r="E13" t="b">
        <f>B13=I13</f>
        <v>0</v>
      </c>
      <c r="F13" t="b">
        <f>C13=J13</f>
        <v>0</v>
      </c>
      <c r="I13" s="101" t="s">
        <v>319</v>
      </c>
      <c r="J13" s="101" t="s">
        <v>319</v>
      </c>
    </row>
    <row r="14" spans="1:11" x14ac:dyDescent="0.25">
      <c r="A14" s="1" t="s">
        <v>14</v>
      </c>
      <c r="B14" s="98"/>
      <c r="C14" s="99"/>
      <c r="E14" t="b">
        <f>B14=I14</f>
        <v>0</v>
      </c>
      <c r="F14" t="b">
        <f>C14=J14</f>
        <v>0</v>
      </c>
      <c r="I14" s="99" t="s">
        <v>320</v>
      </c>
      <c r="J14" s="99" t="s">
        <v>315</v>
      </c>
      <c r="K14" s="97"/>
    </row>
    <row r="15" spans="1:11" ht="15.75" thickBot="1" x14ac:dyDescent="0.3">
      <c r="A15" s="2" t="s">
        <v>15</v>
      </c>
      <c r="B15" s="102"/>
      <c r="C15" s="103"/>
      <c r="E15" t="b">
        <f>B15=I15</f>
        <v>0</v>
      </c>
      <c r="F15" t="b">
        <f>C15=J15</f>
        <v>0</v>
      </c>
      <c r="I15" s="103" t="s">
        <v>321</v>
      </c>
      <c r="J15" s="103" t="s">
        <v>65</v>
      </c>
    </row>
    <row r="16" spans="1:11" ht="15.75" thickBot="1" x14ac:dyDescent="0.3">
      <c r="A16" s="3"/>
      <c r="B16" s="113" t="s">
        <v>16</v>
      </c>
      <c r="C16" s="114"/>
    </row>
    <row r="17" spans="1:11" x14ac:dyDescent="0.25">
      <c r="A17" s="3"/>
      <c r="B17" s="14"/>
      <c r="C17" s="52"/>
    </row>
    <row r="18" spans="1:11" x14ac:dyDescent="0.25">
      <c r="A18" s="3"/>
      <c r="B18" s="15"/>
      <c r="C18" s="53"/>
    </row>
    <row r="19" spans="1:11" x14ac:dyDescent="0.25">
      <c r="A19" s="3"/>
      <c r="B19" s="15"/>
      <c r="C19" s="53"/>
      <c r="E19" s="95"/>
      <c r="F19" s="96"/>
      <c r="G19" s="96"/>
      <c r="H19" s="96"/>
      <c r="I19" s="95"/>
      <c r="J19" s="96"/>
    </row>
    <row r="20" spans="1:11" x14ac:dyDescent="0.25">
      <c r="A20" s="3"/>
      <c r="B20" s="15"/>
      <c r="C20" s="53"/>
    </row>
    <row r="21" spans="1:11" x14ac:dyDescent="0.25">
      <c r="A21" s="3"/>
      <c r="B21" s="15"/>
      <c r="C21" s="53"/>
    </row>
    <row r="22" spans="1:11" x14ac:dyDescent="0.25">
      <c r="A22" s="3"/>
      <c r="B22" s="15"/>
      <c r="C22" s="53"/>
    </row>
    <row r="23" spans="1:11" x14ac:dyDescent="0.25">
      <c r="B23" s="15"/>
      <c r="C23" s="53"/>
    </row>
    <row r="24" spans="1:11" x14ac:dyDescent="0.25">
      <c r="B24" s="15"/>
      <c r="C24" s="53"/>
      <c r="F24" s="104"/>
      <c r="G24" s="104"/>
      <c r="H24" s="104"/>
      <c r="I24" s="104"/>
      <c r="J24" s="105"/>
      <c r="K24" s="105"/>
    </row>
    <row r="25" spans="1:11" x14ac:dyDescent="0.25">
      <c r="B25" s="15"/>
      <c r="C25" s="53"/>
      <c r="F25" s="106"/>
      <c r="G25" s="106"/>
      <c r="H25" s="106"/>
      <c r="I25" s="106"/>
      <c r="J25" s="106"/>
      <c r="K25" s="106"/>
    </row>
    <row r="26" spans="1:11" ht="15.75" thickBot="1" x14ac:dyDescent="0.3">
      <c r="B26" s="16"/>
      <c r="C26" s="54"/>
      <c r="F26" s="107"/>
      <c r="G26" s="107"/>
      <c r="H26" s="107"/>
      <c r="I26" s="108"/>
      <c r="J26" s="109"/>
      <c r="K26" s="108"/>
    </row>
    <row r="27" spans="1:11" x14ac:dyDescent="0.25">
      <c r="F27" s="106"/>
      <c r="G27" s="106"/>
      <c r="H27" s="106"/>
      <c r="I27" s="106"/>
      <c r="J27" s="106"/>
      <c r="K27" s="106"/>
    </row>
    <row r="28" spans="1:11" ht="15.75" thickBot="1" x14ac:dyDescent="0.3">
      <c r="F28" s="109"/>
      <c r="G28" s="109"/>
      <c r="H28" s="109"/>
      <c r="I28" s="108"/>
      <c r="J28" s="108"/>
      <c r="K28" s="108"/>
    </row>
    <row r="29" spans="1:11" ht="15.75" thickBot="1" x14ac:dyDescent="0.3">
      <c r="B29" s="115" t="s">
        <v>17</v>
      </c>
      <c r="C29" s="116"/>
      <c r="F29" s="106"/>
      <c r="G29" s="106"/>
      <c r="H29" s="106"/>
      <c r="I29" s="106"/>
      <c r="J29" s="106"/>
      <c r="K29" s="106"/>
    </row>
    <row r="30" spans="1:11" ht="15.75" thickBot="1" x14ac:dyDescent="0.3">
      <c r="B30" s="4" t="s">
        <v>1</v>
      </c>
      <c r="C30" s="5" t="s">
        <v>2</v>
      </c>
      <c r="F30" s="110"/>
      <c r="G30" s="110"/>
      <c r="H30" s="110"/>
      <c r="I30" s="108"/>
      <c r="J30" s="110"/>
      <c r="K30" s="108"/>
    </row>
    <row r="31" spans="1:11" ht="15.75" thickBot="1" x14ac:dyDescent="0.3">
      <c r="B31" s="17"/>
      <c r="C31" s="17"/>
    </row>
  </sheetData>
  <mergeCells count="3">
    <mergeCell ref="B1:C1"/>
    <mergeCell ref="B16:C16"/>
    <mergeCell ref="B29:C29"/>
  </mergeCells>
  <phoneticPr fontId="8" type="noConversion"/>
  <pageMargins left="0.7" right="0.7" top="0.75" bottom="0.75" header="0.3" footer="0.3"/>
  <pageSetup paperSize="9" orientation="portrait" verticalDpi="0" r:id="rId1"/>
  <headerFooter differentOddEven="1" differentFirst="1">
    <oddHeader>&amp;C&amp;"Arial,Bold"&amp;14 UNCONTROLLED</oddHeader>
    <evenHeader>&amp;C&amp;"Arial,Bold"&amp;14 UNCONTROLLED</evenHeader>
    <firstHeader>&amp;C&amp;"Arial,Bold"&amp;14 UNCONTROLLED</first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80C2E-75F6-4075-A11F-F0404F676719}">
  <sheetPr>
    <tabColor rgb="FFFFFF00"/>
  </sheetPr>
  <dimension ref="A1:H10"/>
  <sheetViews>
    <sheetView zoomScaleNormal="100" workbookViewId="0"/>
  </sheetViews>
  <sheetFormatPr defaultColWidth="8.85546875" defaultRowHeight="15" x14ac:dyDescent="0.25"/>
  <cols>
    <col min="1" max="1" width="24.28515625" customWidth="1"/>
    <col min="2" max="2" width="13.28515625" customWidth="1"/>
    <col min="3" max="3" width="12.42578125" bestFit="1" customWidth="1"/>
    <col min="4" max="4" width="18.28515625" customWidth="1"/>
    <col min="5" max="5" width="17.85546875" bestFit="1" customWidth="1"/>
    <col min="6" max="6" width="17.85546875" customWidth="1"/>
    <col min="7" max="7" width="22" customWidth="1"/>
    <col min="8" max="8" width="17.85546875" customWidth="1"/>
    <col min="9" max="9" width="9.140625" customWidth="1"/>
  </cols>
  <sheetData>
    <row r="1" spans="1:8" ht="37.5" customHeight="1" x14ac:dyDescent="0.25">
      <c r="A1" s="6"/>
      <c r="B1" s="47" t="s">
        <v>18</v>
      </c>
      <c r="C1" s="48" t="s">
        <v>19</v>
      </c>
      <c r="D1" s="49" t="s">
        <v>20</v>
      </c>
      <c r="E1" s="49" t="s">
        <v>21</v>
      </c>
      <c r="F1" s="49" t="s">
        <v>22</v>
      </c>
      <c r="G1" s="49" t="s">
        <v>23</v>
      </c>
      <c r="H1" s="50" t="s">
        <v>24</v>
      </c>
    </row>
    <row r="2" spans="1:8" x14ac:dyDescent="0.25">
      <c r="A2" s="18" t="s">
        <v>25</v>
      </c>
      <c r="B2" s="24"/>
      <c r="C2" s="19"/>
      <c r="D2" s="20"/>
      <c r="E2" s="20"/>
      <c r="F2" s="21"/>
      <c r="G2" s="22"/>
      <c r="H2" s="23"/>
    </row>
    <row r="3" spans="1:8" x14ac:dyDescent="0.25">
      <c r="A3" s="25" t="s">
        <v>25</v>
      </c>
      <c r="B3" s="31"/>
      <c r="C3" s="26"/>
      <c r="D3" s="27"/>
      <c r="E3" s="27"/>
      <c r="F3" s="28"/>
      <c r="G3" s="29"/>
      <c r="H3" s="30"/>
    </row>
    <row r="4" spans="1:8" x14ac:dyDescent="0.25">
      <c r="A4" s="25" t="s">
        <v>25</v>
      </c>
      <c r="B4" s="31"/>
      <c r="C4" s="26"/>
      <c r="D4" s="27"/>
      <c r="E4" s="27"/>
      <c r="F4" s="28"/>
      <c r="G4" s="29"/>
      <c r="H4" s="30"/>
    </row>
    <row r="5" spans="1:8" x14ac:dyDescent="0.25">
      <c r="A5" s="25" t="s">
        <v>25</v>
      </c>
      <c r="B5" s="31"/>
      <c r="C5" s="26"/>
      <c r="D5" s="27"/>
      <c r="E5" s="27"/>
      <c r="F5" s="32"/>
      <c r="G5" s="29"/>
      <c r="H5" s="30"/>
    </row>
    <row r="6" spans="1:8" x14ac:dyDescent="0.25">
      <c r="A6" s="33" t="s">
        <v>26</v>
      </c>
      <c r="B6" s="31"/>
      <c r="C6" s="26"/>
      <c r="D6" s="27"/>
      <c r="E6" s="27"/>
      <c r="F6" s="32"/>
      <c r="G6" s="29"/>
      <c r="H6" s="30"/>
    </row>
    <row r="7" spans="1:8" x14ac:dyDescent="0.25">
      <c r="A7" s="34" t="s">
        <v>26</v>
      </c>
      <c r="B7" s="40"/>
      <c r="C7" s="41"/>
      <c r="D7" s="42"/>
      <c r="E7" s="42"/>
      <c r="F7" s="43"/>
      <c r="G7" s="44"/>
      <c r="H7" s="45"/>
    </row>
    <row r="8" spans="1:8" x14ac:dyDescent="0.25">
      <c r="A8" s="34" t="s">
        <v>26</v>
      </c>
      <c r="B8" s="40"/>
      <c r="C8" s="41"/>
      <c r="D8" s="42"/>
      <c r="E8" s="42"/>
      <c r="F8" s="43"/>
      <c r="G8" s="44"/>
      <c r="H8" s="45"/>
    </row>
    <row r="9" spans="1:8" x14ac:dyDescent="0.25">
      <c r="A9" s="34" t="s">
        <v>26</v>
      </c>
      <c r="B9" s="40"/>
      <c r="C9" s="41"/>
      <c r="D9" s="42"/>
      <c r="E9" s="42"/>
      <c r="F9" s="43"/>
      <c r="G9" s="44"/>
      <c r="H9" s="45"/>
    </row>
    <row r="10" spans="1:8" x14ac:dyDescent="0.25">
      <c r="A10" s="34" t="s">
        <v>26</v>
      </c>
      <c r="B10" s="46"/>
      <c r="C10" s="35"/>
      <c r="D10" s="36"/>
      <c r="E10" s="36"/>
      <c r="F10" s="37"/>
      <c r="G10" s="38"/>
      <c r="H10" s="39"/>
    </row>
  </sheetData>
  <phoneticPr fontId="8" type="noConversion"/>
  <pageMargins left="0.7" right="0.7" top="0.75" bottom="0.75" header="0.3" footer="0.3"/>
  <headerFooter differentOddEven="1" differentFirst="1">
    <oddHeader>&amp;C&amp;"Arial,Bold"&amp;14 UNCONTROLLED</oddHeader>
    <evenHeader>&amp;C&amp;"Arial,Bold"&amp;14 UNCONTROLLED</evenHeader>
    <firstHeader>&amp;C&amp;"Arial,Bold"&amp;14 UNCONTROLLED</first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154BC-E85F-4276-9DC1-C90A2A3D9DD0}">
  <sheetPr>
    <tabColor rgb="FFFFFF00"/>
  </sheetPr>
  <dimension ref="A1:N81"/>
  <sheetViews>
    <sheetView topLeftCell="B7" zoomScaleNormal="100" workbookViewId="0">
      <selection activeCell="K19" sqref="K18:K19"/>
    </sheetView>
  </sheetViews>
  <sheetFormatPr defaultRowHeight="15" x14ac:dyDescent="0.25"/>
  <cols>
    <col min="1" max="1" width="42.140625" bestFit="1" customWidth="1"/>
    <col min="2" max="2" width="19.140625" bestFit="1" customWidth="1"/>
    <col min="3" max="3" width="21.7109375" bestFit="1" customWidth="1"/>
    <col min="4" max="4" width="39.7109375" bestFit="1" customWidth="1"/>
    <col min="5" max="5" width="21.42578125" bestFit="1" customWidth="1"/>
    <col min="6" max="6" width="10.42578125" bestFit="1" customWidth="1"/>
    <col min="7" max="7" width="22.140625" bestFit="1" customWidth="1"/>
    <col min="8" max="8" width="18.28515625" bestFit="1" customWidth="1"/>
    <col min="9" max="9" width="14.140625" bestFit="1" customWidth="1"/>
    <col min="10" max="10" width="43.42578125" bestFit="1" customWidth="1"/>
    <col min="11" max="11" width="22.140625" bestFit="1" customWidth="1"/>
    <col min="12" max="13" width="8.7109375" bestFit="1" customWidth="1"/>
    <col min="14" max="14" width="20.28515625" bestFit="1" customWidth="1"/>
  </cols>
  <sheetData>
    <row r="1" spans="1:14" x14ac:dyDescent="0.25">
      <c r="A1" t="s">
        <v>66</v>
      </c>
      <c r="G1" t="s">
        <v>67</v>
      </c>
    </row>
    <row r="2" spans="1:14" x14ac:dyDescent="0.25">
      <c r="A2" t="s">
        <v>312</v>
      </c>
      <c r="G2" t="s">
        <v>68</v>
      </c>
      <c r="K2" t="s">
        <v>69</v>
      </c>
    </row>
    <row r="3" spans="1:14" x14ac:dyDescent="0.25">
      <c r="A3" t="s">
        <v>70</v>
      </c>
      <c r="B3" t="s">
        <v>71</v>
      </c>
      <c r="C3" t="s">
        <v>72</v>
      </c>
      <c r="D3" t="s">
        <v>73</v>
      </c>
      <c r="E3" t="s">
        <v>74</v>
      </c>
      <c r="H3" t="s">
        <v>75</v>
      </c>
      <c r="I3" t="s">
        <v>76</v>
      </c>
      <c r="J3" t="s">
        <v>77</v>
      </c>
      <c r="K3" t="s">
        <v>78</v>
      </c>
      <c r="L3" t="s">
        <v>77</v>
      </c>
      <c r="M3" t="s">
        <v>77</v>
      </c>
      <c r="N3" t="s">
        <v>79</v>
      </c>
    </row>
    <row r="4" spans="1:14" x14ac:dyDescent="0.25">
      <c r="A4" t="s">
        <v>80</v>
      </c>
    </row>
    <row r="5" spans="1:14" x14ac:dyDescent="0.25">
      <c r="A5" t="s">
        <v>81</v>
      </c>
      <c r="B5" t="s">
        <v>82</v>
      </c>
      <c r="C5" s="91" t="s">
        <v>83</v>
      </c>
      <c r="D5" t="s">
        <v>82</v>
      </c>
      <c r="E5">
        <v>802598</v>
      </c>
      <c r="F5" t="s">
        <v>84</v>
      </c>
      <c r="G5" t="s">
        <v>84</v>
      </c>
      <c r="H5" t="s">
        <v>85</v>
      </c>
      <c r="I5" s="92">
        <v>46107</v>
      </c>
      <c r="J5" t="s">
        <v>86</v>
      </c>
      <c r="K5" t="s">
        <v>84</v>
      </c>
      <c r="L5" t="s">
        <v>84</v>
      </c>
    </row>
    <row r="6" spans="1:14" x14ac:dyDescent="0.25">
      <c r="A6" t="s">
        <v>87</v>
      </c>
      <c r="B6" t="s">
        <v>82</v>
      </c>
      <c r="C6" s="91" t="s">
        <v>88</v>
      </c>
      <c r="D6" t="s">
        <v>82</v>
      </c>
      <c r="E6">
        <v>802624</v>
      </c>
      <c r="F6" t="s">
        <v>84</v>
      </c>
      <c r="G6" t="s">
        <v>84</v>
      </c>
      <c r="H6" t="s">
        <v>85</v>
      </c>
      <c r="I6" s="92">
        <v>46107</v>
      </c>
      <c r="J6" t="s">
        <v>86</v>
      </c>
      <c r="K6" t="s">
        <v>84</v>
      </c>
      <c r="L6" t="s">
        <v>84</v>
      </c>
    </row>
    <row r="7" spans="1:14" x14ac:dyDescent="0.25">
      <c r="A7" t="s">
        <v>89</v>
      </c>
      <c r="B7" t="s">
        <v>82</v>
      </c>
      <c r="C7" s="91" t="s">
        <v>90</v>
      </c>
      <c r="D7" t="s">
        <v>82</v>
      </c>
      <c r="E7">
        <v>802685</v>
      </c>
      <c r="F7" t="s">
        <v>84</v>
      </c>
      <c r="G7" t="s">
        <v>84</v>
      </c>
      <c r="H7" t="s">
        <v>85</v>
      </c>
      <c r="I7" s="92">
        <v>46107</v>
      </c>
      <c r="J7" t="s">
        <v>86</v>
      </c>
      <c r="K7" t="s">
        <v>84</v>
      </c>
      <c r="L7" t="s">
        <v>84</v>
      </c>
    </row>
    <row r="8" spans="1:14" x14ac:dyDescent="0.25">
      <c r="A8" t="s">
        <v>91</v>
      </c>
      <c r="B8" t="s">
        <v>82</v>
      </c>
      <c r="C8" s="91" t="s">
        <v>92</v>
      </c>
      <c r="D8" t="s">
        <v>82</v>
      </c>
      <c r="E8">
        <v>110012274</v>
      </c>
      <c r="F8" t="s">
        <v>84</v>
      </c>
      <c r="G8" t="s">
        <v>84</v>
      </c>
      <c r="H8" t="s">
        <v>85</v>
      </c>
      <c r="I8" s="92">
        <v>46107</v>
      </c>
      <c r="J8" t="s">
        <v>86</v>
      </c>
      <c r="K8" t="s">
        <v>84</v>
      </c>
      <c r="L8" t="s">
        <v>84</v>
      </c>
    </row>
    <row r="9" spans="1:14" x14ac:dyDescent="0.25">
      <c r="A9" t="s">
        <v>93</v>
      </c>
      <c r="B9" t="s">
        <v>94</v>
      </c>
      <c r="C9" s="91" t="s">
        <v>95</v>
      </c>
      <c r="D9" t="s">
        <v>96</v>
      </c>
      <c r="E9">
        <v>802069</v>
      </c>
      <c r="F9" t="s">
        <v>84</v>
      </c>
      <c r="G9" t="s">
        <v>84</v>
      </c>
      <c r="H9" t="s">
        <v>85</v>
      </c>
      <c r="I9" s="92" t="s">
        <v>97</v>
      </c>
      <c r="J9" t="s">
        <v>86</v>
      </c>
      <c r="K9" t="s">
        <v>84</v>
      </c>
      <c r="L9" t="s">
        <v>84</v>
      </c>
    </row>
    <row r="10" spans="1:14" x14ac:dyDescent="0.25">
      <c r="A10" t="s">
        <v>98</v>
      </c>
      <c r="B10" t="s">
        <v>94</v>
      </c>
      <c r="C10" s="91" t="s">
        <v>95</v>
      </c>
      <c r="D10" t="s">
        <v>96</v>
      </c>
      <c r="E10">
        <v>802069</v>
      </c>
      <c r="F10" t="s">
        <v>84</v>
      </c>
      <c r="G10" t="s">
        <v>84</v>
      </c>
      <c r="H10" t="s">
        <v>85</v>
      </c>
      <c r="I10" s="92">
        <v>46174</v>
      </c>
      <c r="J10" t="s">
        <v>86</v>
      </c>
      <c r="K10" t="s">
        <v>84</v>
      </c>
      <c r="L10" t="s">
        <v>84</v>
      </c>
    </row>
    <row r="11" spans="1:14" x14ac:dyDescent="0.25">
      <c r="A11" t="s">
        <v>99</v>
      </c>
      <c r="B11" t="s">
        <v>94</v>
      </c>
      <c r="C11" s="91" t="s">
        <v>100</v>
      </c>
      <c r="D11" t="s">
        <v>96</v>
      </c>
      <c r="E11">
        <v>807363</v>
      </c>
      <c r="F11" t="s">
        <v>84</v>
      </c>
      <c r="G11" t="s">
        <v>84</v>
      </c>
      <c r="H11" t="s">
        <v>85</v>
      </c>
      <c r="I11" s="92">
        <v>46138</v>
      </c>
      <c r="J11" t="s">
        <v>86</v>
      </c>
      <c r="K11" t="s">
        <v>84</v>
      </c>
      <c r="L11" t="s">
        <v>84</v>
      </c>
    </row>
    <row r="12" spans="1:14" x14ac:dyDescent="0.25">
      <c r="A12" t="s">
        <v>101</v>
      </c>
      <c r="B12" t="s">
        <v>94</v>
      </c>
      <c r="C12" s="91" t="s">
        <v>102</v>
      </c>
      <c r="D12" t="s">
        <v>94</v>
      </c>
      <c r="E12">
        <v>839032</v>
      </c>
      <c r="F12" t="s">
        <v>84</v>
      </c>
      <c r="G12" t="s">
        <v>84</v>
      </c>
      <c r="H12" t="s">
        <v>85</v>
      </c>
      <c r="I12" s="92">
        <v>46023</v>
      </c>
      <c r="J12" t="s">
        <v>86</v>
      </c>
      <c r="K12" t="s">
        <v>84</v>
      </c>
      <c r="L12" t="s">
        <v>84</v>
      </c>
    </row>
    <row r="13" spans="1:14" x14ac:dyDescent="0.25">
      <c r="A13" t="s">
        <v>103</v>
      </c>
      <c r="B13" t="s">
        <v>94</v>
      </c>
      <c r="C13" s="91" t="s">
        <v>104</v>
      </c>
      <c r="D13" t="s">
        <v>94</v>
      </c>
      <c r="E13">
        <v>847922</v>
      </c>
      <c r="F13" t="s">
        <v>84</v>
      </c>
      <c r="G13" t="s">
        <v>84</v>
      </c>
      <c r="H13" t="s">
        <v>105</v>
      </c>
      <c r="I13" s="92">
        <v>46167</v>
      </c>
      <c r="J13" t="s">
        <v>86</v>
      </c>
      <c r="K13" t="s">
        <v>84</v>
      </c>
      <c r="L13" t="s">
        <v>84</v>
      </c>
    </row>
    <row r="14" spans="1:14" x14ac:dyDescent="0.25">
      <c r="A14" t="s">
        <v>106</v>
      </c>
      <c r="B14" t="s">
        <v>94</v>
      </c>
      <c r="C14" s="91" t="s">
        <v>107</v>
      </c>
      <c r="D14" t="s">
        <v>108</v>
      </c>
      <c r="E14">
        <v>803094</v>
      </c>
      <c r="F14" t="s">
        <v>84</v>
      </c>
      <c r="G14" t="s">
        <v>84</v>
      </c>
      <c r="H14" t="s">
        <v>105</v>
      </c>
      <c r="I14" s="92">
        <v>46023</v>
      </c>
      <c r="J14" t="s">
        <v>86</v>
      </c>
      <c r="K14" t="s">
        <v>84</v>
      </c>
      <c r="L14" t="s">
        <v>84</v>
      </c>
    </row>
    <row r="15" spans="1:14" x14ac:dyDescent="0.25">
      <c r="A15" t="s">
        <v>109</v>
      </c>
      <c r="B15" t="s">
        <v>82</v>
      </c>
      <c r="C15" s="91" t="s">
        <v>110</v>
      </c>
      <c r="D15" t="s">
        <v>82</v>
      </c>
      <c r="E15">
        <v>110012284</v>
      </c>
      <c r="F15" t="s">
        <v>84</v>
      </c>
      <c r="G15" t="s">
        <v>84</v>
      </c>
      <c r="H15" t="s">
        <v>105</v>
      </c>
      <c r="I15" s="92">
        <v>46137</v>
      </c>
      <c r="J15" t="s">
        <v>86</v>
      </c>
      <c r="K15" t="s">
        <v>84</v>
      </c>
      <c r="L15" t="s">
        <v>84</v>
      </c>
    </row>
    <row r="16" spans="1:14" x14ac:dyDescent="0.25">
      <c r="A16" t="s">
        <v>111</v>
      </c>
      <c r="B16" t="s">
        <v>82</v>
      </c>
      <c r="C16" s="91" t="s">
        <v>112</v>
      </c>
      <c r="D16" t="s">
        <v>82</v>
      </c>
      <c r="E16">
        <v>110012293</v>
      </c>
      <c r="F16" t="s">
        <v>84</v>
      </c>
      <c r="G16" t="s">
        <v>84</v>
      </c>
      <c r="H16" t="s">
        <v>105</v>
      </c>
      <c r="I16" s="92">
        <v>46137</v>
      </c>
      <c r="J16" t="s">
        <v>86</v>
      </c>
      <c r="K16" t="s">
        <v>84</v>
      </c>
      <c r="L16" t="s">
        <v>84</v>
      </c>
    </row>
    <row r="17" spans="1:14" x14ac:dyDescent="0.25">
      <c r="A17" t="s">
        <v>113</v>
      </c>
    </row>
    <row r="18" spans="1:14" x14ac:dyDescent="0.25">
      <c r="A18" s="91" t="s">
        <v>57</v>
      </c>
      <c r="B18" t="s">
        <v>114</v>
      </c>
      <c r="C18" s="91" t="s">
        <v>57</v>
      </c>
      <c r="D18" t="s">
        <v>115</v>
      </c>
      <c r="E18" s="91" t="s">
        <v>116</v>
      </c>
      <c r="F18" t="s">
        <v>84</v>
      </c>
      <c r="G18" t="s">
        <v>84</v>
      </c>
      <c r="H18" t="s">
        <v>105</v>
      </c>
      <c r="I18" t="s">
        <v>84</v>
      </c>
      <c r="J18" t="s">
        <v>84</v>
      </c>
      <c r="K18" s="92">
        <v>46174</v>
      </c>
      <c r="L18" t="s">
        <v>117</v>
      </c>
    </row>
    <row r="19" spans="1:14" x14ac:dyDescent="0.25">
      <c r="A19" s="91" t="s">
        <v>59</v>
      </c>
      <c r="B19" t="s">
        <v>114</v>
      </c>
      <c r="C19" s="91" t="s">
        <v>59</v>
      </c>
      <c r="D19" t="s">
        <v>118</v>
      </c>
      <c r="E19" s="93">
        <v>20230000003912</v>
      </c>
      <c r="F19" t="s">
        <v>84</v>
      </c>
      <c r="G19" t="s">
        <v>84</v>
      </c>
      <c r="H19" t="s">
        <v>105</v>
      </c>
      <c r="I19" t="s">
        <v>84</v>
      </c>
      <c r="J19" t="s">
        <v>84</v>
      </c>
      <c r="K19" s="92">
        <v>46174</v>
      </c>
      <c r="L19" t="s">
        <v>117</v>
      </c>
    </row>
    <row r="20" spans="1:14" x14ac:dyDescent="0.25">
      <c r="A20" s="91" t="s">
        <v>58</v>
      </c>
      <c r="B20" t="s">
        <v>114</v>
      </c>
      <c r="C20" s="91" t="s">
        <v>58</v>
      </c>
      <c r="D20" t="s">
        <v>119</v>
      </c>
      <c r="E20" t="s">
        <v>120</v>
      </c>
      <c r="F20" t="s">
        <v>84</v>
      </c>
      <c r="G20" t="s">
        <v>84</v>
      </c>
      <c r="H20" t="s">
        <v>121</v>
      </c>
      <c r="I20" t="s">
        <v>84</v>
      </c>
      <c r="J20" t="s">
        <v>84</v>
      </c>
      <c r="K20" s="92">
        <v>46174</v>
      </c>
      <c r="L20" t="s">
        <v>117</v>
      </c>
    </row>
    <row r="21" spans="1:14" x14ac:dyDescent="0.25">
      <c r="A21" t="s">
        <v>60</v>
      </c>
      <c r="B21" t="s">
        <v>114</v>
      </c>
      <c r="C21" t="s">
        <v>60</v>
      </c>
      <c r="D21" t="s">
        <v>122</v>
      </c>
      <c r="E21" s="91" t="s">
        <v>123</v>
      </c>
      <c r="F21" t="s">
        <v>84</v>
      </c>
      <c r="G21" t="s">
        <v>84</v>
      </c>
      <c r="H21" t="s">
        <v>121</v>
      </c>
      <c r="I21" t="s">
        <v>84</v>
      </c>
      <c r="J21" t="s">
        <v>84</v>
      </c>
      <c r="K21" s="92">
        <v>46174</v>
      </c>
      <c r="L21" t="s">
        <v>117</v>
      </c>
    </row>
    <row r="22" spans="1:14" x14ac:dyDescent="0.25">
      <c r="A22" s="91" t="s">
        <v>61</v>
      </c>
      <c r="B22" t="s">
        <v>124</v>
      </c>
      <c r="C22" s="91" t="s">
        <v>61</v>
      </c>
      <c r="D22" t="s">
        <v>125</v>
      </c>
      <c r="E22" t="s">
        <v>126</v>
      </c>
      <c r="F22" t="s">
        <v>84</v>
      </c>
      <c r="G22" t="s">
        <v>84</v>
      </c>
      <c r="H22" t="s">
        <v>105</v>
      </c>
      <c r="I22" t="s">
        <v>84</v>
      </c>
      <c r="J22" t="s">
        <v>84</v>
      </c>
      <c r="K22" s="92">
        <v>46113</v>
      </c>
      <c r="L22" t="s">
        <v>117</v>
      </c>
    </row>
    <row r="23" spans="1:14" x14ac:dyDescent="0.25">
      <c r="A23" s="91" t="s">
        <v>63</v>
      </c>
      <c r="B23" t="s">
        <v>124</v>
      </c>
      <c r="C23" s="91" t="s">
        <v>127</v>
      </c>
      <c r="D23" t="s">
        <v>128</v>
      </c>
      <c r="E23" t="s">
        <v>129</v>
      </c>
      <c r="F23" t="s">
        <v>84</v>
      </c>
      <c r="G23" t="s">
        <v>84</v>
      </c>
      <c r="H23" t="s">
        <v>105</v>
      </c>
      <c r="I23" t="s">
        <v>84</v>
      </c>
      <c r="J23" t="s">
        <v>84</v>
      </c>
      <c r="K23" s="92">
        <v>46113</v>
      </c>
      <c r="L23" t="s">
        <v>117</v>
      </c>
    </row>
    <row r="24" spans="1:14" x14ac:dyDescent="0.25">
      <c r="A24" s="91" t="s">
        <v>62</v>
      </c>
      <c r="B24" t="s">
        <v>124</v>
      </c>
      <c r="C24" s="91" t="s">
        <v>130</v>
      </c>
      <c r="D24" t="s">
        <v>131</v>
      </c>
      <c r="E24" t="s">
        <v>132</v>
      </c>
      <c r="F24" t="s">
        <v>84</v>
      </c>
      <c r="G24" t="s">
        <v>84</v>
      </c>
      <c r="H24" t="s">
        <v>121</v>
      </c>
      <c r="I24" t="s">
        <v>84</v>
      </c>
      <c r="J24" t="s">
        <v>84</v>
      </c>
      <c r="K24" s="92">
        <v>46113</v>
      </c>
      <c r="L24" t="s">
        <v>117</v>
      </c>
    </row>
    <row r="25" spans="1:14" x14ac:dyDescent="0.25">
      <c r="A25" s="91" t="s">
        <v>64</v>
      </c>
      <c r="B25" t="s">
        <v>124</v>
      </c>
      <c r="C25" s="91" t="s">
        <v>133</v>
      </c>
      <c r="D25" t="s">
        <v>131</v>
      </c>
      <c r="E25" t="s">
        <v>134</v>
      </c>
      <c r="F25" t="s">
        <v>84</v>
      </c>
      <c r="G25" t="s">
        <v>84</v>
      </c>
      <c r="H25" t="s">
        <v>121</v>
      </c>
      <c r="I25" t="s">
        <v>84</v>
      </c>
      <c r="J25" t="s">
        <v>84</v>
      </c>
      <c r="K25" s="92">
        <v>46113</v>
      </c>
      <c r="L25" t="s">
        <v>117</v>
      </c>
    </row>
    <row r="26" spans="1:14" x14ac:dyDescent="0.25">
      <c r="A26" t="s">
        <v>135</v>
      </c>
      <c r="B26" t="s">
        <v>136</v>
      </c>
      <c r="C26" s="91" t="s">
        <v>137</v>
      </c>
      <c r="D26" t="s">
        <v>138</v>
      </c>
      <c r="E26" t="s">
        <v>139</v>
      </c>
      <c r="H26" t="s">
        <v>105</v>
      </c>
      <c r="I26" s="92" t="s">
        <v>65</v>
      </c>
      <c r="J26" t="s">
        <v>140</v>
      </c>
      <c r="K26" t="s">
        <v>84</v>
      </c>
      <c r="L26" t="s">
        <v>84</v>
      </c>
    </row>
    <row r="27" spans="1:14" x14ac:dyDescent="0.25">
      <c r="A27" t="s">
        <v>141</v>
      </c>
      <c r="B27" t="s">
        <v>136</v>
      </c>
      <c r="C27" s="91" t="s">
        <v>142</v>
      </c>
      <c r="D27" t="s">
        <v>138</v>
      </c>
      <c r="E27" t="s">
        <v>143</v>
      </c>
      <c r="H27" t="s">
        <v>105</v>
      </c>
      <c r="I27" s="92" t="s">
        <v>65</v>
      </c>
      <c r="K27" t="s">
        <v>84</v>
      </c>
      <c r="L27" t="s">
        <v>84</v>
      </c>
    </row>
    <row r="28" spans="1:14" x14ac:dyDescent="0.25">
      <c r="A28" t="s">
        <v>144</v>
      </c>
      <c r="B28" t="s">
        <v>136</v>
      </c>
      <c r="C28" s="91" t="s">
        <v>145</v>
      </c>
      <c r="D28" t="s">
        <v>138</v>
      </c>
      <c r="E28" t="s">
        <v>146</v>
      </c>
      <c r="H28" t="s">
        <v>121</v>
      </c>
      <c r="I28" s="92" t="s">
        <v>65</v>
      </c>
      <c r="J28" t="s">
        <v>140</v>
      </c>
      <c r="K28" t="s">
        <v>84</v>
      </c>
      <c r="L28" t="s">
        <v>84</v>
      </c>
    </row>
    <row r="29" spans="1:14" x14ac:dyDescent="0.25">
      <c r="A29" t="s">
        <v>147</v>
      </c>
      <c r="B29" t="s">
        <v>136</v>
      </c>
      <c r="C29" s="91" t="s">
        <v>148</v>
      </c>
      <c r="D29" t="s">
        <v>138</v>
      </c>
      <c r="E29" t="s">
        <v>149</v>
      </c>
      <c r="H29" t="s">
        <v>121</v>
      </c>
      <c r="I29" s="92" t="s">
        <v>65</v>
      </c>
      <c r="K29" t="s">
        <v>84</v>
      </c>
      <c r="L29" t="s">
        <v>84</v>
      </c>
    </row>
    <row r="30" spans="1:14" x14ac:dyDescent="0.25">
      <c r="A30" t="s">
        <v>150</v>
      </c>
      <c r="M30" t="s">
        <v>117</v>
      </c>
      <c r="N30" s="91" t="s">
        <v>151</v>
      </c>
    </row>
    <row r="31" spans="1:14" x14ac:dyDescent="0.25">
      <c r="A31" t="s">
        <v>152</v>
      </c>
      <c r="B31" t="s">
        <v>153</v>
      </c>
      <c r="C31" s="91" t="s">
        <v>154</v>
      </c>
      <c r="D31" t="s">
        <v>155</v>
      </c>
      <c r="E31" t="s">
        <v>156</v>
      </c>
      <c r="F31" t="s">
        <v>84</v>
      </c>
      <c r="G31" t="s">
        <v>84</v>
      </c>
      <c r="H31" t="s">
        <v>121</v>
      </c>
      <c r="I31" s="92">
        <v>46107</v>
      </c>
      <c r="J31" t="s">
        <v>157</v>
      </c>
      <c r="K31" t="s">
        <v>84</v>
      </c>
      <c r="L31" t="s">
        <v>84</v>
      </c>
    </row>
    <row r="32" spans="1:14" x14ac:dyDescent="0.25">
      <c r="A32" t="s">
        <v>158</v>
      </c>
      <c r="B32" t="s">
        <v>153</v>
      </c>
      <c r="C32" s="91" t="s">
        <v>159</v>
      </c>
      <c r="D32" t="s">
        <v>160</v>
      </c>
      <c r="E32" t="s">
        <v>161</v>
      </c>
      <c r="F32" t="s">
        <v>84</v>
      </c>
      <c r="G32" t="s">
        <v>84</v>
      </c>
      <c r="H32" t="s">
        <v>121</v>
      </c>
      <c r="I32" s="92" t="s">
        <v>162</v>
      </c>
      <c r="J32" t="s">
        <v>157</v>
      </c>
      <c r="K32" t="s">
        <v>84</v>
      </c>
      <c r="L32" t="s">
        <v>84</v>
      </c>
    </row>
    <row r="33" spans="1:12" x14ac:dyDescent="0.25">
      <c r="A33" t="s">
        <v>163</v>
      </c>
      <c r="B33" t="s">
        <v>153</v>
      </c>
      <c r="C33" s="91" t="s">
        <v>164</v>
      </c>
      <c r="D33" t="s">
        <v>160</v>
      </c>
      <c r="E33" t="s">
        <v>165</v>
      </c>
      <c r="F33" t="s">
        <v>84</v>
      </c>
      <c r="G33" t="s">
        <v>84</v>
      </c>
      <c r="H33" t="s">
        <v>121</v>
      </c>
      <c r="I33" s="92">
        <v>46053</v>
      </c>
      <c r="J33" t="s">
        <v>157</v>
      </c>
      <c r="K33" t="s">
        <v>84</v>
      </c>
      <c r="L33" t="s">
        <v>84</v>
      </c>
    </row>
    <row r="34" spans="1:12" x14ac:dyDescent="0.25">
      <c r="A34" t="s">
        <v>166</v>
      </c>
      <c r="B34" t="s">
        <v>153</v>
      </c>
      <c r="C34" s="91" t="s">
        <v>167</v>
      </c>
      <c r="D34" t="s">
        <v>168</v>
      </c>
      <c r="E34" t="s">
        <v>169</v>
      </c>
      <c r="F34" t="s">
        <v>84</v>
      </c>
      <c r="G34" t="s">
        <v>84</v>
      </c>
      <c r="H34" t="s">
        <v>121</v>
      </c>
      <c r="I34" s="92">
        <v>46082</v>
      </c>
      <c r="J34" t="s">
        <v>157</v>
      </c>
      <c r="K34" t="s">
        <v>84</v>
      </c>
      <c r="L34" t="s">
        <v>84</v>
      </c>
    </row>
    <row r="35" spans="1:12" x14ac:dyDescent="0.25">
      <c r="A35" t="s">
        <v>170</v>
      </c>
      <c r="B35" t="s">
        <v>153</v>
      </c>
      <c r="C35" s="91" t="s">
        <v>171</v>
      </c>
      <c r="D35" t="s">
        <v>168</v>
      </c>
      <c r="E35" t="s">
        <v>172</v>
      </c>
      <c r="F35" t="s">
        <v>84</v>
      </c>
      <c r="G35" t="s">
        <v>84</v>
      </c>
      <c r="H35" t="s">
        <v>121</v>
      </c>
      <c r="I35" s="92">
        <v>46082</v>
      </c>
      <c r="J35" t="s">
        <v>157</v>
      </c>
      <c r="K35" t="s">
        <v>84</v>
      </c>
      <c r="L35" t="s">
        <v>84</v>
      </c>
    </row>
    <row r="36" spans="1:12" x14ac:dyDescent="0.25">
      <c r="A36" t="s">
        <v>173</v>
      </c>
      <c r="B36" t="s">
        <v>153</v>
      </c>
      <c r="C36" s="91" t="s">
        <v>174</v>
      </c>
      <c r="D36" t="s">
        <v>160</v>
      </c>
      <c r="E36" t="s">
        <v>175</v>
      </c>
      <c r="F36" t="s">
        <v>84</v>
      </c>
      <c r="G36" t="s">
        <v>84</v>
      </c>
      <c r="H36" t="s">
        <v>121</v>
      </c>
      <c r="I36" s="92">
        <v>46082</v>
      </c>
      <c r="J36" t="s">
        <v>157</v>
      </c>
      <c r="K36" t="s">
        <v>84</v>
      </c>
      <c r="L36" t="s">
        <v>84</v>
      </c>
    </row>
    <row r="37" spans="1:12" x14ac:dyDescent="0.25">
      <c r="A37" t="s">
        <v>176</v>
      </c>
      <c r="B37" t="s">
        <v>153</v>
      </c>
      <c r="C37" s="91" t="s">
        <v>177</v>
      </c>
      <c r="D37" t="s">
        <v>160</v>
      </c>
      <c r="E37" t="s">
        <v>178</v>
      </c>
      <c r="F37" t="s">
        <v>84</v>
      </c>
      <c r="G37" t="s">
        <v>84</v>
      </c>
      <c r="H37" t="s">
        <v>121</v>
      </c>
      <c r="I37" s="92">
        <v>46082</v>
      </c>
      <c r="J37" t="s">
        <v>157</v>
      </c>
      <c r="K37" t="s">
        <v>84</v>
      </c>
      <c r="L37" t="s">
        <v>84</v>
      </c>
    </row>
    <row r="38" spans="1:12" x14ac:dyDescent="0.25">
      <c r="A38" t="s">
        <v>179</v>
      </c>
      <c r="B38" t="s">
        <v>153</v>
      </c>
      <c r="C38" s="91" t="s">
        <v>180</v>
      </c>
      <c r="D38" t="s">
        <v>181</v>
      </c>
      <c r="E38" t="s">
        <v>182</v>
      </c>
      <c r="F38" t="s">
        <v>84</v>
      </c>
      <c r="G38" t="s">
        <v>84</v>
      </c>
      <c r="H38" t="s">
        <v>121</v>
      </c>
      <c r="I38" s="92">
        <v>46048</v>
      </c>
      <c r="J38" t="s">
        <v>157</v>
      </c>
      <c r="K38" t="s">
        <v>84</v>
      </c>
      <c r="L38" t="s">
        <v>84</v>
      </c>
    </row>
    <row r="39" spans="1:12" x14ac:dyDescent="0.25">
      <c r="A39" t="s">
        <v>183</v>
      </c>
      <c r="B39" t="s">
        <v>153</v>
      </c>
      <c r="C39" s="91" t="s">
        <v>184</v>
      </c>
      <c r="D39" t="s">
        <v>155</v>
      </c>
      <c r="E39" t="s">
        <v>185</v>
      </c>
      <c r="F39" t="s">
        <v>84</v>
      </c>
      <c r="G39" t="s">
        <v>84</v>
      </c>
      <c r="H39" t="s">
        <v>121</v>
      </c>
      <c r="I39" s="92">
        <v>46078</v>
      </c>
      <c r="J39" t="s">
        <v>157</v>
      </c>
      <c r="K39" t="s">
        <v>84</v>
      </c>
      <c r="L39" t="s">
        <v>84</v>
      </c>
    </row>
    <row r="40" spans="1:12" x14ac:dyDescent="0.25">
      <c r="A40" t="s">
        <v>186</v>
      </c>
      <c r="B40" t="s">
        <v>153</v>
      </c>
      <c r="C40" s="91" t="s">
        <v>187</v>
      </c>
      <c r="D40" t="s">
        <v>181</v>
      </c>
      <c r="E40" t="s">
        <v>188</v>
      </c>
      <c r="F40" t="s">
        <v>84</v>
      </c>
      <c r="G40" t="s">
        <v>84</v>
      </c>
      <c r="H40" t="s">
        <v>121</v>
      </c>
      <c r="I40" s="92" t="s">
        <v>189</v>
      </c>
      <c r="J40" t="s">
        <v>157</v>
      </c>
      <c r="K40" t="s">
        <v>84</v>
      </c>
      <c r="L40" t="s">
        <v>84</v>
      </c>
    </row>
    <row r="41" spans="1:12" x14ac:dyDescent="0.25">
      <c r="A41" t="s">
        <v>190</v>
      </c>
      <c r="B41" t="s">
        <v>153</v>
      </c>
      <c r="C41" s="91" t="s">
        <v>191</v>
      </c>
      <c r="D41" t="s">
        <v>181</v>
      </c>
      <c r="E41" t="s">
        <v>192</v>
      </c>
      <c r="F41" t="s">
        <v>84</v>
      </c>
      <c r="G41" t="s">
        <v>84</v>
      </c>
      <c r="H41" t="s">
        <v>105</v>
      </c>
      <c r="I41" s="92">
        <v>46048</v>
      </c>
      <c r="J41" t="s">
        <v>157</v>
      </c>
      <c r="K41" t="s">
        <v>84</v>
      </c>
      <c r="L41" t="s">
        <v>84</v>
      </c>
    </row>
    <row r="42" spans="1:12" x14ac:dyDescent="0.25">
      <c r="A42" t="s">
        <v>193</v>
      </c>
      <c r="B42" t="s">
        <v>153</v>
      </c>
      <c r="C42" s="91" t="s">
        <v>194</v>
      </c>
      <c r="D42" t="s">
        <v>181</v>
      </c>
      <c r="E42" t="s">
        <v>195</v>
      </c>
      <c r="F42" t="s">
        <v>84</v>
      </c>
      <c r="G42" t="s">
        <v>84</v>
      </c>
      <c r="H42" t="s">
        <v>105</v>
      </c>
      <c r="I42" s="92">
        <v>46048</v>
      </c>
      <c r="J42" t="s">
        <v>157</v>
      </c>
      <c r="K42" t="s">
        <v>84</v>
      </c>
      <c r="L42" t="s">
        <v>84</v>
      </c>
    </row>
    <row r="43" spans="1:12" x14ac:dyDescent="0.25">
      <c r="A43" t="s">
        <v>196</v>
      </c>
      <c r="B43" t="s">
        <v>153</v>
      </c>
      <c r="C43" s="91" t="s">
        <v>197</v>
      </c>
      <c r="D43" t="s">
        <v>181</v>
      </c>
      <c r="E43" t="s">
        <v>198</v>
      </c>
      <c r="F43" t="s">
        <v>84</v>
      </c>
      <c r="G43" t="s">
        <v>84</v>
      </c>
      <c r="H43" t="s">
        <v>105</v>
      </c>
      <c r="I43" s="92">
        <v>46048</v>
      </c>
      <c r="J43" t="s">
        <v>157</v>
      </c>
      <c r="K43" t="s">
        <v>84</v>
      </c>
      <c r="L43" t="s">
        <v>84</v>
      </c>
    </row>
    <row r="44" spans="1:12" x14ac:dyDescent="0.25">
      <c r="A44" t="s">
        <v>199</v>
      </c>
      <c r="B44" t="s">
        <v>153</v>
      </c>
      <c r="C44" s="91" t="s">
        <v>200</v>
      </c>
      <c r="D44" t="s">
        <v>155</v>
      </c>
      <c r="E44" t="s">
        <v>201</v>
      </c>
      <c r="F44" t="s">
        <v>84</v>
      </c>
      <c r="G44" t="s">
        <v>84</v>
      </c>
      <c r="H44" t="s">
        <v>105</v>
      </c>
      <c r="I44" s="92">
        <v>46079</v>
      </c>
      <c r="J44" t="s">
        <v>157</v>
      </c>
      <c r="K44" t="s">
        <v>84</v>
      </c>
      <c r="L44" t="s">
        <v>84</v>
      </c>
    </row>
    <row r="45" spans="1:12" x14ac:dyDescent="0.25">
      <c r="A45" t="s">
        <v>202</v>
      </c>
      <c r="B45" t="s">
        <v>153</v>
      </c>
      <c r="C45" s="91" t="s">
        <v>203</v>
      </c>
      <c r="D45" t="s">
        <v>155</v>
      </c>
      <c r="E45" t="s">
        <v>204</v>
      </c>
      <c r="F45" t="s">
        <v>84</v>
      </c>
      <c r="G45" t="s">
        <v>84</v>
      </c>
      <c r="H45" t="s">
        <v>105</v>
      </c>
      <c r="I45" s="92">
        <v>46078</v>
      </c>
      <c r="J45" t="s">
        <v>157</v>
      </c>
      <c r="K45" t="s">
        <v>84</v>
      </c>
      <c r="L45" t="s">
        <v>84</v>
      </c>
    </row>
    <row r="46" spans="1:12" x14ac:dyDescent="0.25">
      <c r="A46" t="s">
        <v>205</v>
      </c>
      <c r="B46" t="s">
        <v>206</v>
      </c>
      <c r="C46" s="91" t="s">
        <v>207</v>
      </c>
      <c r="D46" t="s">
        <v>208</v>
      </c>
      <c r="E46" t="s">
        <v>209</v>
      </c>
      <c r="F46" t="s">
        <v>84</v>
      </c>
      <c r="G46" t="s">
        <v>84</v>
      </c>
      <c r="H46" t="s">
        <v>121</v>
      </c>
      <c r="I46" s="92">
        <v>46048</v>
      </c>
      <c r="J46" t="s">
        <v>157</v>
      </c>
      <c r="K46" t="s">
        <v>84</v>
      </c>
      <c r="L46" t="s">
        <v>84</v>
      </c>
    </row>
    <row r="47" spans="1:12" x14ac:dyDescent="0.25">
      <c r="A47" t="s">
        <v>210</v>
      </c>
      <c r="B47" t="s">
        <v>206</v>
      </c>
      <c r="C47" s="91" t="s">
        <v>211</v>
      </c>
      <c r="D47" t="s">
        <v>212</v>
      </c>
      <c r="E47" t="s">
        <v>213</v>
      </c>
      <c r="F47" t="s">
        <v>84</v>
      </c>
      <c r="G47" t="s">
        <v>84</v>
      </c>
      <c r="H47" t="s">
        <v>121</v>
      </c>
      <c r="I47" s="92">
        <v>46082</v>
      </c>
      <c r="J47" t="s">
        <v>157</v>
      </c>
      <c r="K47" t="s">
        <v>84</v>
      </c>
      <c r="L47" t="s">
        <v>84</v>
      </c>
    </row>
    <row r="48" spans="1:12" x14ac:dyDescent="0.25">
      <c r="A48" t="s">
        <v>214</v>
      </c>
      <c r="B48" t="s">
        <v>206</v>
      </c>
      <c r="C48" s="91" t="s">
        <v>215</v>
      </c>
      <c r="D48" t="s">
        <v>216</v>
      </c>
      <c r="E48" t="s">
        <v>217</v>
      </c>
      <c r="F48" t="s">
        <v>84</v>
      </c>
      <c r="G48" t="s">
        <v>84</v>
      </c>
      <c r="H48" t="s">
        <v>105</v>
      </c>
      <c r="I48" s="92">
        <v>46078</v>
      </c>
      <c r="J48" t="s">
        <v>157</v>
      </c>
      <c r="K48" t="s">
        <v>84</v>
      </c>
      <c r="L48" t="s">
        <v>84</v>
      </c>
    </row>
    <row r="49" spans="1:14" x14ac:dyDescent="0.25">
      <c r="A49" t="s">
        <v>218</v>
      </c>
      <c r="B49" t="s">
        <v>206</v>
      </c>
      <c r="C49" s="91" t="s">
        <v>219</v>
      </c>
      <c r="D49" t="s">
        <v>220</v>
      </c>
      <c r="E49" t="s">
        <v>221</v>
      </c>
      <c r="F49" t="s">
        <v>84</v>
      </c>
      <c r="G49" t="s">
        <v>84</v>
      </c>
      <c r="H49" t="s">
        <v>222</v>
      </c>
      <c r="I49" s="92">
        <v>46078</v>
      </c>
      <c r="J49" t="s">
        <v>157</v>
      </c>
      <c r="K49" t="s">
        <v>84</v>
      </c>
      <c r="L49" t="s">
        <v>84</v>
      </c>
    </row>
    <row r="50" spans="1:14" x14ac:dyDescent="0.25">
      <c r="A50" t="s">
        <v>223</v>
      </c>
      <c r="B50" t="s">
        <v>206</v>
      </c>
      <c r="C50" s="91" t="s">
        <v>224</v>
      </c>
      <c r="D50" t="s">
        <v>225</v>
      </c>
      <c r="E50" t="s">
        <v>226</v>
      </c>
      <c r="F50" t="s">
        <v>84</v>
      </c>
      <c r="G50" t="s">
        <v>84</v>
      </c>
      <c r="H50" t="s">
        <v>222</v>
      </c>
      <c r="I50" s="92">
        <v>46107</v>
      </c>
      <c r="J50" t="s">
        <v>157</v>
      </c>
      <c r="K50" t="s">
        <v>84</v>
      </c>
      <c r="L50" t="s">
        <v>84</v>
      </c>
    </row>
    <row r="51" spans="1:14" x14ac:dyDescent="0.25">
      <c r="A51" t="s">
        <v>227</v>
      </c>
      <c r="B51" t="s">
        <v>206</v>
      </c>
      <c r="C51" s="91" t="s">
        <v>228</v>
      </c>
      <c r="D51" t="s">
        <v>225</v>
      </c>
      <c r="E51" t="s">
        <v>229</v>
      </c>
      <c r="F51" t="s">
        <v>84</v>
      </c>
      <c r="G51" t="s">
        <v>84</v>
      </c>
      <c r="H51" t="s">
        <v>121</v>
      </c>
      <c r="I51" s="92">
        <v>46082</v>
      </c>
      <c r="J51" t="s">
        <v>157</v>
      </c>
      <c r="K51" t="s">
        <v>84</v>
      </c>
      <c r="L51" t="s">
        <v>84</v>
      </c>
    </row>
    <row r="52" spans="1:14" x14ac:dyDescent="0.25">
      <c r="A52" t="s">
        <v>230</v>
      </c>
      <c r="B52" t="s">
        <v>206</v>
      </c>
      <c r="C52" s="91" t="s">
        <v>231</v>
      </c>
      <c r="D52" t="s">
        <v>232</v>
      </c>
      <c r="E52" t="s">
        <v>233</v>
      </c>
      <c r="F52" t="s">
        <v>84</v>
      </c>
      <c r="G52" t="s">
        <v>84</v>
      </c>
      <c r="H52" t="s">
        <v>121</v>
      </c>
      <c r="I52" s="92">
        <v>46082</v>
      </c>
      <c r="J52" t="s">
        <v>157</v>
      </c>
      <c r="K52" t="s">
        <v>84</v>
      </c>
      <c r="L52" t="s">
        <v>84</v>
      </c>
    </row>
    <row r="53" spans="1:14" x14ac:dyDescent="0.25">
      <c r="A53" t="s">
        <v>234</v>
      </c>
      <c r="B53" t="s">
        <v>206</v>
      </c>
      <c r="C53" s="91" t="s">
        <v>235</v>
      </c>
      <c r="D53" t="s">
        <v>232</v>
      </c>
      <c r="E53" t="s">
        <v>236</v>
      </c>
      <c r="F53" t="s">
        <v>84</v>
      </c>
      <c r="G53" t="s">
        <v>84</v>
      </c>
      <c r="H53" t="s">
        <v>121</v>
      </c>
      <c r="I53" s="92">
        <v>46082</v>
      </c>
      <c r="J53" t="s">
        <v>157</v>
      </c>
      <c r="K53" t="s">
        <v>84</v>
      </c>
      <c r="L53" t="s">
        <v>84</v>
      </c>
    </row>
    <row r="54" spans="1:14" x14ac:dyDescent="0.25">
      <c r="A54" t="s">
        <v>237</v>
      </c>
      <c r="N54" s="94"/>
    </row>
    <row r="55" spans="1:14" x14ac:dyDescent="0.25">
      <c r="A55" s="91" t="s">
        <v>238</v>
      </c>
      <c r="B55" t="s">
        <v>239</v>
      </c>
      <c r="C55" s="91" t="s">
        <v>240</v>
      </c>
      <c r="D55" t="s">
        <v>241</v>
      </c>
      <c r="E55" t="s">
        <v>242</v>
      </c>
      <c r="F55" t="s">
        <v>84</v>
      </c>
      <c r="G55" t="s">
        <v>84</v>
      </c>
      <c r="H55" t="s">
        <v>105</v>
      </c>
      <c r="I55" t="s">
        <v>84</v>
      </c>
      <c r="J55" t="s">
        <v>84</v>
      </c>
      <c r="K55" s="94">
        <v>45689</v>
      </c>
      <c r="L55" t="s">
        <v>117</v>
      </c>
    </row>
    <row r="56" spans="1:14" x14ac:dyDescent="0.25">
      <c r="A56" s="91" t="s">
        <v>243</v>
      </c>
      <c r="B56" t="s">
        <v>239</v>
      </c>
      <c r="C56" s="91" t="s">
        <v>244</v>
      </c>
      <c r="D56" t="s">
        <v>245</v>
      </c>
      <c r="E56" t="s">
        <v>246</v>
      </c>
      <c r="F56" t="s">
        <v>84</v>
      </c>
      <c r="G56" t="s">
        <v>84</v>
      </c>
      <c r="H56" t="s">
        <v>105</v>
      </c>
      <c r="I56" t="s">
        <v>84</v>
      </c>
      <c r="J56" t="s">
        <v>84</v>
      </c>
      <c r="K56" s="94">
        <v>45689</v>
      </c>
      <c r="L56" t="s">
        <v>117</v>
      </c>
    </row>
    <row r="57" spans="1:14" x14ac:dyDescent="0.25">
      <c r="A57" t="s">
        <v>247</v>
      </c>
      <c r="B57" t="s">
        <v>239</v>
      </c>
      <c r="C57" s="91" t="s">
        <v>248</v>
      </c>
      <c r="D57" t="s">
        <v>249</v>
      </c>
      <c r="E57">
        <v>12828038</v>
      </c>
      <c r="F57" t="s">
        <v>84</v>
      </c>
      <c r="G57" t="s">
        <v>84</v>
      </c>
      <c r="H57" t="s">
        <v>121</v>
      </c>
      <c r="I57" t="s">
        <v>84</v>
      </c>
      <c r="J57" t="s">
        <v>84</v>
      </c>
      <c r="K57" s="94">
        <v>45689</v>
      </c>
      <c r="L57" t="s">
        <v>117</v>
      </c>
    </row>
    <row r="58" spans="1:14" x14ac:dyDescent="0.25">
      <c r="A58" t="s">
        <v>250</v>
      </c>
      <c r="B58" t="s">
        <v>239</v>
      </c>
      <c r="C58" s="91" t="s">
        <v>251</v>
      </c>
      <c r="D58" t="s">
        <v>252</v>
      </c>
      <c r="E58" t="s">
        <v>253</v>
      </c>
      <c r="F58" t="s">
        <v>84</v>
      </c>
      <c r="G58" t="s">
        <v>84</v>
      </c>
      <c r="H58" t="s">
        <v>121</v>
      </c>
      <c r="I58" t="s">
        <v>84</v>
      </c>
      <c r="J58" t="s">
        <v>84</v>
      </c>
      <c r="K58" s="94">
        <v>45689</v>
      </c>
      <c r="L58" t="s">
        <v>117</v>
      </c>
    </row>
    <row r="59" spans="1:14" x14ac:dyDescent="0.25">
      <c r="A59" s="91" t="s">
        <v>254</v>
      </c>
      <c r="B59" t="s">
        <v>255</v>
      </c>
      <c r="C59" s="91" t="s">
        <v>256</v>
      </c>
      <c r="D59" t="s">
        <v>257</v>
      </c>
      <c r="E59">
        <v>2224686</v>
      </c>
      <c r="F59" t="s">
        <v>84</v>
      </c>
      <c r="G59" t="s">
        <v>84</v>
      </c>
      <c r="H59" t="s">
        <v>105</v>
      </c>
      <c r="I59" t="s">
        <v>84</v>
      </c>
      <c r="J59" t="s">
        <v>84</v>
      </c>
      <c r="L59" t="s">
        <v>117</v>
      </c>
    </row>
    <row r="60" spans="1:14" x14ac:dyDescent="0.25">
      <c r="A60" s="91" t="s">
        <v>258</v>
      </c>
      <c r="B60" t="s">
        <v>255</v>
      </c>
      <c r="C60" s="91" t="s">
        <v>259</v>
      </c>
      <c r="D60" t="s">
        <v>257</v>
      </c>
      <c r="E60">
        <v>2224687</v>
      </c>
      <c r="F60" t="s">
        <v>84</v>
      </c>
      <c r="G60" t="s">
        <v>84</v>
      </c>
      <c r="H60" t="s">
        <v>105</v>
      </c>
      <c r="I60" t="s">
        <v>84</v>
      </c>
      <c r="J60" t="s">
        <v>84</v>
      </c>
      <c r="L60" t="s">
        <v>117</v>
      </c>
    </row>
    <row r="61" spans="1:14" x14ac:dyDescent="0.25">
      <c r="A61" s="91" t="s">
        <v>260</v>
      </c>
      <c r="B61" t="s">
        <v>255</v>
      </c>
      <c r="C61" s="91" t="s">
        <v>261</v>
      </c>
      <c r="D61" t="s">
        <v>257</v>
      </c>
      <c r="E61">
        <v>2224688</v>
      </c>
      <c r="F61" t="s">
        <v>84</v>
      </c>
      <c r="G61" t="s">
        <v>84</v>
      </c>
      <c r="H61" t="s">
        <v>105</v>
      </c>
      <c r="I61" t="s">
        <v>84</v>
      </c>
      <c r="J61" t="s">
        <v>84</v>
      </c>
      <c r="L61" t="s">
        <v>117</v>
      </c>
    </row>
    <row r="62" spans="1:14" x14ac:dyDescent="0.25">
      <c r="A62" s="91" t="s">
        <v>260</v>
      </c>
      <c r="B62" t="s">
        <v>255</v>
      </c>
      <c r="C62" s="91" t="s">
        <v>262</v>
      </c>
      <c r="D62" t="s">
        <v>263</v>
      </c>
      <c r="E62" t="s">
        <v>264</v>
      </c>
      <c r="F62" t="s">
        <v>84</v>
      </c>
      <c r="G62" t="s">
        <v>84</v>
      </c>
      <c r="H62" t="s">
        <v>121</v>
      </c>
      <c r="I62" t="s">
        <v>84</v>
      </c>
      <c r="J62" t="s">
        <v>84</v>
      </c>
      <c r="L62" t="s">
        <v>117</v>
      </c>
    </row>
    <row r="63" spans="1:14" x14ac:dyDescent="0.25">
      <c r="A63" s="91" t="s">
        <v>265</v>
      </c>
      <c r="B63" t="s">
        <v>255</v>
      </c>
      <c r="C63" s="91" t="s">
        <v>266</v>
      </c>
      <c r="D63" t="s">
        <v>267</v>
      </c>
      <c r="E63" t="s">
        <v>268</v>
      </c>
      <c r="F63" t="s">
        <v>84</v>
      </c>
      <c r="G63" t="s">
        <v>84</v>
      </c>
      <c r="H63" t="s">
        <v>121</v>
      </c>
      <c r="I63" t="s">
        <v>84</v>
      </c>
      <c r="J63" t="s">
        <v>84</v>
      </c>
      <c r="L63" t="s">
        <v>117</v>
      </c>
    </row>
    <row r="64" spans="1:14" x14ac:dyDescent="0.25">
      <c r="A64" s="91" t="s">
        <v>269</v>
      </c>
      <c r="B64" t="s">
        <v>255</v>
      </c>
      <c r="C64" s="91" t="s">
        <v>270</v>
      </c>
      <c r="D64" t="s">
        <v>271</v>
      </c>
      <c r="E64" t="s">
        <v>272</v>
      </c>
      <c r="F64" t="s">
        <v>84</v>
      </c>
      <c r="G64" t="s">
        <v>84</v>
      </c>
      <c r="H64" t="s">
        <v>121</v>
      </c>
      <c r="I64" t="s">
        <v>84</v>
      </c>
      <c r="J64" t="s">
        <v>84</v>
      </c>
      <c r="L64" t="s">
        <v>117</v>
      </c>
    </row>
    <row r="65" spans="1:14" x14ac:dyDescent="0.25">
      <c r="A65" s="91" t="s">
        <v>258</v>
      </c>
      <c r="B65" t="s">
        <v>255</v>
      </c>
      <c r="C65" s="91" t="s">
        <v>273</v>
      </c>
      <c r="D65" t="s">
        <v>274</v>
      </c>
      <c r="E65" t="s">
        <v>275</v>
      </c>
      <c r="F65" t="s">
        <v>84</v>
      </c>
      <c r="G65" t="s">
        <v>84</v>
      </c>
      <c r="H65" t="s">
        <v>121</v>
      </c>
      <c r="I65" t="s">
        <v>84</v>
      </c>
      <c r="J65" t="s">
        <v>84</v>
      </c>
      <c r="L65" t="s">
        <v>117</v>
      </c>
    </row>
    <row r="66" spans="1:14" x14ac:dyDescent="0.25">
      <c r="A66" s="91" t="s">
        <v>276</v>
      </c>
      <c r="B66" t="s">
        <v>255</v>
      </c>
      <c r="C66" s="91" t="s">
        <v>277</v>
      </c>
      <c r="D66" t="s">
        <v>278</v>
      </c>
      <c r="E66" t="s">
        <v>279</v>
      </c>
      <c r="F66" t="s">
        <v>84</v>
      </c>
      <c r="G66" t="s">
        <v>84</v>
      </c>
      <c r="H66" t="s">
        <v>121</v>
      </c>
      <c r="I66" t="s">
        <v>84</v>
      </c>
      <c r="J66" t="s">
        <v>84</v>
      </c>
      <c r="L66" t="s">
        <v>117</v>
      </c>
    </row>
    <row r="67" spans="1:14" x14ac:dyDescent="0.25">
      <c r="A67" s="91" t="s">
        <v>280</v>
      </c>
      <c r="B67" t="s">
        <v>281</v>
      </c>
      <c r="C67" s="91" t="s">
        <v>280</v>
      </c>
      <c r="D67" t="s">
        <v>282</v>
      </c>
      <c r="E67" t="s">
        <v>84</v>
      </c>
      <c r="F67" t="s">
        <v>84</v>
      </c>
      <c r="G67" t="s">
        <v>84</v>
      </c>
      <c r="H67" t="s">
        <v>121</v>
      </c>
      <c r="I67" t="s">
        <v>84</v>
      </c>
      <c r="J67" t="s">
        <v>84</v>
      </c>
      <c r="K67" t="s">
        <v>84</v>
      </c>
      <c r="L67" t="s">
        <v>84</v>
      </c>
    </row>
    <row r="68" spans="1:14" x14ac:dyDescent="0.25">
      <c r="A68" s="91" t="s">
        <v>283</v>
      </c>
      <c r="B68" t="s">
        <v>281</v>
      </c>
      <c r="C68" s="91" t="s">
        <v>283</v>
      </c>
      <c r="D68" t="s">
        <v>282</v>
      </c>
      <c r="E68" t="s">
        <v>84</v>
      </c>
      <c r="F68" t="s">
        <v>84</v>
      </c>
      <c r="G68" t="s">
        <v>84</v>
      </c>
      <c r="H68" t="s">
        <v>105</v>
      </c>
      <c r="I68" t="s">
        <v>84</v>
      </c>
      <c r="J68" t="s">
        <v>84</v>
      </c>
      <c r="K68" t="s">
        <v>84</v>
      </c>
      <c r="L68" t="s">
        <v>84</v>
      </c>
    </row>
    <row r="69" spans="1:14" x14ac:dyDescent="0.25">
      <c r="A69" s="91" t="s">
        <v>284</v>
      </c>
      <c r="B69" t="s">
        <v>285</v>
      </c>
      <c r="C69" s="91" t="s">
        <v>284</v>
      </c>
      <c r="D69" t="s">
        <v>286</v>
      </c>
      <c r="E69">
        <v>2.8603843030599999E+19</v>
      </c>
      <c r="F69" t="s">
        <v>84</v>
      </c>
      <c r="G69" t="s">
        <v>84</v>
      </c>
      <c r="H69" t="s">
        <v>85</v>
      </c>
      <c r="I69" t="s">
        <v>84</v>
      </c>
      <c r="J69" t="s">
        <v>84</v>
      </c>
      <c r="K69" t="s">
        <v>84</v>
      </c>
      <c r="L69" t="s">
        <v>84</v>
      </c>
    </row>
    <row r="70" spans="1:14" x14ac:dyDescent="0.25">
      <c r="A70" s="91" t="s">
        <v>287</v>
      </c>
      <c r="B70" t="s">
        <v>285</v>
      </c>
      <c r="C70" s="91" t="s">
        <v>287</v>
      </c>
      <c r="D70" t="s">
        <v>286</v>
      </c>
      <c r="E70" s="93">
        <v>2.86038620224E+19</v>
      </c>
      <c r="F70" t="s">
        <v>84</v>
      </c>
      <c r="G70" t="s">
        <v>84</v>
      </c>
      <c r="H70" t="s">
        <v>105</v>
      </c>
      <c r="I70" t="s">
        <v>84</v>
      </c>
      <c r="J70" t="s">
        <v>84</v>
      </c>
      <c r="K70" t="s">
        <v>84</v>
      </c>
      <c r="L70" t="s">
        <v>84</v>
      </c>
    </row>
    <row r="71" spans="1:14" x14ac:dyDescent="0.25">
      <c r="A71" t="s">
        <v>288</v>
      </c>
      <c r="B71" t="s">
        <v>94</v>
      </c>
      <c r="C71">
        <v>821122</v>
      </c>
      <c r="D71" t="s">
        <v>94</v>
      </c>
      <c r="E71" t="s">
        <v>84</v>
      </c>
      <c r="F71" t="s">
        <v>289</v>
      </c>
      <c r="G71" t="s">
        <v>290</v>
      </c>
      <c r="H71" t="s">
        <v>291</v>
      </c>
      <c r="I71" s="91" t="s">
        <v>292</v>
      </c>
      <c r="J71" t="s">
        <v>86</v>
      </c>
      <c r="K71" t="s">
        <v>84</v>
      </c>
      <c r="L71" t="s">
        <v>84</v>
      </c>
      <c r="M71" t="s">
        <v>84</v>
      </c>
      <c r="N71" t="s">
        <v>84</v>
      </c>
    </row>
    <row r="72" spans="1:14" x14ac:dyDescent="0.25">
      <c r="A72" t="s">
        <v>293</v>
      </c>
      <c r="B72" t="s">
        <v>94</v>
      </c>
      <c r="C72">
        <v>807363</v>
      </c>
      <c r="D72" t="s">
        <v>94</v>
      </c>
      <c r="E72" t="s">
        <v>84</v>
      </c>
      <c r="F72" t="s">
        <v>289</v>
      </c>
      <c r="G72" t="s">
        <v>290</v>
      </c>
      <c r="H72" t="s">
        <v>291</v>
      </c>
      <c r="I72" s="91" t="s">
        <v>294</v>
      </c>
      <c r="J72" t="s">
        <v>86</v>
      </c>
      <c r="K72" t="s">
        <v>84</v>
      </c>
      <c r="L72" t="s">
        <v>84</v>
      </c>
      <c r="M72" t="s">
        <v>84</v>
      </c>
      <c r="N72" t="s">
        <v>84</v>
      </c>
    </row>
    <row r="73" spans="1:14" x14ac:dyDescent="0.25">
      <c r="A73" t="s">
        <v>295</v>
      </c>
      <c r="I73" s="91"/>
    </row>
    <row r="74" spans="1:14" x14ac:dyDescent="0.25">
      <c r="A74" s="91" t="s">
        <v>296</v>
      </c>
      <c r="B74" t="s">
        <v>114</v>
      </c>
      <c r="C74" s="91" t="s">
        <v>296</v>
      </c>
      <c r="D74" t="s">
        <v>297</v>
      </c>
      <c r="E74" t="s">
        <v>298</v>
      </c>
      <c r="F74" t="s">
        <v>84</v>
      </c>
      <c r="G74" t="s">
        <v>84</v>
      </c>
      <c r="H74" t="s">
        <v>299</v>
      </c>
      <c r="I74" t="s">
        <v>84</v>
      </c>
      <c r="J74" t="s">
        <v>84</v>
      </c>
      <c r="K74" s="94">
        <v>45809</v>
      </c>
      <c r="L74" t="s">
        <v>117</v>
      </c>
    </row>
    <row r="75" spans="1:14" x14ac:dyDescent="0.25">
      <c r="A75" s="91" t="s">
        <v>300</v>
      </c>
      <c r="B75" t="s">
        <v>114</v>
      </c>
      <c r="C75" s="91" t="s">
        <v>300</v>
      </c>
      <c r="D75" t="s">
        <v>297</v>
      </c>
      <c r="E75" t="s">
        <v>120</v>
      </c>
      <c r="F75" t="s">
        <v>84</v>
      </c>
      <c r="G75" t="s">
        <v>84</v>
      </c>
      <c r="H75" t="s">
        <v>121</v>
      </c>
      <c r="I75" t="s">
        <v>84</v>
      </c>
      <c r="J75" t="s">
        <v>84</v>
      </c>
      <c r="K75" s="94">
        <v>45809</v>
      </c>
      <c r="L75" t="s">
        <v>117</v>
      </c>
    </row>
    <row r="76" spans="1:14" x14ac:dyDescent="0.25">
      <c r="A76" s="91" t="s">
        <v>301</v>
      </c>
      <c r="B76" t="s">
        <v>302</v>
      </c>
      <c r="C76" s="91"/>
      <c r="K76" s="94"/>
    </row>
    <row r="77" spans="1:14" x14ac:dyDescent="0.25">
      <c r="A77" s="91" t="s">
        <v>303</v>
      </c>
      <c r="B77" t="s">
        <v>302</v>
      </c>
    </row>
    <row r="78" spans="1:14" x14ac:dyDescent="0.25">
      <c r="A78" s="91" t="s">
        <v>304</v>
      </c>
      <c r="B78" t="s">
        <v>114</v>
      </c>
      <c r="D78" t="s">
        <v>297</v>
      </c>
    </row>
    <row r="79" spans="1:14" x14ac:dyDescent="0.25">
      <c r="A79" s="91" t="s">
        <v>305</v>
      </c>
      <c r="B79" t="s">
        <v>302</v>
      </c>
    </row>
    <row r="80" spans="1:14" x14ac:dyDescent="0.25">
      <c r="A80" t="s">
        <v>306</v>
      </c>
      <c r="B80" t="s">
        <v>136</v>
      </c>
      <c r="C80" s="91" t="s">
        <v>307</v>
      </c>
      <c r="D80" t="s">
        <v>138</v>
      </c>
      <c r="E80" t="s">
        <v>308</v>
      </c>
      <c r="H80" t="s">
        <v>105</v>
      </c>
      <c r="I80" s="91" t="s">
        <v>65</v>
      </c>
      <c r="J80" t="s">
        <v>140</v>
      </c>
      <c r="K80" t="s">
        <v>84</v>
      </c>
      <c r="L80" t="s">
        <v>84</v>
      </c>
    </row>
    <row r="81" spans="1:12" x14ac:dyDescent="0.25">
      <c r="A81" t="s">
        <v>309</v>
      </c>
      <c r="B81" t="s">
        <v>136</v>
      </c>
      <c r="C81" s="91" t="s">
        <v>310</v>
      </c>
      <c r="D81" t="s">
        <v>138</v>
      </c>
      <c r="E81" t="s">
        <v>311</v>
      </c>
      <c r="H81" t="s">
        <v>121</v>
      </c>
      <c r="I81" s="91" t="s">
        <v>65</v>
      </c>
      <c r="J81" t="s">
        <v>140</v>
      </c>
      <c r="K81" t="s">
        <v>84</v>
      </c>
      <c r="L81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Information</vt:lpstr>
      <vt:lpstr>Seal Test Info</vt:lpstr>
      <vt:lpstr>STF Sum</vt:lpstr>
      <vt:lpstr>Utrustninglista IPT</vt:lpstr>
    </vt:vector>
  </TitlesOfParts>
  <Company>Cepheid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Fredriksson, Jesper</dc:creator>
  <cp:lastModifiedBy>Fredriksson, Jesper</cp:lastModifiedBy>
  <dcterms:created xsi:type="dcterms:W3CDTF">2025-07-29T07:33:43Z</dcterms:created>
  <dcterms:modified xsi:type="dcterms:W3CDTF">2025-12-19T05:16:00Z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1ef649-45d3-4e5d-80df-d43468de9a5e_Enabled">
    <vt:lpwstr>true</vt:lpwstr>
  </property>
  <property fmtid="{D5CDD505-2E9C-101B-9397-08002B2CF9AE}" pid="3" name="MSIP_Label_631ef649-45d3-4e5d-80df-d43468de9a5e_SetDate">
    <vt:lpwstr>2025-07-29T07:55:16Z</vt:lpwstr>
  </property>
  <property fmtid="{D5CDD505-2E9C-101B-9397-08002B2CF9AE}" pid="4" name="MSIP_Label_631ef649-45d3-4e5d-80df-d43468de9a5e_Method">
    <vt:lpwstr>Privileged</vt:lpwstr>
  </property>
  <property fmtid="{D5CDD505-2E9C-101B-9397-08002B2CF9AE}" pid="5" name="MSIP_Label_631ef649-45d3-4e5d-80df-d43468de9a5e_Name">
    <vt:lpwstr>Unclassified</vt:lpwstr>
  </property>
  <property fmtid="{D5CDD505-2E9C-101B-9397-08002B2CF9AE}" pid="6" name="MSIP_Label_631ef649-45d3-4e5d-80df-d43468de9a5e_SiteId">
    <vt:lpwstr>771c9c47-7f24-44dc-958e-34f8713a8394</vt:lpwstr>
  </property>
  <property fmtid="{D5CDD505-2E9C-101B-9397-08002B2CF9AE}" pid="7" name="MSIP_Label_631ef649-45d3-4e5d-80df-d43468de9a5e_ActionId">
    <vt:lpwstr>25a08a40-2e41-48e0-9b8c-95c3d6622262</vt:lpwstr>
  </property>
  <property fmtid="{D5CDD505-2E9C-101B-9397-08002B2CF9AE}" pid="8" name="MSIP_Label_631ef649-45d3-4e5d-80df-d43468de9a5e_ContentBits">
    <vt:lpwstr>0</vt:lpwstr>
  </property>
  <property fmtid="{D5CDD505-2E9C-101B-9397-08002B2CF9AE}" pid="9" name="MSIP_Label_631ef649-45d3-4e5d-80df-d43468de9a5e_Tag">
    <vt:lpwstr>10, 0, 1, 1</vt:lpwstr>
  </property>
</Properties>
</file>