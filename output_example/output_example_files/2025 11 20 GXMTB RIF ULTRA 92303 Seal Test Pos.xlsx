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drawings/drawing9.xml" ContentType="application/vnd.openxmlformats-officedocument.drawing+xml"/>
  <Override PartName="/xl/ctrlProps/ctrlProp9.xml" ContentType="application/vnd.ms-excel.controlproperties+xml"/>
  <Override PartName="/xl/drawings/drawing10.xml" ContentType="application/vnd.openxmlformats-officedocument.drawing+xml"/>
  <Override PartName="/xl/ctrlProps/ctrlProp10.xml" ContentType="application/vnd.ms-excel.controlproperties+xml"/>
  <Override PartName="/xl/drawings/drawing11.xml" ContentType="application/vnd.openxmlformats-officedocument.drawing+xml"/>
  <Override PartName="/xl/ctrlProps/ctrlProp11.xml" ContentType="application/vnd.ms-excel.controlproperties+xml"/>
  <Override PartName="/xl/drawings/drawing12.xml" ContentType="application/vnd.openxmlformats-officedocument.drawing+xml"/>
  <Override PartName="/xl/ctrlProps/ctrlProp12.xml" ContentType="application/vnd.ms-excel.controlproperties+xml"/>
  <Override PartName="/xl/drawings/drawing13.xml" ContentType="application/vnd.openxmlformats-officedocument.drawing+xml"/>
  <Override PartName="/xl/ctrlProps/ctrlProp1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sperfredriksson/Desktop/Main/ALLT100p/GXMTB RIF-ULTRA/testning/"/>
    </mc:Choice>
  </mc:AlternateContent>
  <xr:revisionPtr revIDLastSave="0" documentId="13_ncr:1_{1ECE3016-AD0A-B34E-9688-E842959DB22B}" xr6:coauthVersionLast="47" xr6:coauthVersionMax="47" xr10:uidLastSave="{00000000-0000-0000-0000-000000000000}"/>
  <bookViews>
    <workbookView xWindow="2560" yWindow="780" windowWidth="16540" windowHeight="11240" tabRatio="904" firstSheet="1" activeTab="1" xr2:uid="{00000000-000D-0000-FFFF-FFFF00000000}"/>
  </bookViews>
  <sheets>
    <sheet name="Worksheet Instructions" sheetId="1" r:id="rId1"/>
    <sheet name="Datasheet (1)" sheetId="2" r:id="rId2"/>
    <sheet name="Datasheet (2)" sheetId="3" r:id="rId3"/>
    <sheet name="Datasheet (3)" sheetId="4" r:id="rId4"/>
    <sheet name="Datasheet (4)" sheetId="5" r:id="rId5"/>
    <sheet name="Datasheet (5)" sheetId="6" r:id="rId6"/>
    <sheet name="Datasheet (6)" sheetId="7" r:id="rId7"/>
    <sheet name="Datasheet (7)" sheetId="8" r:id="rId8"/>
    <sheet name="Datasheet (8)" sheetId="9" r:id="rId9"/>
    <sheet name="Datasheet (9)" sheetId="10" r:id="rId10"/>
    <sheet name="Datasheet (10)" sheetId="11" r:id="rId11"/>
    <sheet name="Replacement Cartridge (11)" sheetId="12" r:id="rId12"/>
    <sheet name="Replacement Cartridge (12)" sheetId="13" r:id="rId13"/>
    <sheet name="Replacement Cartridge (13)" sheetId="14" r:id="rId14"/>
  </sheets>
  <definedNames>
    <definedName name="_pn100" localSheetId="1">#REF!</definedName>
    <definedName name="_pn100" localSheetId="10">#REF!</definedName>
    <definedName name="_pn100" localSheetId="2">#REF!</definedName>
    <definedName name="_pn100" localSheetId="3">#REF!</definedName>
    <definedName name="_pn100" localSheetId="4">#REF!</definedName>
    <definedName name="_pn100" localSheetId="5">#REF!</definedName>
    <definedName name="_pn100" localSheetId="6">#REF!</definedName>
    <definedName name="_pn100" localSheetId="7">#REF!</definedName>
    <definedName name="_pn100" localSheetId="8">#REF!</definedName>
    <definedName name="_pn100" localSheetId="9">#REF!</definedName>
    <definedName name="_pn100" localSheetId="11">#REF!</definedName>
    <definedName name="_pn100" localSheetId="12">#REF!</definedName>
    <definedName name="_pn100" localSheetId="13">#REF!</definedName>
    <definedName name="_pn100">#REF!</definedName>
    <definedName name="_pn25" localSheetId="1">#REF!</definedName>
    <definedName name="_pn25" localSheetId="10">#REF!</definedName>
    <definedName name="_pn25" localSheetId="2">#REF!</definedName>
    <definedName name="_pn25" localSheetId="3">#REF!</definedName>
    <definedName name="_pn25" localSheetId="4">#REF!</definedName>
    <definedName name="_pn25" localSheetId="5">#REF!</definedName>
    <definedName name="_pn25" localSheetId="6">#REF!</definedName>
    <definedName name="_pn25" localSheetId="7">#REF!</definedName>
    <definedName name="_pn25" localSheetId="8">#REF!</definedName>
    <definedName name="_pn25" localSheetId="9">#REF!</definedName>
    <definedName name="_pn25" localSheetId="11">#REF!</definedName>
    <definedName name="_pn25" localSheetId="12">#REF!</definedName>
    <definedName name="_pn25" localSheetId="13">#REF!</definedName>
    <definedName name="_pn25">#REF!</definedName>
    <definedName name="distalavg" localSheetId="1">#REF!</definedName>
    <definedName name="distalavg" localSheetId="10">#REF!</definedName>
    <definedName name="distalavg" localSheetId="2">#REF!</definedName>
    <definedName name="distalavg" localSheetId="3">#REF!</definedName>
    <definedName name="distalavg" localSheetId="4">#REF!</definedName>
    <definedName name="distalavg" localSheetId="5">#REF!</definedName>
    <definedName name="distalavg" localSheetId="6">#REF!</definedName>
    <definedName name="distalavg" localSheetId="7">#REF!</definedName>
    <definedName name="distalavg" localSheetId="8">#REF!</definedName>
    <definedName name="distalavg" localSheetId="9">#REF!</definedName>
    <definedName name="distalavg" localSheetId="11">#REF!</definedName>
    <definedName name="distalavg" localSheetId="12">#REF!</definedName>
    <definedName name="distalavg" localSheetId="13">#REF!</definedName>
    <definedName name="distalavg">#REF!</definedName>
    <definedName name="distalavg100">#REF!</definedName>
    <definedName name="distalavgCA" localSheetId="1">#REF!</definedName>
    <definedName name="distalavgCA" localSheetId="10">#REF!</definedName>
    <definedName name="distalavgCA" localSheetId="2">#REF!</definedName>
    <definedName name="distalavgCA" localSheetId="3">#REF!</definedName>
    <definedName name="distalavgCA" localSheetId="4">#REF!</definedName>
    <definedName name="distalavgCA" localSheetId="5">#REF!</definedName>
    <definedName name="distalavgCA" localSheetId="6">#REF!</definedName>
    <definedName name="distalavgCA" localSheetId="7">#REF!</definedName>
    <definedName name="distalavgCA" localSheetId="8">#REF!</definedName>
    <definedName name="distalavgCA" localSheetId="9">#REF!</definedName>
    <definedName name="distalavgCA" localSheetId="11">#REF!</definedName>
    <definedName name="distalavgCA" localSheetId="12">#REF!</definedName>
    <definedName name="distalavgCA" localSheetId="13">#REF!</definedName>
    <definedName name="distalavgCA">#REF!</definedName>
    <definedName name="distalfailactual" localSheetId="1">#REF!</definedName>
    <definedName name="distalfailactual" localSheetId="10">#REF!</definedName>
    <definedName name="distalfailactual" localSheetId="2">#REF!</definedName>
    <definedName name="distalfailactual" localSheetId="3">#REF!</definedName>
    <definedName name="distalfailactual" localSheetId="4">#REF!</definedName>
    <definedName name="distalfailactual" localSheetId="5">#REF!</definedName>
    <definedName name="distalfailactual" localSheetId="6">#REF!</definedName>
    <definedName name="distalfailactual" localSheetId="7">#REF!</definedName>
    <definedName name="distalfailactual" localSheetId="8">#REF!</definedName>
    <definedName name="distalfailactual" localSheetId="9">#REF!</definedName>
    <definedName name="distalfailactual" localSheetId="11">#REF!</definedName>
    <definedName name="distalfailactual" localSheetId="12">#REF!</definedName>
    <definedName name="distalfailactual" localSheetId="13">#REF!</definedName>
    <definedName name="distalfailactual">#REF!</definedName>
    <definedName name="distalfailactual100">#REF!</definedName>
    <definedName name="distalmax">#REF!</definedName>
    <definedName name="distalmax100">#REF!</definedName>
    <definedName name="distalmin100">#REF!</definedName>
    <definedName name="edgeavg">#REF!</definedName>
    <definedName name="edgeavg100">#REF!</definedName>
    <definedName name="edgemax">#REF!</definedName>
    <definedName name="edgemax100">#REF!</definedName>
    <definedName name="edgemin">#REF!</definedName>
    <definedName name="edgemin100">#REF!</definedName>
    <definedName name="firstdistalvalue" localSheetId="1">#REF!</definedName>
    <definedName name="firstdistalvalue" localSheetId="10">#REF!</definedName>
    <definedName name="firstdistalvalue" localSheetId="2">#REF!</definedName>
    <definedName name="firstdistalvalue" localSheetId="3">#REF!</definedName>
    <definedName name="firstdistalvalue" localSheetId="4">#REF!</definedName>
    <definedName name="firstdistalvalue" localSheetId="5">#REF!</definedName>
    <definedName name="firstdistalvalue" localSheetId="6">#REF!</definedName>
    <definedName name="firstdistalvalue" localSheetId="7">#REF!</definedName>
    <definedName name="firstdistalvalue" localSheetId="8">#REF!</definedName>
    <definedName name="firstdistalvalue" localSheetId="9">#REF!</definedName>
    <definedName name="firstdistalvalue" localSheetId="11">#REF!</definedName>
    <definedName name="firstdistalvalue" localSheetId="12">#REF!</definedName>
    <definedName name="firstdistalvalue" localSheetId="13">#REF!</definedName>
    <definedName name="firstdistalvalue">#REF!</definedName>
    <definedName name="firstdistalvalue100">#REF!</definedName>
    <definedName name="firsttipvalue">#REF!</definedName>
    <definedName name="firsttipvalue100">#REF!</definedName>
    <definedName name="nabox">"nabox"</definedName>
    <definedName name="nextday" localSheetId="0">#REF!</definedName>
    <definedName name="nextday">#REF!</definedName>
    <definedName name="nobox">"nobox"</definedName>
    <definedName name="partnumber" localSheetId="1">#REF!</definedName>
    <definedName name="partnumber" localSheetId="10">#REF!</definedName>
    <definedName name="partnumber" localSheetId="2">#REF!</definedName>
    <definedName name="partnumber" localSheetId="3">#REF!</definedName>
    <definedName name="partnumber" localSheetId="4">#REF!</definedName>
    <definedName name="partnumber" localSheetId="5">#REF!</definedName>
    <definedName name="partnumber" localSheetId="6">#REF!</definedName>
    <definedName name="partnumber" localSheetId="7">#REF!</definedName>
    <definedName name="partnumber" localSheetId="8">#REF!</definedName>
    <definedName name="partnumber" localSheetId="9">#REF!</definedName>
    <definedName name="partnumber" localSheetId="11">#REF!</definedName>
    <definedName name="partnumber" localSheetId="12">#REF!</definedName>
    <definedName name="partnumber" localSheetId="13">#REF!</definedName>
    <definedName name="partnumber">#REF!</definedName>
    <definedName name="partnumber100">#REF!</definedName>
    <definedName name="partnumberpcr">#REF!</definedName>
    <definedName name="partnumberpcr100">#REF!</definedName>
    <definedName name="partnumbertc">#REF!</definedName>
    <definedName name="partnumberthick">#REF!</definedName>
    <definedName name="partnumberthick100">#REF!</definedName>
    <definedName name="PartsReceived">#REF!</definedName>
    <definedName name="PartsReceived100">#REF!</definedName>
    <definedName name="post25fail" localSheetId="1">#REF!</definedName>
    <definedName name="post25fail" localSheetId="10">#REF!</definedName>
    <definedName name="post25fail" localSheetId="2">#REF!</definedName>
    <definedName name="post25fail" localSheetId="3">#REF!</definedName>
    <definedName name="post25fail" localSheetId="4">#REF!</definedName>
    <definedName name="post25fail" localSheetId="5">#REF!</definedName>
    <definedName name="post25fail" localSheetId="6">#REF!</definedName>
    <definedName name="post25fail" localSheetId="7">#REF!</definedName>
    <definedName name="post25fail" localSheetId="8">#REF!</definedName>
    <definedName name="post25fail" localSheetId="9">#REF!</definedName>
    <definedName name="post25fail" localSheetId="11">#REF!</definedName>
    <definedName name="post25fail" localSheetId="12">#REF!</definedName>
    <definedName name="post25fail" localSheetId="13">#REF!</definedName>
    <definedName name="post25fail">#REF!</definedName>
    <definedName name="postactual" localSheetId="1">#REF!</definedName>
    <definedName name="postactual" localSheetId="10">#REF!</definedName>
    <definedName name="postactual" localSheetId="2">#REF!</definedName>
    <definedName name="postactual" localSheetId="3">#REF!</definedName>
    <definedName name="postactual" localSheetId="4">#REF!</definedName>
    <definedName name="postactual" localSheetId="5">#REF!</definedName>
    <definedName name="postactual" localSheetId="6">#REF!</definedName>
    <definedName name="postactual" localSheetId="7">#REF!</definedName>
    <definedName name="postactual" localSheetId="8">#REF!</definedName>
    <definedName name="postactual" localSheetId="9">#REF!</definedName>
    <definedName name="postactual" localSheetId="11">#REF!</definedName>
    <definedName name="postactual" localSheetId="12">#REF!</definedName>
    <definedName name="postactual" localSheetId="13">#REF!</definedName>
    <definedName name="postactual">#REF!</definedName>
    <definedName name="postactual100">#REF!</definedName>
    <definedName name="postavg">#REF!</definedName>
    <definedName name="posttc" localSheetId="1">#REF!</definedName>
    <definedName name="posttc" localSheetId="10">#REF!</definedName>
    <definedName name="posttc" localSheetId="2">#REF!</definedName>
    <definedName name="posttc" localSheetId="3">#REF!</definedName>
    <definedName name="posttc" localSheetId="4">#REF!</definedName>
    <definedName name="posttc" localSheetId="5">#REF!</definedName>
    <definedName name="posttc" localSheetId="6">#REF!</definedName>
    <definedName name="posttc" localSheetId="7">#REF!</definedName>
    <definedName name="posttc" localSheetId="8">#REF!</definedName>
    <definedName name="posttc" localSheetId="9">#REF!</definedName>
    <definedName name="posttc" localSheetId="11">#REF!</definedName>
    <definedName name="posttc" localSheetId="12">#REF!</definedName>
    <definedName name="posttc" localSheetId="13">#REF!</definedName>
    <definedName name="posttc">#REF!</definedName>
    <definedName name="posttc100">#REF!</definedName>
    <definedName name="pre25fail" localSheetId="1">#REF!</definedName>
    <definedName name="pre25fail" localSheetId="10">#REF!</definedName>
    <definedName name="pre25fail" localSheetId="2">#REF!</definedName>
    <definedName name="pre25fail" localSheetId="3">#REF!</definedName>
    <definedName name="pre25fail" localSheetId="4">#REF!</definedName>
    <definedName name="pre25fail" localSheetId="5">#REF!</definedName>
    <definedName name="pre25fail" localSheetId="6">#REF!</definedName>
    <definedName name="pre25fail" localSheetId="7">#REF!</definedName>
    <definedName name="pre25fail" localSheetId="8">#REF!</definedName>
    <definedName name="pre25fail" localSheetId="9">#REF!</definedName>
    <definedName name="pre25fail" localSheetId="11">#REF!</definedName>
    <definedName name="pre25fail" localSheetId="12">#REF!</definedName>
    <definedName name="pre25fail" localSheetId="13">#REF!</definedName>
    <definedName name="pre25fail">#REF!</definedName>
    <definedName name="preactual" localSheetId="1">#REF!</definedName>
    <definedName name="preactual" localSheetId="10">#REF!</definedName>
    <definedName name="preactual" localSheetId="2">#REF!</definedName>
    <definedName name="preactual" localSheetId="3">#REF!</definedName>
    <definedName name="preactual" localSheetId="4">#REF!</definedName>
    <definedName name="preactual" localSheetId="5">#REF!</definedName>
    <definedName name="preactual" localSheetId="6">#REF!</definedName>
    <definedName name="preactual" localSheetId="7">#REF!</definedName>
    <definedName name="preactual" localSheetId="8">#REF!</definedName>
    <definedName name="preactual" localSheetId="9">#REF!</definedName>
    <definedName name="preactual" localSheetId="11">#REF!</definedName>
    <definedName name="preactual" localSheetId="12">#REF!</definedName>
    <definedName name="preactual" localSheetId="13">#REF!</definedName>
    <definedName name="preactual">#REF!</definedName>
    <definedName name="preactual100">#REF!</definedName>
    <definedName name="preavg">#REF!</definedName>
    <definedName name="pretc" localSheetId="1">#REF!</definedName>
    <definedName name="pretc" localSheetId="10">#REF!</definedName>
    <definedName name="pretc" localSheetId="2">#REF!</definedName>
    <definedName name="pretc" localSheetId="3">#REF!</definedName>
    <definedName name="pretc" localSheetId="4">#REF!</definedName>
    <definedName name="pretc" localSheetId="5">#REF!</definedName>
    <definedName name="pretc" localSheetId="6">#REF!</definedName>
    <definedName name="pretc" localSheetId="7">#REF!</definedName>
    <definedName name="pretc" localSheetId="8">#REF!</definedName>
    <definedName name="pretc" localSheetId="9">#REF!</definedName>
    <definedName name="pretc" localSheetId="11">#REF!</definedName>
    <definedName name="pretc" localSheetId="12">#REF!</definedName>
    <definedName name="pretc" localSheetId="13">#REF!</definedName>
    <definedName name="pretc">#REF!</definedName>
    <definedName name="pretc100">#REF!</definedName>
    <definedName name="Print_Area100" localSheetId="0">#REF!</definedName>
    <definedName name="Print_Area100">#REF!</definedName>
    <definedName name="RejetAllow" localSheetId="1">#REF!</definedName>
    <definedName name="RejetAllow" localSheetId="10">#REF!</definedName>
    <definedName name="RejetAllow" localSheetId="2">#REF!</definedName>
    <definedName name="RejetAllow" localSheetId="3">#REF!</definedName>
    <definedName name="RejetAllow" localSheetId="4">#REF!</definedName>
    <definedName name="RejetAllow" localSheetId="5">#REF!</definedName>
    <definedName name="RejetAllow" localSheetId="6">#REF!</definedName>
    <definedName name="RejetAllow" localSheetId="7">#REF!</definedName>
    <definedName name="RejetAllow" localSheetId="8">#REF!</definedName>
    <definedName name="RejetAllow" localSheetId="9">#REF!</definedName>
    <definedName name="RejetAllow" localSheetId="11">#REF!</definedName>
    <definedName name="RejetAllow" localSheetId="12">#REF!</definedName>
    <definedName name="RejetAllow" localSheetId="13">#REF!</definedName>
    <definedName name="RejetAllow">#REF!</definedName>
    <definedName name="RejetAllow100">#REF!</definedName>
    <definedName name="ROBAL" localSheetId="0">'Worksheet Instructions'!$E$16:$E$24</definedName>
    <definedName name="SampleSize" localSheetId="0">#REF!</definedName>
    <definedName name="SampleSize">#REF!</definedName>
    <definedName name="SampleSize100">#REF!</definedName>
    <definedName name="samplesizetherm">#REF!</definedName>
    <definedName name="scale">#REF!</definedName>
    <definedName name="tipavg">#REF!</definedName>
    <definedName name="tipavg100">#REF!</definedName>
    <definedName name="tipfailactual" localSheetId="1">#REF!</definedName>
    <definedName name="tipfailactual" localSheetId="10">#REF!</definedName>
    <definedName name="tipfailactual" localSheetId="2">#REF!</definedName>
    <definedName name="tipfailactual" localSheetId="3">#REF!</definedName>
    <definedName name="tipfailactual" localSheetId="4">#REF!</definedName>
    <definedName name="tipfailactual" localSheetId="5">#REF!</definedName>
    <definedName name="tipfailactual" localSheetId="6">#REF!</definedName>
    <definedName name="tipfailactual" localSheetId="7">#REF!</definedName>
    <definedName name="tipfailactual" localSheetId="8">#REF!</definedName>
    <definedName name="tipfailactual" localSheetId="9">#REF!</definedName>
    <definedName name="tipfailactual" localSheetId="11">#REF!</definedName>
    <definedName name="tipfailactual" localSheetId="12">#REF!</definedName>
    <definedName name="tipfailactual" localSheetId="13">#REF!</definedName>
    <definedName name="tipfailactual">#REF!</definedName>
    <definedName name="tipfailactual100">#REF!</definedName>
    <definedName name="tipfailtotal">#REF!</definedName>
    <definedName name="tipfailtotal100" localSheetId="1">#REF!</definedName>
    <definedName name="tipfailtotal100" localSheetId="10">#REF!</definedName>
    <definedName name="tipfailtotal100" localSheetId="2">#REF!</definedName>
    <definedName name="tipfailtotal100" localSheetId="3">#REF!</definedName>
    <definedName name="tipfailtotal100" localSheetId="4">#REF!</definedName>
    <definedName name="tipfailtotal100" localSheetId="5">#REF!</definedName>
    <definedName name="tipfailtotal100" localSheetId="6">#REF!</definedName>
    <definedName name="tipfailtotal100" localSheetId="7">#REF!</definedName>
    <definedName name="tipfailtotal100" localSheetId="8">#REF!</definedName>
    <definedName name="tipfailtotal100" localSheetId="9">#REF!</definedName>
    <definedName name="tipfailtotal100" localSheetId="11">#REF!</definedName>
    <definedName name="tipfailtotal100" localSheetId="12">#REF!</definedName>
    <definedName name="tipfailtotal100" localSheetId="13">#REF!</definedName>
    <definedName name="tipfailtotal100">#REF!</definedName>
    <definedName name="tipmax">#REF!</definedName>
    <definedName name="tipmax100">#REF!</definedName>
    <definedName name="tipmaxspec" localSheetId="1">#REF!</definedName>
    <definedName name="tipmaxspec" localSheetId="10">#REF!</definedName>
    <definedName name="tipmaxspec" localSheetId="2">#REF!</definedName>
    <definedName name="tipmaxspec" localSheetId="3">#REF!</definedName>
    <definedName name="tipmaxspec" localSheetId="4">#REF!</definedName>
    <definedName name="tipmaxspec" localSheetId="5">#REF!</definedName>
    <definedName name="tipmaxspec" localSheetId="6">#REF!</definedName>
    <definedName name="tipmaxspec" localSheetId="7">#REF!</definedName>
    <definedName name="tipmaxspec" localSheetId="8">#REF!</definedName>
    <definedName name="tipmaxspec" localSheetId="9">#REF!</definedName>
    <definedName name="tipmaxspec" localSheetId="11">#REF!</definedName>
    <definedName name="tipmaxspec" localSheetId="12">#REF!</definedName>
    <definedName name="tipmaxspec" localSheetId="13">#REF!</definedName>
    <definedName name="tipmaxspec">#REF!</definedName>
    <definedName name="tipmaxspec100">#REF!</definedName>
    <definedName name="tipmin">#REF!</definedName>
    <definedName name="tipmin100">#REF!</definedName>
    <definedName name="tipminspec" localSheetId="1">#REF!</definedName>
    <definedName name="tipminspec" localSheetId="10">#REF!</definedName>
    <definedName name="tipminspec" localSheetId="2">#REF!</definedName>
    <definedName name="tipminspec" localSheetId="3">#REF!</definedName>
    <definedName name="tipminspec" localSheetId="4">#REF!</definedName>
    <definedName name="tipminspec" localSheetId="5">#REF!</definedName>
    <definedName name="tipminspec" localSheetId="6">#REF!</definedName>
    <definedName name="tipminspec" localSheetId="7">#REF!</definedName>
    <definedName name="tipminspec" localSheetId="8">#REF!</definedName>
    <definedName name="tipminspec" localSheetId="9">#REF!</definedName>
    <definedName name="tipminspec" localSheetId="11">#REF!</definedName>
    <definedName name="tipminspec" localSheetId="12">#REF!</definedName>
    <definedName name="tipminspec" localSheetId="13">#REF!</definedName>
    <definedName name="tipminspec">#REF!</definedName>
    <definedName name="tipminspec100">#REF!</definedName>
    <definedName name="topfailtotal" localSheetId="1">#REF!</definedName>
    <definedName name="topfailtotal" localSheetId="10">#REF!</definedName>
    <definedName name="topfailtotal" localSheetId="2">#REF!</definedName>
    <definedName name="topfailtotal" localSheetId="3">#REF!</definedName>
    <definedName name="topfailtotal" localSheetId="4">#REF!</definedName>
    <definedName name="topfailtotal" localSheetId="5">#REF!</definedName>
    <definedName name="topfailtotal" localSheetId="6">#REF!</definedName>
    <definedName name="topfailtotal" localSheetId="7">#REF!</definedName>
    <definedName name="topfailtotal" localSheetId="8">#REF!</definedName>
    <definedName name="topfailtotal" localSheetId="9">#REF!</definedName>
    <definedName name="topfailtotal" localSheetId="11">#REF!</definedName>
    <definedName name="topfailtotal" localSheetId="12">#REF!</definedName>
    <definedName name="topfailtotal" localSheetId="13">#REF!</definedName>
    <definedName name="topfailtotal">#REF!</definedName>
    <definedName name="topfailtotal100" localSheetId="1">#REF!</definedName>
    <definedName name="topfailtotal100" localSheetId="10">#REF!</definedName>
    <definedName name="topfailtotal100" localSheetId="2">#REF!</definedName>
    <definedName name="topfailtotal100" localSheetId="3">#REF!</definedName>
    <definedName name="topfailtotal100" localSheetId="4">#REF!</definedName>
    <definedName name="topfailtotal100" localSheetId="5">#REF!</definedName>
    <definedName name="topfailtotal100" localSheetId="6">#REF!</definedName>
    <definedName name="topfailtotal100" localSheetId="7">#REF!</definedName>
    <definedName name="topfailtotal100" localSheetId="8">#REF!</definedName>
    <definedName name="topfailtotal100" localSheetId="9">#REF!</definedName>
    <definedName name="topfailtotal100" localSheetId="11">#REF!</definedName>
    <definedName name="topfailtotal100" localSheetId="12">#REF!</definedName>
    <definedName name="topfailtotal100" localSheetId="13">#REF!</definedName>
    <definedName name="topfailtotal100">#REF!</definedName>
    <definedName name="topmaxspec" localSheetId="1">#REF!</definedName>
    <definedName name="topmaxspec" localSheetId="10">#REF!</definedName>
    <definedName name="topmaxspec" localSheetId="2">#REF!</definedName>
    <definedName name="topmaxspec" localSheetId="3">#REF!</definedName>
    <definedName name="topmaxspec" localSheetId="4">#REF!</definedName>
    <definedName name="topmaxspec" localSheetId="5">#REF!</definedName>
    <definedName name="topmaxspec" localSheetId="6">#REF!</definedName>
    <definedName name="topmaxspec" localSheetId="7">#REF!</definedName>
    <definedName name="topmaxspec" localSheetId="8">#REF!</definedName>
    <definedName name="topmaxspec" localSheetId="9">#REF!</definedName>
    <definedName name="topmaxspec" localSheetId="11">#REF!</definedName>
    <definedName name="topmaxspec" localSheetId="12">#REF!</definedName>
    <definedName name="topmaxspec" localSheetId="13">#REF!</definedName>
    <definedName name="topmaxspec">#REF!</definedName>
    <definedName name="topmaxspec100">#REF!</definedName>
    <definedName name="topminspec" localSheetId="1">#REF!</definedName>
    <definedName name="topminspec" localSheetId="10">#REF!</definedName>
    <definedName name="topminspec" localSheetId="2">#REF!</definedName>
    <definedName name="topminspec" localSheetId="3">#REF!</definedName>
    <definedName name="topminspec" localSheetId="4">#REF!</definedName>
    <definedName name="topminspec" localSheetId="5">#REF!</definedName>
    <definedName name="topminspec" localSheetId="6">#REF!</definedName>
    <definedName name="topminspec" localSheetId="7">#REF!</definedName>
    <definedName name="topminspec" localSheetId="8">#REF!</definedName>
    <definedName name="topminspec" localSheetId="9">#REF!</definedName>
    <definedName name="topminspec" localSheetId="11">#REF!</definedName>
    <definedName name="topminspec" localSheetId="12">#REF!</definedName>
    <definedName name="topminspec" localSheetId="13">#REF!</definedName>
    <definedName name="topminspec">#REF!</definedName>
    <definedName name="topminspec100">#REF!</definedName>
    <definedName name="totalpassfail100" localSheetId="1">#REF!</definedName>
    <definedName name="totalpassfail100" localSheetId="10">#REF!</definedName>
    <definedName name="totalpassfail100" localSheetId="2">#REF!</definedName>
    <definedName name="totalpassfail100" localSheetId="3">#REF!</definedName>
    <definedName name="totalpassfail100" localSheetId="4">#REF!</definedName>
    <definedName name="totalpassfail100" localSheetId="5">#REF!</definedName>
    <definedName name="totalpassfail100" localSheetId="6">#REF!</definedName>
    <definedName name="totalpassfail100" localSheetId="7">#REF!</definedName>
    <definedName name="totalpassfail100" localSheetId="8">#REF!</definedName>
    <definedName name="totalpassfail100" localSheetId="9">#REF!</definedName>
    <definedName name="totalpassfail100" localSheetId="11">#REF!</definedName>
    <definedName name="totalpassfail100" localSheetId="12">#REF!</definedName>
    <definedName name="totalpassfail100" localSheetId="13">#REF!</definedName>
    <definedName name="totalpassfail100">#REF!</definedName>
    <definedName name="_xlnm.Print_Area" localSheetId="1">'Datasheet (1)'!$B$1:$M$57</definedName>
    <definedName name="_xlnm.Print_Area" localSheetId="10">'Datasheet (10)'!$A$1:$M$57</definedName>
    <definedName name="_xlnm.Print_Area" localSheetId="2">'Datasheet (2)'!$A$1:$M$57</definedName>
    <definedName name="_xlnm.Print_Area" localSheetId="3">'Datasheet (3)'!$A$1:$M$57</definedName>
    <definedName name="_xlnm.Print_Area" localSheetId="4">'Datasheet (4)'!$A$1:$M$57</definedName>
    <definedName name="_xlnm.Print_Area" localSheetId="5">'Datasheet (5)'!$A$1:$M$57</definedName>
    <definedName name="_xlnm.Print_Area" localSheetId="6">'Datasheet (6)'!$A$1:$M$57</definedName>
    <definedName name="_xlnm.Print_Area" localSheetId="7">'Datasheet (7)'!$A$1:$M$57</definedName>
    <definedName name="_xlnm.Print_Area" localSheetId="8">'Datasheet (8)'!$A$1:$M$57</definedName>
    <definedName name="_xlnm.Print_Area" localSheetId="9">'Datasheet (9)'!$A$1:$M$57</definedName>
    <definedName name="_xlnm.Print_Area" localSheetId="11">'Replacement Cartridge (11)'!$A$1:$N$57</definedName>
    <definedName name="_xlnm.Print_Area" localSheetId="12">'Replacement Cartridge (12)'!$A$1:$N$57</definedName>
    <definedName name="_xlnm.Print_Area" localSheetId="13">'Replacement Cartridge (13)'!$A$1:$N$57</definedName>
    <definedName name="_xlnm.Print_Area" localSheetId="0">'Worksheet Instructions'!$A$1:$M$65</definedName>
    <definedName name="x">#REF!</definedName>
    <definedName name="Z_0389F900_36E4_47B4_9211_C9631990552B_.wvu.PrintArea" localSheetId="1" hidden="1">'Datasheet (1)'!$B$1:$M$57</definedName>
    <definedName name="Z_0389F900_36E4_47B4_9211_C9631990552B_.wvu.PrintArea" localSheetId="10" hidden="1">'Datasheet (10)'!$A$1:$M$57</definedName>
    <definedName name="Z_0389F900_36E4_47B4_9211_C9631990552B_.wvu.PrintArea" localSheetId="2" hidden="1">'Datasheet (2)'!$A$1:$M$57</definedName>
    <definedName name="Z_0389F900_36E4_47B4_9211_C9631990552B_.wvu.PrintArea" localSheetId="3" hidden="1">'Datasheet (3)'!$A$1:$M$57</definedName>
    <definedName name="Z_0389F900_36E4_47B4_9211_C9631990552B_.wvu.PrintArea" localSheetId="4" hidden="1">'Datasheet (4)'!$A$1:$M$57</definedName>
    <definedName name="Z_0389F900_36E4_47B4_9211_C9631990552B_.wvu.PrintArea" localSheetId="5" hidden="1">'Datasheet (5)'!$A$1:$M$57</definedName>
    <definedName name="Z_0389F900_36E4_47B4_9211_C9631990552B_.wvu.PrintArea" localSheetId="6" hidden="1">'Datasheet (6)'!$A$1:$M$57</definedName>
    <definedName name="Z_0389F900_36E4_47B4_9211_C9631990552B_.wvu.PrintArea" localSheetId="7" hidden="1">'Datasheet (7)'!$A$1:$M$57</definedName>
    <definedName name="Z_0389F900_36E4_47B4_9211_C9631990552B_.wvu.PrintArea" localSheetId="8" hidden="1">'Datasheet (8)'!$A$1:$M$57</definedName>
    <definedName name="Z_0389F900_36E4_47B4_9211_C9631990552B_.wvu.PrintArea" localSheetId="9" hidden="1">'Datasheet (9)'!$A$1:$M$57</definedName>
    <definedName name="Z_0389F900_36E4_47B4_9211_C9631990552B_.wvu.PrintArea" localSheetId="11" hidden="1">'Replacement Cartridge (11)'!$A$1:$N$57</definedName>
    <definedName name="Z_0389F900_36E4_47B4_9211_C9631990552B_.wvu.PrintArea" localSheetId="12" hidden="1">'Replacement Cartridge (12)'!$A$1:$N$57</definedName>
    <definedName name="Z_0389F900_36E4_47B4_9211_C9631990552B_.wvu.PrintArea" localSheetId="13" hidden="1">'Replacement Cartridge (13)'!$A$1:$N$57</definedName>
    <definedName name="Z_0389F900_36E4_47B4_9211_C9631990552B_.wvu.PrintArea" localSheetId="0" hidden="1">'Worksheet Instructions'!$A$1:$M$65</definedName>
    <definedName name="Z_56C9F3FB_E1BF_4A84_A9C1_883C4971E148_.wvu.PrintArea" localSheetId="1" hidden="1">'Datasheet (1)'!$B$1:$M$57</definedName>
    <definedName name="Z_56C9F3FB_E1BF_4A84_A9C1_883C4971E148_.wvu.PrintArea" localSheetId="10" hidden="1">'Datasheet (10)'!$A$1:$M$57</definedName>
    <definedName name="Z_56C9F3FB_E1BF_4A84_A9C1_883C4971E148_.wvu.PrintArea" localSheetId="2" hidden="1">'Datasheet (2)'!$A$1:$M$57</definedName>
    <definedName name="Z_56C9F3FB_E1BF_4A84_A9C1_883C4971E148_.wvu.PrintArea" localSheetId="3" hidden="1">'Datasheet (3)'!$A$1:$M$57</definedName>
    <definedName name="Z_56C9F3FB_E1BF_4A84_A9C1_883C4971E148_.wvu.PrintArea" localSheetId="4" hidden="1">'Datasheet (4)'!$A$1:$M$57</definedName>
    <definedName name="Z_56C9F3FB_E1BF_4A84_A9C1_883C4971E148_.wvu.PrintArea" localSheetId="5" hidden="1">'Datasheet (5)'!$A$1:$M$57</definedName>
    <definedName name="Z_56C9F3FB_E1BF_4A84_A9C1_883C4971E148_.wvu.PrintArea" localSheetId="6" hidden="1">'Datasheet (6)'!$A$1:$M$57</definedName>
    <definedName name="Z_56C9F3FB_E1BF_4A84_A9C1_883C4971E148_.wvu.PrintArea" localSheetId="7" hidden="1">'Datasheet (7)'!$A$1:$M$57</definedName>
    <definedName name="Z_56C9F3FB_E1BF_4A84_A9C1_883C4971E148_.wvu.PrintArea" localSheetId="8" hidden="1">'Datasheet (8)'!$A$1:$M$57</definedName>
    <definedName name="Z_56C9F3FB_E1BF_4A84_A9C1_883C4971E148_.wvu.PrintArea" localSheetId="9" hidden="1">'Datasheet (9)'!$A$1:$M$57</definedName>
    <definedName name="Z_56C9F3FB_E1BF_4A84_A9C1_883C4971E148_.wvu.PrintArea" localSheetId="11" hidden="1">'Replacement Cartridge (11)'!$A$1:$N$57</definedName>
    <definedName name="Z_56C9F3FB_E1BF_4A84_A9C1_883C4971E148_.wvu.PrintArea" localSheetId="12" hidden="1">'Replacement Cartridge (12)'!$A$1:$N$57</definedName>
    <definedName name="Z_56C9F3FB_E1BF_4A84_A9C1_883C4971E148_.wvu.PrintArea" localSheetId="13" hidden="1">'Replacement Cartridge (13)'!$A$1:$N$57</definedName>
    <definedName name="Z_56C9F3FB_E1BF_4A84_A9C1_883C4971E148_.wvu.PrintArea" localSheetId="0" hidden="1">'Worksheet Instructions'!$A$1:$M$65</definedName>
    <definedName name="Z_93D8E372_F7EE_4EF2_BAF9_F99132763C7B_.wvu.PrintArea" localSheetId="1" hidden="1">'Datasheet (1)'!$B$1:$M$57</definedName>
    <definedName name="Z_93D8E372_F7EE_4EF2_BAF9_F99132763C7B_.wvu.PrintArea" localSheetId="10" hidden="1">'Datasheet (10)'!$A$1:$M$57</definedName>
    <definedName name="Z_93D8E372_F7EE_4EF2_BAF9_F99132763C7B_.wvu.PrintArea" localSheetId="2" hidden="1">'Datasheet (2)'!$A$1:$M$57</definedName>
    <definedName name="Z_93D8E372_F7EE_4EF2_BAF9_F99132763C7B_.wvu.PrintArea" localSheetId="3" hidden="1">'Datasheet (3)'!$A$1:$M$57</definedName>
    <definedName name="Z_93D8E372_F7EE_4EF2_BAF9_F99132763C7B_.wvu.PrintArea" localSheetId="4" hidden="1">'Datasheet (4)'!$A$1:$M$57</definedName>
    <definedName name="Z_93D8E372_F7EE_4EF2_BAF9_F99132763C7B_.wvu.PrintArea" localSheetId="5" hidden="1">'Datasheet (5)'!$A$1:$M$57</definedName>
    <definedName name="Z_93D8E372_F7EE_4EF2_BAF9_F99132763C7B_.wvu.PrintArea" localSheetId="6" hidden="1">'Datasheet (6)'!$A$1:$M$57</definedName>
    <definedName name="Z_93D8E372_F7EE_4EF2_BAF9_F99132763C7B_.wvu.PrintArea" localSheetId="7" hidden="1">'Datasheet (7)'!$A$1:$M$57</definedName>
    <definedName name="Z_93D8E372_F7EE_4EF2_BAF9_F99132763C7B_.wvu.PrintArea" localSheetId="8" hidden="1">'Datasheet (8)'!$A$1:$M$57</definedName>
    <definedName name="Z_93D8E372_F7EE_4EF2_BAF9_F99132763C7B_.wvu.PrintArea" localSheetId="9" hidden="1">'Datasheet (9)'!$A$1:$M$57</definedName>
    <definedName name="Z_93D8E372_F7EE_4EF2_BAF9_F99132763C7B_.wvu.PrintArea" localSheetId="11" hidden="1">'Replacement Cartridge (11)'!$A$1:$N$57</definedName>
    <definedName name="Z_93D8E372_F7EE_4EF2_BAF9_F99132763C7B_.wvu.PrintArea" localSheetId="12" hidden="1">'Replacement Cartridge (12)'!$A$1:$N$57</definedName>
    <definedName name="Z_93D8E372_F7EE_4EF2_BAF9_F99132763C7B_.wvu.PrintArea" localSheetId="13" hidden="1">'Replacement Cartridge (13)'!$A$1:$N$57</definedName>
    <definedName name="Z_93D8E372_F7EE_4EF2_BAF9_F99132763C7B_.wvu.PrintArea" localSheetId="0" hidden="1">'Worksheet Instructions'!$A$1:$M$65</definedName>
    <definedName name="Z_9FF8D058_850F_4928_A8DF_23EAF83DEA90_.wvu.PrintArea" localSheetId="1" hidden="1">'Datasheet (1)'!$B$1:$M$57</definedName>
    <definedName name="Z_9FF8D058_850F_4928_A8DF_23EAF83DEA90_.wvu.PrintArea" localSheetId="10" hidden="1">'Datasheet (10)'!$A$1:$M$57</definedName>
    <definedName name="Z_9FF8D058_850F_4928_A8DF_23EAF83DEA90_.wvu.PrintArea" localSheetId="2" hidden="1">'Datasheet (2)'!$A$1:$M$57</definedName>
    <definedName name="Z_9FF8D058_850F_4928_A8DF_23EAF83DEA90_.wvu.PrintArea" localSheetId="3" hidden="1">'Datasheet (3)'!$A$1:$M$57</definedName>
    <definedName name="Z_9FF8D058_850F_4928_A8DF_23EAF83DEA90_.wvu.PrintArea" localSheetId="4" hidden="1">'Datasheet (4)'!$A$1:$M$57</definedName>
    <definedName name="Z_9FF8D058_850F_4928_A8DF_23EAF83DEA90_.wvu.PrintArea" localSheetId="5" hidden="1">'Datasheet (5)'!$A$1:$M$57</definedName>
    <definedName name="Z_9FF8D058_850F_4928_A8DF_23EAF83DEA90_.wvu.PrintArea" localSheetId="6" hidden="1">'Datasheet (6)'!$A$1:$M$57</definedName>
    <definedName name="Z_9FF8D058_850F_4928_A8DF_23EAF83DEA90_.wvu.PrintArea" localSheetId="7" hidden="1">'Datasheet (7)'!$A$1:$M$57</definedName>
    <definedName name="Z_9FF8D058_850F_4928_A8DF_23EAF83DEA90_.wvu.PrintArea" localSheetId="8" hidden="1">'Datasheet (8)'!$A$1:$M$57</definedName>
    <definedName name="Z_9FF8D058_850F_4928_A8DF_23EAF83DEA90_.wvu.PrintArea" localSheetId="9" hidden="1">'Datasheet (9)'!$A$1:$M$57</definedName>
    <definedName name="Z_9FF8D058_850F_4928_A8DF_23EAF83DEA90_.wvu.PrintArea" localSheetId="11" hidden="1">'Replacement Cartridge (11)'!$A$1:$N$57</definedName>
    <definedName name="Z_9FF8D058_850F_4928_A8DF_23EAF83DEA90_.wvu.PrintArea" localSheetId="12" hidden="1">'Replacement Cartridge (12)'!$A$1:$N$57</definedName>
    <definedName name="Z_9FF8D058_850F_4928_A8DF_23EAF83DEA90_.wvu.PrintArea" localSheetId="13" hidden="1">'Replacement Cartridge (13)'!$A$1:$N$57</definedName>
    <definedName name="Z_9FF8D058_850F_4928_A8DF_23EAF83DEA90_.wvu.PrintArea" localSheetId="0" hidden="1">'Worksheet Instructions'!$A$1:$M$65</definedName>
    <definedName name="zerocalc">#REF!</definedName>
  </definedNames>
  <calcPr calcId="191029"/>
  <customWorkbookViews>
    <customWorkbookView name="Tuka, Tamara - Personal View" guid="{56C9F3FB-E1BF-4A84-A9C1-883C4971E148}" mergeInterval="0" personalView="1" maximized="1" xWindow="1912" yWindow="-8" windowWidth="1936" windowHeight="1056" tabRatio="904" activeSheetId="13"/>
    <customWorkbookView name="Garay, Elenita - Personal View" guid="{9FF8D058-850F-4928-A8DF-23EAF83DEA90}" mergeInterval="0" personalView="1" maximized="1" xWindow="2869" yWindow="-536" windowWidth="2902" windowHeight="1762" tabRatio="904" activeSheetId="1"/>
    <customWorkbookView name="Bodhankar, Kshitij Kushal - Personal View" guid="{0389F900-36E4-47B4-9211-C9631990552B}" mergeInterval="0" personalView="1" maximized="1" xWindow="-1928" yWindow="-8" windowWidth="1936" windowHeight="1066" tabRatio="904" activeSheetId="14"/>
    <customWorkbookView name="Garcia, James - Personal View" guid="{93D8E372-F7EE-4EF2-BAF9-F99132763C7B}" mergeInterval="0" personalView="1" maximized="1" xWindow="3832" yWindow="-8" windowWidth="1936" windowHeight="1176" tabRatio="904" activeSheetId="1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4" l="1"/>
  <c r="K43" i="14"/>
  <c r="K41" i="14"/>
  <c r="K39" i="14"/>
  <c r="K37" i="14"/>
  <c r="K35" i="14"/>
  <c r="K33" i="14"/>
  <c r="K31" i="14"/>
  <c r="K29" i="14"/>
  <c r="K27" i="14"/>
  <c r="K25" i="14"/>
  <c r="K23" i="14"/>
  <c r="K21" i="14"/>
  <c r="K19" i="14"/>
  <c r="K17" i="14"/>
  <c r="K15" i="14"/>
  <c r="K13" i="14"/>
  <c r="K11" i="14"/>
  <c r="F10" i="14"/>
  <c r="L37" i="14" s="1"/>
  <c r="M37" i="14" s="1"/>
  <c r="D10" i="14"/>
  <c r="B10" i="14"/>
  <c r="K9" i="14"/>
  <c r="K7" i="14"/>
  <c r="B6" i="14"/>
  <c r="K5" i="14"/>
  <c r="K3" i="14"/>
  <c r="F2" i="14"/>
  <c r="D2" i="14"/>
  <c r="B2" i="14"/>
  <c r="L45" i="13"/>
  <c r="M45" i="13" s="1"/>
  <c r="K45" i="13"/>
  <c r="M43" i="13"/>
  <c r="L43" i="13"/>
  <c r="K43" i="13"/>
  <c r="L41" i="13"/>
  <c r="M41" i="13" s="1"/>
  <c r="K41" i="13"/>
  <c r="L39" i="13"/>
  <c r="M39" i="13" s="1"/>
  <c r="K39" i="13"/>
  <c r="L37" i="13"/>
  <c r="M37" i="13" s="1"/>
  <c r="K37" i="13"/>
  <c r="L35" i="13"/>
  <c r="M35" i="13" s="1"/>
  <c r="K35" i="13"/>
  <c r="M33" i="13"/>
  <c r="L33" i="13"/>
  <c r="K33" i="13"/>
  <c r="M31" i="13"/>
  <c r="L31" i="13"/>
  <c r="K31" i="13"/>
  <c r="L29" i="13"/>
  <c r="M29" i="13" s="1"/>
  <c r="K29" i="13"/>
  <c r="L27" i="13"/>
  <c r="M27" i="13" s="1"/>
  <c r="K27" i="13"/>
  <c r="M25" i="13"/>
  <c r="L25" i="13"/>
  <c r="K25" i="13"/>
  <c r="L23" i="13"/>
  <c r="M23" i="13" s="1"/>
  <c r="K23" i="13"/>
  <c r="L21" i="13"/>
  <c r="M21" i="13" s="1"/>
  <c r="K21" i="13"/>
  <c r="L19" i="13"/>
  <c r="M19" i="13" s="1"/>
  <c r="K19" i="13"/>
  <c r="M17" i="13"/>
  <c r="L17" i="13"/>
  <c r="K17" i="13"/>
  <c r="M15" i="13"/>
  <c r="L15" i="13"/>
  <c r="K15" i="13"/>
  <c r="L13" i="13"/>
  <c r="M13" i="13" s="1"/>
  <c r="K13" i="13"/>
  <c r="M11" i="13"/>
  <c r="L11" i="13"/>
  <c r="K11" i="13"/>
  <c r="F10" i="13"/>
  <c r="D10" i="13"/>
  <c r="B10" i="13"/>
  <c r="L9" i="13"/>
  <c r="M9" i="13" s="1"/>
  <c r="K9" i="13"/>
  <c r="L7" i="13"/>
  <c r="M7" i="13" s="1"/>
  <c r="K7" i="13"/>
  <c r="B6" i="13"/>
  <c r="L5" i="13"/>
  <c r="M5" i="13" s="1"/>
  <c r="K5" i="13"/>
  <c r="M3" i="13"/>
  <c r="L3" i="13"/>
  <c r="K3" i="13"/>
  <c r="F2" i="13"/>
  <c r="D2" i="13"/>
  <c r="B2" i="13"/>
  <c r="L45" i="12"/>
  <c r="M45" i="12" s="1"/>
  <c r="K45" i="12"/>
  <c r="L43" i="12"/>
  <c r="M43" i="12" s="1"/>
  <c r="K43" i="12"/>
  <c r="L41" i="12"/>
  <c r="M41" i="12" s="1"/>
  <c r="K41" i="12"/>
  <c r="M39" i="12"/>
  <c r="L39" i="12"/>
  <c r="K39" i="12"/>
  <c r="M37" i="12"/>
  <c r="L37" i="12"/>
  <c r="K37" i="12"/>
  <c r="L35" i="12"/>
  <c r="M35" i="12" s="1"/>
  <c r="K35" i="12"/>
  <c r="L33" i="12"/>
  <c r="M33" i="12" s="1"/>
  <c r="K33" i="12"/>
  <c r="M31" i="12"/>
  <c r="L31" i="12"/>
  <c r="K31" i="12"/>
  <c r="L29" i="12"/>
  <c r="M29" i="12" s="1"/>
  <c r="K29" i="12"/>
  <c r="L27" i="12"/>
  <c r="M27" i="12" s="1"/>
  <c r="K27" i="12"/>
  <c r="M25" i="12"/>
  <c r="L25" i="12"/>
  <c r="K25" i="12"/>
  <c r="M23" i="12"/>
  <c r="L23" i="12"/>
  <c r="K23" i="12"/>
  <c r="M21" i="12"/>
  <c r="L21" i="12"/>
  <c r="K21" i="12"/>
  <c r="L19" i="12"/>
  <c r="M19" i="12" s="1"/>
  <c r="K19" i="12"/>
  <c r="M17" i="12"/>
  <c r="L17" i="12"/>
  <c r="K17" i="12"/>
  <c r="L15" i="12"/>
  <c r="M15" i="12" s="1"/>
  <c r="K15" i="12"/>
  <c r="L13" i="12"/>
  <c r="M13" i="12" s="1"/>
  <c r="K13" i="12"/>
  <c r="L11" i="12"/>
  <c r="M11" i="12" s="1"/>
  <c r="K11" i="12"/>
  <c r="F10" i="12"/>
  <c r="D10" i="12"/>
  <c r="B10" i="12"/>
  <c r="M9" i="12"/>
  <c r="L9" i="12"/>
  <c r="K9" i="12"/>
  <c r="M7" i="12"/>
  <c r="L7" i="12"/>
  <c r="K7" i="12"/>
  <c r="B6" i="12"/>
  <c r="L5" i="12"/>
  <c r="M5" i="12" s="1"/>
  <c r="K5" i="12"/>
  <c r="L3" i="12"/>
  <c r="M3" i="12" s="1"/>
  <c r="K3" i="12"/>
  <c r="F2" i="12"/>
  <c r="D2" i="12"/>
  <c r="B2" i="12"/>
  <c r="K45" i="11"/>
  <c r="K43" i="11"/>
  <c r="K41" i="11"/>
  <c r="L39" i="11"/>
  <c r="M39" i="11" s="1"/>
  <c r="K39" i="11"/>
  <c r="K37" i="11"/>
  <c r="L35" i="11"/>
  <c r="M35" i="11" s="1"/>
  <c r="K35" i="11"/>
  <c r="K33" i="11"/>
  <c r="K31" i="11"/>
  <c r="K29" i="11"/>
  <c r="K27" i="11"/>
  <c r="L25" i="11"/>
  <c r="M25" i="11" s="1"/>
  <c r="K25" i="11"/>
  <c r="K23" i="11"/>
  <c r="K21" i="11"/>
  <c r="L19" i="11"/>
  <c r="M19" i="11" s="1"/>
  <c r="K19" i="11"/>
  <c r="L17" i="11"/>
  <c r="M17" i="11" s="1"/>
  <c r="K17" i="11"/>
  <c r="L15" i="11"/>
  <c r="M15" i="11" s="1"/>
  <c r="K15" i="11"/>
  <c r="K13" i="11"/>
  <c r="K11" i="11"/>
  <c r="F10" i="11"/>
  <c r="L23" i="11" s="1"/>
  <c r="M23" i="11" s="1"/>
  <c r="D10" i="11"/>
  <c r="B10" i="11"/>
  <c r="L9" i="11"/>
  <c r="M9" i="11" s="1"/>
  <c r="K9" i="11"/>
  <c r="K7" i="11"/>
  <c r="B6" i="11"/>
  <c r="K5" i="11"/>
  <c r="K3" i="11"/>
  <c r="F2" i="11"/>
  <c r="D2" i="11"/>
  <c r="B2" i="11"/>
  <c r="M45" i="10"/>
  <c r="L45" i="10"/>
  <c r="K45" i="10"/>
  <c r="M43" i="10"/>
  <c r="L43" i="10"/>
  <c r="K43" i="10"/>
  <c r="L41" i="10"/>
  <c r="M41" i="10" s="1"/>
  <c r="K41" i="10"/>
  <c r="L39" i="10"/>
  <c r="M39" i="10" s="1"/>
  <c r="K39" i="10"/>
  <c r="M37" i="10"/>
  <c r="L37" i="10"/>
  <c r="K37" i="10"/>
  <c r="L35" i="10"/>
  <c r="M35" i="10" s="1"/>
  <c r="K35" i="10"/>
  <c r="M33" i="10"/>
  <c r="L33" i="10"/>
  <c r="K33" i="10"/>
  <c r="L31" i="10"/>
  <c r="M31" i="10" s="1"/>
  <c r="K31" i="10"/>
  <c r="M29" i="10"/>
  <c r="L29" i="10"/>
  <c r="K29" i="10"/>
  <c r="L27" i="10"/>
  <c r="M27" i="10" s="1"/>
  <c r="K27" i="10"/>
  <c r="L25" i="10"/>
  <c r="M25" i="10" s="1"/>
  <c r="K25" i="10"/>
  <c r="L23" i="10"/>
  <c r="M23" i="10" s="1"/>
  <c r="K23" i="10"/>
  <c r="L21" i="10"/>
  <c r="M21" i="10" s="1"/>
  <c r="K21" i="10"/>
  <c r="M19" i="10"/>
  <c r="L19" i="10"/>
  <c r="K19" i="10"/>
  <c r="M17" i="10"/>
  <c r="L17" i="10"/>
  <c r="K17" i="10"/>
  <c r="M15" i="10"/>
  <c r="L15" i="10"/>
  <c r="K15" i="10"/>
  <c r="M13" i="10"/>
  <c r="L13" i="10"/>
  <c r="K13" i="10"/>
  <c r="M11" i="10"/>
  <c r="L11" i="10"/>
  <c r="K11" i="10"/>
  <c r="F10" i="10"/>
  <c r="D10" i="10"/>
  <c r="B10" i="10"/>
  <c r="L9" i="10"/>
  <c r="M9" i="10" s="1"/>
  <c r="K9" i="10"/>
  <c r="M7" i="10"/>
  <c r="L7" i="10"/>
  <c r="K7" i="10"/>
  <c r="B6" i="10"/>
  <c r="M5" i="10"/>
  <c r="L5" i="10"/>
  <c r="K5" i="10"/>
  <c r="M3" i="10"/>
  <c r="L3" i="10"/>
  <c r="K3" i="10"/>
  <c r="F2" i="10"/>
  <c r="D2" i="10"/>
  <c r="B2" i="10"/>
  <c r="K45" i="9"/>
  <c r="K43" i="9"/>
  <c r="L41" i="9"/>
  <c r="M41" i="9" s="1"/>
  <c r="K41" i="9"/>
  <c r="M39" i="9"/>
  <c r="L39" i="9"/>
  <c r="K39" i="9"/>
  <c r="K37" i="9"/>
  <c r="K35" i="9"/>
  <c r="L33" i="9"/>
  <c r="M33" i="9" s="1"/>
  <c r="K33" i="9"/>
  <c r="K31" i="9"/>
  <c r="L29" i="9"/>
  <c r="M29" i="9" s="1"/>
  <c r="K29" i="9"/>
  <c r="K27" i="9"/>
  <c r="K25" i="9"/>
  <c r="K23" i="9"/>
  <c r="K21" i="9"/>
  <c r="M19" i="9"/>
  <c r="L19" i="9"/>
  <c r="K19" i="9"/>
  <c r="K17" i="9"/>
  <c r="L15" i="9"/>
  <c r="M15" i="9" s="1"/>
  <c r="K15" i="9"/>
  <c r="K13" i="9"/>
  <c r="K11" i="9"/>
  <c r="F10" i="9"/>
  <c r="L35" i="9" s="1"/>
  <c r="M35" i="9" s="1"/>
  <c r="D10" i="9"/>
  <c r="B10" i="9"/>
  <c r="M9" i="9"/>
  <c r="L9" i="9"/>
  <c r="K9" i="9"/>
  <c r="K7" i="9"/>
  <c r="B6" i="9"/>
  <c r="K5" i="9"/>
  <c r="K3" i="9"/>
  <c r="F2" i="9"/>
  <c r="D2" i="9"/>
  <c r="B2" i="9"/>
  <c r="M45" i="8"/>
  <c r="L45" i="8"/>
  <c r="K45" i="8"/>
  <c r="L43" i="8"/>
  <c r="M43" i="8" s="1"/>
  <c r="K43" i="8"/>
  <c r="M41" i="8"/>
  <c r="L41" i="8"/>
  <c r="K41" i="8"/>
  <c r="L39" i="8"/>
  <c r="M39" i="8" s="1"/>
  <c r="K39" i="8"/>
  <c r="L37" i="8"/>
  <c r="M37" i="8" s="1"/>
  <c r="K37" i="8"/>
  <c r="L35" i="8"/>
  <c r="M35" i="8" s="1"/>
  <c r="K35" i="8"/>
  <c r="M33" i="8"/>
  <c r="L33" i="8"/>
  <c r="K33" i="8"/>
  <c r="M31" i="8"/>
  <c r="L31" i="8"/>
  <c r="K31" i="8"/>
  <c r="M29" i="8"/>
  <c r="L29" i="8"/>
  <c r="K29" i="8"/>
  <c r="M27" i="8"/>
  <c r="L27" i="8"/>
  <c r="K27" i="8"/>
  <c r="M25" i="8"/>
  <c r="L25" i="8"/>
  <c r="K25" i="8"/>
  <c r="M23" i="8"/>
  <c r="L23" i="8"/>
  <c r="K23" i="8"/>
  <c r="L21" i="8"/>
  <c r="M21" i="8" s="1"/>
  <c r="K21" i="8"/>
  <c r="L19" i="8"/>
  <c r="M19" i="8" s="1"/>
  <c r="K19" i="8"/>
  <c r="M17" i="8"/>
  <c r="L17" i="8"/>
  <c r="K17" i="8"/>
  <c r="L15" i="8"/>
  <c r="M15" i="8" s="1"/>
  <c r="K15" i="8"/>
  <c r="M13" i="8"/>
  <c r="L13" i="8"/>
  <c r="K13" i="8"/>
  <c r="L11" i="8"/>
  <c r="M11" i="8" s="1"/>
  <c r="K11" i="8"/>
  <c r="F10" i="8"/>
  <c r="D10" i="8"/>
  <c r="B10" i="8"/>
  <c r="L9" i="8"/>
  <c r="M9" i="8" s="1"/>
  <c r="K9" i="8"/>
  <c r="L7" i="8"/>
  <c r="M7" i="8" s="1"/>
  <c r="K7" i="8"/>
  <c r="B6" i="8"/>
  <c r="M5" i="8"/>
  <c r="L5" i="8"/>
  <c r="K5" i="8"/>
  <c r="L3" i="8"/>
  <c r="M3" i="8" s="1"/>
  <c r="K3" i="8"/>
  <c r="F2" i="8"/>
  <c r="D2" i="8"/>
  <c r="B2" i="8"/>
  <c r="L45" i="7"/>
  <c r="M45" i="7" s="1"/>
  <c r="K45" i="7"/>
  <c r="L43" i="7"/>
  <c r="M43" i="7" s="1"/>
  <c r="K43" i="7"/>
  <c r="L41" i="7"/>
  <c r="M41" i="7" s="1"/>
  <c r="K41" i="7"/>
  <c r="L39" i="7"/>
  <c r="M39" i="7" s="1"/>
  <c r="K39" i="7"/>
  <c r="M37" i="7"/>
  <c r="L37" i="7"/>
  <c r="K37" i="7"/>
  <c r="M35" i="7"/>
  <c r="L35" i="7"/>
  <c r="K35" i="7"/>
  <c r="M33" i="7"/>
  <c r="L33" i="7"/>
  <c r="K33" i="7"/>
  <c r="M31" i="7"/>
  <c r="L31" i="7"/>
  <c r="K31" i="7"/>
  <c r="M29" i="7"/>
  <c r="L29" i="7"/>
  <c r="K29" i="7"/>
  <c r="L27" i="7"/>
  <c r="M27" i="7" s="1"/>
  <c r="K27" i="7"/>
  <c r="M25" i="7"/>
  <c r="L25" i="7"/>
  <c r="K25" i="7"/>
  <c r="M23" i="7"/>
  <c r="L23" i="7"/>
  <c r="K23" i="7"/>
  <c r="L21" i="7"/>
  <c r="M21" i="7" s="1"/>
  <c r="K21" i="7"/>
  <c r="M19" i="7"/>
  <c r="L19" i="7"/>
  <c r="K19" i="7"/>
  <c r="M17" i="7"/>
  <c r="L17" i="7"/>
  <c r="K17" i="7"/>
  <c r="L15" i="7"/>
  <c r="M15" i="7" s="1"/>
  <c r="K15" i="7"/>
  <c r="L13" i="7"/>
  <c r="M13" i="7" s="1"/>
  <c r="K13" i="7"/>
  <c r="L11" i="7"/>
  <c r="M11" i="7" s="1"/>
  <c r="K11" i="7"/>
  <c r="F10" i="7"/>
  <c r="D10" i="7"/>
  <c r="B10" i="7"/>
  <c r="L9" i="7"/>
  <c r="M9" i="7" s="1"/>
  <c r="K9" i="7"/>
  <c r="M7" i="7"/>
  <c r="L7" i="7"/>
  <c r="K7" i="7"/>
  <c r="B6" i="7"/>
  <c r="L5" i="7"/>
  <c r="M5" i="7" s="1"/>
  <c r="K5" i="7"/>
  <c r="L3" i="7"/>
  <c r="M3" i="7" s="1"/>
  <c r="K3" i="7"/>
  <c r="F2" i="7"/>
  <c r="D2" i="7"/>
  <c r="B2" i="7"/>
  <c r="K45" i="6"/>
  <c r="L43" i="6"/>
  <c r="M43" i="6" s="1"/>
  <c r="K43" i="6"/>
  <c r="K41" i="6"/>
  <c r="K39" i="6"/>
  <c r="K37" i="6"/>
  <c r="K35" i="6"/>
  <c r="K33" i="6"/>
  <c r="K31" i="6"/>
  <c r="K29" i="6"/>
  <c r="K27" i="6"/>
  <c r="L25" i="6"/>
  <c r="M25" i="6" s="1"/>
  <c r="K25" i="6"/>
  <c r="K23" i="6"/>
  <c r="L21" i="6"/>
  <c r="M21" i="6" s="1"/>
  <c r="K21" i="6"/>
  <c r="K19" i="6"/>
  <c r="K17" i="6"/>
  <c r="K15" i="6"/>
  <c r="K13" i="6"/>
  <c r="K11" i="6"/>
  <c r="F10" i="6"/>
  <c r="L31" i="6" s="1"/>
  <c r="M31" i="6" s="1"/>
  <c r="D10" i="6"/>
  <c r="B10" i="6"/>
  <c r="K9" i="6"/>
  <c r="L7" i="6"/>
  <c r="M7" i="6" s="1"/>
  <c r="K7" i="6"/>
  <c r="B6" i="6"/>
  <c r="K5" i="6"/>
  <c r="K3" i="6"/>
  <c r="F2" i="6"/>
  <c r="D2" i="6"/>
  <c r="B2" i="6"/>
  <c r="K45" i="5"/>
  <c r="L43" i="5"/>
  <c r="M43" i="5" s="1"/>
  <c r="K43" i="5"/>
  <c r="K41" i="5"/>
  <c r="K39" i="5"/>
  <c r="K37" i="5"/>
  <c r="L35" i="5"/>
  <c r="M35" i="5" s="1"/>
  <c r="K35" i="5"/>
  <c r="K33" i="5"/>
  <c r="K31" i="5"/>
  <c r="K29" i="5"/>
  <c r="K27" i="5"/>
  <c r="K25" i="5"/>
  <c r="K23" i="5"/>
  <c r="K21" i="5"/>
  <c r="K19" i="5"/>
  <c r="K17" i="5"/>
  <c r="K15" i="5"/>
  <c r="K13" i="5"/>
  <c r="L11" i="5"/>
  <c r="M11" i="5" s="1"/>
  <c r="K11" i="5"/>
  <c r="F10" i="5"/>
  <c r="L37" i="5" s="1"/>
  <c r="M37" i="5" s="1"/>
  <c r="D10" i="5"/>
  <c r="B10" i="5"/>
  <c r="K9" i="5"/>
  <c r="K7" i="5"/>
  <c r="B6" i="5"/>
  <c r="K5" i="5"/>
  <c r="L3" i="5"/>
  <c r="M3" i="5" s="1"/>
  <c r="K3" i="5"/>
  <c r="F2" i="5"/>
  <c r="D2" i="5"/>
  <c r="B2" i="5"/>
  <c r="K45" i="4"/>
  <c r="M43" i="4"/>
  <c r="L43" i="4"/>
  <c r="K43" i="4"/>
  <c r="L41" i="4"/>
  <c r="M41" i="4" s="1"/>
  <c r="K41" i="4"/>
  <c r="L39" i="4"/>
  <c r="M39" i="4" s="1"/>
  <c r="K39" i="4"/>
  <c r="L37" i="4"/>
  <c r="M37" i="4" s="1"/>
  <c r="K37" i="4"/>
  <c r="L35" i="4"/>
  <c r="M35" i="4" s="1"/>
  <c r="K35" i="4"/>
  <c r="L33" i="4"/>
  <c r="M33" i="4" s="1"/>
  <c r="K33" i="4"/>
  <c r="L31" i="4"/>
  <c r="M31" i="4" s="1"/>
  <c r="K31" i="4"/>
  <c r="K29" i="4"/>
  <c r="K27" i="4"/>
  <c r="K25" i="4"/>
  <c r="L23" i="4"/>
  <c r="M23" i="4" s="1"/>
  <c r="K23" i="4"/>
  <c r="K21" i="4"/>
  <c r="K19" i="4"/>
  <c r="L17" i="4"/>
  <c r="M17" i="4" s="1"/>
  <c r="K17" i="4"/>
  <c r="M15" i="4"/>
  <c r="L15" i="4"/>
  <c r="K15" i="4"/>
  <c r="K13" i="4"/>
  <c r="K11" i="4"/>
  <c r="L11" i="4" s="1"/>
  <c r="F10" i="4"/>
  <c r="L21" i="4" s="1"/>
  <c r="M21" i="4" s="1"/>
  <c r="D10" i="4"/>
  <c r="B10" i="4"/>
  <c r="K9" i="4"/>
  <c r="K7" i="4"/>
  <c r="B6" i="4"/>
  <c r="L5" i="4"/>
  <c r="M5" i="4" s="1"/>
  <c r="K5" i="4"/>
  <c r="L3" i="4"/>
  <c r="M3" i="4" s="1"/>
  <c r="K3" i="4"/>
  <c r="F2" i="4"/>
  <c r="D2" i="4"/>
  <c r="B2" i="4"/>
  <c r="K45" i="3"/>
  <c r="K43" i="3"/>
  <c r="K41" i="3"/>
  <c r="K39" i="3"/>
  <c r="K37" i="3"/>
  <c r="K35" i="3"/>
  <c r="K33" i="3"/>
  <c r="K31" i="3"/>
  <c r="K29" i="3"/>
  <c r="K27" i="3"/>
  <c r="K25" i="3"/>
  <c r="K23" i="3"/>
  <c r="K21" i="3"/>
  <c r="K19" i="3"/>
  <c r="K17" i="3"/>
  <c r="K15" i="3"/>
  <c r="K13" i="3"/>
  <c r="K11" i="3"/>
  <c r="F10" i="3"/>
  <c r="L37" i="3" s="1"/>
  <c r="M37" i="3" s="1"/>
  <c r="D10" i="3"/>
  <c r="B10" i="3"/>
  <c r="K9" i="3"/>
  <c r="K7" i="3"/>
  <c r="B6" i="3"/>
  <c r="K5" i="3"/>
  <c r="K3" i="3"/>
  <c r="F2" i="3"/>
  <c r="D2" i="3"/>
  <c r="B2" i="3"/>
  <c r="L49" i="2"/>
  <c r="K49" i="2"/>
  <c r="M45" i="2"/>
  <c r="L45" i="2"/>
  <c r="K45" i="2"/>
  <c r="M43" i="2"/>
  <c r="L43" i="2"/>
  <c r="K43" i="2"/>
  <c r="M41" i="2"/>
  <c r="L41" i="2"/>
  <c r="K41" i="2"/>
  <c r="M39" i="2"/>
  <c r="L39" i="2"/>
  <c r="K39" i="2"/>
  <c r="M37" i="2"/>
  <c r="L37" i="2"/>
  <c r="K37" i="2"/>
  <c r="L35" i="2"/>
  <c r="M35" i="2" s="1"/>
  <c r="K35" i="2"/>
  <c r="L33" i="2"/>
  <c r="M33" i="2" s="1"/>
  <c r="K33" i="2"/>
  <c r="M31" i="2"/>
  <c r="L31" i="2"/>
  <c r="K31" i="2"/>
  <c r="L29" i="2"/>
  <c r="M29" i="2" s="1"/>
  <c r="K29" i="2"/>
  <c r="M27" i="2"/>
  <c r="L27" i="2"/>
  <c r="K27" i="2"/>
  <c r="M25" i="2"/>
  <c r="L25" i="2"/>
  <c r="K25" i="2"/>
  <c r="L23" i="2"/>
  <c r="M23" i="2" s="1"/>
  <c r="K23" i="2"/>
  <c r="L21" i="2"/>
  <c r="M21" i="2" s="1"/>
  <c r="K21" i="2"/>
  <c r="L19" i="2"/>
  <c r="M19" i="2" s="1"/>
  <c r="K19" i="2"/>
  <c r="L17" i="2"/>
  <c r="M17" i="2" s="1"/>
  <c r="K17" i="2"/>
  <c r="M15" i="2"/>
  <c r="L15" i="2"/>
  <c r="K15" i="2"/>
  <c r="M13" i="2"/>
  <c r="L13" i="2"/>
  <c r="K13" i="2"/>
  <c r="K11" i="2"/>
  <c r="L11" i="2" s="1"/>
  <c r="F10" i="2"/>
  <c r="M9" i="2"/>
  <c r="L9" i="2"/>
  <c r="K9" i="2"/>
  <c r="M7" i="2"/>
  <c r="L7" i="2"/>
  <c r="K7" i="2"/>
  <c r="M5" i="2"/>
  <c r="L5" i="2"/>
  <c r="K5" i="2"/>
  <c r="L3" i="2"/>
  <c r="M3" i="2" s="1"/>
  <c r="K3" i="2"/>
  <c r="L25" i="9" l="1"/>
  <c r="M25" i="9" s="1"/>
  <c r="L5" i="11"/>
  <c r="M5" i="11" s="1"/>
  <c r="L13" i="11"/>
  <c r="M13" i="11" s="1"/>
  <c r="L45" i="11"/>
  <c r="M45" i="11" s="1"/>
  <c r="L27" i="14"/>
  <c r="M27" i="14" s="1"/>
  <c r="L27" i="3"/>
  <c r="M27" i="3" s="1"/>
  <c r="L39" i="3"/>
  <c r="M39" i="3" s="1"/>
  <c r="L17" i="5"/>
  <c r="M17" i="5" s="1"/>
  <c r="L3" i="6"/>
  <c r="M3" i="6" s="1"/>
  <c r="L11" i="6"/>
  <c r="M11" i="6" s="1"/>
  <c r="L33" i="6"/>
  <c r="M33" i="6" s="1"/>
  <c r="L17" i="14"/>
  <c r="M17" i="14" s="1"/>
  <c r="L27" i="5"/>
  <c r="M27" i="5" s="1"/>
  <c r="L17" i="3"/>
  <c r="M17" i="3" s="1"/>
  <c r="L9" i="3"/>
  <c r="M9" i="3" s="1"/>
  <c r="L13" i="4"/>
  <c r="M13" i="4" s="1"/>
  <c r="L45" i="4"/>
  <c r="M45" i="4" s="1"/>
  <c r="L9" i="5"/>
  <c r="M9" i="5" s="1"/>
  <c r="L39" i="5"/>
  <c r="M39" i="5" s="1"/>
  <c r="L7" i="9"/>
  <c r="M7" i="9" s="1"/>
  <c r="L37" i="9"/>
  <c r="M37" i="9" s="1"/>
  <c r="L9" i="14"/>
  <c r="M9" i="14" s="1"/>
  <c r="L39" i="14"/>
  <c r="M39" i="14" s="1"/>
  <c r="L27" i="9"/>
  <c r="M27" i="9" s="1"/>
  <c r="L29" i="14"/>
  <c r="M29" i="14" s="1"/>
  <c r="L29" i="3"/>
  <c r="L29" i="5"/>
  <c r="M29" i="5" s="1"/>
  <c r="L23" i="6"/>
  <c r="M23" i="6" s="1"/>
  <c r="L45" i="6"/>
  <c r="M45" i="6" s="1"/>
  <c r="L19" i="3"/>
  <c r="M19" i="3" s="1"/>
  <c r="L41" i="3"/>
  <c r="M41" i="3" s="1"/>
  <c r="L25" i="4"/>
  <c r="M25" i="4" s="1"/>
  <c r="L19" i="5"/>
  <c r="M19" i="5" s="1"/>
  <c r="L5" i="6"/>
  <c r="M5" i="6" s="1"/>
  <c r="L13" i="6"/>
  <c r="M13" i="6" s="1"/>
  <c r="L35" i="6"/>
  <c r="M35" i="6" s="1"/>
  <c r="L17" i="9"/>
  <c r="M17" i="9" s="1"/>
  <c r="L7" i="11"/>
  <c r="M7" i="11" s="1"/>
  <c r="L37" i="11"/>
  <c r="M37" i="11" s="1"/>
  <c r="L19" i="14"/>
  <c r="M19" i="14" s="1"/>
  <c r="L7" i="3"/>
  <c r="M7" i="3" s="1"/>
  <c r="L31" i="3"/>
  <c r="M31" i="3" s="1"/>
  <c r="L41" i="5"/>
  <c r="M41" i="5" s="1"/>
  <c r="L27" i="11"/>
  <c r="M27" i="11" s="1"/>
  <c r="L41" i="14"/>
  <c r="M41" i="14" s="1"/>
  <c r="L31" i="14"/>
  <c r="M31" i="14" s="1"/>
  <c r="L31" i="5"/>
  <c r="M31" i="5" s="1"/>
  <c r="L21" i="3"/>
  <c r="M21" i="3" s="1"/>
  <c r="L43" i="3"/>
  <c r="M43" i="3" s="1"/>
  <c r="L7" i="4"/>
  <c r="M7" i="4" s="1"/>
  <c r="L27" i="4"/>
  <c r="M27" i="4" s="1"/>
  <c r="L21" i="5"/>
  <c r="M21" i="5" s="1"/>
  <c r="L15" i="6"/>
  <c r="M15" i="6" s="1"/>
  <c r="L37" i="6"/>
  <c r="M37" i="6" s="1"/>
  <c r="L21" i="14"/>
  <c r="M21" i="14" s="1"/>
  <c r="L29" i="11"/>
  <c r="M29" i="11" s="1"/>
  <c r="L3" i="14"/>
  <c r="M3" i="14" s="1"/>
  <c r="L11" i="14"/>
  <c r="M11" i="14" s="1"/>
  <c r="L43" i="14"/>
  <c r="M43" i="14" s="1"/>
  <c r="L27" i="6"/>
  <c r="L31" i="9"/>
  <c r="M31" i="9" s="1"/>
  <c r="L33" i="14"/>
  <c r="M33" i="14" s="1"/>
  <c r="L3" i="3"/>
  <c r="M3" i="3" s="1"/>
  <c r="L11" i="3"/>
  <c r="M11" i="3" s="1"/>
  <c r="L33" i="3"/>
  <c r="M33" i="3" s="1"/>
  <c r="L33" i="5"/>
  <c r="M33" i="5" s="1"/>
  <c r="L23" i="3"/>
  <c r="M23" i="3" s="1"/>
  <c r="L45" i="3"/>
  <c r="M45" i="3" s="1"/>
  <c r="L9" i="4"/>
  <c r="M9" i="4" s="1"/>
  <c r="L29" i="4"/>
  <c r="M29" i="4" s="1"/>
  <c r="L23" i="5"/>
  <c r="M23" i="5" s="1"/>
  <c r="L17" i="6"/>
  <c r="M17" i="6" s="1"/>
  <c r="L39" i="6"/>
  <c r="M39" i="6" s="1"/>
  <c r="L21" i="9"/>
  <c r="M21" i="9" s="1"/>
  <c r="L41" i="11"/>
  <c r="M41" i="11" s="1"/>
  <c r="L23" i="14"/>
  <c r="M23" i="14" s="1"/>
  <c r="L5" i="3"/>
  <c r="M5" i="3" s="1"/>
  <c r="L13" i="3"/>
  <c r="M13" i="3" s="1"/>
  <c r="L35" i="3"/>
  <c r="M35" i="3" s="1"/>
  <c r="L19" i="4"/>
  <c r="M19" i="4" s="1"/>
  <c r="L5" i="5"/>
  <c r="M5" i="5" s="1"/>
  <c r="L13" i="5"/>
  <c r="M13" i="5" s="1"/>
  <c r="L45" i="5"/>
  <c r="M45" i="5" s="1"/>
  <c r="L9" i="6"/>
  <c r="M9" i="6" s="1"/>
  <c r="L29" i="6"/>
  <c r="M29" i="6" s="1"/>
  <c r="L3" i="9"/>
  <c r="M3" i="9" s="1"/>
  <c r="L11" i="9"/>
  <c r="M11" i="9" s="1"/>
  <c r="L43" i="9"/>
  <c r="M43" i="9" s="1"/>
  <c r="L31" i="11"/>
  <c r="M31" i="11" s="1"/>
  <c r="L5" i="14"/>
  <c r="M5" i="14" s="1"/>
  <c r="L13" i="14"/>
  <c r="M13" i="14" s="1"/>
  <c r="L45" i="14"/>
  <c r="M45" i="14" s="1"/>
  <c r="L21" i="11"/>
  <c r="M21" i="11" s="1"/>
  <c r="L35" i="14"/>
  <c r="M35" i="14" s="1"/>
  <c r="L25" i="3"/>
  <c r="M25" i="3" s="1"/>
  <c r="L25" i="5"/>
  <c r="M25" i="5" s="1"/>
  <c r="L19" i="6"/>
  <c r="M19" i="6" s="1"/>
  <c r="L41" i="6"/>
  <c r="M41" i="6" s="1"/>
  <c r="L23" i="9"/>
  <c r="M23" i="9" s="1"/>
  <c r="L3" i="11"/>
  <c r="M3" i="11" s="1"/>
  <c r="L11" i="11"/>
  <c r="M11" i="11" s="1"/>
  <c r="L43" i="11"/>
  <c r="M43" i="11" s="1"/>
  <c r="L25" i="14"/>
  <c r="M25" i="14" s="1"/>
  <c r="L15" i="3"/>
  <c r="M15" i="3" s="1"/>
  <c r="L15" i="5"/>
  <c r="M15" i="5" s="1"/>
  <c r="L5" i="9"/>
  <c r="M5" i="9" s="1"/>
  <c r="L13" i="9"/>
  <c r="M13" i="9" s="1"/>
  <c r="L45" i="9"/>
  <c r="M45" i="9" s="1"/>
  <c r="L33" i="11"/>
  <c r="M33" i="11" s="1"/>
  <c r="L15" i="14"/>
  <c r="M15" i="14" s="1"/>
  <c r="L7" i="5"/>
  <c r="M7" i="5" s="1"/>
  <c r="L7" i="14"/>
  <c r="M7" i="14" s="1"/>
</calcChain>
</file>

<file path=xl/sharedStrings.xml><?xml version="1.0" encoding="utf-8"?>
<sst xmlns="http://schemas.openxmlformats.org/spreadsheetml/2006/main" count="1299" uniqueCount="257">
  <si>
    <t>Part Number</t>
  </si>
  <si>
    <t>Batch Number(s)</t>
  </si>
  <si>
    <t>ROBAL</t>
  </si>
  <si>
    <t>Cartridge ID</t>
  </si>
  <si>
    <t>Initial Weight (mg)</t>
  </si>
  <si>
    <t>Final Weight (mg)</t>
  </si>
  <si>
    <t>Weight Loss (mg)</t>
  </si>
  <si>
    <t>Weight Loss
Pass/Fail</t>
  </si>
  <si>
    <t>Observation</t>
  </si>
  <si>
    <t>05_1_11</t>
  </si>
  <si>
    <t>Cartridge Number (LSP)</t>
  </si>
  <si>
    <t>NOTE - All weight measurements should be done in "mg" and recorded in "mg".</t>
  </si>
  <si>
    <t>05_1_12</t>
  </si>
  <si>
    <t>05_1_13</t>
  </si>
  <si>
    <t>PO Number</t>
  </si>
  <si>
    <t>Assay Family</t>
  </si>
  <si>
    <t>Weight Loss Spec</t>
  </si>
  <si>
    <t>05_1_14</t>
  </si>
  <si>
    <t>05_1_15</t>
  </si>
  <si>
    <t>Film Seal (Leak)</t>
  </si>
  <si>
    <t>Balance ID Number</t>
  </si>
  <si>
    <t>Balance Cal Due Date</t>
  </si>
  <si>
    <t>05_1_16</t>
  </si>
  <si>
    <t>SCLSYS03, SCLSYS04</t>
  </si>
  <si>
    <t xml:space="preserve"> Apr-26</t>
  </si>
  <si>
    <t>05_1_17</t>
  </si>
  <si>
    <t>05_1_18</t>
  </si>
  <si>
    <t>Vacuum Oven ID Number</t>
  </si>
  <si>
    <t>Vacuum Oven Cal Due Date</t>
  </si>
  <si>
    <t>05_2_19</t>
  </si>
  <si>
    <t>003346, 003587</t>
  </si>
  <si>
    <t xml:space="preserve"> Jun-26</t>
  </si>
  <si>
    <t>05_2_20</t>
  </si>
  <si>
    <t>06_1_11</t>
  </si>
  <si>
    <t>Timer ID Number</t>
  </si>
  <si>
    <t>Timer Cal Due Date</t>
  </si>
  <si>
    <t>Nr. 20, Nr. 21</t>
  </si>
  <si>
    <t>Mar-26</t>
  </si>
  <si>
    <t>06_1_12</t>
  </si>
  <si>
    <t>06_1_13</t>
  </si>
  <si>
    <t>Configuration of Cartridge Lid with Chamber Identification</t>
  </si>
  <si>
    <t>06_1_14</t>
  </si>
  <si>
    <t>06_1_15</t>
  </si>
  <si>
    <t>06_1_16</t>
  </si>
  <si>
    <t>06_1_17</t>
  </si>
  <si>
    <t>06_1_18</t>
  </si>
  <si>
    <t>06_2_19</t>
  </si>
  <si>
    <t>06_2_20</t>
  </si>
  <si>
    <t>Name of Tester</t>
  </si>
  <si>
    <t>Leila Hussein, Toni Shabo</t>
  </si>
  <si>
    <t>N/A</t>
  </si>
  <si>
    <t>Print Full Name, Sign, and Date</t>
  </si>
  <si>
    <t>Test Testsson, JESP, 2026 06 06</t>
  </si>
  <si>
    <t xml:space="preserve">Comments                                                                  </t>
  </si>
  <si>
    <t>For Information Only</t>
  </si>
  <si>
    <t>OC Mold(s)</t>
  </si>
  <si>
    <t>Lid Mold(s)</t>
  </si>
  <si>
    <t>07_1_11</t>
  </si>
  <si>
    <t>07_1_12</t>
  </si>
  <si>
    <t>07_1_13</t>
  </si>
  <si>
    <t>07_1_14</t>
  </si>
  <si>
    <t>07_1_15</t>
  </si>
  <si>
    <t>07_1_16</t>
  </si>
  <si>
    <t>07_1_17</t>
  </si>
  <si>
    <t>07_1_18</t>
  </si>
  <si>
    <t>07_2_19</t>
  </si>
  <si>
    <t>07_2_20</t>
  </si>
  <si>
    <t>08_1_11</t>
  </si>
  <si>
    <t>08_1_12</t>
  </si>
  <si>
    <t>08_1_13</t>
  </si>
  <si>
    <t>08_1_14</t>
  </si>
  <si>
    <t>08_1_15</t>
  </si>
  <si>
    <t>08_1_16</t>
  </si>
  <si>
    <t>08_1_17</t>
  </si>
  <si>
    <t>08_1_18</t>
  </si>
  <si>
    <t>08_2_19</t>
  </si>
  <si>
    <t>08_2_20</t>
  </si>
  <si>
    <t>Laith Ukra</t>
  </si>
  <si>
    <t>09_1_11</t>
  </si>
  <si>
    <t>09_1_12</t>
  </si>
  <si>
    <t>09_1_13</t>
  </si>
  <si>
    <t>09_1_14</t>
  </si>
  <si>
    <t>09_1_15</t>
  </si>
  <si>
    <t>09_1_16</t>
  </si>
  <si>
    <t>09_1_17</t>
  </si>
  <si>
    <t>09_1_18</t>
  </si>
  <si>
    <t>09_2_19</t>
  </si>
  <si>
    <t>09_2_20</t>
  </si>
  <si>
    <t>10_1_11</t>
  </si>
  <si>
    <t>10_1_12</t>
  </si>
  <si>
    <t>10_1_13</t>
  </si>
  <si>
    <t>Broken Chimney</t>
  </si>
  <si>
    <t>10_1_14</t>
  </si>
  <si>
    <t>10_1_15</t>
  </si>
  <si>
    <t>10_1_16</t>
  </si>
  <si>
    <t>10_1_17</t>
  </si>
  <si>
    <t>10_1_18</t>
  </si>
  <si>
    <t>10_2_19</t>
  </si>
  <si>
    <t>10_2_20</t>
  </si>
  <si>
    <t xml:space="preserve">Marina Ahmadi, Katarina Ilic </t>
  </si>
  <si>
    <t>Worksheet Instruction</t>
  </si>
  <si>
    <t>Intended Use</t>
  </si>
  <si>
    <t>This document is used as a worksheet for D9050 Cartridge Seal Integrity Vacuum Test Procedure to record the seal integrity data for reagent-on-board cartridges.</t>
  </si>
  <si>
    <t>Description</t>
  </si>
  <si>
    <t>Operator fills in cartridge ID, initial and final weight values in cells H3:J44.</t>
  </si>
  <si>
    <t>Formula in cells K3:K44 calculate the weight difference if there is a final weight.  There is conditional formatting in these cells to turn the text body red if the weight loss exceeds the limit of 15 mg.</t>
  </si>
  <si>
    <t>Formula in cells L3:L44 indicate PASS/FAIL for appropriate conditions.  Lack of data causes this cell to be blank.  Conditional formatting is used to turn this text bold green or red for PASS and FAIL respectively.</t>
  </si>
  <si>
    <t>Operator selects Observation for STF characterization from the drop-down list if a sample fails for weight loss.</t>
  </si>
  <si>
    <t>For Production Order (PO) with multiple batches, enter all batch numbers on the worksheet.</t>
  </si>
  <si>
    <t>Naming Instructions</t>
  </si>
  <si>
    <t>Cepheid US Sites:</t>
  </si>
  <si>
    <t>Sample Naming as follows: Bag#_Sample/Replacement_Sample#Lid Laser Cut Pattern (for example 1_S_01+ OR 2_R_05X) unless otherwise specified per D12547 BOM.</t>
  </si>
  <si>
    <t>Sample Type for Xpert® Check should be entered as Sample/Replacement (for example 1_S_01+ or 2_R_05X)</t>
  </si>
  <si>
    <t>Solna:</t>
  </si>
  <si>
    <t>Sample Naming as follows: Bag#_Sample Type_Sample# (for example 1_1_01 OR 2_0_05) unless otherwise specified per D12547 BOM.</t>
  </si>
  <si>
    <t>Sample Type for XpertCheck should be entered as Zero (for example 1_0_01 or 2_0_05)</t>
  </si>
  <si>
    <t>Assay List</t>
  </si>
  <si>
    <t>(Characterization) Observation</t>
  </si>
  <si>
    <t>Breast Cancer</t>
  </si>
  <si>
    <t>ROBAL-001</t>
  </si>
  <si>
    <t>BCR-ABL</t>
  </si>
  <si>
    <t>ROBAL-002</t>
  </si>
  <si>
    <t>Bladder Cancer</t>
  </si>
  <si>
    <t>ROBAL-003</t>
  </si>
  <si>
    <t>Lid Weld (Leak)</t>
  </si>
  <si>
    <t>Carba-R</t>
  </si>
  <si>
    <t>ROBAL-004</t>
  </si>
  <si>
    <t>Unknown Leakage</t>
  </si>
  <si>
    <t>C. Diff</t>
  </si>
  <si>
    <t>ROBAL-005</t>
  </si>
  <si>
    <t>Lid Outer Wall Blowout</t>
  </si>
  <si>
    <t>CTNG and Xpress CT/NG</t>
  </si>
  <si>
    <t>ROBAL-006</t>
  </si>
  <si>
    <t>Other Damage</t>
  </si>
  <si>
    <t>Ebola</t>
  </si>
  <si>
    <t>ROBAL-007</t>
  </si>
  <si>
    <t>FIIFV/Hemosil</t>
  </si>
  <si>
    <t>ROBAL-008</t>
  </si>
  <si>
    <t>FlexCart-01</t>
  </si>
  <si>
    <t>ROBAL-009</t>
  </si>
  <si>
    <t>FlexCart-02</t>
  </si>
  <si>
    <t>ROBAL-010</t>
  </si>
  <si>
    <t>FlexCart-05</t>
  </si>
  <si>
    <t>ROBAL-011</t>
  </si>
  <si>
    <t>Flu</t>
  </si>
  <si>
    <t>ROBAL-012</t>
  </si>
  <si>
    <t>GBS</t>
  </si>
  <si>
    <t>ROBAL-013</t>
  </si>
  <si>
    <t>HBV</t>
  </si>
  <si>
    <t>ROBAL-014</t>
  </si>
  <si>
    <t>HCV</t>
  </si>
  <si>
    <t>ROBAL-015</t>
  </si>
  <si>
    <t>HIV</t>
  </si>
  <si>
    <t>Jidoka-001</t>
  </si>
  <si>
    <t>HPV</t>
  </si>
  <si>
    <t>Jidoka-002</t>
  </si>
  <si>
    <t>Monkeypox</t>
  </si>
  <si>
    <t>NJB ROBAL 001</t>
  </si>
  <si>
    <t>MRSA</t>
  </si>
  <si>
    <t>NJ-PL01</t>
  </si>
  <si>
    <t>MTB</t>
  </si>
  <si>
    <t>NJ-PL02</t>
  </si>
  <si>
    <t>Norovirus</t>
  </si>
  <si>
    <t>NJ-PL03</t>
  </si>
  <si>
    <t>PA</t>
  </si>
  <si>
    <t>NJ-PL04</t>
  </si>
  <si>
    <t>SARS CoV2</t>
  </si>
  <si>
    <t>NJ-PL05</t>
  </si>
  <si>
    <t>Xpress CoV-2 plus</t>
  </si>
  <si>
    <t>NJ-PL06</t>
  </si>
  <si>
    <t>SARS CoV2 Flu/RSV</t>
  </si>
  <si>
    <t>NJ-PL07</t>
  </si>
  <si>
    <t>SARS CoV2 Flu/RSV XC</t>
  </si>
  <si>
    <t>NJ-PL08</t>
  </si>
  <si>
    <t>Xpress CoV-2/Flu/RSV plus</t>
  </si>
  <si>
    <t>NJ-PL09</t>
  </si>
  <si>
    <t>SA Comp</t>
  </si>
  <si>
    <t>NJ-PL10</t>
  </si>
  <si>
    <t>Strep A</t>
  </si>
  <si>
    <t>NJ-PL11</t>
  </si>
  <si>
    <t>TV</t>
  </si>
  <si>
    <t>NJ-PL12</t>
  </si>
  <si>
    <t>Xpert Xpress MVP</t>
  </si>
  <si>
    <t>ROBAL-016</t>
  </si>
  <si>
    <t>Xpert NPM1 Mutation</t>
  </si>
  <si>
    <t>ROBAL-017</t>
  </si>
  <si>
    <t>LCE009 Xpress SARS-CoV-2 plus</t>
  </si>
  <si>
    <t>ROBAL-018</t>
  </si>
  <si>
    <t>Van A</t>
  </si>
  <si>
    <t>ROBAL-019</t>
  </si>
  <si>
    <t>Xpert Check</t>
  </si>
  <si>
    <t>Xpert Respiratory Panel</t>
  </si>
  <si>
    <t>Xpert E-RP</t>
  </si>
  <si>
    <t>Xpert GI Panel</t>
  </si>
  <si>
    <t>Xpert PML-RARA RUO</t>
  </si>
  <si>
    <t>LCE010 Xpress CoV-2/Flu/RSV plus</t>
  </si>
  <si>
    <t>Xpert TAP Panel</t>
  </si>
  <si>
    <t>ProCart-01</t>
  </si>
  <si>
    <t>Xpert Hemorrhagic Fever</t>
  </si>
  <si>
    <t>Document Revision History</t>
  </si>
  <si>
    <t>Rev.</t>
  </si>
  <si>
    <t>Effective:</t>
  </si>
  <si>
    <t>Description of changes</t>
  </si>
  <si>
    <t>AU</t>
  </si>
  <si>
    <t>Current</t>
  </si>
  <si>
    <t>Add Hemorrhagic Fever to worksheet.</t>
  </si>
  <si>
    <t>AT</t>
  </si>
  <si>
    <t>1.) Add missing ROBALs to the worksheet; R16, R17, R18, R19. 2.) Add ProCart-01 to dropdown menu for product launch.</t>
  </si>
  <si>
    <t>AR</t>
  </si>
  <si>
    <t>Updated Signature field throughout all Datasheets</t>
  </si>
  <si>
    <t>AP</t>
  </si>
  <si>
    <t xml:space="preserve">Adding Xpert TAP Panel and its corresponding weight loss specification. </t>
  </si>
  <si>
    <t>700-5702</t>
  </si>
  <si>
    <t>1001506046</t>
  </si>
  <si>
    <t>01_1_11</t>
  </si>
  <si>
    <t>01_1_12</t>
  </si>
  <si>
    <t>92303</t>
  </si>
  <si>
    <t>01_1_13</t>
  </si>
  <si>
    <t>01_1_14</t>
  </si>
  <si>
    <t>1110580</t>
  </si>
  <si>
    <t>01_1_15</t>
  </si>
  <si>
    <t>01_1_16</t>
  </si>
  <si>
    <t>01_1_17</t>
  </si>
  <si>
    <t>01_1_18</t>
  </si>
  <si>
    <t>01_2_19</t>
  </si>
  <si>
    <t>01_2_20</t>
  </si>
  <si>
    <t>02_1_11</t>
  </si>
  <si>
    <t>02_1_12</t>
  </si>
  <si>
    <t>02_1_13</t>
  </si>
  <si>
    <t>02_1_14</t>
  </si>
  <si>
    <t>02_1_15</t>
  </si>
  <si>
    <t>02_1_16</t>
  </si>
  <si>
    <t>02_1_17</t>
  </si>
  <si>
    <t>02_1_18</t>
  </si>
  <si>
    <t>02_2_19</t>
  </si>
  <si>
    <t>02_2_20</t>
  </si>
  <si>
    <t>Katarina Ilic, Bincenth Salazar</t>
  </si>
  <si>
    <t>03_1_11</t>
  </si>
  <si>
    <t>03_1_12</t>
  </si>
  <si>
    <t>03_1_13</t>
  </si>
  <si>
    <t>03_1_14</t>
  </si>
  <si>
    <t>03_1_15</t>
  </si>
  <si>
    <t>03_1_16</t>
  </si>
  <si>
    <t>03_1_17</t>
  </si>
  <si>
    <t>03_1_18</t>
  </si>
  <si>
    <t>03_2_19</t>
  </si>
  <si>
    <t>03_2_20</t>
  </si>
  <si>
    <t>04_1_11</t>
  </si>
  <si>
    <t>04_1_12</t>
  </si>
  <si>
    <t>04_1_13</t>
  </si>
  <si>
    <t>04_1_14</t>
  </si>
  <si>
    <t>04_1_15</t>
  </si>
  <si>
    <t>04_1_16</t>
  </si>
  <si>
    <t>04_1_17</t>
  </si>
  <si>
    <t>04_1_18</t>
  </si>
  <si>
    <t>04_2_19</t>
  </si>
  <si>
    <t>04_2_20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</si>
</sst>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7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22" xfId="0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horizontal="center" vertical="top"/>
      <protection locked="0"/>
    </xf>
    <xf numFmtId="0" fontId="1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44" xfId="0" applyFont="1" applyBorder="1" applyAlignment="1">
      <alignment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5" borderId="31" xfId="0" applyFont="1" applyFill="1" applyBorder="1" applyAlignment="1" applyProtection="1">
      <alignment horizontal="center" vertical="center" wrapText="1"/>
      <protection locked="0"/>
    </xf>
    <xf numFmtId="0" fontId="1" fillId="5" borderId="32" xfId="0" applyFont="1" applyFill="1" applyBorder="1" applyAlignment="1" applyProtection="1">
      <alignment horizontal="center" vertical="center" wrapText="1"/>
      <protection locked="0"/>
    </xf>
    <xf numFmtId="0" fontId="1" fillId="8" borderId="35" xfId="0" applyFont="1" applyFill="1" applyBorder="1" applyAlignment="1" applyProtection="1">
      <alignment horizontal="center" vertical="center" wrapText="1"/>
      <protection locked="0"/>
    </xf>
    <xf numFmtId="0" fontId="1" fillId="8" borderId="39" xfId="0" applyFont="1" applyFill="1" applyBorder="1" applyAlignment="1" applyProtection="1">
      <alignment horizontal="center" vertical="center" wrapText="1"/>
      <protection locked="0"/>
    </xf>
    <xf numFmtId="164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0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17" xfId="0" applyNumberFormat="1" applyFill="1" applyBorder="1" applyAlignment="1">
      <alignment horizontal="center" vertical="center" wrapText="1"/>
    </xf>
    <xf numFmtId="164" fontId="0" fillId="3" borderId="15" xfId="0" applyNumberForma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0" fontId="1" fillId="2" borderId="41" xfId="0" applyFont="1" applyFill="1" applyBorder="1" applyAlignment="1" applyProtection="1">
      <alignment horizontal="center" vertical="center" wrapText="1"/>
      <protection locked="0"/>
    </xf>
    <xf numFmtId="164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29" xfId="0" applyNumberFormat="1" applyFill="1" applyBorder="1" applyAlignment="1">
      <alignment horizontal="center" vertical="center" wrapText="1"/>
    </xf>
    <xf numFmtId="164" fontId="0" fillId="3" borderId="33" xfId="0" applyNumberFormat="1" applyFill="1" applyBorder="1" applyAlignment="1">
      <alignment horizontal="center" vertical="center" wrapText="1"/>
    </xf>
    <xf numFmtId="0" fontId="1" fillId="0" borderId="9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5" borderId="24" xfId="0" applyFont="1" applyFill="1" applyBorder="1" applyAlignment="1" applyProtection="1">
      <alignment horizontal="center" vertical="center" wrapText="1"/>
      <protection locked="0"/>
    </xf>
    <xf numFmtId="0" fontId="1" fillId="5" borderId="25" xfId="0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14" fontId="2" fillId="4" borderId="5" xfId="0" applyNumberFormat="1" applyFont="1" applyFill="1" applyBorder="1" applyAlignment="1" applyProtection="1">
      <alignment horizontal="center" vertical="top"/>
      <protection locked="0"/>
    </xf>
    <xf numFmtId="0" fontId="2" fillId="4" borderId="3" xfId="0" applyFont="1" applyFill="1" applyBorder="1" applyAlignment="1" applyProtection="1">
      <alignment horizontal="center" vertical="top"/>
      <protection locked="0"/>
    </xf>
    <xf numFmtId="0" fontId="2" fillId="4" borderId="6" xfId="0" applyFont="1" applyFill="1" applyBorder="1" applyAlignment="1" applyProtection="1">
      <alignment horizontal="center" vertical="top"/>
      <protection locked="0"/>
    </xf>
    <xf numFmtId="0" fontId="2" fillId="4" borderId="11" xfId="0" applyFont="1" applyFill="1" applyBorder="1" applyAlignment="1" applyProtection="1">
      <alignment horizontal="center" vertical="top"/>
      <protection locked="0"/>
    </xf>
    <xf numFmtId="0" fontId="2" fillId="4" borderId="0" xfId="0" applyFont="1" applyFill="1" applyAlignment="1" applyProtection="1">
      <alignment horizontal="center" vertical="top"/>
      <protection locked="0"/>
    </xf>
    <xf numFmtId="0" fontId="2" fillId="4" borderId="23" xfId="0" applyFont="1" applyFill="1" applyBorder="1" applyAlignment="1" applyProtection="1">
      <alignment horizontal="center" vertical="top"/>
      <protection locked="0"/>
    </xf>
    <xf numFmtId="0" fontId="2" fillId="4" borderId="7" xfId="0" applyFont="1" applyFill="1" applyBorder="1" applyAlignment="1" applyProtection="1">
      <alignment horizontal="center" vertical="top"/>
      <protection locked="0"/>
    </xf>
    <xf numFmtId="0" fontId="2" fillId="4" borderId="13" xfId="0" applyFont="1" applyFill="1" applyBorder="1" applyAlignment="1" applyProtection="1">
      <alignment horizontal="center" vertical="top"/>
      <protection locked="0"/>
    </xf>
    <xf numFmtId="0" fontId="2" fillId="4" borderId="8" xfId="0" applyFont="1" applyFill="1" applyBorder="1" applyAlignment="1" applyProtection="1">
      <alignment horizontal="center" vertical="top"/>
      <protection locked="0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5" fontId="0" fillId="2" borderId="6" xfId="0" applyNumberFormat="1" applyFill="1" applyBorder="1" applyAlignment="1" applyProtection="1">
      <alignment horizontal="center" vertical="center" wrapText="1"/>
      <protection locked="0"/>
    </xf>
    <xf numFmtId="165" fontId="0" fillId="2" borderId="7" xfId="0" applyNumberFormat="1" applyFill="1" applyBorder="1" applyAlignment="1" applyProtection="1">
      <alignment horizontal="center" vertical="center" wrapText="1"/>
      <protection locked="0"/>
    </xf>
    <xf numFmtId="165" fontId="0" fillId="2" borderId="8" xfId="0" applyNumberForma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" fillId="8" borderId="43" xfId="0" applyFont="1" applyFill="1" applyBorder="1" applyAlignment="1" applyProtection="1">
      <alignment horizontal="center" vertical="center" wrapText="1"/>
      <protection locked="0"/>
    </xf>
    <xf numFmtId="0" fontId="0" fillId="3" borderId="29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" fillId="5" borderId="16" xfId="0" applyFont="1" applyFill="1" applyBorder="1" applyAlignment="1" applyProtection="1">
      <alignment horizontal="center" vertical="top"/>
      <protection locked="0"/>
    </xf>
    <xf numFmtId="0" fontId="2" fillId="5" borderId="17" xfId="0" applyFont="1" applyFill="1" applyBorder="1" applyAlignment="1" applyProtection="1">
      <alignment horizontal="center" vertical="top"/>
      <protection locked="0"/>
    </xf>
    <xf numFmtId="0" fontId="2" fillId="5" borderId="4" xfId="0" applyFont="1" applyFill="1" applyBorder="1" applyAlignment="1" applyProtection="1">
      <alignment horizontal="center" vertical="top"/>
      <protection locked="0"/>
    </xf>
    <xf numFmtId="0" fontId="2" fillId="5" borderId="1" xfId="0" applyFont="1" applyFill="1" applyBorder="1" applyAlignment="1" applyProtection="1">
      <alignment horizontal="center" vertical="top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2" borderId="5" xfId="0" quotePrefix="1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 wrapText="1"/>
      <protection locked="0"/>
    </xf>
    <xf numFmtId="0" fontId="1" fillId="0" borderId="10" xfId="0" applyFont="1" applyBorder="1" applyAlignment="1" applyProtection="1">
      <alignment horizontal="center" wrapText="1"/>
      <protection locked="0"/>
    </xf>
    <xf numFmtId="165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0" fillId="5" borderId="18" xfId="0" applyFill="1" applyBorder="1" applyAlignment="1" applyProtection="1">
      <alignment horizontal="center" vertical="top"/>
      <protection locked="0"/>
    </xf>
    <xf numFmtId="0" fontId="0" fillId="5" borderId="2" xfId="0" applyFill="1" applyBorder="1" applyAlignment="1" applyProtection="1">
      <alignment horizontal="center" vertical="top"/>
      <protection locked="0"/>
    </xf>
    <xf numFmtId="0" fontId="2" fillId="5" borderId="14" xfId="0" applyFont="1" applyFill="1" applyBorder="1" applyAlignment="1" applyProtection="1">
      <alignment horizontal="center" vertical="top"/>
      <protection locked="0"/>
    </xf>
    <xf numFmtId="0" fontId="2" fillId="5" borderId="15" xfId="0" applyFont="1" applyFill="1" applyBorder="1" applyAlignment="1" applyProtection="1">
      <alignment horizontal="center" vertical="top"/>
      <protection locked="0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 applyProtection="1">
      <alignment horizontal="center" vertical="center" wrapText="1"/>
      <protection locked="0"/>
    </xf>
    <xf numFmtId="0" fontId="1" fillId="5" borderId="30" xfId="0" applyFont="1" applyFill="1" applyBorder="1" applyAlignment="1" applyProtection="1">
      <alignment horizontal="center" vertical="center" wrapText="1"/>
      <protection locked="0"/>
    </xf>
    <xf numFmtId="0" fontId="1" fillId="5" borderId="34" xfId="0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5" borderId="35" xfId="0" applyFont="1" applyFill="1" applyBorder="1" applyAlignment="1" applyProtection="1">
      <alignment horizontal="center" vertical="top"/>
      <protection locked="0"/>
    </xf>
    <xf numFmtId="0" fontId="2" fillId="5" borderId="36" xfId="0" applyFont="1" applyFill="1" applyBorder="1" applyAlignment="1" applyProtection="1">
      <alignment horizontal="center" vertical="top"/>
      <protection locked="0"/>
    </xf>
    <xf numFmtId="0" fontId="0" fillId="5" borderId="37" xfId="0" applyFill="1" applyBorder="1" applyAlignment="1" applyProtection="1">
      <alignment horizontal="center" vertical="top"/>
      <protection locked="0"/>
    </xf>
    <xf numFmtId="0" fontId="2" fillId="5" borderId="38" xfId="0" applyFont="1" applyFill="1" applyBorder="1" applyAlignment="1" applyProtection="1">
      <alignment horizontal="center" vertical="top"/>
      <protection locked="0"/>
    </xf>
    <xf numFmtId="0" fontId="2" fillId="5" borderId="28" xfId="0" applyFont="1" applyFill="1" applyBorder="1" applyAlignment="1" applyProtection="1">
      <alignment horizontal="center" vertical="top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596"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</dxfs>
  <tableStyles count="0" defaultTableStyle="TableStyleMedium2" defaultPivotStyle="PivotStyleLight16"/>
  <colors>
    <mruColors>
      <color rgb="FFCCFFFF"/>
      <color rgb="FFFFFF99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3</xdr:col>
      <xdr:colOff>22860</xdr:colOff>
      <xdr:row>0</xdr:row>
      <xdr:rowOff>0</xdr:rowOff>
    </xdr:to>
    <xdr:pic>
      <xdr:nvPicPr>
        <xdr:cNvPr id="14626" name="Picture 2" descr="Cepheid_Horiz_r2">
          <a:extLst>
            <a:ext uri="{FF2B5EF4-FFF2-40B4-BE49-F238E27FC236}">
              <a16:creationId xmlns:a16="http://schemas.microsoft.com/office/drawing/2014/main" id="{00000000-0008-0000-0100-0000223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607820" y="0"/>
          <a:ext cx="1005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91440</xdr:colOff>
      <xdr:row>0</xdr:row>
      <xdr:rowOff>0</xdr:rowOff>
    </xdr:from>
    <xdr:to>
      <xdr:col>12</xdr:col>
      <xdr:colOff>342900</xdr:colOff>
      <xdr:row>0</xdr:row>
      <xdr:rowOff>0</xdr:rowOff>
    </xdr:to>
    <xdr:sp macro="" textlink="">
      <xdr:nvSpPr>
        <xdr:cNvPr id="14627" name="AutoShape 36">
          <a:extLst>
            <a:ext uri="{FF2B5EF4-FFF2-40B4-BE49-F238E27FC236}">
              <a16:creationId xmlns:a16="http://schemas.microsoft.com/office/drawing/2014/main" id="{00000000-0008-0000-0100-000023390000}"/>
            </a:ext>
          </a:extLst>
        </xdr:cNvPr>
        <xdr:cNvSpPr>
          <a:spLocks/>
        </xdr:cNvSpPr>
      </xdr:nvSpPr>
      <xdr:spPr bwMode="auto">
        <a:xfrm>
          <a:off x="10142220" y="0"/>
          <a:ext cx="25146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545465</xdr:colOff>
      <xdr:row>29</xdr:row>
      <xdr:rowOff>1</xdr:rowOff>
    </xdr:from>
    <xdr:to>
      <xdr:col>4</xdr:col>
      <xdr:colOff>323850</xdr:colOff>
      <xdr:row>40</xdr:row>
      <xdr:rowOff>122555</xdr:rowOff>
    </xdr:to>
    <xdr:grpSp>
      <xdr:nvGrpSpPr>
        <xdr:cNvPr id="14628" name="Group 56">
          <a:extLst>
            <a:ext uri="{FF2B5EF4-FFF2-40B4-BE49-F238E27FC236}">
              <a16:creationId xmlns:a16="http://schemas.microsoft.com/office/drawing/2014/main" id="{00000000-0008-0000-0100-000024390000}"/>
            </a:ext>
          </a:extLst>
        </xdr:cNvPr>
        <xdr:cNvGrpSpPr>
          <a:grpSpLocks/>
        </xdr:cNvGrpSpPr>
      </xdr:nvGrpSpPr>
      <xdr:grpSpPr bwMode="auto">
        <a:xfrm>
          <a:off x="679936" y="4766236"/>
          <a:ext cx="2647090" cy="1930437"/>
          <a:chOff x="279" y="258"/>
          <a:chExt cx="309" cy="257"/>
        </a:xfrm>
      </xdr:grpSpPr>
      <xdr:pic>
        <xdr:nvPicPr>
          <xdr:cNvPr id="14629" name="Picture 37">
            <a:extLst>
              <a:ext uri="{FF2B5EF4-FFF2-40B4-BE49-F238E27FC236}">
                <a16:creationId xmlns:a16="http://schemas.microsoft.com/office/drawing/2014/main" id="{00000000-0008-0000-0100-00002539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9" y="258"/>
            <a:ext cx="309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9" y="438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" y="427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5" y="4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0" y="359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0" y="325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5" y="294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2" y="286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279"/>
            <a:ext cx="30" cy="2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1" y="3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5" y="342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78"/>
            <a:ext cx="50" cy="3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5" y="411"/>
            <a:ext cx="51" cy="3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1" y="430"/>
            <a:ext cx="37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49</xdr:row>
          <xdr:rowOff>0</xdr:rowOff>
        </xdr:from>
        <xdr:to>
          <xdr:col>7</xdr:col>
          <xdr:colOff>1104900</xdr:colOff>
          <xdr:row>50</xdr:row>
          <xdr:rowOff>25400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952500" y="0"/>
          <a:ext cx="8515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 bwMode="auto">
        <a:xfrm>
          <a:off x="8740140" y="0"/>
          <a:ext cx="25146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1104900</xdr:colOff>
          <xdr:row>50</xdr:row>
          <xdr:rowOff>50800</xdr:rowOff>
        </xdr:to>
        <xdr:sp macro="" textlink="">
          <xdr:nvSpPr>
            <xdr:cNvPr id="45058" name="Check Box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0000000-0008-0000-0200-000002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5473" name="Check Box 1" hidden="1">
              <a:extLst>
                <a:ext uri="{63B3BB69-23CF-44E3-9099-C40C66FF867C}">
                  <a14:compatExt spid="_x0000_s105473"/>
                </a:ext>
                <a:ext uri="{FF2B5EF4-FFF2-40B4-BE49-F238E27FC236}">
                  <a16:creationId xmlns:a16="http://schemas.microsoft.com/office/drawing/2014/main" id="{00000000-0008-0000-0300-0000019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6497" name="Check Box 1" hidden="1">
              <a:extLst>
                <a:ext uri="{63B3BB69-23CF-44E3-9099-C40C66FF867C}">
                  <a14:compatExt spid="_x0000_s106497"/>
                </a:ext>
                <a:ext uri="{FF2B5EF4-FFF2-40B4-BE49-F238E27FC236}">
                  <a16:creationId xmlns:a16="http://schemas.microsoft.com/office/drawing/2014/main" id="{00000000-0008-0000-0400-000001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7521" name="Check Box 1" hidden="1">
              <a:extLst>
                <a:ext uri="{63B3BB69-23CF-44E3-9099-C40C66FF867C}">
                  <a14:compatExt spid="_x0000_s107521"/>
                </a:ext>
                <a:ext uri="{FF2B5EF4-FFF2-40B4-BE49-F238E27FC236}">
                  <a16:creationId xmlns:a16="http://schemas.microsoft.com/office/drawing/2014/main" id="{00000000-0008-0000-0500-000001A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333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8545" name="Check Box 1" hidden="1">
              <a:extLst>
                <a:ext uri="{63B3BB69-23CF-44E3-9099-C40C66FF867C}">
                  <a14:compatExt spid="_x0000_s108545"/>
                </a:ext>
                <a:ext uri="{FF2B5EF4-FFF2-40B4-BE49-F238E27FC236}">
                  <a16:creationId xmlns:a16="http://schemas.microsoft.com/office/drawing/2014/main" id="{00000000-0008-0000-0600-000001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9569" name="Check Box 1" hidden="1">
              <a:extLst>
                <a:ext uri="{63B3BB69-23CF-44E3-9099-C40C66FF867C}">
                  <a14:compatExt spid="_x0000_s109569"/>
                </a:ext>
                <a:ext uri="{FF2B5EF4-FFF2-40B4-BE49-F238E27FC236}">
                  <a16:creationId xmlns:a16="http://schemas.microsoft.com/office/drawing/2014/main" id="{00000000-0008-0000-0700-000001A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0593" name="Check Box 1" hidden="1">
              <a:extLst>
                <a:ext uri="{63B3BB69-23CF-44E3-9099-C40C66FF867C}">
                  <a14:compatExt spid="_x0000_s110593"/>
                </a:ext>
                <a:ext uri="{FF2B5EF4-FFF2-40B4-BE49-F238E27FC236}">
                  <a16:creationId xmlns:a16="http://schemas.microsoft.com/office/drawing/2014/main" id="{00000000-0008-0000-0800-000001B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9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1617" name="Check Box 1" hidden="1">
              <a:extLst>
                <a:ext uri="{63B3BB69-23CF-44E3-9099-C40C66FF867C}">
                  <a14:compatExt spid="_x0000_s111617"/>
                </a:ext>
                <a:ext uri="{FF2B5EF4-FFF2-40B4-BE49-F238E27FC236}">
                  <a16:creationId xmlns:a16="http://schemas.microsoft.com/office/drawing/2014/main" id="{00000000-0008-0000-0900-000001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333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2641" name="Check Box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0A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3665" name="Check Box 1" hidden="1">
              <a:extLst>
                <a:ext uri="{63B3BB69-23CF-44E3-9099-C40C66FF867C}">
                  <a14:compatExt spid="_x0000_s113665"/>
                </a:ext>
                <a:ext uri="{FF2B5EF4-FFF2-40B4-BE49-F238E27FC236}">
                  <a16:creationId xmlns:a16="http://schemas.microsoft.com/office/drawing/2014/main" id="{00000000-0008-0000-0B00-000001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4689" name="Check Box 1" hidden="1">
              <a:extLst>
                <a:ext uri="{63B3BB69-23CF-44E3-9099-C40C66FF867C}">
                  <a14:compatExt spid="_x0000_s114689"/>
                </a:ext>
                <a:ext uri="{FF2B5EF4-FFF2-40B4-BE49-F238E27FC236}">
                  <a16:creationId xmlns:a16="http://schemas.microsoft.com/office/drawing/2014/main" id="{00000000-0008-0000-0C00-000001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D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5713" name="Check Box 1" hidden="1">
              <a:extLst>
                <a:ext uri="{63B3BB69-23CF-44E3-9099-C40C66FF867C}">
                  <a14:compatExt spid="_x0000_s115713"/>
                </a:ext>
                <a:ext uri="{FF2B5EF4-FFF2-40B4-BE49-F238E27FC236}">
                  <a16:creationId xmlns:a16="http://schemas.microsoft.com/office/drawing/2014/main" id="{00000000-0008-0000-0D00-000001C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2024-E652-42B5-8266-9927A4EAC75D}">
  <dimension ref="A1:L65"/>
  <sheetViews>
    <sheetView topLeftCell="A37" zoomScaleNormal="100" zoomScaleSheetLayoutView="100" zoomScalePageLayoutView="80" workbookViewId="0">
      <selection activeCell="G44" sqref="G44"/>
    </sheetView>
  </sheetViews>
  <sheetFormatPr baseColWidth="10" defaultColWidth="8.83203125" defaultRowHeight="13" x14ac:dyDescent="0.15"/>
  <cols>
    <col min="1" max="1" width="20" style="1" customWidth="1"/>
    <col min="2" max="2" width="32.5" style="3" customWidth="1"/>
    <col min="3" max="3" width="3.5" style="1" customWidth="1"/>
    <col min="4" max="4" width="8.83203125" style="1" customWidth="1"/>
    <col min="5" max="5" width="11.5" style="1" customWidth="1"/>
    <col min="6" max="6" width="3.5" style="1" customWidth="1"/>
    <col min="7" max="7" width="7.5" style="1" customWidth="1"/>
    <col min="8" max="8" width="22" style="1" customWidth="1"/>
    <col min="9" max="9" width="8.83203125" style="1" customWidth="1"/>
    <col min="10" max="10" width="55.5" style="1" customWidth="1"/>
    <col min="11" max="11" width="8.5" style="1" customWidth="1"/>
    <col min="12" max="15" width="8.83203125" style="1" customWidth="1"/>
    <col min="16" max="16" width="9.5" style="1" customWidth="1"/>
    <col min="17" max="18" width="8.83203125" style="1" customWidth="1"/>
    <col min="19" max="16384" width="8.83203125" style="1"/>
  </cols>
  <sheetData>
    <row r="1" spans="1:12" ht="17.5" customHeight="1" x14ac:dyDescent="0.15">
      <c r="A1" s="52" t="s">
        <v>100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2" ht="16" x14ac:dyDescent="0.2">
      <c r="A2" s="2" t="s">
        <v>101</v>
      </c>
    </row>
    <row r="3" spans="1:12" x14ac:dyDescent="0.15">
      <c r="B3" s="55" t="s">
        <v>102</v>
      </c>
      <c r="C3" s="55"/>
      <c r="D3" s="55"/>
      <c r="E3" s="55"/>
      <c r="F3" s="55"/>
      <c r="G3" s="55"/>
      <c r="H3" s="55"/>
      <c r="I3" s="55"/>
      <c r="J3" s="55"/>
    </row>
    <row r="4" spans="1:12" ht="16" x14ac:dyDescent="0.2">
      <c r="A4" s="2" t="s">
        <v>103</v>
      </c>
    </row>
    <row r="5" spans="1:12" s="5" customFormat="1" ht="14.25" customHeight="1" x14ac:dyDescent="0.15">
      <c r="A5" s="4"/>
      <c r="B5" s="55" t="s">
        <v>104</v>
      </c>
      <c r="C5" s="55"/>
      <c r="D5" s="55"/>
      <c r="E5" s="55"/>
      <c r="F5" s="55"/>
      <c r="G5" s="55"/>
      <c r="H5" s="55"/>
    </row>
    <row r="6" spans="1:12" s="5" customFormat="1" ht="21.75" customHeight="1" x14ac:dyDescent="0.15">
      <c r="A6" s="4"/>
      <c r="B6" s="55" t="s">
        <v>105</v>
      </c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54" customHeight="1" x14ac:dyDescent="0.15">
      <c r="A7" s="4"/>
      <c r="B7" s="53" t="s">
        <v>106</v>
      </c>
      <c r="C7" s="54"/>
      <c r="D7" s="54"/>
      <c r="E7" s="54"/>
      <c r="F7" s="54"/>
      <c r="G7" s="54"/>
      <c r="H7" s="54"/>
      <c r="I7" s="54"/>
      <c r="J7" s="54"/>
    </row>
    <row r="8" spans="1:12" s="5" customFormat="1" ht="14.25" customHeight="1" x14ac:dyDescent="0.15">
      <c r="A8" s="4"/>
      <c r="B8" s="55" t="s">
        <v>107</v>
      </c>
      <c r="C8" s="59"/>
      <c r="D8" s="59"/>
      <c r="E8" s="59"/>
      <c r="F8" s="59"/>
      <c r="G8" s="59"/>
      <c r="H8" s="59"/>
      <c r="I8" s="59"/>
      <c r="J8" s="59"/>
    </row>
    <row r="9" spans="1:12" s="5" customFormat="1" ht="18.75" customHeight="1" x14ac:dyDescent="0.15">
      <c r="A9" s="4"/>
      <c r="B9" s="55" t="s">
        <v>108</v>
      </c>
      <c r="C9" s="59"/>
      <c r="D9" s="59"/>
      <c r="E9" s="59"/>
      <c r="F9" s="59"/>
      <c r="G9" s="59"/>
      <c r="H9" s="59"/>
      <c r="I9" s="59"/>
      <c r="J9" s="59"/>
    </row>
    <row r="10" spans="1:12" s="5" customFormat="1" ht="24.75" customHeight="1" x14ac:dyDescent="0.2">
      <c r="A10" s="2" t="s">
        <v>109</v>
      </c>
      <c r="B10" s="18"/>
      <c r="C10" s="20"/>
      <c r="D10" s="20"/>
      <c r="E10" s="20"/>
      <c r="F10" s="20"/>
      <c r="G10" s="20"/>
      <c r="H10" s="20"/>
      <c r="I10" s="20"/>
      <c r="J10" s="20"/>
    </row>
    <row r="11" spans="1:12" s="5" customFormat="1" ht="24.75" customHeight="1" x14ac:dyDescent="0.15">
      <c r="A11" s="4" t="s">
        <v>110</v>
      </c>
      <c r="B11" s="26" t="s">
        <v>111</v>
      </c>
      <c r="C11" s="21"/>
      <c r="D11" s="21"/>
      <c r="E11" s="21"/>
      <c r="F11" s="21"/>
      <c r="G11" s="21"/>
      <c r="H11" s="21"/>
      <c r="I11" s="21"/>
      <c r="J11" s="21"/>
    </row>
    <row r="12" spans="1:12" s="5" customFormat="1" ht="15.75" customHeight="1" x14ac:dyDescent="0.15">
      <c r="A12" s="4"/>
      <c r="B12" s="55" t="s">
        <v>112</v>
      </c>
      <c r="C12" s="55"/>
      <c r="D12" s="55"/>
      <c r="E12" s="55"/>
      <c r="F12" s="55"/>
      <c r="G12" s="55"/>
      <c r="H12" s="55"/>
      <c r="I12" s="55"/>
      <c r="J12" s="21"/>
    </row>
    <row r="13" spans="1:12" s="5" customFormat="1" ht="24.75" customHeight="1" x14ac:dyDescent="0.15">
      <c r="A13" s="4" t="s">
        <v>113</v>
      </c>
      <c r="B13" s="26" t="s">
        <v>114</v>
      </c>
      <c r="C13" s="21"/>
      <c r="D13" s="21"/>
      <c r="E13" s="21"/>
      <c r="F13" s="21"/>
      <c r="G13" s="21"/>
      <c r="H13" s="21"/>
      <c r="I13" s="21"/>
      <c r="J13" s="21"/>
    </row>
    <row r="14" spans="1:12" s="5" customFormat="1" ht="14.25" customHeight="1" x14ac:dyDescent="0.15">
      <c r="A14" s="4"/>
      <c r="B14" s="55" t="s">
        <v>115</v>
      </c>
      <c r="C14" s="55"/>
      <c r="D14" s="55"/>
      <c r="E14" s="55"/>
      <c r="F14" s="55"/>
      <c r="G14" s="55"/>
      <c r="H14" s="55"/>
      <c r="I14" s="21"/>
      <c r="J14" s="21"/>
    </row>
    <row r="15" spans="1:12" ht="16" x14ac:dyDescent="0.2">
      <c r="A15" s="2" t="s">
        <v>116</v>
      </c>
      <c r="B15" s="20"/>
      <c r="C15" s="19"/>
      <c r="D15" s="22" t="s">
        <v>2</v>
      </c>
      <c r="E15" s="19"/>
      <c r="F15" s="19"/>
      <c r="G15" s="23" t="s">
        <v>117</v>
      </c>
      <c r="H15" s="19"/>
      <c r="I15" s="19"/>
      <c r="J15" s="19"/>
    </row>
    <row r="16" spans="1:12" x14ac:dyDescent="0.15">
      <c r="B16" s="6" t="s">
        <v>118</v>
      </c>
      <c r="E16" s="7" t="s">
        <v>119</v>
      </c>
      <c r="G16" s="25"/>
      <c r="H16" s="24" t="s">
        <v>91</v>
      </c>
    </row>
    <row r="17" spans="2:8" x14ac:dyDescent="0.15">
      <c r="B17" s="6" t="s">
        <v>120</v>
      </c>
      <c r="E17" s="7" t="s">
        <v>121</v>
      </c>
      <c r="G17" s="25"/>
      <c r="H17" s="24" t="s">
        <v>19</v>
      </c>
    </row>
    <row r="18" spans="2:8" x14ac:dyDescent="0.15">
      <c r="B18" s="6" t="s">
        <v>122</v>
      </c>
      <c r="E18" s="7" t="s">
        <v>123</v>
      </c>
      <c r="G18" s="25"/>
      <c r="H18" s="24" t="s">
        <v>124</v>
      </c>
    </row>
    <row r="19" spans="2:8" x14ac:dyDescent="0.15">
      <c r="B19" s="6" t="s">
        <v>125</v>
      </c>
      <c r="E19" s="7" t="s">
        <v>126</v>
      </c>
      <c r="G19" s="25"/>
      <c r="H19" s="24" t="s">
        <v>127</v>
      </c>
    </row>
    <row r="20" spans="2:8" x14ac:dyDescent="0.15">
      <c r="B20" s="6" t="s">
        <v>128</v>
      </c>
      <c r="E20" s="7" t="s">
        <v>129</v>
      </c>
      <c r="H20" s="7" t="s">
        <v>130</v>
      </c>
    </row>
    <row r="21" spans="2:8" x14ac:dyDescent="0.15">
      <c r="B21" s="6" t="s">
        <v>131</v>
      </c>
      <c r="E21" s="7" t="s">
        <v>132</v>
      </c>
      <c r="H21" s="7" t="s">
        <v>133</v>
      </c>
    </row>
    <row r="22" spans="2:8" x14ac:dyDescent="0.15">
      <c r="B22" s="6" t="s">
        <v>134</v>
      </c>
      <c r="E22" s="7" t="s">
        <v>135</v>
      </c>
    </row>
    <row r="23" spans="2:8" x14ac:dyDescent="0.15">
      <c r="B23" s="6" t="s">
        <v>136</v>
      </c>
      <c r="E23" s="7" t="s">
        <v>137</v>
      </c>
    </row>
    <row r="24" spans="2:8" x14ac:dyDescent="0.15">
      <c r="B24" s="6" t="s">
        <v>138</v>
      </c>
      <c r="E24" s="7" t="s">
        <v>139</v>
      </c>
    </row>
    <row r="25" spans="2:8" x14ac:dyDescent="0.15">
      <c r="B25" s="6" t="s">
        <v>140</v>
      </c>
      <c r="E25" s="7" t="s">
        <v>141</v>
      </c>
    </row>
    <row r="26" spans="2:8" x14ac:dyDescent="0.15">
      <c r="B26" s="6" t="s">
        <v>142</v>
      </c>
      <c r="E26" s="7" t="s">
        <v>143</v>
      </c>
    </row>
    <row r="27" spans="2:8" x14ac:dyDescent="0.15">
      <c r="B27" s="6" t="s">
        <v>144</v>
      </c>
      <c r="E27" s="7" t="s">
        <v>145</v>
      </c>
    </row>
    <row r="28" spans="2:8" x14ac:dyDescent="0.15">
      <c r="B28" s="6" t="s">
        <v>146</v>
      </c>
      <c r="E28" s="7" t="s">
        <v>147</v>
      </c>
    </row>
    <row r="29" spans="2:8" x14ac:dyDescent="0.15">
      <c r="B29" s="6" t="s">
        <v>148</v>
      </c>
      <c r="E29" s="7" t="s">
        <v>149</v>
      </c>
    </row>
    <row r="30" spans="2:8" x14ac:dyDescent="0.15">
      <c r="B30" s="6" t="s">
        <v>150</v>
      </c>
      <c r="E30" s="7" t="s">
        <v>151</v>
      </c>
    </row>
    <row r="31" spans="2:8" x14ac:dyDescent="0.15">
      <c r="B31" s="6" t="s">
        <v>152</v>
      </c>
      <c r="E31" s="7" t="s">
        <v>153</v>
      </c>
    </row>
    <row r="32" spans="2:8" x14ac:dyDescent="0.15">
      <c r="B32" s="6" t="s">
        <v>154</v>
      </c>
      <c r="E32" s="7" t="s">
        <v>155</v>
      </c>
    </row>
    <row r="33" spans="1:5" x14ac:dyDescent="0.15">
      <c r="B33" s="6" t="s">
        <v>156</v>
      </c>
      <c r="E33" s="7" t="s">
        <v>157</v>
      </c>
    </row>
    <row r="34" spans="1:5" x14ac:dyDescent="0.15">
      <c r="B34" s="6" t="s">
        <v>158</v>
      </c>
      <c r="E34" s="7" t="s">
        <v>159</v>
      </c>
    </row>
    <row r="35" spans="1:5" x14ac:dyDescent="0.15">
      <c r="B35" s="6" t="s">
        <v>160</v>
      </c>
      <c r="E35" s="7" t="s">
        <v>161</v>
      </c>
    </row>
    <row r="36" spans="1:5" x14ac:dyDescent="0.15">
      <c r="B36" s="6" t="s">
        <v>162</v>
      </c>
      <c r="E36" s="7" t="s">
        <v>163</v>
      </c>
    </row>
    <row r="37" spans="1:5" ht="12.75" customHeight="1" x14ac:dyDescent="0.15">
      <c r="A37" s="46"/>
      <c r="B37" s="6" t="s">
        <v>164</v>
      </c>
      <c r="E37" s="7" t="s">
        <v>165</v>
      </c>
    </row>
    <row r="38" spans="1:5" x14ac:dyDescent="0.15">
      <c r="A38" s="46"/>
      <c r="B38" s="6" t="s">
        <v>166</v>
      </c>
      <c r="E38" s="7" t="s">
        <v>167</v>
      </c>
    </row>
    <row r="39" spans="1:5" x14ac:dyDescent="0.15">
      <c r="A39" s="46"/>
      <c r="B39" s="6" t="s">
        <v>168</v>
      </c>
      <c r="E39" s="7" t="s">
        <v>169</v>
      </c>
    </row>
    <row r="40" spans="1:5" x14ac:dyDescent="0.15">
      <c r="A40" s="46"/>
      <c r="B40" s="6" t="s">
        <v>170</v>
      </c>
      <c r="E40" s="7" t="s">
        <v>171</v>
      </c>
    </row>
    <row r="41" spans="1:5" x14ac:dyDescent="0.15">
      <c r="A41" s="46"/>
      <c r="B41" s="6" t="s">
        <v>172</v>
      </c>
      <c r="E41" s="7" t="s">
        <v>173</v>
      </c>
    </row>
    <row r="42" spans="1:5" x14ac:dyDescent="0.15">
      <c r="B42" s="6" t="s">
        <v>174</v>
      </c>
      <c r="E42" s="7" t="s">
        <v>175</v>
      </c>
    </row>
    <row r="43" spans="1:5" x14ac:dyDescent="0.15">
      <c r="B43" s="6" t="s">
        <v>176</v>
      </c>
      <c r="E43" s="7" t="s">
        <v>177</v>
      </c>
    </row>
    <row r="44" spans="1:5" x14ac:dyDescent="0.15">
      <c r="B44" s="6" t="s">
        <v>178</v>
      </c>
      <c r="E44" s="7" t="s">
        <v>179</v>
      </c>
    </row>
    <row r="45" spans="1:5" x14ac:dyDescent="0.15">
      <c r="B45" s="6" t="s">
        <v>180</v>
      </c>
      <c r="E45" s="7" t="s">
        <v>181</v>
      </c>
    </row>
    <row r="46" spans="1:5" x14ac:dyDescent="0.15">
      <c r="B46" s="6" t="s">
        <v>182</v>
      </c>
      <c r="E46" s="7" t="s">
        <v>183</v>
      </c>
    </row>
    <row r="47" spans="1:5" x14ac:dyDescent="0.15">
      <c r="B47" s="6" t="s">
        <v>184</v>
      </c>
      <c r="E47" s="7" t="s">
        <v>185</v>
      </c>
    </row>
    <row r="48" spans="1:5" x14ac:dyDescent="0.15">
      <c r="B48" s="6" t="s">
        <v>186</v>
      </c>
      <c r="E48" s="7" t="s">
        <v>187</v>
      </c>
    </row>
    <row r="49" spans="1:11" x14ac:dyDescent="0.15">
      <c r="B49" s="6" t="s">
        <v>188</v>
      </c>
      <c r="E49" s="7" t="s">
        <v>189</v>
      </c>
    </row>
    <row r="50" spans="1:11" x14ac:dyDescent="0.15">
      <c r="B50" s="6" t="s">
        <v>190</v>
      </c>
    </row>
    <row r="51" spans="1:11" x14ac:dyDescent="0.15">
      <c r="B51" s="6" t="s">
        <v>191</v>
      </c>
    </row>
    <row r="52" spans="1:11" x14ac:dyDescent="0.15">
      <c r="B52" s="6" t="s">
        <v>192</v>
      </c>
    </row>
    <row r="53" spans="1:11" x14ac:dyDescent="0.15">
      <c r="B53" s="6" t="s">
        <v>193</v>
      </c>
    </row>
    <row r="54" spans="1:11" x14ac:dyDescent="0.15">
      <c r="B54" s="6" t="s">
        <v>194</v>
      </c>
    </row>
    <row r="55" spans="1:11" x14ac:dyDescent="0.15">
      <c r="B55" s="6" t="s">
        <v>195</v>
      </c>
    </row>
    <row r="56" spans="1:11" x14ac:dyDescent="0.15">
      <c r="B56" s="6" t="s">
        <v>196</v>
      </c>
    </row>
    <row r="57" spans="1:11" x14ac:dyDescent="0.15">
      <c r="B57" s="6" t="s">
        <v>197</v>
      </c>
    </row>
    <row r="58" spans="1:11" x14ac:dyDescent="0.15">
      <c r="B58" s="6" t="s">
        <v>198</v>
      </c>
    </row>
    <row r="59" spans="1:11" x14ac:dyDescent="0.15">
      <c r="B59" s="48"/>
    </row>
    <row r="60" spans="1:11" ht="16" x14ac:dyDescent="0.2">
      <c r="A60" s="2" t="s">
        <v>199</v>
      </c>
    </row>
    <row r="61" spans="1:11" ht="12.5" customHeight="1" x14ac:dyDescent="0.15">
      <c r="A61" s="32" t="s">
        <v>200</v>
      </c>
      <c r="B61" s="33" t="s">
        <v>201</v>
      </c>
      <c r="C61" s="56" t="s">
        <v>202</v>
      </c>
      <c r="D61" s="57"/>
      <c r="E61" s="57"/>
      <c r="F61" s="57"/>
      <c r="G61" s="57"/>
      <c r="H61" s="57"/>
      <c r="I61" s="57"/>
      <c r="J61" s="57"/>
      <c r="K61" s="58"/>
    </row>
    <row r="62" spans="1:11" ht="12.5" customHeight="1" x14ac:dyDescent="0.15">
      <c r="A62" s="45" t="s">
        <v>203</v>
      </c>
      <c r="B62" s="45" t="s">
        <v>204</v>
      </c>
      <c r="C62" s="49" t="s">
        <v>205</v>
      </c>
      <c r="D62" s="60"/>
      <c r="E62" s="60"/>
      <c r="F62" s="60"/>
      <c r="G62" s="60"/>
      <c r="H62" s="60"/>
      <c r="I62" s="60"/>
      <c r="J62" s="60"/>
      <c r="K62" s="61"/>
    </row>
    <row r="63" spans="1:11" ht="12.5" customHeight="1" x14ac:dyDescent="0.15">
      <c r="A63" s="45" t="s">
        <v>206</v>
      </c>
      <c r="B63" s="47">
        <v>45833</v>
      </c>
      <c r="C63" s="49" t="s">
        <v>207</v>
      </c>
      <c r="D63" s="60"/>
      <c r="E63" s="60"/>
      <c r="F63" s="60"/>
      <c r="G63" s="60"/>
      <c r="H63" s="60"/>
      <c r="I63" s="60"/>
      <c r="J63" s="60"/>
      <c r="K63" s="61"/>
    </row>
    <row r="64" spans="1:11" ht="12.5" customHeight="1" x14ac:dyDescent="0.15">
      <c r="A64" s="45" t="s">
        <v>208</v>
      </c>
      <c r="B64" s="47">
        <v>45768</v>
      </c>
      <c r="C64" s="49" t="s">
        <v>209</v>
      </c>
      <c r="D64" s="60"/>
      <c r="E64" s="60"/>
      <c r="F64" s="60"/>
      <c r="G64" s="60"/>
      <c r="H64" s="60"/>
      <c r="I64" s="60"/>
      <c r="J64" s="60"/>
      <c r="K64" s="61"/>
    </row>
    <row r="65" spans="1:11" ht="12.5" customHeight="1" x14ac:dyDescent="0.15">
      <c r="A65" s="45" t="s">
        <v>210</v>
      </c>
      <c r="B65" s="47">
        <v>45736</v>
      </c>
      <c r="C65" s="49" t="s">
        <v>211</v>
      </c>
      <c r="D65" s="50"/>
      <c r="E65" s="50"/>
      <c r="F65" s="50"/>
      <c r="G65" s="50"/>
      <c r="H65" s="50"/>
      <c r="I65" s="50"/>
      <c r="J65" s="50"/>
      <c r="K65" s="51"/>
    </row>
  </sheetData>
  <customSheetViews>
    <customSheetView guid="{56C9F3FB-E1BF-4A84-A9C1-883C4971E148}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howPageBreaks="1" printArea="1" view="pageLayout">
      <selection activeCell="J10" sqref="B9:J10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howPageBreaks="1" printArea="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4">
    <mergeCell ref="C65:K65"/>
    <mergeCell ref="A1:K1"/>
    <mergeCell ref="B7:J7"/>
    <mergeCell ref="B14:H14"/>
    <mergeCell ref="B12:I12"/>
    <mergeCell ref="B3:J3"/>
    <mergeCell ref="B5:H5"/>
    <mergeCell ref="B6:L6"/>
    <mergeCell ref="C61:K61"/>
    <mergeCell ref="B9:J9"/>
    <mergeCell ref="B8:J8"/>
    <mergeCell ref="C64:K64"/>
    <mergeCell ref="C63:K63"/>
    <mergeCell ref="C62:K62"/>
  </mergeCells>
  <phoneticPr fontId="0" type="noConversion"/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7"/>
  <sheetViews>
    <sheetView tabSelected="1" topLeftCell="A36" zoomScale="85" zoomScaleNormal="85" zoomScaleSheetLayoutView="85" zoomScalePageLayoutView="38" workbookViewId="0">
      <selection activeCell="J11" sqref="J11:J12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9.83203125" style="11" customWidth="1"/>
    <col min="7" max="7" width="2.5" style="11" customWidth="1"/>
    <col min="8" max="8" width="23.5" style="11" customWidth="1"/>
    <col min="9" max="12" width="17.5" style="11" customWidth="1"/>
    <col min="13" max="13" width="38.5" style="11" customWidth="1"/>
    <col min="14" max="16" width="9.5" style="11" customWidth="1"/>
    <col min="17" max="18" width="9.1640625" style="12" customWidth="1"/>
    <col min="19" max="16384" width="9.1640625" style="12"/>
  </cols>
  <sheetData>
    <row r="1" spans="1:16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  <c r="N1" s="8"/>
    </row>
    <row r="2" spans="1:16" s="9" customFormat="1" ht="13.75" customHeight="1" x14ac:dyDescent="0.15">
      <c r="A2" s="1"/>
      <c r="B2" s="97" t="s">
        <v>212</v>
      </c>
      <c r="C2" s="98"/>
      <c r="D2" s="97" t="s">
        <v>213</v>
      </c>
      <c r="E2" s="118"/>
      <c r="F2" s="122" t="s">
        <v>132</v>
      </c>
      <c r="G2" s="43"/>
      <c r="H2" s="81"/>
      <c r="I2" s="85"/>
      <c r="J2" s="85"/>
      <c r="K2" s="85"/>
      <c r="L2" s="109"/>
      <c r="M2" s="83"/>
    </row>
    <row r="3" spans="1:16" s="9" customFormat="1" x14ac:dyDescent="0.15">
      <c r="A3" s="1"/>
      <c r="B3" s="99"/>
      <c r="C3" s="100"/>
      <c r="D3" s="119"/>
      <c r="E3" s="121"/>
      <c r="F3" s="123"/>
      <c r="G3" s="43"/>
      <c r="H3" s="110" t="s">
        <v>214</v>
      </c>
      <c r="I3" s="75">
        <v>37386.300000000003</v>
      </c>
      <c r="J3" s="75">
        <v>37386.199999999997</v>
      </c>
      <c r="K3" s="76">
        <f>IF(J3&lt;&gt;"",I3-J3,"")</f>
        <v>0.10000000000582077</v>
      </c>
      <c r="L3" s="111" t="str">
        <f>IF(J3="","",IF($F$10="","",IF(K3&lt;=$F$10,"PASS","FAIL")))</f>
        <v>PASS</v>
      </c>
      <c r="M3" s="62" t="str">
        <f>IF(L3="PASS","NA","")</f>
        <v>NA</v>
      </c>
    </row>
    <row r="4" spans="1:16" s="9" customFormat="1" x14ac:dyDescent="0.15">
      <c r="A4" s="1"/>
      <c r="B4" s="36"/>
      <c r="C4" s="37"/>
      <c r="D4" s="38"/>
      <c r="E4" s="38"/>
      <c r="F4" s="29"/>
      <c r="G4" s="29"/>
      <c r="H4" s="65"/>
      <c r="I4" s="67"/>
      <c r="J4" s="67"/>
      <c r="K4" s="77"/>
      <c r="L4" s="112"/>
      <c r="M4" s="63"/>
    </row>
    <row r="5" spans="1:16" s="9" customFormat="1" x14ac:dyDescent="0.15">
      <c r="A5" s="1"/>
      <c r="B5" s="95" t="s">
        <v>10</v>
      </c>
      <c r="C5" s="96"/>
      <c r="D5" s="124" t="s">
        <v>11</v>
      </c>
      <c r="E5" s="125"/>
      <c r="F5" s="125"/>
      <c r="G5" s="44"/>
      <c r="H5" s="64" t="s">
        <v>215</v>
      </c>
      <c r="I5" s="66">
        <v>37311.300000000003</v>
      </c>
      <c r="J5" s="66">
        <v>37311.199999999997</v>
      </c>
      <c r="K5" s="68">
        <f>IF(J5&lt;&gt;"",I5-J5,"")</f>
        <v>0.10000000000582077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6" s="9" customFormat="1" x14ac:dyDescent="0.15">
      <c r="A6" s="1"/>
      <c r="B6" s="126" t="s">
        <v>216</v>
      </c>
      <c r="C6" s="98"/>
      <c r="D6" s="124"/>
      <c r="E6" s="125"/>
      <c r="F6" s="125"/>
      <c r="G6" s="44"/>
      <c r="H6" s="65"/>
      <c r="I6" s="67"/>
      <c r="J6" s="67"/>
      <c r="K6" s="69"/>
      <c r="L6" s="71"/>
      <c r="M6" s="63"/>
    </row>
    <row r="7" spans="1:16" s="9" customFormat="1" x14ac:dyDescent="0.15">
      <c r="A7" s="1"/>
      <c r="B7" s="99"/>
      <c r="C7" s="100"/>
      <c r="D7" s="124"/>
      <c r="E7" s="125"/>
      <c r="F7" s="125"/>
      <c r="G7" s="29"/>
      <c r="H7" s="64" t="s">
        <v>217</v>
      </c>
      <c r="I7" s="66">
        <v>37356</v>
      </c>
      <c r="J7" s="66">
        <v>37355.300000000003</v>
      </c>
      <c r="K7" s="68">
        <f>IF(J7&lt;&gt;"",I7-J7,"")</f>
        <v>0.69999999999708962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6" s="9" customFormat="1" x14ac:dyDescent="0.15">
      <c r="A8" s="1"/>
      <c r="D8" s="38"/>
      <c r="E8" s="38"/>
      <c r="F8" s="29"/>
      <c r="G8" s="29"/>
      <c r="H8" s="65"/>
      <c r="I8" s="67"/>
      <c r="J8" s="67"/>
      <c r="K8" s="69"/>
      <c r="L8" s="71"/>
      <c r="M8" s="63"/>
    </row>
    <row r="9" spans="1:16" s="9" customFormat="1" ht="13.7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64" t="s">
        <v>218</v>
      </c>
      <c r="I9" s="66">
        <v>37149.599999999999</v>
      </c>
      <c r="J9" s="66">
        <v>37149.199999999997</v>
      </c>
      <c r="K9" s="68">
        <f>IF(J9&lt;&gt;"",I9-J9,"")</f>
        <v>0.40000000000145519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6" s="9" customFormat="1" x14ac:dyDescent="0.15">
      <c r="A10" s="1"/>
      <c r="B10" s="97" t="s">
        <v>219</v>
      </c>
      <c r="C10" s="98"/>
      <c r="D10" s="97" t="s">
        <v>160</v>
      </c>
      <c r="E10" s="98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65"/>
      <c r="I10" s="67"/>
      <c r="J10" s="67"/>
      <c r="K10" s="69"/>
      <c r="L10" s="71"/>
      <c r="M10" s="63"/>
    </row>
    <row r="11" spans="1:16" s="9" customFormat="1" x14ac:dyDescent="0.15">
      <c r="A11" s="1"/>
      <c r="B11" s="99"/>
      <c r="C11" s="100"/>
      <c r="D11" s="99"/>
      <c r="E11" s="100"/>
      <c r="F11" s="146"/>
      <c r="G11" s="29"/>
      <c r="H11" s="64" t="s">
        <v>220</v>
      </c>
      <c r="I11" s="66">
        <v>37112.699999999997</v>
      </c>
      <c r="J11" s="66">
        <v>37112.699999999997</v>
      </c>
      <c r="K11" s="68">
        <f>IF(J11&lt;&gt;"",I11-J11,"")</f>
        <v>0</v>
      </c>
      <c r="L11" s="70" t="str">
        <f>IF(J11="","",IF($F$10="","",IF(K11&lt;=$F$10,"PASS","FAIL")))</f>
        <v>PASS</v>
      </c>
      <c r="M11" s="62" t="s">
        <v>19</v>
      </c>
    </row>
    <row r="12" spans="1:16" s="13" customFormat="1" x14ac:dyDescent="0.15">
      <c r="A12" s="23"/>
      <c r="B12" s="1"/>
      <c r="C12" s="1"/>
      <c r="D12" s="20"/>
      <c r="E12" s="20"/>
      <c r="F12" s="38"/>
      <c r="G12" s="29"/>
      <c r="H12" s="65"/>
      <c r="I12" s="67"/>
      <c r="J12" s="67"/>
      <c r="K12" s="69"/>
      <c r="L12" s="71"/>
      <c r="M12" s="63"/>
    </row>
    <row r="13" spans="1:16" x14ac:dyDescent="0.15">
      <c r="B13" s="95" t="s">
        <v>20</v>
      </c>
      <c r="C13" s="96"/>
      <c r="D13" s="95" t="s">
        <v>21</v>
      </c>
      <c r="E13" s="96"/>
      <c r="F13" s="23"/>
      <c r="G13" s="29"/>
      <c r="H13" s="64" t="s">
        <v>221</v>
      </c>
      <c r="I13" s="66">
        <v>37420</v>
      </c>
      <c r="J13" s="66">
        <v>37418.199999999997</v>
      </c>
      <c r="K13" s="68">
        <f>IF(J13&lt;&gt;"",I13-J13,"")</f>
        <v>1.8000000000029104</v>
      </c>
      <c r="L13" s="70" t="str">
        <f>IF(J13="","",IF($F$10="","",IF(K13&lt;=$F$10,"PASS","FAIL")))</f>
        <v>PASS</v>
      </c>
      <c r="M13" s="62" t="str">
        <f>IF(L13="PASS","NA","")</f>
        <v>NA</v>
      </c>
      <c r="N13" s="12"/>
      <c r="O13" s="12"/>
      <c r="P13" s="12"/>
    </row>
    <row r="14" spans="1:16" x14ac:dyDescent="0.15">
      <c r="B14" s="97" t="s">
        <v>23</v>
      </c>
      <c r="C14" s="98"/>
      <c r="D14" s="101" t="s">
        <v>24</v>
      </c>
      <c r="E14" s="102"/>
      <c r="F14" s="29"/>
      <c r="G14" s="29"/>
      <c r="H14" s="65"/>
      <c r="I14" s="67"/>
      <c r="J14" s="67"/>
      <c r="K14" s="69"/>
      <c r="L14" s="71"/>
      <c r="M14" s="63"/>
      <c r="N14" s="12"/>
      <c r="O14" s="12"/>
      <c r="P14" s="12"/>
    </row>
    <row r="15" spans="1:16" ht="13" customHeight="1" x14ac:dyDescent="0.15">
      <c r="B15" s="99"/>
      <c r="C15" s="100"/>
      <c r="D15" s="103"/>
      <c r="E15" s="104"/>
      <c r="F15" s="29"/>
      <c r="G15" s="29"/>
      <c r="H15" s="64" t="s">
        <v>222</v>
      </c>
      <c r="I15" s="75">
        <v>37400.1</v>
      </c>
      <c r="J15" s="66">
        <v>37399.699999999997</v>
      </c>
      <c r="K15" s="68">
        <f>IF(J15&lt;&gt;"",I15-J15,"")</f>
        <v>0.40000000000145519</v>
      </c>
      <c r="L15" s="70" t="str">
        <f>IF(J15="","",IF($F$10="","",IF(K15&lt;=$F$10,"PASS","FAIL")))</f>
        <v>PASS</v>
      </c>
      <c r="M15" s="62" t="str">
        <f>IF(L15="PASS","NA","")</f>
        <v>NA</v>
      </c>
      <c r="N15" s="12"/>
      <c r="O15" s="12"/>
      <c r="P15" s="12"/>
    </row>
    <row r="16" spans="1:16" ht="13" customHeight="1" x14ac:dyDescent="0.15">
      <c r="B16" s="105"/>
      <c r="C16" s="106"/>
      <c r="D16" s="105"/>
      <c r="E16" s="106"/>
      <c r="F16" s="29"/>
      <c r="G16" s="29"/>
      <c r="H16" s="65"/>
      <c r="I16" s="67"/>
      <c r="J16" s="67"/>
      <c r="K16" s="69"/>
      <c r="L16" s="71"/>
      <c r="M16" s="63"/>
      <c r="N16" s="12"/>
      <c r="O16" s="12"/>
      <c r="P16" s="12"/>
    </row>
    <row r="17" spans="2:16" ht="13.75" customHeight="1" x14ac:dyDescent="0.15">
      <c r="B17" s="107"/>
      <c r="C17" s="107"/>
      <c r="D17" s="107"/>
      <c r="E17" s="107"/>
      <c r="F17" s="29"/>
      <c r="G17" s="29"/>
      <c r="H17" s="64" t="s">
        <v>223</v>
      </c>
      <c r="I17" s="66">
        <v>37102.300000000003</v>
      </c>
      <c r="J17" s="66">
        <v>37103.4</v>
      </c>
      <c r="K17" s="68">
        <f>IF(J17&lt;&gt;"",I17-J17,"")</f>
        <v>-1.0999999999985448</v>
      </c>
      <c r="L17" s="70" t="str">
        <f>IF(J17="","",IF($F$10="","",IF(K17&lt;=$F$10,"PASS","FAIL")))</f>
        <v>PASS</v>
      </c>
      <c r="M17" s="62" t="str">
        <f>IF(L17="PASS","NA","")</f>
        <v>NA</v>
      </c>
      <c r="N17" s="12"/>
      <c r="O17" s="12"/>
      <c r="P17" s="12"/>
    </row>
    <row r="18" spans="2:16" x14ac:dyDescent="0.15">
      <c r="B18" s="40"/>
      <c r="C18" s="41"/>
      <c r="D18" s="40"/>
      <c r="E18" s="41"/>
      <c r="F18" s="29"/>
      <c r="G18" s="29"/>
      <c r="H18" s="65"/>
      <c r="I18" s="67"/>
      <c r="J18" s="67"/>
      <c r="K18" s="69"/>
      <c r="L18" s="71"/>
      <c r="M18" s="63"/>
      <c r="N18" s="12"/>
      <c r="O18" s="12"/>
      <c r="P18" s="12"/>
    </row>
    <row r="19" spans="2:16" x14ac:dyDescent="0.15">
      <c r="B19" s="95" t="s">
        <v>27</v>
      </c>
      <c r="C19" s="127"/>
      <c r="D19" s="95" t="s">
        <v>28</v>
      </c>
      <c r="E19" s="127"/>
      <c r="F19" s="29"/>
      <c r="G19" s="29"/>
      <c r="H19" s="64" t="s">
        <v>224</v>
      </c>
      <c r="I19" s="66">
        <v>37354.199999999997</v>
      </c>
      <c r="J19" s="66">
        <v>37353.800000000003</v>
      </c>
      <c r="K19" s="68">
        <f>IF(J19&lt;&gt;"",I19-J19,"")</f>
        <v>0.39999999999417923</v>
      </c>
      <c r="L19" s="70" t="str">
        <f>IF(J19="","",IF($F$10="","",IF(K19&lt;=$F$10,"PASS","FAIL")))</f>
        <v>PASS</v>
      </c>
      <c r="M19" s="62" t="str">
        <f>IF(L19="PASS","NA","")</f>
        <v>NA</v>
      </c>
      <c r="N19" s="12"/>
      <c r="O19" s="12"/>
      <c r="P19" s="12"/>
    </row>
    <row r="20" spans="2:16" x14ac:dyDescent="0.15">
      <c r="B20" s="97" t="s">
        <v>30</v>
      </c>
      <c r="C20" s="98"/>
      <c r="D20" s="101" t="s">
        <v>31</v>
      </c>
      <c r="E20" s="131"/>
      <c r="F20" s="38"/>
      <c r="G20" s="38"/>
      <c r="H20" s="65"/>
      <c r="I20" s="67"/>
      <c r="J20" s="67"/>
      <c r="K20" s="69"/>
      <c r="L20" s="71"/>
      <c r="M20" s="63"/>
      <c r="N20" s="12"/>
      <c r="O20" s="12"/>
      <c r="P20" s="12"/>
    </row>
    <row r="21" spans="2:16" ht="13" customHeight="1" x14ac:dyDescent="0.15">
      <c r="B21" s="99"/>
      <c r="C21" s="100"/>
      <c r="D21" s="132"/>
      <c r="E21" s="133"/>
      <c r="F21" s="29"/>
      <c r="G21" s="29"/>
      <c r="H21" s="64" t="s">
        <v>225</v>
      </c>
      <c r="I21" s="66">
        <v>37075.699999999997</v>
      </c>
      <c r="J21" s="66">
        <v>37075.1</v>
      </c>
      <c r="K21" s="68">
        <f>IF(J21&lt;&gt;"",I21-J21,"")</f>
        <v>0.59999999999854481</v>
      </c>
      <c r="L21" s="70" t="str">
        <f>IF(J21="","",IF($F$10="","",IF(K21&lt;=$F$10,"PASS","FAIL")))</f>
        <v>PASS</v>
      </c>
      <c r="M21" s="62" t="str">
        <f>IF(L21="PASS","NA","")</f>
        <v>NA</v>
      </c>
      <c r="N21" s="12"/>
      <c r="O21" s="12"/>
      <c r="P21" s="12"/>
    </row>
    <row r="22" spans="2:16" ht="13" customHeight="1" x14ac:dyDescent="0.15">
      <c r="B22" s="105"/>
      <c r="C22" s="106"/>
      <c r="D22" s="105"/>
      <c r="E22" s="105"/>
      <c r="F22" s="29"/>
      <c r="G22" s="29"/>
      <c r="H22" s="65"/>
      <c r="I22" s="67"/>
      <c r="J22" s="67"/>
      <c r="K22" s="69"/>
      <c r="L22" s="71"/>
      <c r="M22" s="63"/>
      <c r="N22" s="12"/>
      <c r="O22" s="12"/>
      <c r="P22" s="12"/>
    </row>
    <row r="23" spans="2:16" ht="13" customHeight="1" x14ac:dyDescent="0.15">
      <c r="B23" s="107"/>
      <c r="C23" s="107"/>
      <c r="D23" s="147"/>
      <c r="E23" s="147"/>
      <c r="F23" s="29"/>
      <c r="G23" s="29"/>
      <c r="H23" s="64" t="s">
        <v>226</v>
      </c>
      <c r="I23" s="66">
        <v>37514.1</v>
      </c>
      <c r="J23" s="66">
        <v>37514</v>
      </c>
      <c r="K23" s="68">
        <f>IF(J23&lt;&gt;"",I23-J23,"")</f>
        <v>9.9999999998544808E-2</v>
      </c>
      <c r="L23" s="70" t="str">
        <f>IF(J23="","",IF($F$10="","",IF(K23&lt;=$F$10,"PASS","FAIL")))</f>
        <v>PASS</v>
      </c>
      <c r="M23" s="62" t="str">
        <f>IF(L23="PASS","NA","")</f>
        <v>NA</v>
      </c>
      <c r="N23" s="12"/>
      <c r="O23" s="12"/>
      <c r="P23" s="12"/>
    </row>
    <row r="24" spans="2:16" ht="13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65"/>
      <c r="I24" s="67"/>
      <c r="J24" s="67"/>
      <c r="K24" s="69"/>
      <c r="L24" s="71"/>
      <c r="M24" s="63"/>
      <c r="N24" s="12"/>
      <c r="O24" s="12"/>
      <c r="P24" s="12"/>
    </row>
    <row r="25" spans="2:16" ht="13.75" customHeight="1" x14ac:dyDescent="0.15">
      <c r="B25" s="97" t="s">
        <v>36</v>
      </c>
      <c r="C25" s="98"/>
      <c r="D25" s="101" t="s">
        <v>37</v>
      </c>
      <c r="E25" s="102"/>
      <c r="F25" s="29"/>
      <c r="G25" s="29"/>
      <c r="H25" s="64" t="s">
        <v>227</v>
      </c>
      <c r="I25" s="66">
        <v>37538.800000000003</v>
      </c>
      <c r="J25" s="66">
        <v>37538.1</v>
      </c>
      <c r="K25" s="68">
        <f>IF(J25&lt;&gt;"",I25-J25,"")</f>
        <v>0.70000000000436557</v>
      </c>
      <c r="L25" s="70" t="str">
        <f>IF(J25="","",IF($F$10="","",IF(K25&lt;=$F$10,"PASS","FAIL")))</f>
        <v>PASS</v>
      </c>
      <c r="M25" s="62" t="str">
        <f>IF(L25="PASS","NA","")</f>
        <v>NA</v>
      </c>
      <c r="N25" s="12"/>
      <c r="O25" s="12"/>
    </row>
    <row r="26" spans="2:16" ht="13" customHeight="1" x14ac:dyDescent="0.15">
      <c r="B26" s="99"/>
      <c r="C26" s="100"/>
      <c r="D26" s="103"/>
      <c r="E26" s="104"/>
      <c r="F26" s="29"/>
      <c r="G26" s="29"/>
      <c r="H26" s="65"/>
      <c r="I26" s="67"/>
      <c r="J26" s="67"/>
      <c r="K26" s="69"/>
      <c r="L26" s="71"/>
      <c r="M26" s="63"/>
      <c r="N26" s="12"/>
      <c r="O26" s="12"/>
      <c r="P26" s="12"/>
    </row>
    <row r="27" spans="2:16" ht="13.75" customHeight="1" x14ac:dyDescent="0.15">
      <c r="B27" s="105"/>
      <c r="C27" s="106"/>
      <c r="D27" s="105"/>
      <c r="E27" s="106"/>
      <c r="H27" s="64" t="s">
        <v>228</v>
      </c>
      <c r="I27" s="75">
        <v>37482.5</v>
      </c>
      <c r="J27" s="66">
        <v>37482.400000000001</v>
      </c>
      <c r="K27" s="68">
        <f>IF(J27&lt;&gt;"",I27-J27,"")</f>
        <v>9.9999999998544808E-2</v>
      </c>
      <c r="L27" s="70" t="str">
        <f>IF(J27="","",IF($F$10="","",IF(K27&lt;=$F$10,"PASS","FAIL")))</f>
        <v>PASS</v>
      </c>
      <c r="M27" s="62" t="str">
        <f>IF(L27="PASS","NA","")</f>
        <v>NA</v>
      </c>
      <c r="N27" s="12"/>
      <c r="O27" s="12"/>
      <c r="P27" s="12"/>
    </row>
    <row r="28" spans="2:16" ht="13" customHeight="1" x14ac:dyDescent="0.15">
      <c r="B28" s="107"/>
      <c r="C28" s="107"/>
      <c r="D28" s="107"/>
      <c r="E28" s="107"/>
      <c r="H28" s="65"/>
      <c r="I28" s="67"/>
      <c r="J28" s="67"/>
      <c r="K28" s="69"/>
      <c r="L28" s="71"/>
      <c r="M28" s="63"/>
      <c r="N28" s="12"/>
      <c r="O28" s="12"/>
      <c r="P28" s="12"/>
    </row>
    <row r="29" spans="2:16" ht="13.75" customHeight="1" x14ac:dyDescent="0.15">
      <c r="B29" s="42" t="s">
        <v>40</v>
      </c>
      <c r="C29" s="41"/>
      <c r="D29" s="40"/>
      <c r="E29" s="41"/>
      <c r="H29" s="64" t="s">
        <v>229</v>
      </c>
      <c r="I29" s="66">
        <v>37118.1</v>
      </c>
      <c r="J29" s="66">
        <v>37116.699999999997</v>
      </c>
      <c r="K29" s="68">
        <f>IF(J29&lt;&gt;"",I29-J29,"")</f>
        <v>1.4000000000014552</v>
      </c>
      <c r="L29" s="70" t="str">
        <f>IF(J29="","",IF($F$10="","",IF(K29&lt;=$F$10,"PASS","FAIL")))</f>
        <v>PASS</v>
      </c>
      <c r="M29" s="62" t="str">
        <f>IF(L29="PASS","NA","")</f>
        <v>NA</v>
      </c>
      <c r="N29" s="12"/>
      <c r="O29" s="12"/>
      <c r="P29" s="12"/>
    </row>
    <row r="30" spans="2:16" x14ac:dyDescent="0.15">
      <c r="B30" s="22"/>
      <c r="C30" s="22"/>
      <c r="D30" s="22"/>
      <c r="E30" s="22"/>
      <c r="H30" s="65"/>
      <c r="I30" s="67"/>
      <c r="J30" s="67"/>
      <c r="K30" s="69"/>
      <c r="L30" s="71"/>
      <c r="M30" s="63"/>
      <c r="N30" s="12"/>
      <c r="O30" s="12"/>
      <c r="P30" s="12"/>
    </row>
    <row r="31" spans="2:16" ht="13.75" customHeight="1" x14ac:dyDescent="0.15">
      <c r="B31" s="22"/>
      <c r="C31" s="19"/>
      <c r="D31" s="22"/>
      <c r="E31" s="22"/>
      <c r="H31" s="64" t="s">
        <v>230</v>
      </c>
      <c r="I31" s="66">
        <v>37423.199999999997</v>
      </c>
      <c r="J31" s="66">
        <v>37420</v>
      </c>
      <c r="K31" s="68">
        <f>IF(J31&lt;&gt;"",I31-J31,"")</f>
        <v>3.1999999999970896</v>
      </c>
      <c r="L31" s="70" t="str">
        <f>IF(J31="","",IF($F$10="","",IF(K31&lt;=$F$10,"PASS","FAIL")))</f>
        <v>PASS</v>
      </c>
      <c r="M31" s="62" t="str">
        <f>IF(L31="PASS","NA","")</f>
        <v>NA</v>
      </c>
      <c r="N31" s="12"/>
      <c r="O31" s="12"/>
      <c r="P31" s="12"/>
    </row>
    <row r="32" spans="2:16" x14ac:dyDescent="0.15">
      <c r="B32" s="19"/>
      <c r="C32" s="19"/>
      <c r="D32" s="22"/>
      <c r="E32" s="22"/>
      <c r="H32" s="65"/>
      <c r="I32" s="67"/>
      <c r="J32" s="67"/>
      <c r="K32" s="69"/>
      <c r="L32" s="71"/>
      <c r="M32" s="63"/>
      <c r="N32" s="12"/>
      <c r="O32" s="12"/>
      <c r="P32" s="12"/>
    </row>
    <row r="33" spans="2:16" ht="13.75" customHeight="1" x14ac:dyDescent="0.15">
      <c r="C33" s="38"/>
      <c r="D33" s="38"/>
      <c r="E33" s="38"/>
      <c r="H33" s="64" t="s">
        <v>231</v>
      </c>
      <c r="I33" s="66">
        <v>37163.199999999997</v>
      </c>
      <c r="J33" s="66">
        <v>37162.5</v>
      </c>
      <c r="K33" s="68">
        <f>IF(J33&lt;&gt;"",I33-J33,"")</f>
        <v>0.69999999999708962</v>
      </c>
      <c r="L33" s="70" t="str">
        <f>IF(J33="","",IF($F$10="","",IF(K33&lt;=$F$10,"PASS","FAIL")))</f>
        <v>PASS</v>
      </c>
      <c r="M33" s="62" t="str">
        <f>IF(L33="PASS","NA","")</f>
        <v>NA</v>
      </c>
      <c r="N33" s="12"/>
      <c r="O33" s="12"/>
      <c r="P33" s="12"/>
    </row>
    <row r="34" spans="2:16" x14ac:dyDescent="0.15">
      <c r="C34" s="38"/>
      <c r="D34" s="38"/>
      <c r="E34" s="38"/>
      <c r="H34" s="65"/>
      <c r="I34" s="67"/>
      <c r="J34" s="67"/>
      <c r="K34" s="69"/>
      <c r="L34" s="71"/>
      <c r="M34" s="63"/>
      <c r="N34" s="12"/>
      <c r="O34" s="12"/>
      <c r="P34" s="12"/>
    </row>
    <row r="35" spans="2:16" ht="13.75" customHeight="1" x14ac:dyDescent="0.15">
      <c r="B35" s="42"/>
      <c r="C35" s="38"/>
      <c r="D35" s="38"/>
      <c r="E35" s="38"/>
      <c r="H35" s="64" t="s">
        <v>232</v>
      </c>
      <c r="I35" s="66">
        <v>37494.400000000001</v>
      </c>
      <c r="J35" s="66">
        <v>37493.4</v>
      </c>
      <c r="K35" s="68">
        <f>IF(J35&lt;&gt;"",I35-J35,"")</f>
        <v>1</v>
      </c>
      <c r="L35" s="70" t="str">
        <f>IF(J35="","",IF($F$10="","",IF(K35&lt;=$F$10,"PASS","FAIL")))</f>
        <v>PASS</v>
      </c>
      <c r="M35" s="62" t="str">
        <f>IF(L35="PASS","NA","")</f>
        <v>NA</v>
      </c>
      <c r="N35" s="12"/>
      <c r="O35" s="12"/>
      <c r="P35" s="12"/>
    </row>
    <row r="36" spans="2:16" x14ac:dyDescent="0.15">
      <c r="C36" s="38"/>
      <c r="D36" s="38"/>
      <c r="E36" s="38"/>
      <c r="H36" s="65"/>
      <c r="I36" s="67"/>
      <c r="J36" s="67"/>
      <c r="K36" s="69"/>
      <c r="L36" s="71"/>
      <c r="M36" s="63"/>
      <c r="N36" s="12"/>
      <c r="O36" s="12"/>
      <c r="P36" s="12"/>
    </row>
    <row r="37" spans="2:16" ht="13.75" customHeight="1" x14ac:dyDescent="0.15">
      <c r="C37" s="38"/>
      <c r="D37" s="38"/>
      <c r="E37" s="38"/>
      <c r="H37" s="64" t="s">
        <v>233</v>
      </c>
      <c r="I37" s="66">
        <v>37617.5</v>
      </c>
      <c r="J37" s="66">
        <v>37616.9</v>
      </c>
      <c r="K37" s="68">
        <f>IF(J37&lt;&gt;"",I37-J37,"")</f>
        <v>0.59999999999854481</v>
      </c>
      <c r="L37" s="70" t="str">
        <f>IF(J37="","",IF($F$10="","",IF(K37&lt;=$F$10,"PASS","FAIL")))</f>
        <v>PASS</v>
      </c>
      <c r="M37" s="62" t="str">
        <f>IF(L37="PASS","NA","")</f>
        <v>NA</v>
      </c>
      <c r="N37" s="12"/>
      <c r="O37" s="12"/>
      <c r="P37" s="12"/>
    </row>
    <row r="38" spans="2:16" x14ac:dyDescent="0.15">
      <c r="C38" s="38"/>
      <c r="D38" s="38"/>
      <c r="E38" s="38"/>
      <c r="H38" s="65"/>
      <c r="I38" s="67"/>
      <c r="J38" s="67"/>
      <c r="K38" s="69"/>
      <c r="L38" s="71"/>
      <c r="M38" s="63"/>
      <c r="N38" s="12"/>
      <c r="O38" s="12"/>
      <c r="P38" s="12"/>
    </row>
    <row r="39" spans="2:16" ht="13.75" customHeight="1" x14ac:dyDescent="0.15">
      <c r="C39" s="38"/>
      <c r="D39" s="38"/>
      <c r="E39" s="38"/>
      <c r="H39" s="64" t="s">
        <v>234</v>
      </c>
      <c r="I39" s="66">
        <v>37610.800000000003</v>
      </c>
      <c r="J39" s="66">
        <v>37610.699999999997</v>
      </c>
      <c r="K39" s="68">
        <f>IF(J39&lt;&gt;"",I39-J39,"")</f>
        <v>0.10000000000582077</v>
      </c>
      <c r="L39" s="70" t="str">
        <f>IF(J39="","",IF($F$10="","",IF(K39&lt;=$F$10,"PASS","FAIL")))</f>
        <v>PASS</v>
      </c>
      <c r="M39" s="62" t="str">
        <f>IF(L39="PASS","NA","")</f>
        <v>NA</v>
      </c>
      <c r="N39" s="12"/>
      <c r="O39" s="12"/>
      <c r="P39" s="12"/>
    </row>
    <row r="40" spans="2:16" x14ac:dyDescent="0.15">
      <c r="C40" s="38"/>
      <c r="D40" s="38"/>
      <c r="E40" s="38"/>
      <c r="H40" s="65"/>
      <c r="I40" s="67"/>
      <c r="J40" s="67"/>
      <c r="K40" s="69"/>
      <c r="L40" s="71"/>
      <c r="M40" s="63"/>
      <c r="N40" s="12"/>
      <c r="O40" s="12"/>
      <c r="P40" s="12"/>
    </row>
    <row r="41" spans="2:16" x14ac:dyDescent="0.15">
      <c r="C41" s="38"/>
      <c r="D41" s="38"/>
      <c r="E41" s="38"/>
      <c r="H41" s="64" t="s">
        <v>235</v>
      </c>
      <c r="I41" s="66">
        <v>37472.400000000001</v>
      </c>
      <c r="J41" s="66">
        <v>37476.1</v>
      </c>
      <c r="K41" s="68">
        <f>IF(J41&lt;&gt;"",I41-J41,"")</f>
        <v>-3.6999999999970896</v>
      </c>
      <c r="L41" s="70" t="str">
        <f>IF(J41="","",IF($F$10="","",IF(K41&lt;=$F$10,"PASS","FAIL")))</f>
        <v>PASS</v>
      </c>
      <c r="M41" s="62" t="str">
        <f>IF(L41="PASS","NA","")</f>
        <v>NA</v>
      </c>
      <c r="N41" s="12"/>
      <c r="O41" s="12"/>
      <c r="P41" s="12"/>
    </row>
    <row r="42" spans="2:16" ht="13.5" customHeight="1" x14ac:dyDescent="0.15">
      <c r="B42" s="95" t="s">
        <v>48</v>
      </c>
      <c r="C42" s="128"/>
      <c r="D42" s="128"/>
      <c r="E42" s="127"/>
      <c r="F42" s="29"/>
      <c r="G42" s="29"/>
      <c r="H42" s="65"/>
      <c r="I42" s="67"/>
      <c r="J42" s="67"/>
      <c r="K42" s="69"/>
      <c r="L42" s="71"/>
      <c r="M42" s="63"/>
      <c r="N42" s="12"/>
      <c r="O42" s="12"/>
      <c r="P42" s="12"/>
    </row>
    <row r="43" spans="2:16" ht="13.75" customHeight="1" x14ac:dyDescent="0.15">
      <c r="B43" s="97" t="s">
        <v>236</v>
      </c>
      <c r="C43" s="117"/>
      <c r="D43" s="117"/>
      <c r="E43" s="118"/>
      <c r="F43" s="29"/>
      <c r="G43" s="29"/>
      <c r="H43" s="74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  <c r="N43" s="12"/>
      <c r="O43" s="12"/>
      <c r="P43" s="12"/>
    </row>
    <row r="44" spans="2:16" ht="13.7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  <c r="N44" s="12"/>
      <c r="O44" s="12"/>
      <c r="P44" s="12"/>
    </row>
    <row r="45" spans="2:16" ht="13.7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6" ht="13.7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6" ht="15" customHeight="1" x14ac:dyDescent="0.15">
      <c r="B47" s="136" t="s">
        <v>52</v>
      </c>
      <c r="C47" s="137"/>
      <c r="D47" s="138"/>
      <c r="E47" s="138"/>
      <c r="F47" s="139"/>
      <c r="G47" s="29"/>
      <c r="H47" s="10"/>
      <c r="I47" s="27"/>
      <c r="J47" s="27"/>
      <c r="K47" s="28"/>
      <c r="L47" s="29"/>
      <c r="M47" s="10"/>
    </row>
    <row r="48" spans="2:16" ht="1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28"/>
      <c r="L48" s="29"/>
      <c r="M48" s="10"/>
    </row>
    <row r="49" spans="2:16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28" t="str">
        <f>IF(J49&lt;&gt;"",I49-J49,"")</f>
        <v/>
      </c>
      <c r="L49" s="29" t="str">
        <f>IF(J49="","",IF($F$10="","",IF(K49&lt;=$F$10,"PASS","FAIL")))</f>
        <v/>
      </c>
      <c r="M49" s="10"/>
    </row>
    <row r="50" spans="2:16" ht="1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6" ht="15.7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6" ht="15.7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  <c r="P52" s="12"/>
    </row>
    <row r="53" spans="2:16" ht="15.7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  <c r="P53" s="12"/>
    </row>
    <row r="54" spans="2:16" ht="15.7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  <c r="P54" s="12"/>
    </row>
    <row r="55" spans="2:16" ht="20.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15"/>
      <c r="L55" s="116"/>
      <c r="M55" s="142"/>
      <c r="P55" s="12"/>
    </row>
    <row r="56" spans="2:16" ht="13.7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43" t="s">
        <v>50</v>
      </c>
      <c r="L56" s="144"/>
      <c r="M56" s="30" t="s">
        <v>50</v>
      </c>
      <c r="P56" s="12"/>
    </row>
    <row r="64" spans="2:16" x14ac:dyDescent="0.15">
      <c r="C64" s="12"/>
      <c r="D64" s="12"/>
      <c r="E64" s="12"/>
      <c r="F64" s="12"/>
      <c r="G64" s="12"/>
    </row>
    <row r="65" spans="3:13" x14ac:dyDescent="0.15">
      <c r="C65" s="12"/>
      <c r="D65" s="12"/>
      <c r="E65" s="12"/>
      <c r="F65" s="12"/>
      <c r="G65" s="12"/>
    </row>
    <row r="66" spans="3:13" x14ac:dyDescent="0.15">
      <c r="C66" s="12"/>
      <c r="D66" s="12"/>
      <c r="E66" s="12"/>
      <c r="F66" s="12"/>
      <c r="G66" s="12"/>
    </row>
    <row r="67" spans="3:13" x14ac:dyDescent="0.15">
      <c r="C67" s="12"/>
      <c r="D67" s="12"/>
      <c r="E67" s="12"/>
      <c r="F67" s="12"/>
      <c r="G67" s="12"/>
      <c r="H67" s="14"/>
      <c r="I67" s="14"/>
      <c r="J67" s="14"/>
      <c r="K67" s="14"/>
      <c r="L67" s="14"/>
    </row>
    <row r="68" spans="3:13" x14ac:dyDescent="0.15">
      <c r="C68" s="12"/>
      <c r="D68" s="12"/>
      <c r="E68" s="12"/>
      <c r="F68" s="12"/>
      <c r="G68" s="12"/>
      <c r="H68" s="15"/>
      <c r="I68" s="14"/>
      <c r="J68" s="14"/>
      <c r="K68" s="14"/>
      <c r="L68" s="14"/>
    </row>
    <row r="69" spans="3:13" x14ac:dyDescent="0.15">
      <c r="C69" s="12"/>
      <c r="D69" s="12"/>
      <c r="E69" s="12"/>
      <c r="F69" s="12"/>
      <c r="G69" s="12"/>
      <c r="H69" s="14"/>
      <c r="I69" s="14"/>
      <c r="J69" s="14"/>
      <c r="K69" s="14"/>
      <c r="L69" s="14"/>
      <c r="M69" s="12"/>
    </row>
    <row r="70" spans="3:13" x14ac:dyDescent="0.15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3:13" x14ac:dyDescent="0.15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3:13" x14ac:dyDescent="0.15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3:13" x14ac:dyDescent="0.15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3:13" x14ac:dyDescent="0.15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3:13" x14ac:dyDescent="0.15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3:13" ht="44.5" customHeight="1" x14ac:dyDescent="0.15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3:13" x14ac:dyDescent="0.15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3:13" x14ac:dyDescent="0.15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3:13" x14ac:dyDescent="0.1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3:13" x14ac:dyDescent="0.15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3:13" x14ac:dyDescent="0.15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3:13" x14ac:dyDescent="0.1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3:13" x14ac:dyDescent="0.1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3:13" x14ac:dyDescent="0.1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3:13" x14ac:dyDescent="0.15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3:13" x14ac:dyDescent="0.1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3:13" x14ac:dyDescent="0.1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3:13" x14ac:dyDescent="0.1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3:13" x14ac:dyDescent="0.1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3:13" x14ac:dyDescent="0.1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3:13" x14ac:dyDescent="0.1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3:13" x14ac:dyDescent="0.1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3:13" x14ac:dyDescent="0.1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3:13" x14ac:dyDescent="0.1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3:13" x14ac:dyDescent="0.1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3:13" x14ac:dyDescent="0.1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3:13" x14ac:dyDescent="0.1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3:13" x14ac:dyDescent="0.15">
      <c r="C98" s="12"/>
      <c r="H98" s="12"/>
      <c r="I98" s="12"/>
      <c r="J98" s="12"/>
      <c r="K98" s="12"/>
      <c r="L98" s="12"/>
      <c r="M98" s="12"/>
    </row>
    <row r="99" spans="3:13" x14ac:dyDescent="0.15">
      <c r="C99" s="12"/>
      <c r="H99" s="12"/>
      <c r="I99" s="12"/>
      <c r="J99" s="12"/>
      <c r="K99" s="12"/>
      <c r="L99" s="12"/>
      <c r="M99" s="12"/>
    </row>
    <row r="100" spans="3:13" x14ac:dyDescent="0.15">
      <c r="H100" s="12"/>
      <c r="I100" s="12"/>
      <c r="J100" s="12"/>
      <c r="K100" s="12"/>
      <c r="L100" s="12"/>
      <c r="M100" s="12"/>
    </row>
    <row r="101" spans="3:13" x14ac:dyDescent="0.15">
      <c r="H101" s="12"/>
      <c r="I101" s="12"/>
      <c r="J101" s="12"/>
      <c r="K101" s="12"/>
      <c r="L101" s="12"/>
      <c r="M101" s="12"/>
    </row>
    <row r="102" spans="3:13" x14ac:dyDescent="0.15">
      <c r="H102" s="12"/>
      <c r="I102" s="12"/>
      <c r="J102" s="12"/>
      <c r="K102" s="12"/>
      <c r="L102" s="12"/>
      <c r="M102" s="12"/>
    </row>
    <row r="103" spans="3:13" x14ac:dyDescent="0.15">
      <c r="H103" s="12"/>
      <c r="I103" s="12"/>
      <c r="J103" s="12"/>
      <c r="K103" s="12"/>
      <c r="L103" s="12"/>
      <c r="M103" s="12"/>
    </row>
    <row r="104" spans="3:13" x14ac:dyDescent="0.15">
      <c r="H104" s="12"/>
      <c r="I104" s="12"/>
      <c r="J104" s="12"/>
      <c r="K104" s="12"/>
      <c r="L104" s="12"/>
      <c r="M104" s="12"/>
    </row>
    <row r="105" spans="3:13" x14ac:dyDescent="0.15">
      <c r="H105" s="12"/>
      <c r="I105" s="12"/>
      <c r="J105" s="12"/>
      <c r="K105" s="12"/>
      <c r="L105" s="12"/>
      <c r="M105" s="12"/>
    </row>
    <row r="106" spans="3:13" x14ac:dyDescent="0.15">
      <c r="H106" s="12"/>
      <c r="I106" s="12"/>
      <c r="J106" s="12"/>
      <c r="K106" s="12"/>
      <c r="L106" s="12"/>
      <c r="M106" s="12"/>
    </row>
    <row r="107" spans="3:13" x14ac:dyDescent="0.15">
      <c r="H107" s="12"/>
      <c r="I107" s="12"/>
      <c r="J107" s="12"/>
      <c r="K107" s="12"/>
      <c r="L107" s="12"/>
      <c r="M107" s="12"/>
    </row>
    <row r="108" spans="3:13" x14ac:dyDescent="0.15">
      <c r="H108" s="12"/>
      <c r="I108" s="12"/>
      <c r="J108" s="12"/>
      <c r="K108" s="12"/>
      <c r="L108" s="12"/>
      <c r="M108" s="12"/>
    </row>
    <row r="109" spans="3:13" x14ac:dyDescent="0.15">
      <c r="H109" s="12"/>
      <c r="I109" s="12"/>
      <c r="J109" s="12"/>
      <c r="K109" s="12"/>
      <c r="L109" s="12"/>
      <c r="M109" s="12"/>
    </row>
    <row r="110" spans="3:13" x14ac:dyDescent="0.15">
      <c r="H110" s="12"/>
      <c r="I110" s="12"/>
      <c r="J110" s="12"/>
      <c r="K110" s="12"/>
      <c r="L110" s="12"/>
      <c r="M110" s="12"/>
    </row>
    <row r="111" spans="3:13" x14ac:dyDescent="0.15">
      <c r="H111" s="12"/>
      <c r="I111" s="12"/>
      <c r="J111" s="12"/>
      <c r="K111" s="12"/>
      <c r="L111" s="12"/>
      <c r="M111" s="12"/>
    </row>
    <row r="112" spans="3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</row>
    <row r="116" spans="8:13" x14ac:dyDescent="0.15">
      <c r="H116" s="12"/>
      <c r="I116" s="12"/>
      <c r="J116" s="12"/>
      <c r="K116" s="12"/>
      <c r="L116" s="12"/>
    </row>
    <row r="117" spans="8:13" x14ac:dyDescent="0.15">
      <c r="H117" s="12"/>
      <c r="I117" s="12"/>
      <c r="J117" s="12"/>
      <c r="K117" s="12"/>
      <c r="L117" s="12"/>
    </row>
  </sheetData>
  <customSheetViews>
    <customSheetView guid="{56C9F3FB-E1BF-4A84-A9C1-883C4971E148}" scale="85" topLeftCell="A49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49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M52:M53"/>
    <mergeCell ref="M54:M55"/>
    <mergeCell ref="K54:L55"/>
    <mergeCell ref="K56:L56"/>
    <mergeCell ref="B10:C11"/>
    <mergeCell ref="B13:C13"/>
    <mergeCell ref="D13:E13"/>
    <mergeCell ref="B14:C15"/>
    <mergeCell ref="D14:E15"/>
    <mergeCell ref="F10:F11"/>
    <mergeCell ref="B22:C23"/>
    <mergeCell ref="D22:E23"/>
    <mergeCell ref="B42:E42"/>
    <mergeCell ref="I25:I26"/>
    <mergeCell ref="J25:J26"/>
    <mergeCell ref="K25:K26"/>
    <mergeCell ref="M31:M32"/>
    <mergeCell ref="H29:H30"/>
    <mergeCell ref="I29:I30"/>
    <mergeCell ref="J29:J30"/>
    <mergeCell ref="K29:K30"/>
    <mergeCell ref="L29:L30"/>
    <mergeCell ref="K31:K32"/>
    <mergeCell ref="M25:M26"/>
    <mergeCell ref="D10:E11"/>
    <mergeCell ref="H31:H32"/>
    <mergeCell ref="L31:L32"/>
    <mergeCell ref="B46:F46"/>
    <mergeCell ref="B47:F48"/>
    <mergeCell ref="K50:M50"/>
    <mergeCell ref="B19:C19"/>
    <mergeCell ref="D19:E19"/>
    <mergeCell ref="B20:C21"/>
    <mergeCell ref="M17:M18"/>
    <mergeCell ref="K19:K20"/>
    <mergeCell ref="L19:L20"/>
    <mergeCell ref="M19:M20"/>
    <mergeCell ref="K17:K18"/>
    <mergeCell ref="L17:L18"/>
    <mergeCell ref="H27:H28"/>
    <mergeCell ref="I27:I28"/>
    <mergeCell ref="J27:J28"/>
    <mergeCell ref="K27:K28"/>
    <mergeCell ref="L27:L28"/>
    <mergeCell ref="M27:M28"/>
    <mergeCell ref="H25:H26"/>
    <mergeCell ref="L25:L26"/>
    <mergeCell ref="H19:H20"/>
    <mergeCell ref="I19:I20"/>
    <mergeCell ref="J19:J20"/>
    <mergeCell ref="H17:H18"/>
    <mergeCell ref="I17:I18"/>
    <mergeCell ref="J17:J18"/>
    <mergeCell ref="I39:I40"/>
    <mergeCell ref="J39:J40"/>
    <mergeCell ref="B50:F50"/>
    <mergeCell ref="K52:L53"/>
    <mergeCell ref="K1:K2"/>
    <mergeCell ref="J1:J2"/>
    <mergeCell ref="B16:C17"/>
    <mergeCell ref="B43:E44"/>
    <mergeCell ref="F2:F3"/>
    <mergeCell ref="D5:F7"/>
    <mergeCell ref="K43:K44"/>
    <mergeCell ref="L43:L44"/>
    <mergeCell ref="B6:C7"/>
    <mergeCell ref="D16:E17"/>
    <mergeCell ref="B9:C9"/>
    <mergeCell ref="I31:I32"/>
    <mergeCell ref="L5:L6"/>
    <mergeCell ref="K5:K6"/>
    <mergeCell ref="J31:J32"/>
    <mergeCell ref="B1:C1"/>
    <mergeCell ref="D1:E1"/>
    <mergeCell ref="B2:C3"/>
    <mergeCell ref="H50:J50"/>
    <mergeCell ref="B5:C5"/>
    <mergeCell ref="D2:E3"/>
    <mergeCell ref="D9:E9"/>
    <mergeCell ref="D20:E21"/>
    <mergeCell ref="K51:L51"/>
    <mergeCell ref="H1:H2"/>
    <mergeCell ref="M29:M30"/>
    <mergeCell ref="H5:H6"/>
    <mergeCell ref="I5:I6"/>
    <mergeCell ref="J5:J6"/>
    <mergeCell ref="M1:M2"/>
    <mergeCell ref="I1:I2"/>
    <mergeCell ref="B51:J56"/>
    <mergeCell ref="B24:C24"/>
    <mergeCell ref="D24:E24"/>
    <mergeCell ref="B25:C26"/>
    <mergeCell ref="D25:E26"/>
    <mergeCell ref="B27:C28"/>
    <mergeCell ref="D27:E28"/>
    <mergeCell ref="M3:M4"/>
    <mergeCell ref="L1:L2"/>
    <mergeCell ref="H3:H4"/>
    <mergeCell ref="M11:M12"/>
    <mergeCell ref="H9:H10"/>
    <mergeCell ref="I9:I10"/>
    <mergeCell ref="J9:J10"/>
    <mergeCell ref="K9:K10"/>
    <mergeCell ref="L9:L10"/>
    <mergeCell ref="K3:K4"/>
    <mergeCell ref="J3:J4"/>
    <mergeCell ref="I3:I4"/>
    <mergeCell ref="M13:M14"/>
    <mergeCell ref="H15:H16"/>
    <mergeCell ref="I15:I16"/>
    <mergeCell ref="J15:J16"/>
    <mergeCell ref="K15:K16"/>
    <mergeCell ref="L15:L16"/>
    <mergeCell ref="M15:M16"/>
    <mergeCell ref="H13:H14"/>
    <mergeCell ref="I13:I14"/>
    <mergeCell ref="J13:J14"/>
    <mergeCell ref="K13:K14"/>
    <mergeCell ref="L13:L14"/>
    <mergeCell ref="M9:M10"/>
    <mergeCell ref="M5:M6"/>
    <mergeCell ref="H11:H12"/>
    <mergeCell ref="I11:I12"/>
    <mergeCell ref="J11:J12"/>
    <mergeCell ref="K11:K12"/>
    <mergeCell ref="L11:L12"/>
    <mergeCell ref="L3:L4"/>
    <mergeCell ref="M21:M22"/>
    <mergeCell ref="H23:H24"/>
    <mergeCell ref="I23:I24"/>
    <mergeCell ref="J23:J24"/>
    <mergeCell ref="K23:K24"/>
    <mergeCell ref="L23:L24"/>
    <mergeCell ref="M23:M24"/>
    <mergeCell ref="H21:H22"/>
    <mergeCell ref="I21:I22"/>
    <mergeCell ref="J21:J22"/>
    <mergeCell ref="K21:K22"/>
    <mergeCell ref="L21:L22"/>
    <mergeCell ref="M39:M40"/>
    <mergeCell ref="H37:H38"/>
    <mergeCell ref="I37:I38"/>
    <mergeCell ref="J37:J38"/>
    <mergeCell ref="K37:K38"/>
    <mergeCell ref="L37:L38"/>
    <mergeCell ref="M37:M38"/>
    <mergeCell ref="H39:H40"/>
    <mergeCell ref="M33:M34"/>
    <mergeCell ref="H35:H36"/>
    <mergeCell ref="I35:I36"/>
    <mergeCell ref="J35:J36"/>
    <mergeCell ref="K35:K36"/>
    <mergeCell ref="L35:L36"/>
    <mergeCell ref="M35:M36"/>
    <mergeCell ref="H33:H34"/>
    <mergeCell ref="I33:I34"/>
    <mergeCell ref="J33:J34"/>
    <mergeCell ref="K33:K34"/>
    <mergeCell ref="L33:L34"/>
    <mergeCell ref="M45:M46"/>
    <mergeCell ref="H7:H8"/>
    <mergeCell ref="I7:I8"/>
    <mergeCell ref="J7:J8"/>
    <mergeCell ref="K7:K8"/>
    <mergeCell ref="L7:L8"/>
    <mergeCell ref="M7:M8"/>
    <mergeCell ref="H45:H46"/>
    <mergeCell ref="I45:I46"/>
    <mergeCell ref="J45:J46"/>
    <mergeCell ref="K45:K46"/>
    <mergeCell ref="L45:L46"/>
    <mergeCell ref="M41:M42"/>
    <mergeCell ref="H43:H44"/>
    <mergeCell ref="I43:I44"/>
    <mergeCell ref="J43:J44"/>
    <mergeCell ref="M43:M44"/>
    <mergeCell ref="H41:H42"/>
    <mergeCell ref="I41:I42"/>
    <mergeCell ref="J41:J42"/>
    <mergeCell ref="K41:K42"/>
    <mergeCell ref="L41:L42"/>
    <mergeCell ref="K39:K40"/>
    <mergeCell ref="L39:L40"/>
  </mergeCells>
  <conditionalFormatting sqref="F10">
    <cfRule type="cellIs" dxfId="595" priority="54" stopIfTrue="1" operator="equal">
      <formula>"PASS"</formula>
    </cfRule>
    <cfRule type="cellIs" dxfId="594" priority="53" stopIfTrue="1" operator="equal">
      <formula>"FAIL"</formula>
    </cfRule>
  </conditionalFormatting>
  <conditionalFormatting sqref="L3 L5 L49:L51 L56">
    <cfRule type="cellIs" dxfId="593" priority="62" stopIfTrue="1" operator="equal">
      <formula>"PASS"</formula>
    </cfRule>
    <cfRule type="cellIs" dxfId="592" priority="61" stopIfTrue="1" operator="equal">
      <formula>"FAIL"</formula>
    </cfRule>
  </conditionalFormatting>
  <conditionalFormatting sqref="L7">
    <cfRule type="cellIs" dxfId="591" priority="3" stopIfTrue="1" operator="equal">
      <formula>"FAIL"</formula>
    </cfRule>
    <cfRule type="cellIs" dxfId="590" priority="4" stopIfTrue="1" operator="equal">
      <formula>"PASS"</formula>
    </cfRule>
  </conditionalFormatting>
  <conditionalFormatting sqref="L9">
    <cfRule type="cellIs" dxfId="589" priority="42" stopIfTrue="1" operator="equal">
      <formula>"PASS"</formula>
    </cfRule>
    <cfRule type="cellIs" dxfId="588" priority="41" stopIfTrue="1" operator="equal">
      <formula>"FAIL"</formula>
    </cfRule>
  </conditionalFormatting>
  <conditionalFormatting sqref="L11">
    <cfRule type="cellIs" dxfId="587" priority="40" stopIfTrue="1" operator="equal">
      <formula>"PASS"</formula>
    </cfRule>
    <cfRule type="cellIs" dxfId="586" priority="39" stopIfTrue="1" operator="equal">
      <formula>"FAIL"</formula>
    </cfRule>
  </conditionalFormatting>
  <conditionalFormatting sqref="L13">
    <cfRule type="cellIs" dxfId="585" priority="38" stopIfTrue="1" operator="equal">
      <formula>"PASS"</formula>
    </cfRule>
    <cfRule type="cellIs" dxfId="584" priority="37" stopIfTrue="1" operator="equal">
      <formula>"FAIL"</formula>
    </cfRule>
  </conditionalFormatting>
  <conditionalFormatting sqref="L15">
    <cfRule type="cellIs" dxfId="583" priority="36" stopIfTrue="1" operator="equal">
      <formula>"PASS"</formula>
    </cfRule>
    <cfRule type="cellIs" dxfId="582" priority="35" stopIfTrue="1" operator="equal">
      <formula>"FAIL"</formula>
    </cfRule>
  </conditionalFormatting>
  <conditionalFormatting sqref="L17">
    <cfRule type="cellIs" dxfId="581" priority="34" stopIfTrue="1" operator="equal">
      <formula>"PASS"</formula>
    </cfRule>
    <cfRule type="cellIs" dxfId="580" priority="33" stopIfTrue="1" operator="equal">
      <formula>"FAIL"</formula>
    </cfRule>
  </conditionalFormatting>
  <conditionalFormatting sqref="L19">
    <cfRule type="cellIs" dxfId="579" priority="32" stopIfTrue="1" operator="equal">
      <formula>"PASS"</formula>
    </cfRule>
    <cfRule type="cellIs" dxfId="578" priority="31" stopIfTrue="1" operator="equal">
      <formula>"FAIL"</formula>
    </cfRule>
  </conditionalFormatting>
  <conditionalFormatting sqref="L21">
    <cfRule type="cellIs" dxfId="577" priority="30" stopIfTrue="1" operator="equal">
      <formula>"PASS"</formula>
    </cfRule>
    <cfRule type="cellIs" dxfId="576" priority="29" stopIfTrue="1" operator="equal">
      <formula>"FAIL"</formula>
    </cfRule>
  </conditionalFormatting>
  <conditionalFormatting sqref="L23">
    <cfRule type="cellIs" dxfId="575" priority="27" stopIfTrue="1" operator="equal">
      <formula>"FAIL"</formula>
    </cfRule>
    <cfRule type="cellIs" dxfId="574" priority="28" stopIfTrue="1" operator="equal">
      <formula>"PASS"</formula>
    </cfRule>
  </conditionalFormatting>
  <conditionalFormatting sqref="L25">
    <cfRule type="cellIs" dxfId="573" priority="25" stopIfTrue="1" operator="equal">
      <formula>"FAIL"</formula>
    </cfRule>
    <cfRule type="cellIs" dxfId="572" priority="26" stopIfTrue="1" operator="equal">
      <formula>"PASS"</formula>
    </cfRule>
  </conditionalFormatting>
  <conditionalFormatting sqref="L27">
    <cfRule type="cellIs" dxfId="571" priority="24" stopIfTrue="1" operator="equal">
      <formula>"PASS"</formula>
    </cfRule>
    <cfRule type="cellIs" dxfId="570" priority="23" stopIfTrue="1" operator="equal">
      <formula>"FAIL"</formula>
    </cfRule>
  </conditionalFormatting>
  <conditionalFormatting sqref="L29">
    <cfRule type="cellIs" dxfId="569" priority="22" stopIfTrue="1" operator="equal">
      <formula>"PASS"</formula>
    </cfRule>
    <cfRule type="cellIs" dxfId="568" priority="21" stopIfTrue="1" operator="equal">
      <formula>"FAIL"</formula>
    </cfRule>
  </conditionalFormatting>
  <conditionalFormatting sqref="L31">
    <cfRule type="cellIs" dxfId="567" priority="20" stopIfTrue="1" operator="equal">
      <formula>"PASS"</formula>
    </cfRule>
    <cfRule type="cellIs" dxfId="566" priority="19" stopIfTrue="1" operator="equal">
      <formula>"FAIL"</formula>
    </cfRule>
  </conditionalFormatting>
  <conditionalFormatting sqref="L33">
    <cfRule type="cellIs" dxfId="565" priority="18" stopIfTrue="1" operator="equal">
      <formula>"PASS"</formula>
    </cfRule>
    <cfRule type="cellIs" dxfId="564" priority="17" stopIfTrue="1" operator="equal">
      <formula>"FAIL"</formula>
    </cfRule>
  </conditionalFormatting>
  <conditionalFormatting sqref="L35">
    <cfRule type="cellIs" dxfId="563" priority="16" stopIfTrue="1" operator="equal">
      <formula>"PASS"</formula>
    </cfRule>
    <cfRule type="cellIs" dxfId="562" priority="15" stopIfTrue="1" operator="equal">
      <formula>"FAIL"</formula>
    </cfRule>
  </conditionalFormatting>
  <conditionalFormatting sqref="L37">
    <cfRule type="cellIs" dxfId="561" priority="14" stopIfTrue="1" operator="equal">
      <formula>"PASS"</formula>
    </cfRule>
    <cfRule type="cellIs" dxfId="560" priority="13" stopIfTrue="1" operator="equal">
      <formula>"FAIL"</formula>
    </cfRule>
  </conditionalFormatting>
  <conditionalFormatting sqref="L39">
    <cfRule type="cellIs" dxfId="559" priority="12" stopIfTrue="1" operator="equal">
      <formula>"PASS"</formula>
    </cfRule>
    <cfRule type="cellIs" dxfId="558" priority="11" stopIfTrue="1" operator="equal">
      <formula>"FAIL"</formula>
    </cfRule>
  </conditionalFormatting>
  <conditionalFormatting sqref="L41">
    <cfRule type="cellIs" dxfId="557" priority="10" stopIfTrue="1" operator="equal">
      <formula>"PASS"</formula>
    </cfRule>
    <cfRule type="cellIs" dxfId="556" priority="9" stopIfTrue="1" operator="equal">
      <formula>"FAIL"</formula>
    </cfRule>
  </conditionalFormatting>
  <conditionalFormatting sqref="L43">
    <cfRule type="cellIs" dxfId="555" priority="7" stopIfTrue="1" operator="equal">
      <formula>"FAIL"</formula>
    </cfRule>
    <cfRule type="cellIs" dxfId="554" priority="8" stopIfTrue="1" operator="equal">
      <formula>"PASS"</formula>
    </cfRule>
  </conditionalFormatting>
  <conditionalFormatting sqref="L45">
    <cfRule type="cellIs" dxfId="553" priority="6" stopIfTrue="1" operator="equal">
      <formula>"PASS"</formula>
    </cfRule>
    <cfRule type="cellIs" dxfId="552" priority="5" stopIfTrue="1" operator="equal">
      <formula>"FAIL"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49</xdr:row>
                    <xdr:rowOff>0</xdr:rowOff>
                  </from>
                  <to>
                    <xdr:col>7</xdr:col>
                    <xdr:colOff>1104900</xdr:colOff>
                    <xdr:row>50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687493-C03A-4213-9587-DB405078110F}">
          <x14:formula1>
            <xm:f>'Worksheet Instructions'!$B$16:$B$58</xm:f>
          </x14:formula1>
          <xm:sqref>D10:E11</xm:sqref>
        </x14:dataValidation>
        <x14:dataValidation type="list" allowBlank="1" showInputMessage="1" showErrorMessage="1" xr:uid="{A813543F-D86C-425B-8532-EC8F7C3B9206}">
          <x14:formula1>
            <xm:f>'Worksheet Instructions'!E$16:E$49</xm:f>
          </x14:formula1>
          <xm:sqref>F2:F3</xm:sqref>
        </x14:dataValidation>
        <x14:dataValidation type="list" allowBlank="1" showInputMessage="1" showErrorMessage="1" xr:uid="{FA189123-9114-48FE-A850-A76F4E5E8E91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996D-7FCF-465D-86F5-EBF256553961}">
  <dimension ref="A1:M124"/>
  <sheetViews>
    <sheetView topLeftCell="A16" zoomScale="85" zoomScaleNormal="85" zoomScaleSheetLayoutView="100" zoomScalePageLayoutView="47" workbookViewId="0">
      <selection activeCell="B49" sqref="B49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237</v>
      </c>
      <c r="I3" s="75">
        <v>37575.1</v>
      </c>
      <c r="J3" s="75">
        <v>37574.1</v>
      </c>
      <c r="K3" s="76">
        <f>IF(J3&lt;&gt;"",I3-J3,"")</f>
        <v>1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238</v>
      </c>
      <c r="I5" s="66">
        <v>37504.800000000003</v>
      </c>
      <c r="J5" s="66">
        <v>37505.4</v>
      </c>
      <c r="K5" s="68">
        <f>IF(J5&lt;&gt;"",I5-J5,"")</f>
        <v>-0.59999999999854481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239</v>
      </c>
      <c r="I7" s="66">
        <v>37488.800000000003</v>
      </c>
      <c r="J7" s="66">
        <v>37488.5</v>
      </c>
      <c r="K7" s="68">
        <f>IF(J7&lt;&gt;"",I7-J7,"")</f>
        <v>0.30000000000291038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240</v>
      </c>
      <c r="I9" s="66">
        <v>37488.1</v>
      </c>
      <c r="J9" s="66">
        <v>37487.300000000003</v>
      </c>
      <c r="K9" s="68">
        <f>IF(J9&lt;&gt;"",I9-J9,"")</f>
        <v>0.79999999999563443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241</v>
      </c>
      <c r="I11" s="66">
        <v>37723.300000000003</v>
      </c>
      <c r="J11" s="66">
        <v>37721.5</v>
      </c>
      <c r="K11" s="68">
        <f>IF(J11&lt;&gt;"",I11-J11,"")</f>
        <v>1.8000000000029104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242</v>
      </c>
      <c r="I13" s="66">
        <v>37159.300000000003</v>
      </c>
      <c r="J13" s="66">
        <v>37158.199999999997</v>
      </c>
      <c r="K13" s="68">
        <f>IF(J13&lt;&gt;"",I13-J13,"")</f>
        <v>1.1000000000058208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243</v>
      </c>
      <c r="I15" s="75">
        <v>37584.9</v>
      </c>
      <c r="J15" s="66">
        <v>37585</v>
      </c>
      <c r="K15" s="68">
        <f>IF(J15&lt;&gt;"",I15-J15,"")</f>
        <v>-9.9999999998544808E-2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244</v>
      </c>
      <c r="I17" s="66">
        <v>37625.9</v>
      </c>
      <c r="J17" s="66">
        <v>37624.5</v>
      </c>
      <c r="K17" s="68">
        <f>IF(J17&lt;&gt;"",I17-J17,"")</f>
        <v>1.4000000000014552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245</v>
      </c>
      <c r="I19" s="66">
        <v>37437.199999999997</v>
      </c>
      <c r="J19" s="66">
        <v>37437</v>
      </c>
      <c r="K19" s="68">
        <f>IF(J19&lt;&gt;"",I19-J19,"")</f>
        <v>0.19999999999708962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246</v>
      </c>
      <c r="I21" s="66">
        <v>37384.9</v>
      </c>
      <c r="J21" s="66">
        <v>37382.5</v>
      </c>
      <c r="K21" s="68">
        <f>IF(J21&lt;&gt;"",I21-J21,"")</f>
        <v>2.4000000000014552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247</v>
      </c>
      <c r="I23" s="66">
        <v>37592.9</v>
      </c>
      <c r="J23" s="66">
        <v>37591.599999999999</v>
      </c>
      <c r="K23" s="68">
        <f>IF(J23&lt;&gt;"",I23-J23,"")</f>
        <v>1.3000000000029104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248</v>
      </c>
      <c r="I25" s="66">
        <v>37622.800000000003</v>
      </c>
      <c r="J25" s="66">
        <v>37622.1</v>
      </c>
      <c r="K25" s="68">
        <f>IF(J25&lt;&gt;"",I25-J25,"")</f>
        <v>0.70000000000436557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249</v>
      </c>
      <c r="I27" s="75">
        <v>37137.9</v>
      </c>
      <c r="J27" s="66">
        <v>37137.199999999997</v>
      </c>
      <c r="K27" s="68">
        <f>IF(J27&lt;&gt;"",I27-J27,"")</f>
        <v>0.70000000000436557</v>
      </c>
      <c r="L27" s="70" t="str">
        <f>IF(J27="","",IF($F$10="","",IF(K27&lt;=$F$10,"PASS","FAIL")))</f>
        <v>PASS</v>
      </c>
      <c r="M27" s="62" t="str">
        <f>IF(L27="PASS","NA","")</f>
        <v>NA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250</v>
      </c>
      <c r="I29" s="66">
        <v>37668.5</v>
      </c>
      <c r="J29" s="66">
        <v>37518.5</v>
      </c>
      <c r="K29" s="68">
        <f>IF(J29&lt;&gt;"",I29-J29,"")</f>
        <v>150</v>
      </c>
      <c r="L29" s="70" t="str">
        <f>IF(J29="","",IF($F$10="","",IF(K29&lt;=$F$10,"PASS","FAIL")))</f>
        <v>FAIL</v>
      </c>
      <c r="M29" s="62" t="s">
        <v>124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251</v>
      </c>
      <c r="I31" s="66">
        <v>37667.9</v>
      </c>
      <c r="J31" s="66">
        <v>37667.4</v>
      </c>
      <c r="K31" s="68">
        <f>IF(J31&lt;&gt;"",I31-J31,"")</f>
        <v>0.5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252</v>
      </c>
      <c r="I33" s="66">
        <v>37264.1</v>
      </c>
      <c r="J33" s="66">
        <v>37262.800000000003</v>
      </c>
      <c r="K33" s="68">
        <f>IF(J33&lt;&gt;"",I33-J33,"")</f>
        <v>1.2999999999956344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253</v>
      </c>
      <c r="I35" s="66">
        <v>37501.199999999997</v>
      </c>
      <c r="J35" s="66">
        <v>37500.1</v>
      </c>
      <c r="K35" s="68">
        <f>IF(J35&lt;&gt;"",I35-J35,"")</f>
        <v>1.0999999999985448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254</v>
      </c>
      <c r="I37" s="66">
        <v>37636.699999999997</v>
      </c>
      <c r="J37" s="66">
        <v>37635.5</v>
      </c>
      <c r="K37" s="68">
        <f>IF(J37&lt;&gt;"",I37-J37,"")</f>
        <v>1.1999999999970896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255</v>
      </c>
      <c r="I39" s="66">
        <v>37616.800000000003</v>
      </c>
      <c r="J39" s="66">
        <v>37616.300000000003</v>
      </c>
      <c r="K39" s="68">
        <f>IF(J39&lt;&gt;"",I39-J39,"")</f>
        <v>0.5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256</v>
      </c>
      <c r="I41" s="66">
        <v>37460.1</v>
      </c>
      <c r="J41" s="66">
        <v>37459.699999999997</v>
      </c>
      <c r="K41" s="68">
        <f>IF(J41&lt;&gt;"",I41-J41,"")</f>
        <v>0.40000000000145519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236</v>
      </c>
      <c r="C43" s="117"/>
      <c r="D43" s="117"/>
      <c r="E43" s="118"/>
      <c r="F43" s="29"/>
      <c r="G43" s="29"/>
      <c r="H43" s="72" t="s">
        <v>50</v>
      </c>
      <c r="I43" s="75" t="s">
        <v>50</v>
      </c>
      <c r="J43" s="75">
        <v>37459.1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36" t="s">
        <v>52</v>
      </c>
      <c r="C47" s="137"/>
      <c r="D47" s="138"/>
      <c r="E47" s="138"/>
      <c r="F47" s="139"/>
      <c r="G47" s="29"/>
      <c r="H47" s="10"/>
      <c r="I47" s="27"/>
      <c r="J47" s="27"/>
      <c r="K47" s="31"/>
      <c r="M47" s="10"/>
    </row>
    <row r="48" spans="2:13" ht="12.7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customSheetViews>
    <customSheetView guid="{56C9F3FB-E1BF-4A84-A9C1-883C4971E148}" scale="85" topLeftCell="A12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12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L43:L44"/>
    <mergeCell ref="K41:K42"/>
    <mergeCell ref="L41:L42"/>
    <mergeCell ref="M33:M34"/>
    <mergeCell ref="H35:H36"/>
    <mergeCell ref="I35:I36"/>
    <mergeCell ref="B24:C24"/>
    <mergeCell ref="D24:E24"/>
    <mergeCell ref="B25:C26"/>
    <mergeCell ref="D25:E26"/>
    <mergeCell ref="B27:C28"/>
    <mergeCell ref="D27:E28"/>
    <mergeCell ref="K54:L55"/>
    <mergeCell ref="M54:M55"/>
    <mergeCell ref="M45:M46"/>
    <mergeCell ref="B50:F50"/>
    <mergeCell ref="H50:J50"/>
    <mergeCell ref="K50:M50"/>
    <mergeCell ref="K51:L51"/>
    <mergeCell ref="H45:H46"/>
    <mergeCell ref="I45:I46"/>
    <mergeCell ref="J45:J46"/>
    <mergeCell ref="K45:K46"/>
    <mergeCell ref="L45:L46"/>
    <mergeCell ref="B51:J56"/>
    <mergeCell ref="K56:L56"/>
    <mergeCell ref="B46:F46"/>
    <mergeCell ref="K52:L53"/>
    <mergeCell ref="M52:M53"/>
    <mergeCell ref="B47:F48"/>
    <mergeCell ref="M37:M38"/>
    <mergeCell ref="B42:E42"/>
    <mergeCell ref="B43:E44"/>
    <mergeCell ref="H39:H40"/>
    <mergeCell ref="I39:I40"/>
    <mergeCell ref="J39:J40"/>
    <mergeCell ref="K39:K40"/>
    <mergeCell ref="L39:L40"/>
    <mergeCell ref="M39:M40"/>
    <mergeCell ref="H37:H38"/>
    <mergeCell ref="I37:I38"/>
    <mergeCell ref="J37:J38"/>
    <mergeCell ref="K37:K38"/>
    <mergeCell ref="L37:L38"/>
    <mergeCell ref="M41:M42"/>
    <mergeCell ref="H41:H42"/>
    <mergeCell ref="I41:I42"/>
    <mergeCell ref="J41:J42"/>
    <mergeCell ref="M43:M44"/>
    <mergeCell ref="H43:H44"/>
    <mergeCell ref="I43:I44"/>
    <mergeCell ref="J43:J44"/>
    <mergeCell ref="K43:K44"/>
    <mergeCell ref="J35:J36"/>
    <mergeCell ref="K35:K36"/>
    <mergeCell ref="L35:L36"/>
    <mergeCell ref="M35:M36"/>
    <mergeCell ref="H33:H34"/>
    <mergeCell ref="I33:I34"/>
    <mergeCell ref="J33:J34"/>
    <mergeCell ref="K33:K34"/>
    <mergeCell ref="L33:L34"/>
    <mergeCell ref="M29:M30"/>
    <mergeCell ref="H31:H32"/>
    <mergeCell ref="I31:I32"/>
    <mergeCell ref="J31:J32"/>
    <mergeCell ref="K31:K32"/>
    <mergeCell ref="L31:L32"/>
    <mergeCell ref="M31:M32"/>
    <mergeCell ref="H29:H30"/>
    <mergeCell ref="I29:I30"/>
    <mergeCell ref="J29:J30"/>
    <mergeCell ref="K29:K30"/>
    <mergeCell ref="L29:L30"/>
    <mergeCell ref="L23:L24"/>
    <mergeCell ref="M23:M24"/>
    <mergeCell ref="M25:M26"/>
    <mergeCell ref="H27:H28"/>
    <mergeCell ref="I27:I28"/>
    <mergeCell ref="J27:J28"/>
    <mergeCell ref="K27:K28"/>
    <mergeCell ref="L27:L28"/>
    <mergeCell ref="M27:M28"/>
    <mergeCell ref="H25:H26"/>
    <mergeCell ref="I25:I26"/>
    <mergeCell ref="J25:J26"/>
    <mergeCell ref="K25:K26"/>
    <mergeCell ref="L25:L26"/>
    <mergeCell ref="J23:J24"/>
    <mergeCell ref="K21:K22"/>
    <mergeCell ref="L21:L22"/>
    <mergeCell ref="M21:M22"/>
    <mergeCell ref="B22:C23"/>
    <mergeCell ref="D22:E23"/>
    <mergeCell ref="H23:H24"/>
    <mergeCell ref="I23:I24"/>
    <mergeCell ref="K17:K18"/>
    <mergeCell ref="L17:L18"/>
    <mergeCell ref="M17:M18"/>
    <mergeCell ref="B19:C19"/>
    <mergeCell ref="D19:E19"/>
    <mergeCell ref="H19:H20"/>
    <mergeCell ref="I19:I20"/>
    <mergeCell ref="J19:J20"/>
    <mergeCell ref="K19:K20"/>
    <mergeCell ref="L19:L20"/>
    <mergeCell ref="M19:M20"/>
    <mergeCell ref="B20:C21"/>
    <mergeCell ref="D20:E21"/>
    <mergeCell ref="H21:H22"/>
    <mergeCell ref="I21:I22"/>
    <mergeCell ref="J21:J22"/>
    <mergeCell ref="K23:K24"/>
    <mergeCell ref="K13:K14"/>
    <mergeCell ref="L13:L14"/>
    <mergeCell ref="M13:M14"/>
    <mergeCell ref="B14:C15"/>
    <mergeCell ref="D14:E15"/>
    <mergeCell ref="H15:H16"/>
    <mergeCell ref="I15:I16"/>
    <mergeCell ref="J15:J16"/>
    <mergeCell ref="K15:K16"/>
    <mergeCell ref="L15:L16"/>
    <mergeCell ref="M15:M16"/>
    <mergeCell ref="B16:C17"/>
    <mergeCell ref="D16:E17"/>
    <mergeCell ref="H17:H18"/>
    <mergeCell ref="I17:I18"/>
    <mergeCell ref="B13:C13"/>
    <mergeCell ref="D13:E13"/>
    <mergeCell ref="H13:H14"/>
    <mergeCell ref="I13:I14"/>
    <mergeCell ref="J13:J14"/>
    <mergeCell ref="J17:J18"/>
    <mergeCell ref="K9:K10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M11:M12"/>
    <mergeCell ref="B9:C9"/>
    <mergeCell ref="D9:E9"/>
    <mergeCell ref="H9:H10"/>
    <mergeCell ref="I9:I10"/>
    <mergeCell ref="J9:J10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M7:M8"/>
    <mergeCell ref="B5:C5"/>
    <mergeCell ref="D5:F7"/>
    <mergeCell ref="H5:H6"/>
    <mergeCell ref="I5:I6"/>
    <mergeCell ref="J5:J6"/>
    <mergeCell ref="K1:K2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M3:M4"/>
    <mergeCell ref="B1:C1"/>
    <mergeCell ref="D1:E1"/>
    <mergeCell ref="H1:H2"/>
    <mergeCell ref="I1:I2"/>
    <mergeCell ref="J1:J2"/>
  </mergeCells>
  <conditionalFormatting sqref="F10">
    <cfRule type="cellIs" dxfId="551" priority="82" stopIfTrue="1" operator="equal">
      <formula>"PASS"</formula>
    </cfRule>
    <cfRule type="cellIs" dxfId="550" priority="81" stopIfTrue="1" operator="equal">
      <formula>"FAIL"</formula>
    </cfRule>
  </conditionalFormatting>
  <conditionalFormatting sqref="L3 L5">
    <cfRule type="cellIs" dxfId="549" priority="42" stopIfTrue="1" operator="equal">
      <formula>"PASS"</formula>
    </cfRule>
    <cfRule type="cellIs" dxfId="548" priority="41" stopIfTrue="1" operator="equal">
      <formula>"FAIL"</formula>
    </cfRule>
  </conditionalFormatting>
  <conditionalFormatting sqref="L7">
    <cfRule type="cellIs" dxfId="547" priority="1" stopIfTrue="1" operator="equal">
      <formula>"FAIL"</formula>
    </cfRule>
    <cfRule type="cellIs" dxfId="546" priority="2" stopIfTrue="1" operator="equal">
      <formula>"PASS"</formula>
    </cfRule>
  </conditionalFormatting>
  <conditionalFormatting sqref="L9">
    <cfRule type="cellIs" dxfId="545" priority="40" stopIfTrue="1" operator="equal">
      <formula>"PASS"</formula>
    </cfRule>
    <cfRule type="cellIs" dxfId="544" priority="39" stopIfTrue="1" operator="equal">
      <formula>"FAIL"</formula>
    </cfRule>
  </conditionalFormatting>
  <conditionalFormatting sqref="L11">
    <cfRule type="cellIs" dxfId="543" priority="38" stopIfTrue="1" operator="equal">
      <formula>"PASS"</formula>
    </cfRule>
    <cfRule type="cellIs" dxfId="542" priority="37" stopIfTrue="1" operator="equal">
      <formula>"FAIL"</formula>
    </cfRule>
  </conditionalFormatting>
  <conditionalFormatting sqref="L13">
    <cfRule type="cellIs" dxfId="541" priority="36" stopIfTrue="1" operator="equal">
      <formula>"PASS"</formula>
    </cfRule>
    <cfRule type="cellIs" dxfId="540" priority="35" stopIfTrue="1" operator="equal">
      <formula>"FAIL"</formula>
    </cfRule>
  </conditionalFormatting>
  <conditionalFormatting sqref="L15">
    <cfRule type="cellIs" dxfId="539" priority="34" stopIfTrue="1" operator="equal">
      <formula>"PASS"</formula>
    </cfRule>
    <cfRule type="cellIs" dxfId="538" priority="33" stopIfTrue="1" operator="equal">
      <formula>"FAIL"</formula>
    </cfRule>
  </conditionalFormatting>
  <conditionalFormatting sqref="L17">
    <cfRule type="cellIs" dxfId="537" priority="32" stopIfTrue="1" operator="equal">
      <formula>"PASS"</formula>
    </cfRule>
    <cfRule type="cellIs" dxfId="536" priority="31" stopIfTrue="1" operator="equal">
      <formula>"FAIL"</formula>
    </cfRule>
  </conditionalFormatting>
  <conditionalFormatting sqref="L19">
    <cfRule type="cellIs" dxfId="535" priority="30" stopIfTrue="1" operator="equal">
      <formula>"PASS"</formula>
    </cfRule>
    <cfRule type="cellIs" dxfId="534" priority="29" stopIfTrue="1" operator="equal">
      <formula>"FAIL"</formula>
    </cfRule>
  </conditionalFormatting>
  <conditionalFormatting sqref="L21">
    <cfRule type="cellIs" dxfId="533" priority="28" stopIfTrue="1" operator="equal">
      <formula>"PASS"</formula>
    </cfRule>
    <cfRule type="cellIs" dxfId="532" priority="27" stopIfTrue="1" operator="equal">
      <formula>"FAIL"</formula>
    </cfRule>
  </conditionalFormatting>
  <conditionalFormatting sqref="L23">
    <cfRule type="cellIs" dxfId="531" priority="26" stopIfTrue="1" operator="equal">
      <formula>"PASS"</formula>
    </cfRule>
    <cfRule type="cellIs" dxfId="530" priority="25" stopIfTrue="1" operator="equal">
      <formula>"FAIL"</formula>
    </cfRule>
  </conditionalFormatting>
  <conditionalFormatting sqref="L25">
    <cfRule type="cellIs" dxfId="529" priority="24" stopIfTrue="1" operator="equal">
      <formula>"PASS"</formula>
    </cfRule>
    <cfRule type="cellIs" dxfId="528" priority="23" stopIfTrue="1" operator="equal">
      <formula>"FAIL"</formula>
    </cfRule>
  </conditionalFormatting>
  <conditionalFormatting sqref="L27">
    <cfRule type="cellIs" dxfId="527" priority="22" stopIfTrue="1" operator="equal">
      <formula>"PASS"</formula>
    </cfRule>
    <cfRule type="cellIs" dxfId="526" priority="21" stopIfTrue="1" operator="equal">
      <formula>"FAIL"</formula>
    </cfRule>
  </conditionalFormatting>
  <conditionalFormatting sqref="L29">
    <cfRule type="cellIs" dxfId="525" priority="20" stopIfTrue="1" operator="equal">
      <formula>"PASS"</formula>
    </cfRule>
    <cfRule type="cellIs" dxfId="524" priority="19" stopIfTrue="1" operator="equal">
      <formula>"FAIL"</formula>
    </cfRule>
  </conditionalFormatting>
  <conditionalFormatting sqref="L31">
    <cfRule type="cellIs" dxfId="523" priority="18" stopIfTrue="1" operator="equal">
      <formula>"PASS"</formula>
    </cfRule>
    <cfRule type="cellIs" dxfId="522" priority="17" stopIfTrue="1" operator="equal">
      <formula>"FAIL"</formula>
    </cfRule>
  </conditionalFormatting>
  <conditionalFormatting sqref="L33">
    <cfRule type="cellIs" dxfId="521" priority="16" stopIfTrue="1" operator="equal">
      <formula>"PASS"</formula>
    </cfRule>
    <cfRule type="cellIs" dxfId="520" priority="15" stopIfTrue="1" operator="equal">
      <formula>"FAIL"</formula>
    </cfRule>
  </conditionalFormatting>
  <conditionalFormatting sqref="L35">
    <cfRule type="cellIs" dxfId="519" priority="14" stopIfTrue="1" operator="equal">
      <formula>"PASS"</formula>
    </cfRule>
    <cfRule type="cellIs" dxfId="518" priority="13" stopIfTrue="1" operator="equal">
      <formula>"FAIL"</formula>
    </cfRule>
  </conditionalFormatting>
  <conditionalFormatting sqref="L37">
    <cfRule type="cellIs" dxfId="517" priority="12" stopIfTrue="1" operator="equal">
      <formula>"PASS"</formula>
    </cfRule>
    <cfRule type="cellIs" dxfId="516" priority="11" stopIfTrue="1" operator="equal">
      <formula>"FAIL"</formula>
    </cfRule>
  </conditionalFormatting>
  <conditionalFormatting sqref="L39">
    <cfRule type="cellIs" dxfId="515" priority="10" stopIfTrue="1" operator="equal">
      <formula>"PASS"</formula>
    </cfRule>
    <cfRule type="cellIs" dxfId="514" priority="9" stopIfTrue="1" operator="equal">
      <formula>"FAIL"</formula>
    </cfRule>
  </conditionalFormatting>
  <conditionalFormatting sqref="L41">
    <cfRule type="cellIs" dxfId="513" priority="8" stopIfTrue="1" operator="equal">
      <formula>"PASS"</formula>
    </cfRule>
    <cfRule type="cellIs" dxfId="512" priority="7" stopIfTrue="1" operator="equal">
      <formula>"FAIL"</formula>
    </cfRule>
  </conditionalFormatting>
  <conditionalFormatting sqref="L43">
    <cfRule type="cellIs" dxfId="511" priority="6" stopIfTrue="1" operator="equal">
      <formula>"PASS"</formula>
    </cfRule>
    <cfRule type="cellIs" dxfId="510" priority="5" stopIfTrue="1" operator="equal">
      <formula>"FAIL"</formula>
    </cfRule>
  </conditionalFormatting>
  <conditionalFormatting sqref="L45">
    <cfRule type="cellIs" dxfId="509" priority="4" stopIfTrue="1" operator="equal">
      <formula>"PASS"</formula>
    </cfRule>
    <cfRule type="cellIs" dxfId="508" priority="3" stopIfTrue="1" operator="equal">
      <formula>"FAIL"</formula>
    </cfRule>
  </conditionalFormatting>
  <conditionalFormatting sqref="L49:L51 L57:L63">
    <cfRule type="cellIs" dxfId="507" priority="125" stopIfTrue="1" operator="equal">
      <formula>"FAIL"</formula>
    </cfRule>
    <cfRule type="cellIs" dxfId="506" priority="12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8" r:id="rId3" name="Check Box 2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1104900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D8BA8-B57B-42F1-88E4-E03EEC4FE234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62C9-339B-4AB9-9522-DE0D65CF601C}">
  <dimension ref="A1:M124"/>
  <sheetViews>
    <sheetView topLeftCell="A17" zoomScale="85" zoomScaleNormal="85" zoomScaleSheetLayoutView="100" zoomScalePageLayoutView="50" workbookViewId="0">
      <selection activeCell="K37" sqref="K37:K38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9</v>
      </c>
      <c r="I3" s="75">
        <v>37548.300000000003</v>
      </c>
      <c r="J3" s="75">
        <v>37546.300000000003</v>
      </c>
      <c r="K3" s="76">
        <f>IF(J3&lt;&gt;"",I3-J3,"")</f>
        <v>2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12</v>
      </c>
      <c r="I5" s="66">
        <v>37419.699999999997</v>
      </c>
      <c r="J5" s="66">
        <v>37418.6</v>
      </c>
      <c r="K5" s="68">
        <f>IF(J5&lt;&gt;"",I5-J5,"")</f>
        <v>1.0999999999985448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13</v>
      </c>
      <c r="I7" s="66">
        <v>37419.800000000003</v>
      </c>
      <c r="J7" s="66">
        <v>37418.199999999997</v>
      </c>
      <c r="K7" s="68">
        <f>IF(J7&lt;&gt;"",I7-J7,"")</f>
        <v>1.6000000000058208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17</v>
      </c>
      <c r="I9" s="66">
        <v>37579.1</v>
      </c>
      <c r="J9" s="66">
        <v>37577.9</v>
      </c>
      <c r="K9" s="68">
        <f>IF(J9&lt;&gt;"",I9-J9,"")</f>
        <v>1.1999999999970896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18</v>
      </c>
      <c r="I11" s="66">
        <v>37442.1</v>
      </c>
      <c r="J11" s="66">
        <v>37442.1</v>
      </c>
      <c r="K11" s="68">
        <f>IF(J11&lt;&gt;"",I11-J11,"")</f>
        <v>0</v>
      </c>
      <c r="L11" s="70" t="str">
        <f>IF(J11="","",IF($F$10="","",IF(K11&lt;=$F$10,"PASS","FAIL")))</f>
        <v>PASS</v>
      </c>
      <c r="M11" s="62" t="s">
        <v>19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22</v>
      </c>
      <c r="I13" s="66">
        <v>37270.199999999997</v>
      </c>
      <c r="J13" s="66">
        <v>37269.800000000003</v>
      </c>
      <c r="K13" s="68">
        <f>IF(J13&lt;&gt;"",I13-J13,"")</f>
        <v>0.39999999999417923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25</v>
      </c>
      <c r="I15" s="75">
        <v>37546.5</v>
      </c>
      <c r="J15" s="66">
        <v>37545.4</v>
      </c>
      <c r="K15" s="68">
        <f>IF(J15&lt;&gt;"",I15-J15,"")</f>
        <v>1.0999999999985448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26</v>
      </c>
      <c r="I17" s="66">
        <v>37503.599999999999</v>
      </c>
      <c r="J17" s="66">
        <v>37503.4</v>
      </c>
      <c r="K17" s="68">
        <f>IF(J17&lt;&gt;"",I17-J17,"")</f>
        <v>0.19999999999708962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29</v>
      </c>
      <c r="I19" s="66">
        <v>37645.800000000003</v>
      </c>
      <c r="J19" s="66">
        <v>37645.1</v>
      </c>
      <c r="K19" s="68">
        <f>IF(J19&lt;&gt;"",I19-J19,"")</f>
        <v>0.70000000000436557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32</v>
      </c>
      <c r="I21" s="66">
        <v>37508.400000000001</v>
      </c>
      <c r="J21" s="66">
        <v>37508.1</v>
      </c>
      <c r="K21" s="68">
        <f>IF(J21&lt;&gt;"",I21-J21,"")</f>
        <v>0.30000000000291038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33</v>
      </c>
      <c r="I23" s="66">
        <v>37745.300000000003</v>
      </c>
      <c r="J23" s="66">
        <v>37743.5</v>
      </c>
      <c r="K23" s="68">
        <f>IF(J23&lt;&gt;"",I23-J23,"")</f>
        <v>1.8000000000029104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38</v>
      </c>
      <c r="I25" s="66">
        <v>37538.199999999997</v>
      </c>
      <c r="J25" s="66">
        <v>37537</v>
      </c>
      <c r="K25" s="68">
        <f>IF(J25&lt;&gt;"",I25-J25,"")</f>
        <v>1.1999999999970896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39</v>
      </c>
      <c r="I27" s="75">
        <v>37480.5</v>
      </c>
      <c r="J27" s="66">
        <v>36479.9</v>
      </c>
      <c r="K27" s="68">
        <f>IF(J27&lt;&gt;"",I27-J27,"")</f>
        <v>1000.5999999999985</v>
      </c>
      <c r="L27" s="70" t="str">
        <f>IF(J27="","",IF($F$10="","",IF(K27&lt;=$F$10,"PASS","FAIL")))</f>
        <v>FAIL</v>
      </c>
      <c r="M27" s="62" t="str">
        <f>IF(L27="PASS","NA","")</f>
        <v/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41</v>
      </c>
      <c r="I29" s="66">
        <v>37560.699999999997</v>
      </c>
      <c r="J29" s="66">
        <v>37559.800000000003</v>
      </c>
      <c r="K29" s="68">
        <f>IF(J29&lt;&gt;"",I29-J29,"")</f>
        <v>0.89999999999417923</v>
      </c>
      <c r="L29" s="70" t="str">
        <f>IF(J29="","",IF($F$10="","",IF(K29&lt;=$F$10,"PASS","FAIL")))</f>
        <v>PASS</v>
      </c>
      <c r="M29" s="62" t="str">
        <f>IF(L29="PASS","NA","")</f>
        <v>NA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42</v>
      </c>
      <c r="I31" s="66">
        <v>37453</v>
      </c>
      <c r="J31" s="66">
        <v>37452.400000000001</v>
      </c>
      <c r="K31" s="68">
        <f>IF(J31&lt;&gt;"",I31-J31,"")</f>
        <v>0.59999999999854481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43</v>
      </c>
      <c r="I33" s="66">
        <v>37419.5</v>
      </c>
      <c r="J33" s="66">
        <v>37418.800000000003</v>
      </c>
      <c r="K33" s="68">
        <f>IF(J33&lt;&gt;"",I33-J33,"")</f>
        <v>0.69999999999708962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44</v>
      </c>
      <c r="I35" s="66">
        <v>37631.599999999999</v>
      </c>
      <c r="J35" s="66">
        <v>37630.5</v>
      </c>
      <c r="K35" s="68">
        <f>IF(J35&lt;&gt;"",I35-J35,"")</f>
        <v>1.0999999999985448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45</v>
      </c>
      <c r="I37" s="66">
        <v>37449.1</v>
      </c>
      <c r="J37" s="66">
        <v>37448.699999999997</v>
      </c>
      <c r="K37" s="68">
        <f>IF(J37&lt;&gt;"",I37-J37,"")</f>
        <v>0.40000000000145519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46</v>
      </c>
      <c r="I39" s="66">
        <v>37768.9</v>
      </c>
      <c r="J39" s="66">
        <v>37767.800000000003</v>
      </c>
      <c r="K39" s="68">
        <f>IF(J39&lt;&gt;"",I39-J39,"")</f>
        <v>1.0999999999985448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47</v>
      </c>
      <c r="I41" s="66">
        <v>37761.599999999999</v>
      </c>
      <c r="J41" s="66">
        <v>37754.199999999997</v>
      </c>
      <c r="K41" s="68">
        <f>IF(J41&lt;&gt;"",I41-J41,"")</f>
        <v>7.4000000000014552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49</v>
      </c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36" t="s">
        <v>52</v>
      </c>
      <c r="C47" s="137"/>
      <c r="D47" s="138"/>
      <c r="E47" s="138"/>
      <c r="F47" s="139"/>
      <c r="G47" s="29"/>
      <c r="H47" s="10"/>
      <c r="I47" s="27"/>
      <c r="J47" s="27"/>
      <c r="K47" s="31"/>
      <c r="M47" s="10"/>
    </row>
    <row r="48" spans="2:13" ht="12.7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customSheetViews>
    <customSheetView guid="{56C9F3FB-E1BF-4A84-A9C1-883C4971E148}" scale="85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L43:L44"/>
    <mergeCell ref="M43:M44"/>
    <mergeCell ref="H45:H46"/>
    <mergeCell ref="I45:I46"/>
    <mergeCell ref="J45:J46"/>
    <mergeCell ref="K45:K46"/>
    <mergeCell ref="L45:L46"/>
    <mergeCell ref="M45:M46"/>
    <mergeCell ref="B42:E42"/>
    <mergeCell ref="B43:E44"/>
    <mergeCell ref="H43:H44"/>
    <mergeCell ref="I43:I44"/>
    <mergeCell ref="J43:J44"/>
    <mergeCell ref="K43:K44"/>
    <mergeCell ref="H41:H42"/>
    <mergeCell ref="I41:I42"/>
    <mergeCell ref="J41:J42"/>
    <mergeCell ref="K41:K42"/>
    <mergeCell ref="L41:L42"/>
    <mergeCell ref="M41:M42"/>
    <mergeCell ref="H39:H40"/>
    <mergeCell ref="I39:I40"/>
    <mergeCell ref="J39:J40"/>
    <mergeCell ref="K39:K40"/>
    <mergeCell ref="L39:L40"/>
    <mergeCell ref="M39:M40"/>
    <mergeCell ref="M37:M38"/>
    <mergeCell ref="H37:H38"/>
    <mergeCell ref="I37:I38"/>
    <mergeCell ref="J37:J38"/>
    <mergeCell ref="K37:K38"/>
    <mergeCell ref="L37:L38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505" priority="44" stopIfTrue="1" operator="equal">
      <formula>"PASS"</formula>
    </cfRule>
    <cfRule type="cellIs" dxfId="504" priority="43" stopIfTrue="1" operator="equal">
      <formula>"FAIL"</formula>
    </cfRule>
  </conditionalFormatting>
  <conditionalFormatting sqref="L3 L5">
    <cfRule type="cellIs" dxfId="503" priority="42" stopIfTrue="1" operator="equal">
      <formula>"PASS"</formula>
    </cfRule>
    <cfRule type="cellIs" dxfId="502" priority="41" stopIfTrue="1" operator="equal">
      <formula>"FAIL"</formula>
    </cfRule>
  </conditionalFormatting>
  <conditionalFormatting sqref="L7">
    <cfRule type="cellIs" dxfId="501" priority="1" stopIfTrue="1" operator="equal">
      <formula>"FAIL"</formula>
    </cfRule>
    <cfRule type="cellIs" dxfId="500" priority="2" stopIfTrue="1" operator="equal">
      <formula>"PASS"</formula>
    </cfRule>
  </conditionalFormatting>
  <conditionalFormatting sqref="L9">
    <cfRule type="cellIs" dxfId="499" priority="40" stopIfTrue="1" operator="equal">
      <formula>"PASS"</formula>
    </cfRule>
    <cfRule type="cellIs" dxfId="498" priority="39" stopIfTrue="1" operator="equal">
      <formula>"FAIL"</formula>
    </cfRule>
  </conditionalFormatting>
  <conditionalFormatting sqref="L11">
    <cfRule type="cellIs" dxfId="497" priority="38" stopIfTrue="1" operator="equal">
      <formula>"PASS"</formula>
    </cfRule>
    <cfRule type="cellIs" dxfId="496" priority="37" stopIfTrue="1" operator="equal">
      <formula>"FAIL"</formula>
    </cfRule>
  </conditionalFormatting>
  <conditionalFormatting sqref="L13">
    <cfRule type="cellIs" dxfId="495" priority="36" stopIfTrue="1" operator="equal">
      <formula>"PASS"</formula>
    </cfRule>
    <cfRule type="cellIs" dxfId="494" priority="35" stopIfTrue="1" operator="equal">
      <formula>"FAIL"</formula>
    </cfRule>
  </conditionalFormatting>
  <conditionalFormatting sqref="L15">
    <cfRule type="cellIs" dxfId="493" priority="34" stopIfTrue="1" operator="equal">
      <formula>"PASS"</formula>
    </cfRule>
    <cfRule type="cellIs" dxfId="492" priority="33" stopIfTrue="1" operator="equal">
      <formula>"FAIL"</formula>
    </cfRule>
  </conditionalFormatting>
  <conditionalFormatting sqref="L17">
    <cfRule type="cellIs" dxfId="491" priority="32" stopIfTrue="1" operator="equal">
      <formula>"PASS"</formula>
    </cfRule>
    <cfRule type="cellIs" dxfId="490" priority="31" stopIfTrue="1" operator="equal">
      <formula>"FAIL"</formula>
    </cfRule>
  </conditionalFormatting>
  <conditionalFormatting sqref="L19">
    <cfRule type="cellIs" dxfId="489" priority="30" stopIfTrue="1" operator="equal">
      <formula>"PASS"</formula>
    </cfRule>
    <cfRule type="cellIs" dxfId="488" priority="29" stopIfTrue="1" operator="equal">
      <formula>"FAIL"</formula>
    </cfRule>
  </conditionalFormatting>
  <conditionalFormatting sqref="L21">
    <cfRule type="cellIs" dxfId="487" priority="28" stopIfTrue="1" operator="equal">
      <formula>"PASS"</formula>
    </cfRule>
    <cfRule type="cellIs" dxfId="486" priority="27" stopIfTrue="1" operator="equal">
      <formula>"FAIL"</formula>
    </cfRule>
  </conditionalFormatting>
  <conditionalFormatting sqref="L23">
    <cfRule type="cellIs" dxfId="485" priority="26" stopIfTrue="1" operator="equal">
      <formula>"PASS"</formula>
    </cfRule>
    <cfRule type="cellIs" dxfId="484" priority="25" stopIfTrue="1" operator="equal">
      <formula>"FAIL"</formula>
    </cfRule>
  </conditionalFormatting>
  <conditionalFormatting sqref="L25">
    <cfRule type="cellIs" dxfId="483" priority="24" stopIfTrue="1" operator="equal">
      <formula>"PASS"</formula>
    </cfRule>
    <cfRule type="cellIs" dxfId="482" priority="23" stopIfTrue="1" operator="equal">
      <formula>"FAIL"</formula>
    </cfRule>
  </conditionalFormatting>
  <conditionalFormatting sqref="L27">
    <cfRule type="cellIs" dxfId="481" priority="22" stopIfTrue="1" operator="equal">
      <formula>"PASS"</formula>
    </cfRule>
    <cfRule type="cellIs" dxfId="480" priority="21" stopIfTrue="1" operator="equal">
      <formula>"FAIL"</formula>
    </cfRule>
  </conditionalFormatting>
  <conditionalFormatting sqref="L29">
    <cfRule type="cellIs" dxfId="479" priority="20" stopIfTrue="1" operator="equal">
      <formula>"PASS"</formula>
    </cfRule>
    <cfRule type="cellIs" dxfId="478" priority="19" stopIfTrue="1" operator="equal">
      <formula>"FAIL"</formula>
    </cfRule>
  </conditionalFormatting>
  <conditionalFormatting sqref="L31">
    <cfRule type="cellIs" dxfId="477" priority="18" stopIfTrue="1" operator="equal">
      <formula>"PASS"</formula>
    </cfRule>
    <cfRule type="cellIs" dxfId="476" priority="17" stopIfTrue="1" operator="equal">
      <formula>"FAIL"</formula>
    </cfRule>
  </conditionalFormatting>
  <conditionalFormatting sqref="L33">
    <cfRule type="cellIs" dxfId="475" priority="16" stopIfTrue="1" operator="equal">
      <formula>"PASS"</formula>
    </cfRule>
    <cfRule type="cellIs" dxfId="474" priority="15" stopIfTrue="1" operator="equal">
      <formula>"FAIL"</formula>
    </cfRule>
  </conditionalFormatting>
  <conditionalFormatting sqref="L35">
    <cfRule type="cellIs" dxfId="473" priority="14" stopIfTrue="1" operator="equal">
      <formula>"PASS"</formula>
    </cfRule>
    <cfRule type="cellIs" dxfId="472" priority="13" stopIfTrue="1" operator="equal">
      <formula>"FAIL"</formula>
    </cfRule>
  </conditionalFormatting>
  <conditionalFormatting sqref="L37">
    <cfRule type="cellIs" dxfId="471" priority="12" stopIfTrue="1" operator="equal">
      <formula>"PASS"</formula>
    </cfRule>
    <cfRule type="cellIs" dxfId="470" priority="11" stopIfTrue="1" operator="equal">
      <formula>"FAIL"</formula>
    </cfRule>
  </conditionalFormatting>
  <conditionalFormatting sqref="L39">
    <cfRule type="cellIs" dxfId="469" priority="10" stopIfTrue="1" operator="equal">
      <formula>"PASS"</formula>
    </cfRule>
    <cfRule type="cellIs" dxfId="468" priority="9" stopIfTrue="1" operator="equal">
      <formula>"FAIL"</formula>
    </cfRule>
  </conditionalFormatting>
  <conditionalFormatting sqref="L41">
    <cfRule type="cellIs" dxfId="467" priority="8" stopIfTrue="1" operator="equal">
      <formula>"PASS"</formula>
    </cfRule>
    <cfRule type="cellIs" dxfId="466" priority="7" stopIfTrue="1" operator="equal">
      <formula>"FAIL"</formula>
    </cfRule>
  </conditionalFormatting>
  <conditionalFormatting sqref="L43">
    <cfRule type="cellIs" dxfId="465" priority="6" stopIfTrue="1" operator="equal">
      <formula>"PASS"</formula>
    </cfRule>
    <cfRule type="cellIs" dxfId="464" priority="5" stopIfTrue="1" operator="equal">
      <formula>"FAIL"</formula>
    </cfRule>
  </conditionalFormatting>
  <conditionalFormatting sqref="L45">
    <cfRule type="cellIs" dxfId="463" priority="4" stopIfTrue="1" operator="equal">
      <formula>"PASS"</formula>
    </cfRule>
    <cfRule type="cellIs" dxfId="462" priority="3" stopIfTrue="1" operator="equal">
      <formula>"FAIL"</formula>
    </cfRule>
  </conditionalFormatting>
  <conditionalFormatting sqref="L49:L51 L57:L63">
    <cfRule type="cellIs" dxfId="461" priority="45" stopIfTrue="1" operator="equal">
      <formula>"FAIL"</formula>
    </cfRule>
    <cfRule type="cellIs" dxfId="460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3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1D9AA9-6E8C-4FEE-BAAD-14ECE4EC6C43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5092-0F48-4808-B53C-9827E4F97DA4}">
  <dimension ref="A1:M124"/>
  <sheetViews>
    <sheetView topLeftCell="A20" zoomScale="85" zoomScaleNormal="85" zoomScaleSheetLayoutView="100" zoomScalePageLayoutView="54" workbookViewId="0">
      <selection activeCell="B49" sqref="B49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57</v>
      </c>
      <c r="I3" s="75">
        <v>37805</v>
      </c>
      <c r="J3" s="75">
        <v>37805.4</v>
      </c>
      <c r="K3" s="76">
        <f>IF(J3&lt;&gt;"",I3-J3,"")</f>
        <v>-0.40000000000145519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58</v>
      </c>
      <c r="I5" s="66">
        <v>37749.1</v>
      </c>
      <c r="J5" s="66">
        <v>37747.599999999999</v>
      </c>
      <c r="K5" s="68">
        <f>IF(J5&lt;&gt;"",I5-J5,"")</f>
        <v>1.5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59</v>
      </c>
      <c r="I7" s="66">
        <v>37627.5</v>
      </c>
      <c r="J7" s="66">
        <v>37626.699999999997</v>
      </c>
      <c r="K7" s="68">
        <f>IF(J7&lt;&gt;"",I7-J7,"")</f>
        <v>0.80000000000291038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60</v>
      </c>
      <c r="I9" s="66">
        <v>37500.9</v>
      </c>
      <c r="J9" s="66">
        <v>37498.800000000003</v>
      </c>
      <c r="K9" s="68">
        <f>IF(J9&lt;&gt;"",I9-J9,"")</f>
        <v>2.0999999999985448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61</v>
      </c>
      <c r="I11" s="66">
        <v>37524.6</v>
      </c>
      <c r="J11" s="66">
        <v>37525.300000000003</v>
      </c>
      <c r="K11" s="68">
        <f>IF(J11&lt;&gt;"",I11-J11,"")</f>
        <v>-0.70000000000436557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62</v>
      </c>
      <c r="I13" s="66">
        <v>37125</v>
      </c>
      <c r="J13" s="66">
        <v>37124.199999999997</v>
      </c>
      <c r="K13" s="68">
        <f>IF(J13&lt;&gt;"",I13-J13,"")</f>
        <v>0.80000000000291038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63</v>
      </c>
      <c r="I15" s="75">
        <v>37528</v>
      </c>
      <c r="J15" s="66">
        <v>37526.9</v>
      </c>
      <c r="K15" s="68">
        <f>IF(J15&lt;&gt;"",I15-J15,"")</f>
        <v>1.0999999999985448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64</v>
      </c>
      <c r="I17" s="66">
        <v>37611.199999999997</v>
      </c>
      <c r="J17" s="66">
        <v>37610.5</v>
      </c>
      <c r="K17" s="68">
        <f>IF(J17&lt;&gt;"",I17-J17,"")</f>
        <v>0.69999999999708962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65</v>
      </c>
      <c r="I19" s="66">
        <v>37625.199999999997</v>
      </c>
      <c r="J19" s="66">
        <v>37624.699999999997</v>
      </c>
      <c r="K19" s="68">
        <f>IF(J19&lt;&gt;"",I19-J19,"")</f>
        <v>0.5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66</v>
      </c>
      <c r="I21" s="66">
        <v>37524</v>
      </c>
      <c r="J21" s="66">
        <v>37523.199999999997</v>
      </c>
      <c r="K21" s="68">
        <f>IF(J21&lt;&gt;"",I21-J21,"")</f>
        <v>0.80000000000291038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67</v>
      </c>
      <c r="I23" s="66">
        <v>37544.5</v>
      </c>
      <c r="J23" s="66">
        <v>37543.1</v>
      </c>
      <c r="K23" s="68">
        <f>IF(J23&lt;&gt;"",I23-J23,"")</f>
        <v>1.4000000000014552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68</v>
      </c>
      <c r="I25" s="66">
        <v>37501.4</v>
      </c>
      <c r="J25" s="66">
        <v>37499.800000000003</v>
      </c>
      <c r="K25" s="68">
        <f>IF(J25&lt;&gt;"",I25-J25,"")</f>
        <v>1.5999999999985448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69</v>
      </c>
      <c r="I27" s="75">
        <v>37285.599999999999</v>
      </c>
      <c r="J27" s="66">
        <v>37283</v>
      </c>
      <c r="K27" s="68">
        <f>IF(J27&lt;&gt;"",I27-J27,"")</f>
        <v>2.5999999999985448</v>
      </c>
      <c r="L27" s="70" t="str">
        <f>IF(J27="","",IF($F$10="","",IF(K27&lt;=$F$10,"PASS","FAIL")))</f>
        <v>PASS</v>
      </c>
      <c r="M27" s="62" t="str">
        <f>IF(L27="PASS","NA","")</f>
        <v>NA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70</v>
      </c>
      <c r="I29" s="66">
        <v>37411.699999999997</v>
      </c>
      <c r="J29" s="66">
        <v>37409.5</v>
      </c>
      <c r="K29" s="68">
        <f>IF(J29&lt;&gt;"",I29-J29,"")</f>
        <v>2.1999999999970896</v>
      </c>
      <c r="L29" s="70" t="str">
        <f>IF(J29="","",IF($F$10="","",IF(K29&lt;=$F$10,"PASS","FAIL")))</f>
        <v>PASS</v>
      </c>
      <c r="M29" s="62" t="str">
        <f>IF(L29="PASS","NA","")</f>
        <v>NA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71</v>
      </c>
      <c r="I31" s="66">
        <v>37760.1</v>
      </c>
      <c r="J31" s="66">
        <v>37759.4</v>
      </c>
      <c r="K31" s="68">
        <f>IF(J31&lt;&gt;"",I31-J31,"")</f>
        <v>0.69999999999708962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72</v>
      </c>
      <c r="I33" s="66">
        <v>37621.9</v>
      </c>
      <c r="J33" s="66">
        <v>37620.400000000001</v>
      </c>
      <c r="K33" s="68">
        <f>IF(J33&lt;&gt;"",I33-J33,"")</f>
        <v>1.5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73</v>
      </c>
      <c r="I35" s="66">
        <v>37552.400000000001</v>
      </c>
      <c r="J35" s="66">
        <v>37550.800000000003</v>
      </c>
      <c r="K35" s="68">
        <f>IF(J35&lt;&gt;"",I35-J35,"")</f>
        <v>1.5999999999985448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74</v>
      </c>
      <c r="I37" s="66">
        <v>37535.599999999999</v>
      </c>
      <c r="J37" s="66">
        <v>37534.400000000001</v>
      </c>
      <c r="K37" s="68">
        <f>IF(J37&lt;&gt;"",I37-J37,"")</f>
        <v>1.1999999999970896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75</v>
      </c>
      <c r="I39" s="66">
        <v>37652.1</v>
      </c>
      <c r="J39" s="66">
        <v>37651.4</v>
      </c>
      <c r="K39" s="68">
        <f>IF(J39&lt;&gt;"",I39-J39,"")</f>
        <v>0.69999999999708962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76</v>
      </c>
      <c r="I41" s="66">
        <v>37666.699999999997</v>
      </c>
      <c r="J41" s="66">
        <v>37665</v>
      </c>
      <c r="K41" s="68">
        <f>IF(J41&lt;&gt;"",I41-J41,"")</f>
        <v>1.6999999999970896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77</v>
      </c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36" t="s">
        <v>52</v>
      </c>
      <c r="C47" s="137"/>
      <c r="D47" s="138"/>
      <c r="E47" s="138"/>
      <c r="F47" s="139"/>
      <c r="G47" s="29"/>
      <c r="H47" s="10"/>
      <c r="I47" s="27"/>
      <c r="J47" s="27"/>
      <c r="K47" s="31"/>
      <c r="M47" s="10"/>
    </row>
    <row r="48" spans="2:13" ht="12.7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customSheetViews>
    <customSheetView guid="{56C9F3FB-E1BF-4A84-A9C1-883C4971E148}" scale="85" topLeftCell="A8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8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459" priority="44" stopIfTrue="1" operator="equal">
      <formula>"PASS"</formula>
    </cfRule>
    <cfRule type="cellIs" dxfId="458" priority="43" stopIfTrue="1" operator="equal">
      <formula>"FAIL"</formula>
    </cfRule>
  </conditionalFormatting>
  <conditionalFormatting sqref="L3 L5">
    <cfRule type="cellIs" dxfId="457" priority="42" stopIfTrue="1" operator="equal">
      <formula>"PASS"</formula>
    </cfRule>
    <cfRule type="cellIs" dxfId="456" priority="41" stopIfTrue="1" operator="equal">
      <formula>"FAIL"</formula>
    </cfRule>
  </conditionalFormatting>
  <conditionalFormatting sqref="L7">
    <cfRule type="cellIs" dxfId="455" priority="1" stopIfTrue="1" operator="equal">
      <formula>"FAIL"</formula>
    </cfRule>
    <cfRule type="cellIs" dxfId="454" priority="2" stopIfTrue="1" operator="equal">
      <formula>"PASS"</formula>
    </cfRule>
  </conditionalFormatting>
  <conditionalFormatting sqref="L9">
    <cfRule type="cellIs" dxfId="453" priority="40" stopIfTrue="1" operator="equal">
      <formula>"PASS"</formula>
    </cfRule>
    <cfRule type="cellIs" dxfId="452" priority="39" stopIfTrue="1" operator="equal">
      <formula>"FAIL"</formula>
    </cfRule>
  </conditionalFormatting>
  <conditionalFormatting sqref="L11">
    <cfRule type="cellIs" dxfId="451" priority="38" stopIfTrue="1" operator="equal">
      <formula>"PASS"</formula>
    </cfRule>
    <cfRule type="cellIs" dxfId="450" priority="37" stopIfTrue="1" operator="equal">
      <formula>"FAIL"</formula>
    </cfRule>
  </conditionalFormatting>
  <conditionalFormatting sqref="L13">
    <cfRule type="cellIs" dxfId="449" priority="36" stopIfTrue="1" operator="equal">
      <formula>"PASS"</formula>
    </cfRule>
    <cfRule type="cellIs" dxfId="448" priority="35" stopIfTrue="1" operator="equal">
      <formula>"FAIL"</formula>
    </cfRule>
  </conditionalFormatting>
  <conditionalFormatting sqref="L15">
    <cfRule type="cellIs" dxfId="447" priority="34" stopIfTrue="1" operator="equal">
      <formula>"PASS"</formula>
    </cfRule>
    <cfRule type="cellIs" dxfId="446" priority="33" stopIfTrue="1" operator="equal">
      <formula>"FAIL"</formula>
    </cfRule>
  </conditionalFormatting>
  <conditionalFormatting sqref="L17">
    <cfRule type="cellIs" dxfId="445" priority="32" stopIfTrue="1" operator="equal">
      <formula>"PASS"</formula>
    </cfRule>
    <cfRule type="cellIs" dxfId="444" priority="31" stopIfTrue="1" operator="equal">
      <formula>"FAIL"</formula>
    </cfRule>
  </conditionalFormatting>
  <conditionalFormatting sqref="L19">
    <cfRule type="cellIs" dxfId="443" priority="30" stopIfTrue="1" operator="equal">
      <formula>"PASS"</formula>
    </cfRule>
    <cfRule type="cellIs" dxfId="442" priority="29" stopIfTrue="1" operator="equal">
      <formula>"FAIL"</formula>
    </cfRule>
  </conditionalFormatting>
  <conditionalFormatting sqref="L21">
    <cfRule type="cellIs" dxfId="441" priority="28" stopIfTrue="1" operator="equal">
      <formula>"PASS"</formula>
    </cfRule>
    <cfRule type="cellIs" dxfId="440" priority="27" stopIfTrue="1" operator="equal">
      <formula>"FAIL"</formula>
    </cfRule>
  </conditionalFormatting>
  <conditionalFormatting sqref="L23">
    <cfRule type="cellIs" dxfId="439" priority="26" stopIfTrue="1" operator="equal">
      <formula>"PASS"</formula>
    </cfRule>
    <cfRule type="cellIs" dxfId="438" priority="25" stopIfTrue="1" operator="equal">
      <formula>"FAIL"</formula>
    </cfRule>
  </conditionalFormatting>
  <conditionalFormatting sqref="L25">
    <cfRule type="cellIs" dxfId="437" priority="24" stopIfTrue="1" operator="equal">
      <formula>"PASS"</formula>
    </cfRule>
    <cfRule type="cellIs" dxfId="436" priority="23" stopIfTrue="1" operator="equal">
      <formula>"FAIL"</formula>
    </cfRule>
  </conditionalFormatting>
  <conditionalFormatting sqref="L27">
    <cfRule type="cellIs" dxfId="435" priority="22" stopIfTrue="1" operator="equal">
      <formula>"PASS"</formula>
    </cfRule>
    <cfRule type="cellIs" dxfId="434" priority="21" stopIfTrue="1" operator="equal">
      <formula>"FAIL"</formula>
    </cfRule>
  </conditionalFormatting>
  <conditionalFormatting sqref="L29">
    <cfRule type="cellIs" dxfId="433" priority="20" stopIfTrue="1" operator="equal">
      <formula>"PASS"</formula>
    </cfRule>
    <cfRule type="cellIs" dxfId="432" priority="19" stopIfTrue="1" operator="equal">
      <formula>"FAIL"</formula>
    </cfRule>
  </conditionalFormatting>
  <conditionalFormatting sqref="L31">
    <cfRule type="cellIs" dxfId="431" priority="18" stopIfTrue="1" operator="equal">
      <formula>"PASS"</formula>
    </cfRule>
    <cfRule type="cellIs" dxfId="430" priority="17" stopIfTrue="1" operator="equal">
      <formula>"FAIL"</formula>
    </cfRule>
  </conditionalFormatting>
  <conditionalFormatting sqref="L33">
    <cfRule type="cellIs" dxfId="429" priority="16" stopIfTrue="1" operator="equal">
      <formula>"PASS"</formula>
    </cfRule>
    <cfRule type="cellIs" dxfId="428" priority="15" stopIfTrue="1" operator="equal">
      <formula>"FAIL"</formula>
    </cfRule>
  </conditionalFormatting>
  <conditionalFormatting sqref="L35">
    <cfRule type="cellIs" dxfId="427" priority="14" stopIfTrue="1" operator="equal">
      <formula>"PASS"</formula>
    </cfRule>
    <cfRule type="cellIs" dxfId="426" priority="13" stopIfTrue="1" operator="equal">
      <formula>"FAIL"</formula>
    </cfRule>
  </conditionalFormatting>
  <conditionalFormatting sqref="L37">
    <cfRule type="cellIs" dxfId="425" priority="12" stopIfTrue="1" operator="equal">
      <formula>"PASS"</formula>
    </cfRule>
    <cfRule type="cellIs" dxfId="424" priority="11" stopIfTrue="1" operator="equal">
      <formula>"FAIL"</formula>
    </cfRule>
  </conditionalFormatting>
  <conditionalFormatting sqref="L39">
    <cfRule type="cellIs" dxfId="423" priority="10" stopIfTrue="1" operator="equal">
      <formula>"PASS"</formula>
    </cfRule>
    <cfRule type="cellIs" dxfId="422" priority="9" stopIfTrue="1" operator="equal">
      <formula>"FAIL"</formula>
    </cfRule>
  </conditionalFormatting>
  <conditionalFormatting sqref="L41">
    <cfRule type="cellIs" dxfId="421" priority="8" stopIfTrue="1" operator="equal">
      <formula>"PASS"</formula>
    </cfRule>
    <cfRule type="cellIs" dxfId="420" priority="7" stopIfTrue="1" operator="equal">
      <formula>"FAIL"</formula>
    </cfRule>
  </conditionalFormatting>
  <conditionalFormatting sqref="L43">
    <cfRule type="cellIs" dxfId="419" priority="6" stopIfTrue="1" operator="equal">
      <formula>"PASS"</formula>
    </cfRule>
    <cfRule type="cellIs" dxfId="418" priority="5" stopIfTrue="1" operator="equal">
      <formula>"FAIL"</formula>
    </cfRule>
  </conditionalFormatting>
  <conditionalFormatting sqref="L45">
    <cfRule type="cellIs" dxfId="417" priority="4" stopIfTrue="1" operator="equal">
      <formula>"PASS"</formula>
    </cfRule>
    <cfRule type="cellIs" dxfId="416" priority="3" stopIfTrue="1" operator="equal">
      <formula>"FAIL"</formula>
    </cfRule>
  </conditionalFormatting>
  <conditionalFormatting sqref="L49:L51 L57:L63">
    <cfRule type="cellIs" dxfId="415" priority="45" stopIfTrue="1" operator="equal">
      <formula>"FAIL"</formula>
    </cfRule>
    <cfRule type="cellIs" dxfId="414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497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371153-FF81-4101-BE08-1F4687E1EFAF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72C0-279A-45F9-9DAD-06E0857098E5}">
  <dimension ref="A1:M124"/>
  <sheetViews>
    <sheetView zoomScale="85" zoomScaleNormal="85" zoomScaleSheetLayoutView="100" zoomScalePageLayoutView="62" workbookViewId="0">
      <selection activeCell="J29" sqref="J29:J30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78</v>
      </c>
      <c r="I3" s="75">
        <v>37330.199999999997</v>
      </c>
      <c r="J3" s="75">
        <v>37329.1</v>
      </c>
      <c r="K3" s="76">
        <f>IF(J3&lt;&gt;"",I3-J3,"")</f>
        <v>1.0999999999985448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79</v>
      </c>
      <c r="I5" s="66">
        <v>37693.4</v>
      </c>
      <c r="J5" s="66">
        <v>37692.300000000003</v>
      </c>
      <c r="K5" s="68">
        <f>IF(J5&lt;&gt;"",I5-J5,"")</f>
        <v>1.0999999999985448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80</v>
      </c>
      <c r="I7" s="66">
        <v>37398.800000000003</v>
      </c>
      <c r="J7" s="66">
        <v>37397.9</v>
      </c>
      <c r="K7" s="68">
        <f>IF(J7&lt;&gt;"",I7-J7,"")</f>
        <v>0.90000000000145519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81</v>
      </c>
      <c r="I9" s="66">
        <v>37657.1</v>
      </c>
      <c r="J9" s="66">
        <v>37656</v>
      </c>
      <c r="K9" s="68">
        <f>IF(J9&lt;&gt;"",I9-J9,"")</f>
        <v>1.0999999999985448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82</v>
      </c>
      <c r="I11" s="66">
        <v>37515.800000000003</v>
      </c>
      <c r="J11" s="66">
        <v>37514.9</v>
      </c>
      <c r="K11" s="68">
        <f>IF(J11&lt;&gt;"",I11-J11,"")</f>
        <v>0.90000000000145519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83</v>
      </c>
      <c r="I13" s="66">
        <v>37580.300000000003</v>
      </c>
      <c r="J13" s="66">
        <v>37578.9</v>
      </c>
      <c r="K13" s="68">
        <f>IF(J13&lt;&gt;"",I13-J13,"")</f>
        <v>1.4000000000014552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84</v>
      </c>
      <c r="I15" s="75">
        <v>37478.800000000003</v>
      </c>
      <c r="J15" s="66">
        <v>37478.199999999997</v>
      </c>
      <c r="K15" s="68">
        <f>IF(J15&lt;&gt;"",I15-J15,"")</f>
        <v>0.60000000000582077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85</v>
      </c>
      <c r="I17" s="66">
        <v>37421.199999999997</v>
      </c>
      <c r="J17" s="66">
        <v>37420.400000000001</v>
      </c>
      <c r="K17" s="68">
        <f>IF(J17&lt;&gt;"",I17-J17,"")</f>
        <v>0.79999999999563443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86</v>
      </c>
      <c r="I19" s="66">
        <v>37399.800000000003</v>
      </c>
      <c r="J19" s="66">
        <v>37399.300000000003</v>
      </c>
      <c r="K19" s="68">
        <f>IF(J19&lt;&gt;"",I19-J19,"")</f>
        <v>0.5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87</v>
      </c>
      <c r="I21" s="66">
        <v>37428.5</v>
      </c>
      <c r="J21" s="66">
        <v>37428</v>
      </c>
      <c r="K21" s="68">
        <f>IF(J21&lt;&gt;"",I21-J21,"")</f>
        <v>0.5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88</v>
      </c>
      <c r="I23" s="66">
        <v>37715.5</v>
      </c>
      <c r="J23" s="66">
        <v>37715.699999999997</v>
      </c>
      <c r="K23" s="68">
        <f>IF(J23&lt;&gt;"",I23-J23,"")</f>
        <v>-0.19999999999708962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89</v>
      </c>
      <c r="I25" s="66">
        <v>37609</v>
      </c>
      <c r="J25" s="66">
        <v>37608.6</v>
      </c>
      <c r="K25" s="68">
        <f>IF(J25&lt;&gt;"",I25-J25,"")</f>
        <v>0.40000000000145519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90</v>
      </c>
      <c r="I27" s="75">
        <v>37760.6</v>
      </c>
      <c r="J27" s="75">
        <v>37760.6</v>
      </c>
      <c r="K27" s="68">
        <f>IF(J27&lt;&gt;"",I27-J27,"")</f>
        <v>0</v>
      </c>
      <c r="L27" s="70" t="str">
        <f>IF(J27="","",IF($F$10="","",IF(K27&lt;=$F$10,"PASS","FAIL")))</f>
        <v>PASS</v>
      </c>
      <c r="M27" s="62" t="s">
        <v>91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92</v>
      </c>
      <c r="I29" s="66">
        <v>37602.5</v>
      </c>
      <c r="J29" s="66">
        <v>37602.300000000003</v>
      </c>
      <c r="K29" s="68">
        <f>IF(J29&lt;&gt;"",I29-J29,"")</f>
        <v>0.19999999999708962</v>
      </c>
      <c r="L29" s="70" t="str">
        <f>IF(J29="","",IF($F$10="","",IF(K29&lt;=$F$10,"PASS","FAIL")))</f>
        <v>PASS</v>
      </c>
      <c r="M29" s="62" t="str">
        <f>IF(L29="PASS","NA","")</f>
        <v>NA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93</v>
      </c>
      <c r="I31" s="66">
        <v>37445.9</v>
      </c>
      <c r="J31" s="66">
        <v>37445.1</v>
      </c>
      <c r="K31" s="68">
        <f>IF(J31&lt;&gt;"",I31-J31,"")</f>
        <v>0.80000000000291038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94</v>
      </c>
      <c r="I33" s="66">
        <v>37143.300000000003</v>
      </c>
      <c r="J33" s="66">
        <v>37142.6</v>
      </c>
      <c r="K33" s="68">
        <f>IF(J33&lt;&gt;"",I33-J33,"")</f>
        <v>0.70000000000436557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95</v>
      </c>
      <c r="I35" s="66">
        <v>37152.800000000003</v>
      </c>
      <c r="J35" s="66">
        <v>37151.300000000003</v>
      </c>
      <c r="K35" s="68">
        <f>IF(J35&lt;&gt;"",I35-J35,"")</f>
        <v>1.5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96</v>
      </c>
      <c r="I37" s="66">
        <v>37723.4</v>
      </c>
      <c r="J37" s="66">
        <v>37722.300000000003</v>
      </c>
      <c r="K37" s="68">
        <f>IF(J37&lt;&gt;"",I37-J37,"")</f>
        <v>1.0999999999985448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97</v>
      </c>
      <c r="I39" s="66">
        <v>37225.800000000003</v>
      </c>
      <c r="J39" s="66">
        <v>37224.9</v>
      </c>
      <c r="K39" s="68">
        <f>IF(J39&lt;&gt;"",I39-J39,"")</f>
        <v>0.90000000000145519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98</v>
      </c>
      <c r="I41" s="66">
        <v>37704.800000000003</v>
      </c>
      <c r="J41" s="66">
        <v>37704.1</v>
      </c>
      <c r="K41" s="68">
        <f>IF(J41&lt;&gt;"",I41-J41,"")</f>
        <v>0.70000000000436557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99</v>
      </c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67" t="s">
        <v>52</v>
      </c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customSheetViews>
    <customSheetView guid="{56C9F3FB-E1BF-4A84-A9C1-883C4971E148}" scale="85" topLeftCell="A3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413" priority="44" stopIfTrue="1" operator="equal">
      <formula>"PASS"</formula>
    </cfRule>
    <cfRule type="cellIs" dxfId="412" priority="43" stopIfTrue="1" operator="equal">
      <formula>"FAIL"</formula>
    </cfRule>
  </conditionalFormatting>
  <conditionalFormatting sqref="L3 L5">
    <cfRule type="cellIs" dxfId="411" priority="42" stopIfTrue="1" operator="equal">
      <formula>"PASS"</formula>
    </cfRule>
    <cfRule type="cellIs" dxfId="410" priority="41" stopIfTrue="1" operator="equal">
      <formula>"FAIL"</formula>
    </cfRule>
  </conditionalFormatting>
  <conditionalFormatting sqref="L7">
    <cfRule type="cellIs" dxfId="409" priority="1" stopIfTrue="1" operator="equal">
      <formula>"FAIL"</formula>
    </cfRule>
    <cfRule type="cellIs" dxfId="408" priority="2" stopIfTrue="1" operator="equal">
      <formula>"PASS"</formula>
    </cfRule>
  </conditionalFormatting>
  <conditionalFormatting sqref="L9">
    <cfRule type="cellIs" dxfId="407" priority="40" stopIfTrue="1" operator="equal">
      <formula>"PASS"</formula>
    </cfRule>
    <cfRule type="cellIs" dxfId="406" priority="39" stopIfTrue="1" operator="equal">
      <formula>"FAIL"</formula>
    </cfRule>
  </conditionalFormatting>
  <conditionalFormatting sqref="L11">
    <cfRule type="cellIs" dxfId="405" priority="38" stopIfTrue="1" operator="equal">
      <formula>"PASS"</formula>
    </cfRule>
    <cfRule type="cellIs" dxfId="404" priority="37" stopIfTrue="1" operator="equal">
      <formula>"FAIL"</formula>
    </cfRule>
  </conditionalFormatting>
  <conditionalFormatting sqref="L13">
    <cfRule type="cellIs" dxfId="403" priority="36" stopIfTrue="1" operator="equal">
      <formula>"PASS"</formula>
    </cfRule>
    <cfRule type="cellIs" dxfId="402" priority="35" stopIfTrue="1" operator="equal">
      <formula>"FAIL"</formula>
    </cfRule>
  </conditionalFormatting>
  <conditionalFormatting sqref="L15">
    <cfRule type="cellIs" dxfId="401" priority="34" stopIfTrue="1" operator="equal">
      <formula>"PASS"</formula>
    </cfRule>
    <cfRule type="cellIs" dxfId="400" priority="33" stopIfTrue="1" operator="equal">
      <formula>"FAIL"</formula>
    </cfRule>
  </conditionalFormatting>
  <conditionalFormatting sqref="L17">
    <cfRule type="cellIs" dxfId="399" priority="32" stopIfTrue="1" operator="equal">
      <formula>"PASS"</formula>
    </cfRule>
    <cfRule type="cellIs" dxfId="398" priority="31" stopIfTrue="1" operator="equal">
      <formula>"FAIL"</formula>
    </cfRule>
  </conditionalFormatting>
  <conditionalFormatting sqref="L19">
    <cfRule type="cellIs" dxfId="397" priority="30" stopIfTrue="1" operator="equal">
      <formula>"PASS"</formula>
    </cfRule>
    <cfRule type="cellIs" dxfId="396" priority="29" stopIfTrue="1" operator="equal">
      <formula>"FAIL"</formula>
    </cfRule>
  </conditionalFormatting>
  <conditionalFormatting sqref="L21">
    <cfRule type="cellIs" dxfId="395" priority="28" stopIfTrue="1" operator="equal">
      <formula>"PASS"</formula>
    </cfRule>
    <cfRule type="cellIs" dxfId="394" priority="27" stopIfTrue="1" operator="equal">
      <formula>"FAIL"</formula>
    </cfRule>
  </conditionalFormatting>
  <conditionalFormatting sqref="L23">
    <cfRule type="cellIs" dxfId="393" priority="26" stopIfTrue="1" operator="equal">
      <formula>"PASS"</formula>
    </cfRule>
    <cfRule type="cellIs" dxfId="392" priority="25" stopIfTrue="1" operator="equal">
      <formula>"FAIL"</formula>
    </cfRule>
  </conditionalFormatting>
  <conditionalFormatting sqref="L25">
    <cfRule type="cellIs" dxfId="391" priority="24" stopIfTrue="1" operator="equal">
      <formula>"PASS"</formula>
    </cfRule>
    <cfRule type="cellIs" dxfId="390" priority="23" stopIfTrue="1" operator="equal">
      <formula>"FAIL"</formula>
    </cfRule>
  </conditionalFormatting>
  <conditionalFormatting sqref="L27">
    <cfRule type="cellIs" dxfId="389" priority="22" stopIfTrue="1" operator="equal">
      <formula>"PASS"</formula>
    </cfRule>
    <cfRule type="cellIs" dxfId="388" priority="21" stopIfTrue="1" operator="equal">
      <formula>"FAIL"</formula>
    </cfRule>
  </conditionalFormatting>
  <conditionalFormatting sqref="L29">
    <cfRule type="cellIs" dxfId="387" priority="20" stopIfTrue="1" operator="equal">
      <formula>"PASS"</formula>
    </cfRule>
    <cfRule type="cellIs" dxfId="386" priority="19" stopIfTrue="1" operator="equal">
      <formula>"FAIL"</formula>
    </cfRule>
  </conditionalFormatting>
  <conditionalFormatting sqref="L31">
    <cfRule type="cellIs" dxfId="385" priority="18" stopIfTrue="1" operator="equal">
      <formula>"PASS"</formula>
    </cfRule>
    <cfRule type="cellIs" dxfId="384" priority="17" stopIfTrue="1" operator="equal">
      <formula>"FAIL"</formula>
    </cfRule>
  </conditionalFormatting>
  <conditionalFormatting sqref="L33">
    <cfRule type="cellIs" dxfId="383" priority="16" stopIfTrue="1" operator="equal">
      <formula>"PASS"</formula>
    </cfRule>
    <cfRule type="cellIs" dxfId="382" priority="15" stopIfTrue="1" operator="equal">
      <formula>"FAIL"</formula>
    </cfRule>
  </conditionalFormatting>
  <conditionalFormatting sqref="L35">
    <cfRule type="cellIs" dxfId="381" priority="14" stopIfTrue="1" operator="equal">
      <formula>"PASS"</formula>
    </cfRule>
    <cfRule type="cellIs" dxfId="380" priority="13" stopIfTrue="1" operator="equal">
      <formula>"FAIL"</formula>
    </cfRule>
  </conditionalFormatting>
  <conditionalFormatting sqref="L37">
    <cfRule type="cellIs" dxfId="379" priority="12" stopIfTrue="1" operator="equal">
      <formula>"PASS"</formula>
    </cfRule>
    <cfRule type="cellIs" dxfId="378" priority="11" stopIfTrue="1" operator="equal">
      <formula>"FAIL"</formula>
    </cfRule>
  </conditionalFormatting>
  <conditionalFormatting sqref="L39">
    <cfRule type="cellIs" dxfId="377" priority="10" stopIfTrue="1" operator="equal">
      <formula>"PASS"</formula>
    </cfRule>
    <cfRule type="cellIs" dxfId="376" priority="9" stopIfTrue="1" operator="equal">
      <formula>"FAIL"</formula>
    </cfRule>
  </conditionalFormatting>
  <conditionalFormatting sqref="L41">
    <cfRule type="cellIs" dxfId="375" priority="8" stopIfTrue="1" operator="equal">
      <formula>"PASS"</formula>
    </cfRule>
    <cfRule type="cellIs" dxfId="374" priority="7" stopIfTrue="1" operator="equal">
      <formula>"FAIL"</formula>
    </cfRule>
  </conditionalFormatting>
  <conditionalFormatting sqref="L43">
    <cfRule type="cellIs" dxfId="373" priority="6" stopIfTrue="1" operator="equal">
      <formula>"PASS"</formula>
    </cfRule>
    <cfRule type="cellIs" dxfId="372" priority="5" stopIfTrue="1" operator="equal">
      <formula>"FAIL"</formula>
    </cfRule>
  </conditionalFormatting>
  <conditionalFormatting sqref="L45">
    <cfRule type="cellIs" dxfId="371" priority="4" stopIfTrue="1" operator="equal">
      <formula>"PASS"</formula>
    </cfRule>
    <cfRule type="cellIs" dxfId="370" priority="3" stopIfTrue="1" operator="equal">
      <formula>"FAIL"</formula>
    </cfRule>
  </conditionalFormatting>
  <conditionalFormatting sqref="L49:L51 L57:L63">
    <cfRule type="cellIs" dxfId="369" priority="45" stopIfTrue="1" operator="equal">
      <formula>"FAIL"</formula>
    </cfRule>
    <cfRule type="cellIs" dxfId="368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521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560E2D-13D5-475F-9AB4-245336DEF808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6B98-3934-4EBA-A4DD-25EB178F6448}">
  <dimension ref="A1:M124"/>
  <sheetViews>
    <sheetView zoomScale="85" zoomScaleNormal="85" zoomScaleSheetLayoutView="100" zoomScalePageLayoutView="48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customSheetViews>
    <customSheetView guid="{56C9F3FB-E1BF-4A84-A9C1-883C4971E148}" scale="85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367" priority="44" stopIfTrue="1" operator="equal">
      <formula>"PASS"</formula>
    </cfRule>
    <cfRule type="cellIs" dxfId="366" priority="43" stopIfTrue="1" operator="equal">
      <formula>"FAIL"</formula>
    </cfRule>
  </conditionalFormatting>
  <conditionalFormatting sqref="L3 L5">
    <cfRule type="cellIs" dxfId="365" priority="42" stopIfTrue="1" operator="equal">
      <formula>"PASS"</formula>
    </cfRule>
    <cfRule type="cellIs" dxfId="364" priority="41" stopIfTrue="1" operator="equal">
      <formula>"FAIL"</formula>
    </cfRule>
  </conditionalFormatting>
  <conditionalFormatting sqref="L7">
    <cfRule type="cellIs" dxfId="363" priority="1" stopIfTrue="1" operator="equal">
      <formula>"FAIL"</formula>
    </cfRule>
    <cfRule type="cellIs" dxfId="362" priority="2" stopIfTrue="1" operator="equal">
      <formula>"PASS"</formula>
    </cfRule>
  </conditionalFormatting>
  <conditionalFormatting sqref="L9">
    <cfRule type="cellIs" dxfId="361" priority="40" stopIfTrue="1" operator="equal">
      <formula>"PASS"</formula>
    </cfRule>
    <cfRule type="cellIs" dxfId="360" priority="39" stopIfTrue="1" operator="equal">
      <formula>"FAIL"</formula>
    </cfRule>
  </conditionalFormatting>
  <conditionalFormatting sqref="L11">
    <cfRule type="cellIs" dxfId="359" priority="38" stopIfTrue="1" operator="equal">
      <formula>"PASS"</formula>
    </cfRule>
    <cfRule type="cellIs" dxfId="358" priority="37" stopIfTrue="1" operator="equal">
      <formula>"FAIL"</formula>
    </cfRule>
  </conditionalFormatting>
  <conditionalFormatting sqref="L13">
    <cfRule type="cellIs" dxfId="357" priority="36" stopIfTrue="1" operator="equal">
      <formula>"PASS"</formula>
    </cfRule>
    <cfRule type="cellIs" dxfId="356" priority="35" stopIfTrue="1" operator="equal">
      <formula>"FAIL"</formula>
    </cfRule>
  </conditionalFormatting>
  <conditionalFormatting sqref="L15">
    <cfRule type="cellIs" dxfId="355" priority="34" stopIfTrue="1" operator="equal">
      <formula>"PASS"</formula>
    </cfRule>
    <cfRule type="cellIs" dxfId="354" priority="33" stopIfTrue="1" operator="equal">
      <formula>"FAIL"</formula>
    </cfRule>
  </conditionalFormatting>
  <conditionalFormatting sqref="L17">
    <cfRule type="cellIs" dxfId="353" priority="32" stopIfTrue="1" operator="equal">
      <formula>"PASS"</formula>
    </cfRule>
    <cfRule type="cellIs" dxfId="352" priority="31" stopIfTrue="1" operator="equal">
      <formula>"FAIL"</formula>
    </cfRule>
  </conditionalFormatting>
  <conditionalFormatting sqref="L19">
    <cfRule type="cellIs" dxfId="351" priority="30" stopIfTrue="1" operator="equal">
      <formula>"PASS"</formula>
    </cfRule>
    <cfRule type="cellIs" dxfId="350" priority="29" stopIfTrue="1" operator="equal">
      <formula>"FAIL"</formula>
    </cfRule>
  </conditionalFormatting>
  <conditionalFormatting sqref="L21">
    <cfRule type="cellIs" dxfId="349" priority="28" stopIfTrue="1" operator="equal">
      <formula>"PASS"</formula>
    </cfRule>
    <cfRule type="cellIs" dxfId="348" priority="27" stopIfTrue="1" operator="equal">
      <formula>"FAIL"</formula>
    </cfRule>
  </conditionalFormatting>
  <conditionalFormatting sqref="L23">
    <cfRule type="cellIs" dxfId="347" priority="26" stopIfTrue="1" operator="equal">
      <formula>"PASS"</formula>
    </cfRule>
    <cfRule type="cellIs" dxfId="346" priority="25" stopIfTrue="1" operator="equal">
      <formula>"FAIL"</formula>
    </cfRule>
  </conditionalFormatting>
  <conditionalFormatting sqref="L25">
    <cfRule type="cellIs" dxfId="345" priority="24" stopIfTrue="1" operator="equal">
      <formula>"PASS"</formula>
    </cfRule>
    <cfRule type="cellIs" dxfId="344" priority="23" stopIfTrue="1" operator="equal">
      <formula>"FAIL"</formula>
    </cfRule>
  </conditionalFormatting>
  <conditionalFormatting sqref="L27">
    <cfRule type="cellIs" dxfId="343" priority="22" stopIfTrue="1" operator="equal">
      <formula>"PASS"</formula>
    </cfRule>
    <cfRule type="cellIs" dxfId="342" priority="21" stopIfTrue="1" operator="equal">
      <formula>"FAIL"</formula>
    </cfRule>
  </conditionalFormatting>
  <conditionalFormatting sqref="L29">
    <cfRule type="cellIs" dxfId="341" priority="20" stopIfTrue="1" operator="equal">
      <formula>"PASS"</formula>
    </cfRule>
    <cfRule type="cellIs" dxfId="340" priority="19" stopIfTrue="1" operator="equal">
      <formula>"FAIL"</formula>
    </cfRule>
  </conditionalFormatting>
  <conditionalFormatting sqref="L31">
    <cfRule type="cellIs" dxfId="339" priority="18" stopIfTrue="1" operator="equal">
      <formula>"PASS"</formula>
    </cfRule>
    <cfRule type="cellIs" dxfId="338" priority="17" stopIfTrue="1" operator="equal">
      <formula>"FAIL"</formula>
    </cfRule>
  </conditionalFormatting>
  <conditionalFormatting sqref="L33">
    <cfRule type="cellIs" dxfId="337" priority="16" stopIfTrue="1" operator="equal">
      <formula>"PASS"</formula>
    </cfRule>
    <cfRule type="cellIs" dxfId="336" priority="15" stopIfTrue="1" operator="equal">
      <formula>"FAIL"</formula>
    </cfRule>
  </conditionalFormatting>
  <conditionalFormatting sqref="L35">
    <cfRule type="cellIs" dxfId="335" priority="14" stopIfTrue="1" operator="equal">
      <formula>"PASS"</formula>
    </cfRule>
    <cfRule type="cellIs" dxfId="334" priority="13" stopIfTrue="1" operator="equal">
      <formula>"FAIL"</formula>
    </cfRule>
  </conditionalFormatting>
  <conditionalFormatting sqref="L37">
    <cfRule type="cellIs" dxfId="333" priority="12" stopIfTrue="1" operator="equal">
      <formula>"PASS"</formula>
    </cfRule>
    <cfRule type="cellIs" dxfId="332" priority="11" stopIfTrue="1" operator="equal">
      <formula>"FAIL"</formula>
    </cfRule>
  </conditionalFormatting>
  <conditionalFormatting sqref="L39">
    <cfRule type="cellIs" dxfId="331" priority="10" stopIfTrue="1" operator="equal">
      <formula>"PASS"</formula>
    </cfRule>
    <cfRule type="cellIs" dxfId="330" priority="9" stopIfTrue="1" operator="equal">
      <formula>"FAIL"</formula>
    </cfRule>
  </conditionalFormatting>
  <conditionalFormatting sqref="L41">
    <cfRule type="cellIs" dxfId="329" priority="8" stopIfTrue="1" operator="equal">
      <formula>"PASS"</formula>
    </cfRule>
    <cfRule type="cellIs" dxfId="328" priority="7" stopIfTrue="1" operator="equal">
      <formula>"FAIL"</formula>
    </cfRule>
  </conditionalFormatting>
  <conditionalFormatting sqref="L43">
    <cfRule type="cellIs" dxfId="327" priority="6" stopIfTrue="1" operator="equal">
      <formula>"PASS"</formula>
    </cfRule>
    <cfRule type="cellIs" dxfId="326" priority="5" stopIfTrue="1" operator="equal">
      <formula>"FAIL"</formula>
    </cfRule>
  </conditionalFormatting>
  <conditionalFormatting sqref="L45">
    <cfRule type="cellIs" dxfId="325" priority="4" stopIfTrue="1" operator="equal">
      <formula>"PASS"</formula>
    </cfRule>
    <cfRule type="cellIs" dxfId="324" priority="3" stopIfTrue="1" operator="equal">
      <formula>"FAIL"</formula>
    </cfRule>
  </conditionalFormatting>
  <conditionalFormatting sqref="L49:L51 L57:L63">
    <cfRule type="cellIs" dxfId="323" priority="45" stopIfTrue="1" operator="equal">
      <formula>"FAIL"</formula>
    </cfRule>
    <cfRule type="cellIs" dxfId="322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5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7F53C4-9129-4593-B933-2D745F8FA3BC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7BDB-7108-4930-A2A9-221C1192D3E9}">
  <dimension ref="A1:M124"/>
  <sheetViews>
    <sheetView zoomScale="85" zoomScaleNormal="85" zoomScaleSheetLayoutView="100" zoomScalePageLayoutView="45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1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1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321" priority="44" stopIfTrue="1" operator="equal">
      <formula>"PASS"</formula>
    </cfRule>
    <cfRule type="cellIs" dxfId="320" priority="43" stopIfTrue="1" operator="equal">
      <formula>"FAIL"</formula>
    </cfRule>
  </conditionalFormatting>
  <conditionalFormatting sqref="L3 L5">
    <cfRule type="cellIs" dxfId="319" priority="42" stopIfTrue="1" operator="equal">
      <formula>"PASS"</formula>
    </cfRule>
    <cfRule type="cellIs" dxfId="318" priority="41" stopIfTrue="1" operator="equal">
      <formula>"FAIL"</formula>
    </cfRule>
  </conditionalFormatting>
  <conditionalFormatting sqref="L7">
    <cfRule type="cellIs" dxfId="317" priority="1" stopIfTrue="1" operator="equal">
      <formula>"FAIL"</formula>
    </cfRule>
    <cfRule type="cellIs" dxfId="316" priority="2" stopIfTrue="1" operator="equal">
      <formula>"PASS"</formula>
    </cfRule>
  </conditionalFormatting>
  <conditionalFormatting sqref="L9">
    <cfRule type="cellIs" dxfId="315" priority="40" stopIfTrue="1" operator="equal">
      <formula>"PASS"</formula>
    </cfRule>
    <cfRule type="cellIs" dxfId="314" priority="39" stopIfTrue="1" operator="equal">
      <formula>"FAIL"</formula>
    </cfRule>
  </conditionalFormatting>
  <conditionalFormatting sqref="L11">
    <cfRule type="cellIs" dxfId="313" priority="38" stopIfTrue="1" operator="equal">
      <formula>"PASS"</formula>
    </cfRule>
    <cfRule type="cellIs" dxfId="312" priority="37" stopIfTrue="1" operator="equal">
      <formula>"FAIL"</formula>
    </cfRule>
  </conditionalFormatting>
  <conditionalFormatting sqref="L13">
    <cfRule type="cellIs" dxfId="311" priority="36" stopIfTrue="1" operator="equal">
      <formula>"PASS"</formula>
    </cfRule>
    <cfRule type="cellIs" dxfId="310" priority="35" stopIfTrue="1" operator="equal">
      <formula>"FAIL"</formula>
    </cfRule>
  </conditionalFormatting>
  <conditionalFormatting sqref="L15">
    <cfRule type="cellIs" dxfId="309" priority="34" stopIfTrue="1" operator="equal">
      <formula>"PASS"</formula>
    </cfRule>
    <cfRule type="cellIs" dxfId="308" priority="33" stopIfTrue="1" operator="equal">
      <formula>"FAIL"</formula>
    </cfRule>
  </conditionalFormatting>
  <conditionalFormatting sqref="L17">
    <cfRule type="cellIs" dxfId="307" priority="32" stopIfTrue="1" operator="equal">
      <formula>"PASS"</formula>
    </cfRule>
    <cfRule type="cellIs" dxfId="306" priority="31" stopIfTrue="1" operator="equal">
      <formula>"FAIL"</formula>
    </cfRule>
  </conditionalFormatting>
  <conditionalFormatting sqref="L19">
    <cfRule type="cellIs" dxfId="305" priority="30" stopIfTrue="1" operator="equal">
      <formula>"PASS"</formula>
    </cfRule>
    <cfRule type="cellIs" dxfId="304" priority="29" stopIfTrue="1" operator="equal">
      <formula>"FAIL"</formula>
    </cfRule>
  </conditionalFormatting>
  <conditionalFormatting sqref="L21">
    <cfRule type="cellIs" dxfId="303" priority="28" stopIfTrue="1" operator="equal">
      <formula>"PASS"</formula>
    </cfRule>
    <cfRule type="cellIs" dxfId="302" priority="27" stopIfTrue="1" operator="equal">
      <formula>"FAIL"</formula>
    </cfRule>
  </conditionalFormatting>
  <conditionalFormatting sqref="L23">
    <cfRule type="cellIs" dxfId="301" priority="26" stopIfTrue="1" operator="equal">
      <formula>"PASS"</formula>
    </cfRule>
    <cfRule type="cellIs" dxfId="300" priority="25" stopIfTrue="1" operator="equal">
      <formula>"FAIL"</formula>
    </cfRule>
  </conditionalFormatting>
  <conditionalFormatting sqref="L25">
    <cfRule type="cellIs" dxfId="299" priority="24" stopIfTrue="1" operator="equal">
      <formula>"PASS"</formula>
    </cfRule>
    <cfRule type="cellIs" dxfId="298" priority="23" stopIfTrue="1" operator="equal">
      <formula>"FAIL"</formula>
    </cfRule>
  </conditionalFormatting>
  <conditionalFormatting sqref="L27">
    <cfRule type="cellIs" dxfId="297" priority="22" stopIfTrue="1" operator="equal">
      <formula>"PASS"</formula>
    </cfRule>
    <cfRule type="cellIs" dxfId="296" priority="21" stopIfTrue="1" operator="equal">
      <formula>"FAIL"</formula>
    </cfRule>
  </conditionalFormatting>
  <conditionalFormatting sqref="L29">
    <cfRule type="cellIs" dxfId="295" priority="20" stopIfTrue="1" operator="equal">
      <formula>"PASS"</formula>
    </cfRule>
    <cfRule type="cellIs" dxfId="294" priority="19" stopIfTrue="1" operator="equal">
      <formula>"FAIL"</formula>
    </cfRule>
  </conditionalFormatting>
  <conditionalFormatting sqref="L31">
    <cfRule type="cellIs" dxfId="293" priority="18" stopIfTrue="1" operator="equal">
      <formula>"PASS"</formula>
    </cfRule>
    <cfRule type="cellIs" dxfId="292" priority="17" stopIfTrue="1" operator="equal">
      <formula>"FAIL"</formula>
    </cfRule>
  </conditionalFormatting>
  <conditionalFormatting sqref="L33">
    <cfRule type="cellIs" dxfId="291" priority="16" stopIfTrue="1" operator="equal">
      <formula>"PASS"</formula>
    </cfRule>
    <cfRule type="cellIs" dxfId="290" priority="15" stopIfTrue="1" operator="equal">
      <formula>"FAIL"</formula>
    </cfRule>
  </conditionalFormatting>
  <conditionalFormatting sqref="L35">
    <cfRule type="cellIs" dxfId="289" priority="14" stopIfTrue="1" operator="equal">
      <formula>"PASS"</formula>
    </cfRule>
    <cfRule type="cellIs" dxfId="288" priority="13" stopIfTrue="1" operator="equal">
      <formula>"FAIL"</formula>
    </cfRule>
  </conditionalFormatting>
  <conditionalFormatting sqref="L37">
    <cfRule type="cellIs" dxfId="287" priority="12" stopIfTrue="1" operator="equal">
      <formula>"PASS"</formula>
    </cfRule>
    <cfRule type="cellIs" dxfId="286" priority="11" stopIfTrue="1" operator="equal">
      <formula>"FAIL"</formula>
    </cfRule>
  </conditionalFormatting>
  <conditionalFormatting sqref="L39">
    <cfRule type="cellIs" dxfId="285" priority="10" stopIfTrue="1" operator="equal">
      <formula>"PASS"</formula>
    </cfRule>
    <cfRule type="cellIs" dxfId="284" priority="9" stopIfTrue="1" operator="equal">
      <formula>"FAIL"</formula>
    </cfRule>
  </conditionalFormatting>
  <conditionalFormatting sqref="L41">
    <cfRule type="cellIs" dxfId="283" priority="8" stopIfTrue="1" operator="equal">
      <formula>"PASS"</formula>
    </cfRule>
    <cfRule type="cellIs" dxfId="282" priority="7" stopIfTrue="1" operator="equal">
      <formula>"FAIL"</formula>
    </cfRule>
  </conditionalFormatting>
  <conditionalFormatting sqref="L43">
    <cfRule type="cellIs" dxfId="281" priority="6" stopIfTrue="1" operator="equal">
      <formula>"PASS"</formula>
    </cfRule>
    <cfRule type="cellIs" dxfId="280" priority="5" stopIfTrue="1" operator="equal">
      <formula>"FAIL"</formula>
    </cfRule>
  </conditionalFormatting>
  <conditionalFormatting sqref="L45">
    <cfRule type="cellIs" dxfId="279" priority="4" stopIfTrue="1" operator="equal">
      <formula>"PASS"</formula>
    </cfRule>
    <cfRule type="cellIs" dxfId="278" priority="3" stopIfTrue="1" operator="equal">
      <formula>"FAIL"</formula>
    </cfRule>
  </conditionalFormatting>
  <conditionalFormatting sqref="L49:L51 L57:L63">
    <cfRule type="cellIs" dxfId="277" priority="45" stopIfTrue="1" operator="equal">
      <formula>"FAIL"</formula>
    </cfRule>
    <cfRule type="cellIs" dxfId="276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569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C1247D-4CF2-4A43-9AF0-42F0C2448BD0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3DB3-536B-41CE-A42E-AE0C62D58122}">
  <dimension ref="A1:M124"/>
  <sheetViews>
    <sheetView zoomScale="85" zoomScaleNormal="85" zoomScaleSheetLayoutView="100" zoomScalePageLayoutView="60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4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:H3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4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275" priority="44" stopIfTrue="1" operator="equal">
      <formula>"PASS"</formula>
    </cfRule>
    <cfRule type="cellIs" dxfId="274" priority="43" stopIfTrue="1" operator="equal">
      <formula>"FAIL"</formula>
    </cfRule>
  </conditionalFormatting>
  <conditionalFormatting sqref="L3 L5">
    <cfRule type="cellIs" dxfId="273" priority="42" stopIfTrue="1" operator="equal">
      <formula>"PASS"</formula>
    </cfRule>
    <cfRule type="cellIs" dxfId="272" priority="41" stopIfTrue="1" operator="equal">
      <formula>"FAIL"</formula>
    </cfRule>
  </conditionalFormatting>
  <conditionalFormatting sqref="L7">
    <cfRule type="cellIs" dxfId="271" priority="1" stopIfTrue="1" operator="equal">
      <formula>"FAIL"</formula>
    </cfRule>
    <cfRule type="cellIs" dxfId="270" priority="2" stopIfTrue="1" operator="equal">
      <formula>"PASS"</formula>
    </cfRule>
  </conditionalFormatting>
  <conditionalFormatting sqref="L9">
    <cfRule type="cellIs" dxfId="269" priority="40" stopIfTrue="1" operator="equal">
      <formula>"PASS"</formula>
    </cfRule>
    <cfRule type="cellIs" dxfId="268" priority="39" stopIfTrue="1" operator="equal">
      <formula>"FAIL"</formula>
    </cfRule>
  </conditionalFormatting>
  <conditionalFormatting sqref="L11">
    <cfRule type="cellIs" dxfId="267" priority="38" stopIfTrue="1" operator="equal">
      <formula>"PASS"</formula>
    </cfRule>
    <cfRule type="cellIs" dxfId="266" priority="37" stopIfTrue="1" operator="equal">
      <formula>"FAIL"</formula>
    </cfRule>
  </conditionalFormatting>
  <conditionalFormatting sqref="L13">
    <cfRule type="cellIs" dxfId="265" priority="36" stopIfTrue="1" operator="equal">
      <formula>"PASS"</formula>
    </cfRule>
    <cfRule type="cellIs" dxfId="264" priority="35" stopIfTrue="1" operator="equal">
      <formula>"FAIL"</formula>
    </cfRule>
  </conditionalFormatting>
  <conditionalFormatting sqref="L15">
    <cfRule type="cellIs" dxfId="263" priority="34" stopIfTrue="1" operator="equal">
      <formula>"PASS"</formula>
    </cfRule>
    <cfRule type="cellIs" dxfId="262" priority="33" stopIfTrue="1" operator="equal">
      <formula>"FAIL"</formula>
    </cfRule>
  </conditionalFormatting>
  <conditionalFormatting sqref="L17">
    <cfRule type="cellIs" dxfId="261" priority="32" stopIfTrue="1" operator="equal">
      <formula>"PASS"</formula>
    </cfRule>
    <cfRule type="cellIs" dxfId="260" priority="31" stopIfTrue="1" operator="equal">
      <formula>"FAIL"</formula>
    </cfRule>
  </conditionalFormatting>
  <conditionalFormatting sqref="L19">
    <cfRule type="cellIs" dxfId="259" priority="30" stopIfTrue="1" operator="equal">
      <formula>"PASS"</formula>
    </cfRule>
    <cfRule type="cellIs" dxfId="258" priority="29" stopIfTrue="1" operator="equal">
      <formula>"FAIL"</formula>
    </cfRule>
  </conditionalFormatting>
  <conditionalFormatting sqref="L21">
    <cfRule type="cellIs" dxfId="257" priority="28" stopIfTrue="1" operator="equal">
      <formula>"PASS"</formula>
    </cfRule>
    <cfRule type="cellIs" dxfId="256" priority="27" stopIfTrue="1" operator="equal">
      <formula>"FAIL"</formula>
    </cfRule>
  </conditionalFormatting>
  <conditionalFormatting sqref="L23">
    <cfRule type="cellIs" dxfId="255" priority="26" stopIfTrue="1" operator="equal">
      <formula>"PASS"</formula>
    </cfRule>
    <cfRule type="cellIs" dxfId="254" priority="25" stopIfTrue="1" operator="equal">
      <formula>"FAIL"</formula>
    </cfRule>
  </conditionalFormatting>
  <conditionalFormatting sqref="L25">
    <cfRule type="cellIs" dxfId="253" priority="24" stopIfTrue="1" operator="equal">
      <formula>"PASS"</formula>
    </cfRule>
    <cfRule type="cellIs" dxfId="252" priority="23" stopIfTrue="1" operator="equal">
      <formula>"FAIL"</formula>
    </cfRule>
  </conditionalFormatting>
  <conditionalFormatting sqref="L27">
    <cfRule type="cellIs" dxfId="251" priority="22" stopIfTrue="1" operator="equal">
      <formula>"PASS"</formula>
    </cfRule>
    <cfRule type="cellIs" dxfId="250" priority="21" stopIfTrue="1" operator="equal">
      <formula>"FAIL"</formula>
    </cfRule>
  </conditionalFormatting>
  <conditionalFormatting sqref="L29">
    <cfRule type="cellIs" dxfId="249" priority="20" stopIfTrue="1" operator="equal">
      <formula>"PASS"</formula>
    </cfRule>
    <cfRule type="cellIs" dxfId="248" priority="19" stopIfTrue="1" operator="equal">
      <formula>"FAIL"</formula>
    </cfRule>
  </conditionalFormatting>
  <conditionalFormatting sqref="L31">
    <cfRule type="cellIs" dxfId="247" priority="18" stopIfTrue="1" operator="equal">
      <formula>"PASS"</formula>
    </cfRule>
    <cfRule type="cellIs" dxfId="246" priority="17" stopIfTrue="1" operator="equal">
      <formula>"FAIL"</formula>
    </cfRule>
  </conditionalFormatting>
  <conditionalFormatting sqref="L33">
    <cfRule type="cellIs" dxfId="245" priority="16" stopIfTrue="1" operator="equal">
      <formula>"PASS"</formula>
    </cfRule>
    <cfRule type="cellIs" dxfId="244" priority="15" stopIfTrue="1" operator="equal">
      <formula>"FAIL"</formula>
    </cfRule>
  </conditionalFormatting>
  <conditionalFormatting sqref="L35">
    <cfRule type="cellIs" dxfId="243" priority="14" stopIfTrue="1" operator="equal">
      <formula>"PASS"</formula>
    </cfRule>
    <cfRule type="cellIs" dxfId="242" priority="13" stopIfTrue="1" operator="equal">
      <formula>"FAIL"</formula>
    </cfRule>
  </conditionalFormatting>
  <conditionalFormatting sqref="L37">
    <cfRule type="cellIs" dxfId="241" priority="12" stopIfTrue="1" operator="equal">
      <formula>"PASS"</formula>
    </cfRule>
    <cfRule type="cellIs" dxfId="240" priority="11" stopIfTrue="1" operator="equal">
      <formula>"FAIL"</formula>
    </cfRule>
  </conditionalFormatting>
  <conditionalFormatting sqref="L39">
    <cfRule type="cellIs" dxfId="239" priority="10" stopIfTrue="1" operator="equal">
      <formula>"PASS"</formula>
    </cfRule>
    <cfRule type="cellIs" dxfId="238" priority="9" stopIfTrue="1" operator="equal">
      <formula>"FAIL"</formula>
    </cfRule>
  </conditionalFormatting>
  <conditionalFormatting sqref="L41">
    <cfRule type="cellIs" dxfId="237" priority="8" stopIfTrue="1" operator="equal">
      <formula>"PASS"</formula>
    </cfRule>
    <cfRule type="cellIs" dxfId="236" priority="7" stopIfTrue="1" operator="equal">
      <formula>"FAIL"</formula>
    </cfRule>
  </conditionalFormatting>
  <conditionalFormatting sqref="L43">
    <cfRule type="cellIs" dxfId="235" priority="6" stopIfTrue="1" operator="equal">
      <formula>"PASS"</formula>
    </cfRule>
    <cfRule type="cellIs" dxfId="234" priority="5" stopIfTrue="1" operator="equal">
      <formula>"FAIL"</formula>
    </cfRule>
  </conditionalFormatting>
  <conditionalFormatting sqref="L45">
    <cfRule type="cellIs" dxfId="233" priority="4" stopIfTrue="1" operator="equal">
      <formula>"PASS"</formula>
    </cfRule>
    <cfRule type="cellIs" dxfId="232" priority="3" stopIfTrue="1" operator="equal">
      <formula>"FAIL"</formula>
    </cfRule>
  </conditionalFormatting>
  <conditionalFormatting sqref="L49:L51 L57:L63">
    <cfRule type="cellIs" dxfId="231" priority="45" stopIfTrue="1" operator="equal">
      <formula>"FAIL"</formula>
    </cfRule>
    <cfRule type="cellIs" dxfId="230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593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EAD37C-4460-43B9-B591-E50F0B9A81E5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F46D-8A84-46C5-91FD-A649A95DF2B8}">
  <dimension ref="A1:M124"/>
  <sheetViews>
    <sheetView zoomScale="85" zoomScaleNormal="85" zoomScaleSheetLayoutView="100" zoomScalePageLayoutView="63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229" priority="44" stopIfTrue="1" operator="equal">
      <formula>"PASS"</formula>
    </cfRule>
    <cfRule type="cellIs" dxfId="228" priority="43" stopIfTrue="1" operator="equal">
      <formula>"FAIL"</formula>
    </cfRule>
  </conditionalFormatting>
  <conditionalFormatting sqref="L3 L5">
    <cfRule type="cellIs" dxfId="227" priority="42" stopIfTrue="1" operator="equal">
      <formula>"PASS"</formula>
    </cfRule>
    <cfRule type="cellIs" dxfId="226" priority="41" stopIfTrue="1" operator="equal">
      <formula>"FAIL"</formula>
    </cfRule>
  </conditionalFormatting>
  <conditionalFormatting sqref="L7">
    <cfRule type="cellIs" dxfId="225" priority="1" stopIfTrue="1" operator="equal">
      <formula>"FAIL"</formula>
    </cfRule>
    <cfRule type="cellIs" dxfId="224" priority="2" stopIfTrue="1" operator="equal">
      <formula>"PASS"</formula>
    </cfRule>
  </conditionalFormatting>
  <conditionalFormatting sqref="L9">
    <cfRule type="cellIs" dxfId="223" priority="40" stopIfTrue="1" operator="equal">
      <formula>"PASS"</formula>
    </cfRule>
    <cfRule type="cellIs" dxfId="222" priority="39" stopIfTrue="1" operator="equal">
      <formula>"FAIL"</formula>
    </cfRule>
  </conditionalFormatting>
  <conditionalFormatting sqref="L11">
    <cfRule type="cellIs" dxfId="221" priority="38" stopIfTrue="1" operator="equal">
      <formula>"PASS"</formula>
    </cfRule>
    <cfRule type="cellIs" dxfId="220" priority="37" stopIfTrue="1" operator="equal">
      <formula>"FAIL"</formula>
    </cfRule>
  </conditionalFormatting>
  <conditionalFormatting sqref="L13">
    <cfRule type="cellIs" dxfId="219" priority="36" stopIfTrue="1" operator="equal">
      <formula>"PASS"</formula>
    </cfRule>
    <cfRule type="cellIs" dxfId="218" priority="35" stopIfTrue="1" operator="equal">
      <formula>"FAIL"</formula>
    </cfRule>
  </conditionalFormatting>
  <conditionalFormatting sqref="L15">
    <cfRule type="cellIs" dxfId="217" priority="34" stopIfTrue="1" operator="equal">
      <formula>"PASS"</formula>
    </cfRule>
    <cfRule type="cellIs" dxfId="216" priority="33" stopIfTrue="1" operator="equal">
      <formula>"FAIL"</formula>
    </cfRule>
  </conditionalFormatting>
  <conditionalFormatting sqref="L17">
    <cfRule type="cellIs" dxfId="215" priority="32" stopIfTrue="1" operator="equal">
      <formula>"PASS"</formula>
    </cfRule>
    <cfRule type="cellIs" dxfId="214" priority="31" stopIfTrue="1" operator="equal">
      <formula>"FAIL"</formula>
    </cfRule>
  </conditionalFormatting>
  <conditionalFormatting sqref="L19">
    <cfRule type="cellIs" dxfId="213" priority="30" stopIfTrue="1" operator="equal">
      <formula>"PASS"</formula>
    </cfRule>
    <cfRule type="cellIs" dxfId="212" priority="29" stopIfTrue="1" operator="equal">
      <formula>"FAIL"</formula>
    </cfRule>
  </conditionalFormatting>
  <conditionalFormatting sqref="L21">
    <cfRule type="cellIs" dxfId="211" priority="28" stopIfTrue="1" operator="equal">
      <formula>"PASS"</formula>
    </cfRule>
    <cfRule type="cellIs" dxfId="210" priority="27" stopIfTrue="1" operator="equal">
      <formula>"FAIL"</formula>
    </cfRule>
  </conditionalFormatting>
  <conditionalFormatting sqref="L23">
    <cfRule type="cellIs" dxfId="209" priority="26" stopIfTrue="1" operator="equal">
      <formula>"PASS"</formula>
    </cfRule>
    <cfRule type="cellIs" dxfId="208" priority="25" stopIfTrue="1" operator="equal">
      <formula>"FAIL"</formula>
    </cfRule>
  </conditionalFormatting>
  <conditionalFormatting sqref="L25">
    <cfRule type="cellIs" dxfId="207" priority="24" stopIfTrue="1" operator="equal">
      <formula>"PASS"</formula>
    </cfRule>
    <cfRule type="cellIs" dxfId="206" priority="23" stopIfTrue="1" operator="equal">
      <formula>"FAIL"</formula>
    </cfRule>
  </conditionalFormatting>
  <conditionalFormatting sqref="L27">
    <cfRule type="cellIs" dxfId="205" priority="22" stopIfTrue="1" operator="equal">
      <formula>"PASS"</formula>
    </cfRule>
    <cfRule type="cellIs" dxfId="204" priority="21" stopIfTrue="1" operator="equal">
      <formula>"FAIL"</formula>
    </cfRule>
  </conditionalFormatting>
  <conditionalFormatting sqref="L29">
    <cfRule type="cellIs" dxfId="203" priority="20" stopIfTrue="1" operator="equal">
      <formula>"PASS"</formula>
    </cfRule>
    <cfRule type="cellIs" dxfId="202" priority="19" stopIfTrue="1" operator="equal">
      <formula>"FAIL"</formula>
    </cfRule>
  </conditionalFormatting>
  <conditionalFormatting sqref="L31">
    <cfRule type="cellIs" dxfId="201" priority="18" stopIfTrue="1" operator="equal">
      <formula>"PASS"</formula>
    </cfRule>
    <cfRule type="cellIs" dxfId="200" priority="17" stopIfTrue="1" operator="equal">
      <formula>"FAIL"</formula>
    </cfRule>
  </conditionalFormatting>
  <conditionalFormatting sqref="L33">
    <cfRule type="cellIs" dxfId="199" priority="16" stopIfTrue="1" operator="equal">
      <formula>"PASS"</formula>
    </cfRule>
    <cfRule type="cellIs" dxfId="198" priority="15" stopIfTrue="1" operator="equal">
      <formula>"FAIL"</formula>
    </cfRule>
  </conditionalFormatting>
  <conditionalFormatting sqref="L35">
    <cfRule type="cellIs" dxfId="197" priority="14" stopIfTrue="1" operator="equal">
      <formula>"PASS"</formula>
    </cfRule>
    <cfRule type="cellIs" dxfId="196" priority="13" stopIfTrue="1" operator="equal">
      <formula>"FAIL"</formula>
    </cfRule>
  </conditionalFormatting>
  <conditionalFormatting sqref="L37">
    <cfRule type="cellIs" dxfId="195" priority="12" stopIfTrue="1" operator="equal">
      <formula>"PASS"</formula>
    </cfRule>
    <cfRule type="cellIs" dxfId="194" priority="11" stopIfTrue="1" operator="equal">
      <formula>"FAIL"</formula>
    </cfRule>
  </conditionalFormatting>
  <conditionalFormatting sqref="L39">
    <cfRule type="cellIs" dxfId="193" priority="10" stopIfTrue="1" operator="equal">
      <formula>"PASS"</formula>
    </cfRule>
    <cfRule type="cellIs" dxfId="192" priority="9" stopIfTrue="1" operator="equal">
      <formula>"FAIL"</formula>
    </cfRule>
  </conditionalFormatting>
  <conditionalFormatting sqref="L41">
    <cfRule type="cellIs" dxfId="191" priority="8" stopIfTrue="1" operator="equal">
      <formula>"PASS"</formula>
    </cfRule>
    <cfRule type="cellIs" dxfId="190" priority="7" stopIfTrue="1" operator="equal">
      <formula>"FAIL"</formula>
    </cfRule>
  </conditionalFormatting>
  <conditionalFormatting sqref="L43">
    <cfRule type="cellIs" dxfId="189" priority="6" stopIfTrue="1" operator="equal">
      <formula>"PASS"</formula>
    </cfRule>
    <cfRule type="cellIs" dxfId="188" priority="5" stopIfTrue="1" operator="equal">
      <formula>"FAIL"</formula>
    </cfRule>
  </conditionalFormatting>
  <conditionalFormatting sqref="L45">
    <cfRule type="cellIs" dxfId="187" priority="4" stopIfTrue="1" operator="equal">
      <formula>"PASS"</formula>
    </cfRule>
    <cfRule type="cellIs" dxfId="186" priority="3" stopIfTrue="1" operator="equal">
      <formula>"FAIL"</formula>
    </cfRule>
  </conditionalFormatting>
  <conditionalFormatting sqref="L49:L51 L57:L63">
    <cfRule type="cellIs" dxfId="185" priority="45" stopIfTrue="1" operator="equal">
      <formula>"FAIL"</formula>
    </cfRule>
    <cfRule type="cellIs" dxfId="184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617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C85436-C576-47E8-B7EF-02F12AAB7C2B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9C1C-3FFD-4E04-A6A9-F20611D5EDCF}">
  <dimension ref="A1:M124"/>
  <sheetViews>
    <sheetView zoomScale="85" zoomScaleNormal="85" zoomScaleSheetLayoutView="100" zoomScalePageLayoutView="45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101" t="s">
        <v>24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101" t="s">
        <v>31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101" t="s">
        <v>37</v>
      </c>
      <c r="E25" s="131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10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10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183" priority="44" stopIfTrue="1" operator="equal">
      <formula>"PASS"</formula>
    </cfRule>
    <cfRule type="cellIs" dxfId="182" priority="43" stopIfTrue="1" operator="equal">
      <formula>"FAIL"</formula>
    </cfRule>
  </conditionalFormatting>
  <conditionalFormatting sqref="L3 L5">
    <cfRule type="cellIs" dxfId="181" priority="42" stopIfTrue="1" operator="equal">
      <formula>"PASS"</formula>
    </cfRule>
    <cfRule type="cellIs" dxfId="180" priority="41" stopIfTrue="1" operator="equal">
      <formula>"FAIL"</formula>
    </cfRule>
  </conditionalFormatting>
  <conditionalFormatting sqref="L7">
    <cfRule type="cellIs" dxfId="179" priority="1" stopIfTrue="1" operator="equal">
      <formula>"FAIL"</formula>
    </cfRule>
    <cfRule type="cellIs" dxfId="178" priority="2" stopIfTrue="1" operator="equal">
      <formula>"PASS"</formula>
    </cfRule>
  </conditionalFormatting>
  <conditionalFormatting sqref="L9">
    <cfRule type="cellIs" dxfId="177" priority="40" stopIfTrue="1" operator="equal">
      <formula>"PASS"</formula>
    </cfRule>
    <cfRule type="cellIs" dxfId="176" priority="39" stopIfTrue="1" operator="equal">
      <formula>"FAIL"</formula>
    </cfRule>
  </conditionalFormatting>
  <conditionalFormatting sqref="L11">
    <cfRule type="cellIs" dxfId="175" priority="38" stopIfTrue="1" operator="equal">
      <formula>"PASS"</formula>
    </cfRule>
    <cfRule type="cellIs" dxfId="174" priority="37" stopIfTrue="1" operator="equal">
      <formula>"FAIL"</formula>
    </cfRule>
  </conditionalFormatting>
  <conditionalFormatting sqref="L13">
    <cfRule type="cellIs" dxfId="173" priority="36" stopIfTrue="1" operator="equal">
      <formula>"PASS"</formula>
    </cfRule>
    <cfRule type="cellIs" dxfId="172" priority="35" stopIfTrue="1" operator="equal">
      <formula>"FAIL"</formula>
    </cfRule>
  </conditionalFormatting>
  <conditionalFormatting sqref="L15">
    <cfRule type="cellIs" dxfId="171" priority="34" stopIfTrue="1" operator="equal">
      <formula>"PASS"</formula>
    </cfRule>
    <cfRule type="cellIs" dxfId="170" priority="33" stopIfTrue="1" operator="equal">
      <formula>"FAIL"</formula>
    </cfRule>
  </conditionalFormatting>
  <conditionalFormatting sqref="L17">
    <cfRule type="cellIs" dxfId="169" priority="32" stopIfTrue="1" operator="equal">
      <formula>"PASS"</formula>
    </cfRule>
    <cfRule type="cellIs" dxfId="168" priority="31" stopIfTrue="1" operator="equal">
      <formula>"FAIL"</formula>
    </cfRule>
  </conditionalFormatting>
  <conditionalFormatting sqref="L19">
    <cfRule type="cellIs" dxfId="167" priority="30" stopIfTrue="1" operator="equal">
      <formula>"PASS"</formula>
    </cfRule>
    <cfRule type="cellIs" dxfId="166" priority="29" stopIfTrue="1" operator="equal">
      <formula>"FAIL"</formula>
    </cfRule>
  </conditionalFormatting>
  <conditionalFormatting sqref="L21">
    <cfRule type="cellIs" dxfId="165" priority="28" stopIfTrue="1" operator="equal">
      <formula>"PASS"</formula>
    </cfRule>
    <cfRule type="cellIs" dxfId="164" priority="27" stopIfTrue="1" operator="equal">
      <formula>"FAIL"</formula>
    </cfRule>
  </conditionalFormatting>
  <conditionalFormatting sqref="L23">
    <cfRule type="cellIs" dxfId="163" priority="26" stopIfTrue="1" operator="equal">
      <formula>"PASS"</formula>
    </cfRule>
    <cfRule type="cellIs" dxfId="162" priority="25" stopIfTrue="1" operator="equal">
      <formula>"FAIL"</formula>
    </cfRule>
  </conditionalFormatting>
  <conditionalFormatting sqref="L25">
    <cfRule type="cellIs" dxfId="161" priority="24" stopIfTrue="1" operator="equal">
      <formula>"PASS"</formula>
    </cfRule>
    <cfRule type="cellIs" dxfId="160" priority="23" stopIfTrue="1" operator="equal">
      <formula>"FAIL"</formula>
    </cfRule>
  </conditionalFormatting>
  <conditionalFormatting sqref="L27">
    <cfRule type="cellIs" dxfId="159" priority="22" stopIfTrue="1" operator="equal">
      <formula>"PASS"</formula>
    </cfRule>
    <cfRule type="cellIs" dxfId="158" priority="21" stopIfTrue="1" operator="equal">
      <formula>"FAIL"</formula>
    </cfRule>
  </conditionalFormatting>
  <conditionalFormatting sqref="L29">
    <cfRule type="cellIs" dxfId="157" priority="20" stopIfTrue="1" operator="equal">
      <formula>"PASS"</formula>
    </cfRule>
    <cfRule type="cellIs" dxfId="156" priority="19" stopIfTrue="1" operator="equal">
      <formula>"FAIL"</formula>
    </cfRule>
  </conditionalFormatting>
  <conditionalFormatting sqref="L31">
    <cfRule type="cellIs" dxfId="155" priority="18" stopIfTrue="1" operator="equal">
      <formula>"PASS"</formula>
    </cfRule>
    <cfRule type="cellIs" dxfId="154" priority="17" stopIfTrue="1" operator="equal">
      <formula>"FAIL"</formula>
    </cfRule>
  </conditionalFormatting>
  <conditionalFormatting sqref="L33">
    <cfRule type="cellIs" dxfId="153" priority="16" stopIfTrue="1" operator="equal">
      <formula>"PASS"</formula>
    </cfRule>
    <cfRule type="cellIs" dxfId="152" priority="15" stopIfTrue="1" operator="equal">
      <formula>"FAIL"</formula>
    </cfRule>
  </conditionalFormatting>
  <conditionalFormatting sqref="L35">
    <cfRule type="cellIs" dxfId="151" priority="14" stopIfTrue="1" operator="equal">
      <formula>"PASS"</formula>
    </cfRule>
    <cfRule type="cellIs" dxfId="150" priority="13" stopIfTrue="1" operator="equal">
      <formula>"FAIL"</formula>
    </cfRule>
  </conditionalFormatting>
  <conditionalFormatting sqref="L37">
    <cfRule type="cellIs" dxfId="149" priority="12" stopIfTrue="1" operator="equal">
      <formula>"PASS"</formula>
    </cfRule>
    <cfRule type="cellIs" dxfId="148" priority="11" stopIfTrue="1" operator="equal">
      <formula>"FAIL"</formula>
    </cfRule>
  </conditionalFormatting>
  <conditionalFormatting sqref="L39">
    <cfRule type="cellIs" dxfId="147" priority="10" stopIfTrue="1" operator="equal">
      <formula>"PASS"</formula>
    </cfRule>
    <cfRule type="cellIs" dxfId="146" priority="9" stopIfTrue="1" operator="equal">
      <formula>"FAIL"</formula>
    </cfRule>
  </conditionalFormatting>
  <conditionalFormatting sqref="L41">
    <cfRule type="cellIs" dxfId="145" priority="8" stopIfTrue="1" operator="equal">
      <formula>"PASS"</formula>
    </cfRule>
    <cfRule type="cellIs" dxfId="144" priority="7" stopIfTrue="1" operator="equal">
      <formula>"FAIL"</formula>
    </cfRule>
  </conditionalFormatting>
  <conditionalFormatting sqref="L43">
    <cfRule type="cellIs" dxfId="143" priority="6" stopIfTrue="1" operator="equal">
      <formula>"PASS"</formula>
    </cfRule>
    <cfRule type="cellIs" dxfId="142" priority="5" stopIfTrue="1" operator="equal">
      <formula>"FAIL"</formula>
    </cfRule>
  </conditionalFormatting>
  <conditionalFormatting sqref="L45">
    <cfRule type="cellIs" dxfId="141" priority="4" stopIfTrue="1" operator="equal">
      <formula>"PASS"</formula>
    </cfRule>
    <cfRule type="cellIs" dxfId="140" priority="3" stopIfTrue="1" operator="equal">
      <formula>"FAIL"</formula>
    </cfRule>
  </conditionalFormatting>
  <conditionalFormatting sqref="L49:L51 L57:L63">
    <cfRule type="cellIs" dxfId="139" priority="45" stopIfTrue="1" operator="equal">
      <formula>"FAIL"</formula>
    </cfRule>
    <cfRule type="cellIs" dxfId="138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41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16DF08-09EE-41F9-961F-C7DD426BDE9A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1783-AF71-42F3-94BB-00515AAD4B8A}">
  <dimension ref="A1:M124"/>
  <sheetViews>
    <sheetView zoomScale="85" zoomScaleNormal="85" zoomScaleSheetLayoutView="85" zoomScalePageLayoutView="44" workbookViewId="0">
      <selection activeCell="F2" sqref="F2:F3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97" t="s">
        <v>24</v>
      </c>
      <c r="E14" s="118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19"/>
      <c r="E15" s="121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97" t="s">
        <v>31</v>
      </c>
      <c r="E20" s="118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19"/>
      <c r="E21" s="121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97" t="s">
        <v>37</v>
      </c>
      <c r="E25" s="118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19"/>
      <c r="E26" s="121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4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4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137" priority="44" stopIfTrue="1" operator="equal">
      <formula>"PASS"</formula>
    </cfRule>
    <cfRule type="cellIs" dxfId="136" priority="43" stopIfTrue="1" operator="equal">
      <formula>"FAIL"</formula>
    </cfRule>
  </conditionalFormatting>
  <conditionalFormatting sqref="L3 L5">
    <cfRule type="cellIs" dxfId="135" priority="42" stopIfTrue="1" operator="equal">
      <formula>"PASS"</formula>
    </cfRule>
    <cfRule type="cellIs" dxfId="134" priority="41" stopIfTrue="1" operator="equal">
      <formula>"FAIL"</formula>
    </cfRule>
  </conditionalFormatting>
  <conditionalFormatting sqref="L7">
    <cfRule type="cellIs" dxfId="133" priority="1" stopIfTrue="1" operator="equal">
      <formula>"FAIL"</formula>
    </cfRule>
    <cfRule type="cellIs" dxfId="132" priority="2" stopIfTrue="1" operator="equal">
      <formula>"PASS"</formula>
    </cfRule>
  </conditionalFormatting>
  <conditionalFormatting sqref="L9">
    <cfRule type="cellIs" dxfId="131" priority="40" stopIfTrue="1" operator="equal">
      <formula>"PASS"</formula>
    </cfRule>
    <cfRule type="cellIs" dxfId="130" priority="39" stopIfTrue="1" operator="equal">
      <formula>"FAIL"</formula>
    </cfRule>
  </conditionalFormatting>
  <conditionalFormatting sqref="L11">
    <cfRule type="cellIs" dxfId="129" priority="38" stopIfTrue="1" operator="equal">
      <formula>"PASS"</formula>
    </cfRule>
    <cfRule type="cellIs" dxfId="128" priority="37" stopIfTrue="1" operator="equal">
      <formula>"FAIL"</formula>
    </cfRule>
  </conditionalFormatting>
  <conditionalFormatting sqref="L13">
    <cfRule type="cellIs" dxfId="127" priority="36" stopIfTrue="1" operator="equal">
      <formula>"PASS"</formula>
    </cfRule>
    <cfRule type="cellIs" dxfId="126" priority="35" stopIfTrue="1" operator="equal">
      <formula>"FAIL"</formula>
    </cfRule>
  </conditionalFormatting>
  <conditionalFormatting sqref="L15">
    <cfRule type="cellIs" dxfId="125" priority="34" stopIfTrue="1" operator="equal">
      <formula>"PASS"</formula>
    </cfRule>
    <cfRule type="cellIs" dxfId="124" priority="33" stopIfTrue="1" operator="equal">
      <formula>"FAIL"</formula>
    </cfRule>
  </conditionalFormatting>
  <conditionalFormatting sqref="L17">
    <cfRule type="cellIs" dxfId="123" priority="32" stopIfTrue="1" operator="equal">
      <formula>"PASS"</formula>
    </cfRule>
    <cfRule type="cellIs" dxfId="122" priority="31" stopIfTrue="1" operator="equal">
      <formula>"FAIL"</formula>
    </cfRule>
  </conditionalFormatting>
  <conditionalFormatting sqref="L19">
    <cfRule type="cellIs" dxfId="121" priority="30" stopIfTrue="1" operator="equal">
      <formula>"PASS"</formula>
    </cfRule>
    <cfRule type="cellIs" dxfId="120" priority="29" stopIfTrue="1" operator="equal">
      <formula>"FAIL"</formula>
    </cfRule>
  </conditionalFormatting>
  <conditionalFormatting sqref="L21">
    <cfRule type="cellIs" dxfId="119" priority="28" stopIfTrue="1" operator="equal">
      <formula>"PASS"</formula>
    </cfRule>
    <cfRule type="cellIs" dxfId="118" priority="27" stopIfTrue="1" operator="equal">
      <formula>"FAIL"</formula>
    </cfRule>
  </conditionalFormatting>
  <conditionalFormatting sqref="L23">
    <cfRule type="cellIs" dxfId="117" priority="26" stopIfTrue="1" operator="equal">
      <formula>"PASS"</formula>
    </cfRule>
    <cfRule type="cellIs" dxfId="116" priority="25" stopIfTrue="1" operator="equal">
      <formula>"FAIL"</formula>
    </cfRule>
  </conditionalFormatting>
  <conditionalFormatting sqref="L25">
    <cfRule type="cellIs" dxfId="115" priority="24" stopIfTrue="1" operator="equal">
      <formula>"PASS"</formula>
    </cfRule>
    <cfRule type="cellIs" dxfId="114" priority="23" stopIfTrue="1" operator="equal">
      <formula>"FAIL"</formula>
    </cfRule>
  </conditionalFormatting>
  <conditionalFormatting sqref="L27">
    <cfRule type="cellIs" dxfId="113" priority="22" stopIfTrue="1" operator="equal">
      <formula>"PASS"</formula>
    </cfRule>
    <cfRule type="cellIs" dxfId="112" priority="21" stopIfTrue="1" operator="equal">
      <formula>"FAIL"</formula>
    </cfRule>
  </conditionalFormatting>
  <conditionalFormatting sqref="L29">
    <cfRule type="cellIs" dxfId="111" priority="20" stopIfTrue="1" operator="equal">
      <formula>"PASS"</formula>
    </cfRule>
    <cfRule type="cellIs" dxfId="110" priority="19" stopIfTrue="1" operator="equal">
      <formula>"FAIL"</formula>
    </cfRule>
  </conditionalFormatting>
  <conditionalFormatting sqref="L31">
    <cfRule type="cellIs" dxfId="109" priority="18" stopIfTrue="1" operator="equal">
      <formula>"PASS"</formula>
    </cfRule>
    <cfRule type="cellIs" dxfId="108" priority="17" stopIfTrue="1" operator="equal">
      <formula>"FAIL"</formula>
    </cfRule>
  </conditionalFormatting>
  <conditionalFormatting sqref="L33">
    <cfRule type="cellIs" dxfId="107" priority="16" stopIfTrue="1" operator="equal">
      <formula>"PASS"</formula>
    </cfRule>
    <cfRule type="cellIs" dxfId="106" priority="15" stopIfTrue="1" operator="equal">
      <formula>"FAIL"</formula>
    </cfRule>
  </conditionalFormatting>
  <conditionalFormatting sqref="L35">
    <cfRule type="cellIs" dxfId="105" priority="14" stopIfTrue="1" operator="equal">
      <formula>"PASS"</formula>
    </cfRule>
    <cfRule type="cellIs" dxfId="104" priority="13" stopIfTrue="1" operator="equal">
      <formula>"FAIL"</formula>
    </cfRule>
  </conditionalFormatting>
  <conditionalFormatting sqref="L37">
    <cfRule type="cellIs" dxfId="103" priority="12" stopIfTrue="1" operator="equal">
      <formula>"PASS"</formula>
    </cfRule>
    <cfRule type="cellIs" dxfId="102" priority="11" stopIfTrue="1" operator="equal">
      <formula>"FAIL"</formula>
    </cfRule>
  </conditionalFormatting>
  <conditionalFormatting sqref="L39">
    <cfRule type="cellIs" dxfId="101" priority="10" stopIfTrue="1" operator="equal">
      <formula>"PASS"</formula>
    </cfRule>
    <cfRule type="cellIs" dxfId="100" priority="9" stopIfTrue="1" operator="equal">
      <formula>"FAIL"</formula>
    </cfRule>
  </conditionalFormatting>
  <conditionalFormatting sqref="L41">
    <cfRule type="cellIs" dxfId="99" priority="8" stopIfTrue="1" operator="equal">
      <formula>"PASS"</formula>
    </cfRule>
    <cfRule type="cellIs" dxfId="98" priority="7" stopIfTrue="1" operator="equal">
      <formula>"FAIL"</formula>
    </cfRule>
  </conditionalFormatting>
  <conditionalFormatting sqref="L43">
    <cfRule type="cellIs" dxfId="97" priority="6" stopIfTrue="1" operator="equal">
      <formula>"PASS"</formula>
    </cfRule>
    <cfRule type="cellIs" dxfId="96" priority="5" stopIfTrue="1" operator="equal">
      <formula>"FAIL"</formula>
    </cfRule>
  </conditionalFormatting>
  <conditionalFormatting sqref="L45">
    <cfRule type="cellIs" dxfId="95" priority="4" stopIfTrue="1" operator="equal">
      <formula>"PASS"</formula>
    </cfRule>
    <cfRule type="cellIs" dxfId="94" priority="3" stopIfTrue="1" operator="equal">
      <formula>"FAIL"</formula>
    </cfRule>
  </conditionalFormatting>
  <conditionalFormatting sqref="L49:L51 L57:L63">
    <cfRule type="cellIs" dxfId="93" priority="45" stopIfTrue="1" operator="equal">
      <formula>"FAIL"</formula>
    </cfRule>
    <cfRule type="cellIs" dxfId="92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665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7E6F67-BF24-4C43-A9E0-2EBD50FD8167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2229-BBCA-44E5-B51C-9020ADDC256A}">
  <dimension ref="A1:M124"/>
  <sheetViews>
    <sheetView zoomScale="85" zoomScaleNormal="85" zoomScaleSheetLayoutView="85" zoomScalePageLayoutView="54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97" t="s">
        <v>24</v>
      </c>
      <c r="E14" s="118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19"/>
      <c r="E15" s="121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97" t="s">
        <v>31</v>
      </c>
      <c r="E20" s="118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19"/>
      <c r="E21" s="121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97" t="s">
        <v>37</v>
      </c>
      <c r="E25" s="118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19"/>
      <c r="E26" s="121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5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5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91" priority="44" stopIfTrue="1" operator="equal">
      <formula>"PASS"</formula>
    </cfRule>
    <cfRule type="cellIs" dxfId="90" priority="43" stopIfTrue="1" operator="equal">
      <formula>"FAIL"</formula>
    </cfRule>
  </conditionalFormatting>
  <conditionalFormatting sqref="L3 L5">
    <cfRule type="cellIs" dxfId="89" priority="42" stopIfTrue="1" operator="equal">
      <formula>"PASS"</formula>
    </cfRule>
    <cfRule type="cellIs" dxfId="88" priority="41" stopIfTrue="1" operator="equal">
      <formula>"FAIL"</formula>
    </cfRule>
  </conditionalFormatting>
  <conditionalFormatting sqref="L7">
    <cfRule type="cellIs" dxfId="87" priority="1" stopIfTrue="1" operator="equal">
      <formula>"FAIL"</formula>
    </cfRule>
    <cfRule type="cellIs" dxfId="86" priority="2" stopIfTrue="1" operator="equal">
      <formula>"PASS"</formula>
    </cfRule>
  </conditionalFormatting>
  <conditionalFormatting sqref="L9">
    <cfRule type="cellIs" dxfId="85" priority="40" stopIfTrue="1" operator="equal">
      <formula>"PASS"</formula>
    </cfRule>
    <cfRule type="cellIs" dxfId="84" priority="39" stopIfTrue="1" operator="equal">
      <formula>"FAIL"</formula>
    </cfRule>
  </conditionalFormatting>
  <conditionalFormatting sqref="L11">
    <cfRule type="cellIs" dxfId="83" priority="38" stopIfTrue="1" operator="equal">
      <formula>"PASS"</formula>
    </cfRule>
    <cfRule type="cellIs" dxfId="82" priority="37" stopIfTrue="1" operator="equal">
      <formula>"FAIL"</formula>
    </cfRule>
  </conditionalFormatting>
  <conditionalFormatting sqref="L13">
    <cfRule type="cellIs" dxfId="81" priority="36" stopIfTrue="1" operator="equal">
      <formula>"PASS"</formula>
    </cfRule>
    <cfRule type="cellIs" dxfId="80" priority="35" stopIfTrue="1" operator="equal">
      <formula>"FAIL"</formula>
    </cfRule>
  </conditionalFormatting>
  <conditionalFormatting sqref="L15">
    <cfRule type="cellIs" dxfId="79" priority="34" stopIfTrue="1" operator="equal">
      <formula>"PASS"</formula>
    </cfRule>
    <cfRule type="cellIs" dxfId="78" priority="33" stopIfTrue="1" operator="equal">
      <formula>"FAIL"</formula>
    </cfRule>
  </conditionalFormatting>
  <conditionalFormatting sqref="L17">
    <cfRule type="cellIs" dxfId="77" priority="32" stopIfTrue="1" operator="equal">
      <formula>"PASS"</formula>
    </cfRule>
    <cfRule type="cellIs" dxfId="76" priority="31" stopIfTrue="1" operator="equal">
      <formula>"FAIL"</formula>
    </cfRule>
  </conditionalFormatting>
  <conditionalFormatting sqref="L19">
    <cfRule type="cellIs" dxfId="75" priority="30" stopIfTrue="1" operator="equal">
      <formula>"PASS"</formula>
    </cfRule>
    <cfRule type="cellIs" dxfId="74" priority="29" stopIfTrue="1" operator="equal">
      <formula>"FAIL"</formula>
    </cfRule>
  </conditionalFormatting>
  <conditionalFormatting sqref="L21">
    <cfRule type="cellIs" dxfId="73" priority="28" stopIfTrue="1" operator="equal">
      <formula>"PASS"</formula>
    </cfRule>
    <cfRule type="cellIs" dxfId="72" priority="27" stopIfTrue="1" operator="equal">
      <formula>"FAIL"</formula>
    </cfRule>
  </conditionalFormatting>
  <conditionalFormatting sqref="L23">
    <cfRule type="cellIs" dxfId="71" priority="26" stopIfTrue="1" operator="equal">
      <formula>"PASS"</formula>
    </cfRule>
    <cfRule type="cellIs" dxfId="70" priority="25" stopIfTrue="1" operator="equal">
      <formula>"FAIL"</formula>
    </cfRule>
  </conditionalFormatting>
  <conditionalFormatting sqref="L25">
    <cfRule type="cellIs" dxfId="69" priority="24" stopIfTrue="1" operator="equal">
      <formula>"PASS"</formula>
    </cfRule>
    <cfRule type="cellIs" dxfId="68" priority="23" stopIfTrue="1" operator="equal">
      <formula>"FAIL"</formula>
    </cfRule>
  </conditionalFormatting>
  <conditionalFormatting sqref="L27">
    <cfRule type="cellIs" dxfId="67" priority="22" stopIfTrue="1" operator="equal">
      <formula>"PASS"</formula>
    </cfRule>
    <cfRule type="cellIs" dxfId="66" priority="21" stopIfTrue="1" operator="equal">
      <formula>"FAIL"</formula>
    </cfRule>
  </conditionalFormatting>
  <conditionalFormatting sqref="L29">
    <cfRule type="cellIs" dxfId="65" priority="20" stopIfTrue="1" operator="equal">
      <formula>"PASS"</formula>
    </cfRule>
    <cfRule type="cellIs" dxfId="64" priority="19" stopIfTrue="1" operator="equal">
      <formula>"FAIL"</formula>
    </cfRule>
  </conditionalFormatting>
  <conditionalFormatting sqref="L31">
    <cfRule type="cellIs" dxfId="63" priority="18" stopIfTrue="1" operator="equal">
      <formula>"PASS"</formula>
    </cfRule>
    <cfRule type="cellIs" dxfId="62" priority="17" stopIfTrue="1" operator="equal">
      <formula>"FAIL"</formula>
    </cfRule>
  </conditionalFormatting>
  <conditionalFormatting sqref="L33">
    <cfRule type="cellIs" dxfId="61" priority="16" stopIfTrue="1" operator="equal">
      <formula>"PASS"</formula>
    </cfRule>
    <cfRule type="cellIs" dxfId="60" priority="15" stopIfTrue="1" operator="equal">
      <formula>"FAIL"</formula>
    </cfRule>
  </conditionalFormatting>
  <conditionalFormatting sqref="L35">
    <cfRule type="cellIs" dxfId="59" priority="14" stopIfTrue="1" operator="equal">
      <formula>"PASS"</formula>
    </cfRule>
    <cfRule type="cellIs" dxfId="58" priority="13" stopIfTrue="1" operator="equal">
      <formula>"FAIL"</formula>
    </cfRule>
  </conditionalFormatting>
  <conditionalFormatting sqref="L37">
    <cfRule type="cellIs" dxfId="57" priority="12" stopIfTrue="1" operator="equal">
      <formula>"PASS"</formula>
    </cfRule>
    <cfRule type="cellIs" dxfId="56" priority="11" stopIfTrue="1" operator="equal">
      <formula>"FAIL"</formula>
    </cfRule>
  </conditionalFormatting>
  <conditionalFormatting sqref="L39">
    <cfRule type="cellIs" dxfId="55" priority="10" stopIfTrue="1" operator="equal">
      <formula>"PASS"</formula>
    </cfRule>
    <cfRule type="cellIs" dxfId="54" priority="9" stopIfTrue="1" operator="equal">
      <formula>"FAIL"</formula>
    </cfRule>
  </conditionalFormatting>
  <conditionalFormatting sqref="L41">
    <cfRule type="cellIs" dxfId="53" priority="8" stopIfTrue="1" operator="equal">
      <formula>"PASS"</formula>
    </cfRule>
    <cfRule type="cellIs" dxfId="52" priority="7" stopIfTrue="1" operator="equal">
      <formula>"FAIL"</formula>
    </cfRule>
  </conditionalFormatting>
  <conditionalFormatting sqref="L43">
    <cfRule type="cellIs" dxfId="51" priority="6" stopIfTrue="1" operator="equal">
      <formula>"PASS"</formula>
    </cfRule>
    <cfRule type="cellIs" dxfId="50" priority="5" stopIfTrue="1" operator="equal">
      <formula>"FAIL"</formula>
    </cfRule>
  </conditionalFormatting>
  <conditionalFormatting sqref="L45">
    <cfRule type="cellIs" dxfId="49" priority="4" stopIfTrue="1" operator="equal">
      <formula>"PASS"</formula>
    </cfRule>
    <cfRule type="cellIs" dxfId="48" priority="3" stopIfTrue="1" operator="equal">
      <formula>"FAIL"</formula>
    </cfRule>
  </conditionalFormatting>
  <conditionalFormatting sqref="L49:L51 L57:L63">
    <cfRule type="cellIs" dxfId="47" priority="45" stopIfTrue="1" operator="equal">
      <formula>"FAIL"</formula>
    </cfRule>
    <cfRule type="cellIs" dxfId="46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689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AE16F3-2220-4B62-B285-DB4FAF5A3C16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2A65-C56E-4164-A7F2-AE882F91162B}">
  <dimension ref="A1:M124"/>
  <sheetViews>
    <sheetView zoomScale="85" zoomScaleNormal="85" zoomScaleSheetLayoutView="85" zoomScalePageLayoutView="58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5" width="9.1640625" style="12" customWidth="1"/>
    <col min="16" max="16384" width="9.1640625" style="12"/>
  </cols>
  <sheetData>
    <row r="1" spans="1:13" s="9" customFormat="1" ht="13.75" customHeight="1" x14ac:dyDescent="0.15">
      <c r="A1" s="1"/>
      <c r="B1" s="95" t="s">
        <v>0</v>
      </c>
      <c r="C1" s="127"/>
      <c r="D1" s="95" t="s">
        <v>1</v>
      </c>
      <c r="E1" s="128"/>
      <c r="F1" s="35" t="s">
        <v>2</v>
      </c>
      <c r="G1" s="43"/>
      <c r="H1" s="80" t="s">
        <v>3</v>
      </c>
      <c r="I1" s="84" t="s">
        <v>4</v>
      </c>
      <c r="J1" s="84" t="s">
        <v>5</v>
      </c>
      <c r="K1" s="84" t="s">
        <v>6</v>
      </c>
      <c r="L1" s="108" t="s">
        <v>7</v>
      </c>
      <c r="M1" s="82" t="s">
        <v>8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 t="str">
        <f>IF('Datasheet (1)'!D2:E3="","",'Datasheet (1)'!D2:E3)</f>
        <v>1001506046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50</v>
      </c>
      <c r="I3" s="75" t="s">
        <v>50</v>
      </c>
      <c r="J3" s="75" t="s">
        <v>50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10</v>
      </c>
      <c r="C5" s="96"/>
      <c r="D5" s="160" t="s">
        <v>11</v>
      </c>
      <c r="E5" s="161"/>
      <c r="F5" s="161"/>
      <c r="G5" s="44"/>
      <c r="H5" s="72" t="s">
        <v>50</v>
      </c>
      <c r="I5" s="66" t="s">
        <v>50</v>
      </c>
      <c r="J5" s="66" t="s">
        <v>50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92303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50</v>
      </c>
      <c r="I7" s="66" t="s">
        <v>50</v>
      </c>
      <c r="J7" s="66" t="s">
        <v>50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14</v>
      </c>
      <c r="C9" s="96"/>
      <c r="D9" s="95" t="s">
        <v>15</v>
      </c>
      <c r="E9" s="96"/>
      <c r="F9" s="39" t="s">
        <v>16</v>
      </c>
      <c r="G9" s="29"/>
      <c r="H9" s="72" t="s">
        <v>50</v>
      </c>
      <c r="I9" s="66" t="s">
        <v>50</v>
      </c>
      <c r="J9" s="66" t="s">
        <v>50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50</v>
      </c>
      <c r="I11" s="66" t="s">
        <v>50</v>
      </c>
      <c r="J11" s="66" t="s">
        <v>50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20</v>
      </c>
      <c r="C13" s="96"/>
      <c r="D13" s="95" t="s">
        <v>21</v>
      </c>
      <c r="E13" s="96"/>
      <c r="F13" s="23"/>
      <c r="G13" s="29"/>
      <c r="H13" s="72" t="s">
        <v>50</v>
      </c>
      <c r="I13" s="66" t="s">
        <v>50</v>
      </c>
      <c r="J13" s="66" t="s">
        <v>50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23</v>
      </c>
      <c r="C14" s="98"/>
      <c r="D14" s="97" t="s">
        <v>24</v>
      </c>
      <c r="E14" s="118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19"/>
      <c r="E15" s="121"/>
      <c r="F15" s="29"/>
      <c r="G15" s="29"/>
      <c r="H15" s="72" t="s">
        <v>50</v>
      </c>
      <c r="I15" s="75" t="s">
        <v>50</v>
      </c>
      <c r="J15" s="66" t="s">
        <v>50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50</v>
      </c>
      <c r="I17" s="66" t="s">
        <v>50</v>
      </c>
      <c r="J17" s="66" t="s">
        <v>50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27</v>
      </c>
      <c r="C19" s="127"/>
      <c r="D19" s="95" t="s">
        <v>28</v>
      </c>
      <c r="E19" s="127"/>
      <c r="F19" s="29"/>
      <c r="G19" s="29"/>
      <c r="H19" s="72" t="s">
        <v>50</v>
      </c>
      <c r="I19" s="66" t="s">
        <v>50</v>
      </c>
      <c r="J19" s="66" t="s">
        <v>50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30</v>
      </c>
      <c r="C20" s="118"/>
      <c r="D20" s="97" t="s">
        <v>31</v>
      </c>
      <c r="E20" s="118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19"/>
      <c r="E21" s="121"/>
      <c r="F21" s="29"/>
      <c r="G21" s="29"/>
      <c r="H21" s="72" t="s">
        <v>50</v>
      </c>
      <c r="I21" s="66" t="s">
        <v>50</v>
      </c>
      <c r="J21" s="66" t="s">
        <v>50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50</v>
      </c>
      <c r="I23" s="66" t="s">
        <v>50</v>
      </c>
      <c r="J23" s="66" t="s">
        <v>50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34</v>
      </c>
      <c r="C24" s="96"/>
      <c r="D24" s="95" t="s">
        <v>35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36</v>
      </c>
      <c r="C25" s="118"/>
      <c r="D25" s="97" t="s">
        <v>37</v>
      </c>
      <c r="E25" s="118"/>
      <c r="F25" s="29"/>
      <c r="G25" s="29"/>
      <c r="H25" s="72" t="s">
        <v>50</v>
      </c>
      <c r="I25" s="66" t="s">
        <v>50</v>
      </c>
      <c r="J25" s="66" t="s">
        <v>50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19"/>
      <c r="E26" s="121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50</v>
      </c>
      <c r="I27" s="75" t="s">
        <v>50</v>
      </c>
      <c r="J27" s="66" t="s">
        <v>50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40</v>
      </c>
      <c r="C29" s="41"/>
      <c r="D29" s="40"/>
      <c r="E29" s="41"/>
      <c r="H29" s="72" t="s">
        <v>50</v>
      </c>
      <c r="I29" s="66" t="s">
        <v>50</v>
      </c>
      <c r="J29" s="66" t="s">
        <v>50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50</v>
      </c>
      <c r="I31" s="66" t="s">
        <v>50</v>
      </c>
      <c r="J31" s="66" t="s">
        <v>50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50</v>
      </c>
      <c r="I33" s="66" t="s">
        <v>50</v>
      </c>
      <c r="J33" s="66" t="s">
        <v>50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50</v>
      </c>
      <c r="I35" s="66" t="s">
        <v>50</v>
      </c>
      <c r="J35" s="66" t="s">
        <v>50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50</v>
      </c>
      <c r="I37" s="66" t="s">
        <v>50</v>
      </c>
      <c r="J37" s="66" t="s">
        <v>50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50</v>
      </c>
      <c r="I39" s="66" t="s">
        <v>50</v>
      </c>
      <c r="J39" s="66" t="s">
        <v>50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50</v>
      </c>
      <c r="I41" s="66" t="s">
        <v>50</v>
      </c>
      <c r="J41" s="66" t="s">
        <v>50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48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50</v>
      </c>
      <c r="I43" s="75" t="s">
        <v>50</v>
      </c>
      <c r="J43" s="75" t="s">
        <v>50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50</v>
      </c>
      <c r="I45" s="66" t="s">
        <v>50</v>
      </c>
      <c r="J45" s="66" t="s">
        <v>50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51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53</v>
      </c>
      <c r="C50" s="129"/>
      <c r="D50" s="129"/>
      <c r="E50" s="129"/>
      <c r="F50" s="129"/>
      <c r="G50" s="16"/>
      <c r="H50" s="129"/>
      <c r="I50" s="129"/>
      <c r="J50" s="130"/>
      <c r="K50" s="129" t="s">
        <v>54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55</v>
      </c>
      <c r="L51" s="79"/>
      <c r="M51" s="17" t="s">
        <v>56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50</v>
      </c>
      <c r="L52" s="114"/>
      <c r="M52" s="141" t="s">
        <v>50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50</v>
      </c>
      <c r="L54" s="116"/>
      <c r="M54" s="142" t="s">
        <v>50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50</v>
      </c>
      <c r="L56" s="166"/>
      <c r="M56" s="34" t="s">
        <v>50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7:F48"/>
    <mergeCell ref="B42:E42"/>
    <mergeCell ref="B43:E44"/>
    <mergeCell ref="H43:H44"/>
    <mergeCell ref="I43:I44"/>
    <mergeCell ref="J43:J44"/>
    <mergeCell ref="H41:H42"/>
    <mergeCell ref="I41:I42"/>
    <mergeCell ref="J41:J42"/>
    <mergeCell ref="H45:H46"/>
    <mergeCell ref="I45:I46"/>
    <mergeCell ref="J45:J46"/>
    <mergeCell ref="K45:K46"/>
    <mergeCell ref="L45:L46"/>
    <mergeCell ref="M45:M46"/>
    <mergeCell ref="K41:K42"/>
    <mergeCell ref="L41:L42"/>
    <mergeCell ref="M41:M42"/>
    <mergeCell ref="B46:F46"/>
    <mergeCell ref="L43:L44"/>
    <mergeCell ref="M43:M44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J1:J2"/>
    <mergeCell ref="K1:K2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</mergeCells>
  <conditionalFormatting sqref="F10">
    <cfRule type="cellIs" dxfId="45" priority="44" stopIfTrue="1" operator="equal">
      <formula>"PASS"</formula>
    </cfRule>
    <cfRule type="cellIs" dxfId="44" priority="43" stopIfTrue="1" operator="equal">
      <formula>"FAIL"</formula>
    </cfRule>
  </conditionalFormatting>
  <conditionalFormatting sqref="L3 L5">
    <cfRule type="cellIs" dxfId="43" priority="42" stopIfTrue="1" operator="equal">
      <formula>"PASS"</formula>
    </cfRule>
    <cfRule type="cellIs" dxfId="42" priority="41" stopIfTrue="1" operator="equal">
      <formula>"FAIL"</formula>
    </cfRule>
  </conditionalFormatting>
  <conditionalFormatting sqref="L7">
    <cfRule type="cellIs" dxfId="41" priority="1" stopIfTrue="1" operator="equal">
      <formula>"FAIL"</formula>
    </cfRule>
    <cfRule type="cellIs" dxfId="40" priority="2" stopIfTrue="1" operator="equal">
      <formula>"PASS"</formula>
    </cfRule>
  </conditionalFormatting>
  <conditionalFormatting sqref="L9">
    <cfRule type="cellIs" dxfId="39" priority="40" stopIfTrue="1" operator="equal">
      <formula>"PASS"</formula>
    </cfRule>
    <cfRule type="cellIs" dxfId="38" priority="39" stopIfTrue="1" operator="equal">
      <formula>"FAIL"</formula>
    </cfRule>
  </conditionalFormatting>
  <conditionalFormatting sqref="L11">
    <cfRule type="cellIs" dxfId="37" priority="38" stopIfTrue="1" operator="equal">
      <formula>"PASS"</formula>
    </cfRule>
    <cfRule type="cellIs" dxfId="36" priority="37" stopIfTrue="1" operator="equal">
      <formula>"FAIL"</formula>
    </cfRule>
  </conditionalFormatting>
  <conditionalFormatting sqref="L13">
    <cfRule type="cellIs" dxfId="35" priority="36" stopIfTrue="1" operator="equal">
      <formula>"PASS"</formula>
    </cfRule>
    <cfRule type="cellIs" dxfId="34" priority="35" stopIfTrue="1" operator="equal">
      <formula>"FAIL"</formula>
    </cfRule>
  </conditionalFormatting>
  <conditionalFormatting sqref="L15">
    <cfRule type="cellIs" dxfId="33" priority="34" stopIfTrue="1" operator="equal">
      <formula>"PASS"</formula>
    </cfRule>
    <cfRule type="cellIs" dxfId="32" priority="33" stopIfTrue="1" operator="equal">
      <formula>"FAIL"</formula>
    </cfRule>
  </conditionalFormatting>
  <conditionalFormatting sqref="L17">
    <cfRule type="cellIs" dxfId="31" priority="32" stopIfTrue="1" operator="equal">
      <formula>"PASS"</formula>
    </cfRule>
    <cfRule type="cellIs" dxfId="30" priority="31" stopIfTrue="1" operator="equal">
      <formula>"FAIL"</formula>
    </cfRule>
  </conditionalFormatting>
  <conditionalFormatting sqref="L19">
    <cfRule type="cellIs" dxfId="29" priority="30" stopIfTrue="1" operator="equal">
      <formula>"PASS"</formula>
    </cfRule>
    <cfRule type="cellIs" dxfId="28" priority="29" stopIfTrue="1" operator="equal">
      <formula>"FAIL"</formula>
    </cfRule>
  </conditionalFormatting>
  <conditionalFormatting sqref="L21">
    <cfRule type="cellIs" dxfId="27" priority="28" stopIfTrue="1" operator="equal">
      <formula>"PASS"</formula>
    </cfRule>
    <cfRule type="cellIs" dxfId="26" priority="27" stopIfTrue="1" operator="equal">
      <formula>"FAIL"</formula>
    </cfRule>
  </conditionalFormatting>
  <conditionalFormatting sqref="L23">
    <cfRule type="cellIs" dxfId="25" priority="26" stopIfTrue="1" operator="equal">
      <formula>"PASS"</formula>
    </cfRule>
    <cfRule type="cellIs" dxfId="24" priority="25" stopIfTrue="1" operator="equal">
      <formula>"FAIL"</formula>
    </cfRule>
  </conditionalFormatting>
  <conditionalFormatting sqref="L25">
    <cfRule type="cellIs" dxfId="23" priority="24" stopIfTrue="1" operator="equal">
      <formula>"PASS"</formula>
    </cfRule>
    <cfRule type="cellIs" dxfId="22" priority="23" stopIfTrue="1" operator="equal">
      <formula>"FAIL"</formula>
    </cfRule>
  </conditionalFormatting>
  <conditionalFormatting sqref="L27">
    <cfRule type="cellIs" dxfId="21" priority="22" stopIfTrue="1" operator="equal">
      <formula>"PASS"</formula>
    </cfRule>
    <cfRule type="cellIs" dxfId="20" priority="21" stopIfTrue="1" operator="equal">
      <formula>"FAIL"</formula>
    </cfRule>
  </conditionalFormatting>
  <conditionalFormatting sqref="L29">
    <cfRule type="cellIs" dxfId="19" priority="20" stopIfTrue="1" operator="equal">
      <formula>"PASS"</formula>
    </cfRule>
    <cfRule type="cellIs" dxfId="18" priority="19" stopIfTrue="1" operator="equal">
      <formula>"FAIL"</formula>
    </cfRule>
  </conditionalFormatting>
  <conditionalFormatting sqref="L31">
    <cfRule type="cellIs" dxfId="17" priority="18" stopIfTrue="1" operator="equal">
      <formula>"PASS"</formula>
    </cfRule>
    <cfRule type="cellIs" dxfId="16" priority="17" stopIfTrue="1" operator="equal">
      <formula>"FAIL"</formula>
    </cfRule>
  </conditionalFormatting>
  <conditionalFormatting sqref="L33">
    <cfRule type="cellIs" dxfId="15" priority="16" stopIfTrue="1" operator="equal">
      <formula>"PASS"</formula>
    </cfRule>
    <cfRule type="cellIs" dxfId="14" priority="15" stopIfTrue="1" operator="equal">
      <formula>"FAIL"</formula>
    </cfRule>
  </conditionalFormatting>
  <conditionalFormatting sqref="L35">
    <cfRule type="cellIs" dxfId="13" priority="14" stopIfTrue="1" operator="equal">
      <formula>"PASS"</formula>
    </cfRule>
    <cfRule type="cellIs" dxfId="12" priority="13" stopIfTrue="1" operator="equal">
      <formula>"FAIL"</formula>
    </cfRule>
  </conditionalFormatting>
  <conditionalFormatting sqref="L37">
    <cfRule type="cellIs" dxfId="11" priority="12" stopIfTrue="1" operator="equal">
      <formula>"PASS"</formula>
    </cfRule>
    <cfRule type="cellIs" dxfId="10" priority="11" stopIfTrue="1" operator="equal">
      <formula>"FAIL"</formula>
    </cfRule>
  </conditionalFormatting>
  <conditionalFormatting sqref="L39">
    <cfRule type="cellIs" dxfId="9" priority="10" stopIfTrue="1" operator="equal">
      <formula>"PASS"</formula>
    </cfRule>
    <cfRule type="cellIs" dxfId="8" priority="9" stopIfTrue="1" operator="equal">
      <formula>"FAIL"</formula>
    </cfRule>
  </conditionalFormatting>
  <conditionalFormatting sqref="L41">
    <cfRule type="cellIs" dxfId="7" priority="8" stopIfTrue="1" operator="equal">
      <formula>"PASS"</formula>
    </cfRule>
    <cfRule type="cellIs" dxfId="6" priority="7" stopIfTrue="1" operator="equal">
      <formula>"FAIL"</formula>
    </cfRule>
  </conditionalFormatting>
  <conditionalFormatting sqref="L43">
    <cfRule type="cellIs" dxfId="5" priority="6" stopIfTrue="1" operator="equal">
      <formula>"PASS"</formula>
    </cfRule>
    <cfRule type="cellIs" dxfId="4" priority="5" stopIfTrue="1" operator="equal">
      <formula>"FAIL"</formula>
    </cfRule>
  </conditionalFormatting>
  <conditionalFormatting sqref="L45">
    <cfRule type="cellIs" dxfId="3" priority="4" stopIfTrue="1" operator="equal">
      <formula>"PASS"</formula>
    </cfRule>
    <cfRule type="cellIs" dxfId="2" priority="3" stopIfTrue="1" operator="equal">
      <formula>"FAIL"</formula>
    </cfRule>
  </conditionalFormatting>
  <conditionalFormatting sqref="L49:L51 L57:L63">
    <cfRule type="cellIs" dxfId="1" priority="45" stopIfTrue="1" operator="equal">
      <formula>"FAIL"</formula>
    </cfRule>
    <cfRule type="cellIs" dxfId="0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713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FA3A65-4DBA-4897-BE9A-8AD315D38931}">
          <x14:formula1>
            <xm:f>'Worksheet Instructions'!H$16:H$29</xm:f>
          </x14:formula1>
          <xm:sqref>M3:M46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C510EB6780A44BB1530580E8E838EC" ma:contentTypeVersion="16" ma:contentTypeDescription="Create a new document." ma:contentTypeScope="" ma:versionID="ffd75db95debb6bbf273913cd7566f3e">
  <xsd:schema xmlns:xsd="http://www.w3.org/2001/XMLSchema" xmlns:xs="http://www.w3.org/2001/XMLSchema" xmlns:p="http://schemas.microsoft.com/office/2006/metadata/properties" xmlns:ns2="d1a0d1cf-7e35-49be-9c83-f4affe26c6c2" xmlns:ns3="e15fa103-10f9-44e8-84b9-0adc7421dd47" targetNamespace="http://schemas.microsoft.com/office/2006/metadata/properties" ma:root="true" ma:fieldsID="4705031414594bc05cdca7487cd2721d" ns2:_="" ns3:_="">
    <xsd:import namespace="d1a0d1cf-7e35-49be-9c83-f4affe26c6c2"/>
    <xsd:import namespace="e15fa103-10f9-44e8-84b9-0adc7421d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0d1cf-7e35-49be-9c83-f4affe26c6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93bb2c-950b-4672-b623-c5bc4517d6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fa103-10f9-44e8-84b9-0adc7421dd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a8f18f5-cadb-450a-95c8-3723c9582ace}" ma:internalName="TaxCatchAll" ma:showField="CatchAllData" ma:web="e15fa103-10f9-44e8-84b9-0adc7421d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15fa103-10f9-44e8-84b9-0adc7421dd47">
      <UserInfo>
        <DisplayName/>
        <AccountId xsi:nil="true"/>
        <AccountType/>
      </UserInfo>
    </SharedWithUsers>
    <lcf76f155ced4ddcb4097134ff3c332f xmlns="d1a0d1cf-7e35-49be-9c83-f4affe26c6c2">
      <Terms xmlns="http://schemas.microsoft.com/office/infopath/2007/PartnerControls"/>
    </lcf76f155ced4ddcb4097134ff3c332f>
    <TaxCatchAll xmlns="e15fa103-10f9-44e8-84b9-0adc7421dd4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84E79F-FA06-4110-94FD-E35BC2EC6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0d1cf-7e35-49be-9c83-f4affe26c6c2"/>
    <ds:schemaRef ds:uri="e15fa103-10f9-44e8-84b9-0adc7421d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06E079-1759-4F2E-BF51-78B62E8BEAB3}">
  <ds:schemaRefs>
    <ds:schemaRef ds:uri="e15fa103-10f9-44e8-84b9-0adc7421dd47"/>
    <ds:schemaRef ds:uri="d1a0d1cf-7e35-49be-9c83-f4affe26c6c2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A009767-8E54-4A91-B2B7-157CD17DC1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14</vt:i4>
      </vt:variant>
      <vt:variant>
        <vt:lpstr>Namngivna områden</vt:lpstr>
      </vt:variant>
      <vt:variant>
        <vt:i4>15</vt:i4>
      </vt:variant>
    </vt:vector>
  </HeadingPairs>
  <TitlesOfParts>
    <vt:vector size="29" baseType="lpstr">
      <vt:lpstr>Worksheet Instructions</vt:lpstr>
      <vt:lpstr>Datasheet (1)</vt:lpstr>
      <vt:lpstr>Datasheet (2)</vt:lpstr>
      <vt:lpstr>Datasheet (3)</vt:lpstr>
      <vt:lpstr>Datasheet (4)</vt:lpstr>
      <vt:lpstr>Datasheet (5)</vt:lpstr>
      <vt:lpstr>Datasheet (6)</vt:lpstr>
      <vt:lpstr>Datasheet (7)</vt:lpstr>
      <vt:lpstr>Datasheet (8)</vt:lpstr>
      <vt:lpstr>Datasheet (9)</vt:lpstr>
      <vt:lpstr>Datasheet (10)</vt:lpstr>
      <vt:lpstr>Replacement Cartridge (11)</vt:lpstr>
      <vt:lpstr>Replacement Cartridge (12)</vt:lpstr>
      <vt:lpstr>Replacement Cartridge (13)</vt:lpstr>
      <vt:lpstr>'Worksheet Instructions'!ROBAL</vt:lpstr>
      <vt:lpstr>'Datasheet (1)'!Utskriftsområde</vt:lpstr>
      <vt:lpstr>'Datasheet (10)'!Utskriftsområde</vt:lpstr>
      <vt:lpstr>'Datasheet (2)'!Utskriftsområde</vt:lpstr>
      <vt:lpstr>'Datasheet (3)'!Utskriftsområde</vt:lpstr>
      <vt:lpstr>'Datasheet (4)'!Utskriftsområde</vt:lpstr>
      <vt:lpstr>'Datasheet (5)'!Utskriftsområde</vt:lpstr>
      <vt:lpstr>'Datasheet (6)'!Utskriftsområde</vt:lpstr>
      <vt:lpstr>'Datasheet (7)'!Utskriftsområde</vt:lpstr>
      <vt:lpstr>'Datasheet (8)'!Utskriftsområde</vt:lpstr>
      <vt:lpstr>'Datasheet (9)'!Utskriftsområde</vt:lpstr>
      <vt:lpstr>'Replacement Cartridge (11)'!Utskriftsområde</vt:lpstr>
      <vt:lpstr>'Replacement Cartridge (12)'!Utskriftsområde</vt:lpstr>
      <vt:lpstr>'Replacement Cartridge (13)'!Utskriftsområde</vt:lpstr>
      <vt:lpstr>'Worksheet Instructions'!Utskriftsområde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Jesper Fredriksson (elev)</cp:lastModifiedBy>
  <cp:lastPrinted>2025-03-21T16:46:49Z</cp:lastPrinted>
  <dcterms:created xsi:type="dcterms:W3CDTF">2007-08-16T23:06:11Z</dcterms:created>
  <dcterms:modified xsi:type="dcterms:W3CDTF">2026-01-03T13:30:21Z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0x010100D6C510EB6780A44BB1530580E8E838EC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MSIP_Label_631ef649-45d3-4e5d-80df-d43468de9a5e_Enabled">
    <vt:lpwstr>true</vt:lpwstr>
  </property>
  <property fmtid="{D5CDD505-2E9C-101B-9397-08002B2CF9AE}" pid="6" name="MSIP_Label_631ef649-45d3-4e5d-80df-d43468de9a5e_SetDate">
    <vt:lpwstr>2025-11-26T16:02:42Z</vt:lpwstr>
  </property>
  <property fmtid="{D5CDD505-2E9C-101B-9397-08002B2CF9AE}" pid="7" name="MSIP_Label_631ef649-45d3-4e5d-80df-d43468de9a5e_Method">
    <vt:lpwstr>Privileged</vt:lpwstr>
  </property>
  <property fmtid="{D5CDD505-2E9C-101B-9397-08002B2CF9AE}" pid="8" name="MSIP_Label_631ef649-45d3-4e5d-80df-d43468de9a5e_Name">
    <vt:lpwstr>Unclassified</vt:lpwstr>
  </property>
  <property fmtid="{D5CDD505-2E9C-101B-9397-08002B2CF9AE}" pid="9" name="MSIP_Label_631ef649-45d3-4e5d-80df-d43468de9a5e_SiteId">
    <vt:lpwstr>771c9c47-7f24-44dc-958e-34f8713a8394</vt:lpwstr>
  </property>
  <property fmtid="{D5CDD505-2E9C-101B-9397-08002B2CF9AE}" pid="10" name="MSIP_Label_631ef649-45d3-4e5d-80df-d43468de9a5e_ActionId">
    <vt:lpwstr>19bd63e0-2fb2-4540-a60b-6f3f4f0c3b2f</vt:lpwstr>
  </property>
  <property fmtid="{D5CDD505-2E9C-101B-9397-08002B2CF9AE}" pid="11" name="MSIP_Label_631ef649-45d3-4e5d-80df-d43468de9a5e_ContentBits">
    <vt:lpwstr>0</vt:lpwstr>
  </property>
  <property fmtid="{D5CDD505-2E9C-101B-9397-08002B2CF9AE}" pid="12" name="MSIP_Label_631ef649-45d3-4e5d-80df-d43468de9a5e_Tag">
    <vt:lpwstr>10, 0, 1, 1</vt:lpwstr>
  </property>
</Properties>
</file>