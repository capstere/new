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updateLinks="never" defaultThemeVersion="124226"/>
  <mc:AlternateContent xmlns:mc="http://schemas.openxmlformats.org/markup-compatibility/2006">
    <mc:Choice Requires="x15">
      <x15ac:absPath xmlns:x15ac="http://schemas.microsoft.com/office/spreadsheetml/2010/11/ac" url="/Users/jesperfredriksson/Desktop/Main/ALLT100p/GXMTB RIF-ULTRA/testning/"/>
    </mc:Choice>
  </mc:AlternateContent>
  <xr:revisionPtr revIDLastSave="0" documentId="13_ncr:1_{5D29DDB7-F368-7C4A-862B-5C4B2E6620D8}" xr6:coauthVersionLast="47" xr6:coauthVersionMax="47" xr10:uidLastSave="{00000000-0000-0000-0000-000000000000}"/>
  <workbookProtection lockStructure="1"/>
  <bookViews>
    <workbookView xWindow="1900" yWindow="1120" windowWidth="21600" windowHeight="11240" tabRatio="928" activeTab="1" xr2:uid="{00000000-000D-0000-FFFF-FFFF00000000}"/>
  </bookViews>
  <sheets>
    <sheet name="Intended Use" sheetId="9" r:id="rId1"/>
    <sheet name="Test Summary" sheetId="21" r:id="rId2"/>
    <sheet name="Vacuum Seal Data" sheetId="38" r:id="rId3"/>
    <sheet name="Data Summary" sheetId="20" r:id="rId4"/>
    <sheet name="Mean Ct Evaluation" sheetId="30" r:id="rId5"/>
    <sheet name="Data - First 10" sheetId="18" r:id="rId6"/>
    <sheet name="Data - Sample Type 0" sheetId="14" r:id="rId7"/>
    <sheet name="Data - Sample Type 1" sheetId="16" r:id="rId8"/>
    <sheet name="Data - Sample Type 2" sheetId="31" r:id="rId9"/>
    <sheet name="Data - Replaced" sheetId="15" r:id="rId10"/>
    <sheet name="Statistical Process Control" sheetId="29" r:id="rId11"/>
    <sheet name="Resample Data Summary" sheetId="33" r:id="rId12"/>
    <sheet name="Resample Mean Ct Evaluation" sheetId="34" r:id="rId13"/>
    <sheet name="Data - Resample Replaced" sheetId="35" r:id="rId14"/>
    <sheet name="Specifications" sheetId="12" r:id="rId15"/>
    <sheet name="HistoricalAccuStats" sheetId="28" r:id="rId16"/>
    <sheet name="For Reference Only" sheetId="22" r:id="rId17"/>
  </sheets>
  <externalReferences>
    <externalReference r:id="rId18"/>
    <externalReference r:id="rId19"/>
    <externalReference r:id="rId20"/>
    <externalReference r:id="rId21"/>
    <externalReference r:id="rId22"/>
  </externalReferences>
  <definedNames>
    <definedName name="_xlnm._FilterDatabase" localSheetId="14" hidden="1">Specifications!$A$4:$A$6</definedName>
    <definedName name="codes">Specifications!$A$4:$A$5</definedName>
    <definedName name="list" localSheetId="15">[1]Specifications!$A$11:$A$13</definedName>
    <definedName name="list" localSheetId="10">[1]Specifications!$A$11:$A$13</definedName>
    <definedName name="list" localSheetId="2">[2]Specifications!$A$11:$A$13</definedName>
    <definedName name="list">Specifications!$A$11:$A$25</definedName>
    <definedName name="NAcheck">'[3]Reference - DO NOT PRINT'!$B$27:$B$29</definedName>
    <definedName name="NALFI">'[3]Reference - DO NOT PRINT'!$B$32:$B$34</definedName>
    <definedName name="NANCR">'[4]Reference - DO NOT PRINT'!$B$6:$B$8</definedName>
    <definedName name="NPR">'[3]Reference - DO NOT PRINT'!$B$51:$B$53</definedName>
    <definedName name="passfail">'[3]Reference - DO NOT PRINT'!$B$2:$B$4</definedName>
    <definedName name="pm">'[3]Reference - DO NOT PRINT'!$B$41:$B$43</definedName>
    <definedName name="PRF">'[3]Reference - DO NOT PRINT'!$B$36:$B$39</definedName>
    <definedName name="STcheck">'[3]Reference - DO NOT PRINT'!$B$46:$B$48</definedName>
    <definedName name="_xlnm.Print_Area" localSheetId="3">'Data Summary'!$A$1:$E$339</definedName>
    <definedName name="_xlnm.Print_Area" localSheetId="0">'Intended Use'!$A$1:$AA$477</definedName>
    <definedName name="_xlnm.Print_Area" localSheetId="4">'Mean Ct Evaluation'!$A$1:$AO$106</definedName>
    <definedName name="_xlnm.Print_Area" localSheetId="11">'Resample Data Summary'!$A$1:$E$339</definedName>
    <definedName name="_xlnm.Print_Area" localSheetId="12">'Resample Mean Ct Evaluation'!$A$2:$AJ$106</definedName>
    <definedName name="_xlnm.Print_Area" localSheetId="10">'Statistical Process Control'!$A$1:$M$43</definedName>
    <definedName name="_xlnm.Print_Titles" localSheetId="5">'Data - First 10'!$1:$1</definedName>
    <definedName name="_xlnm.Print_Titles" localSheetId="9">'Data - Replaced'!$1:$1</definedName>
    <definedName name="_xlnm.Print_Titles" localSheetId="13">'Data - Resample Replaced'!$1:$1</definedName>
    <definedName name="_xlnm.Print_Titles" localSheetId="6">'Data - Sample Type 0'!$1:$1</definedName>
    <definedName name="_xlnm.Print_Titles" localSheetId="7">'Data - Sample Type 1'!$1:$1</definedName>
    <definedName name="_xlnm.Print_Titles" localSheetId="8">'Data - Sample Type 2'!$1:$1</definedName>
    <definedName name="_xlnm.Print_Titles" localSheetId="3">'Data Summary'!$9:$9</definedName>
    <definedName name="_xlnm.Print_Titles" localSheetId="11">'Resample Data Summary'!$9:$9</definedName>
    <definedName name="yn">'[3]Reference - DO NOT PRINT'!$B$10:$B$13</definedName>
    <definedName name="ynrsr">'[3]Reference - DO NOT PRINT'!$B$16:$B$19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4" i="20" l="1"/>
  <c r="B240" i="20"/>
  <c r="B241" i="20"/>
  <c r="B242" i="20"/>
  <c r="B243" i="20"/>
  <c r="A240" i="20"/>
  <c r="A241" i="20"/>
  <c r="A242" i="20"/>
  <c r="A243" i="20"/>
  <c r="A244" i="20"/>
  <c r="C238" i="20"/>
  <c r="C3" i="28" l="1"/>
  <c r="F3" i="28" s="1"/>
  <c r="C2" i="28"/>
  <c r="E74" i="34"/>
  <c r="E69" i="34"/>
  <c r="R60" i="34"/>
  <c r="E60" i="34"/>
  <c r="E54" i="34"/>
  <c r="R46" i="34"/>
  <c r="M38" i="34"/>
  <c r="E36" i="34"/>
  <c r="C29" i="34"/>
  <c r="C27" i="34"/>
  <c r="C24" i="34"/>
  <c r="E23" i="34"/>
  <c r="AA22" i="34"/>
  <c r="N21" i="34"/>
  <c r="Z20" i="34"/>
  <c r="W20" i="34"/>
  <c r="M19" i="34"/>
  <c r="AI18" i="34"/>
  <c r="AG18" i="34"/>
  <c r="AE18" i="34"/>
  <c r="AC18" i="34"/>
  <c r="W18" i="34"/>
  <c r="P18" i="34"/>
  <c r="AH17" i="34"/>
  <c r="AD17" i="34"/>
  <c r="Z17" i="34"/>
  <c r="W16" i="34"/>
  <c r="AB14" i="34"/>
  <c r="Z14" i="34"/>
  <c r="W14" i="34"/>
  <c r="R12" i="34"/>
  <c r="N12" i="34"/>
  <c r="AB11" i="34"/>
  <c r="Z11" i="34"/>
  <c r="W11" i="34"/>
  <c r="AD10" i="34"/>
  <c r="N10" i="34"/>
  <c r="AI8" i="34"/>
  <c r="AH8" i="34"/>
  <c r="AG8" i="34"/>
  <c r="AE8" i="34"/>
  <c r="AC8" i="34"/>
  <c r="AA8" i="34"/>
  <c r="Y8" i="34"/>
  <c r="X8" i="34"/>
  <c r="J6" i="34"/>
  <c r="E6" i="34"/>
  <c r="AB5" i="34"/>
  <c r="AA5" i="34"/>
  <c r="Z5" i="34"/>
  <c r="W4" i="34"/>
  <c r="AD3" i="34"/>
  <c r="M3" i="34"/>
  <c r="C3" i="34"/>
  <c r="D337" i="33"/>
  <c r="C337" i="33"/>
  <c r="B337" i="33"/>
  <c r="A337" i="33"/>
  <c r="D336" i="33"/>
  <c r="C336" i="33"/>
  <c r="B336" i="33"/>
  <c r="A336" i="33"/>
  <c r="D335" i="33"/>
  <c r="C335" i="33"/>
  <c r="B335" i="33"/>
  <c r="A335" i="33"/>
  <c r="D334" i="33"/>
  <c r="C334" i="33"/>
  <c r="B334" i="33"/>
  <c r="A334" i="33"/>
  <c r="D333" i="33"/>
  <c r="C333" i="33"/>
  <c r="B333" i="33"/>
  <c r="A333" i="33"/>
  <c r="D332" i="33"/>
  <c r="C332" i="33"/>
  <c r="B332" i="33"/>
  <c r="A332" i="33"/>
  <c r="D331" i="33"/>
  <c r="C331" i="33"/>
  <c r="B331" i="33"/>
  <c r="A331" i="33"/>
  <c r="D330" i="33"/>
  <c r="C330" i="33"/>
  <c r="B330" i="33"/>
  <c r="A330" i="33"/>
  <c r="D329" i="33"/>
  <c r="C329" i="33"/>
  <c r="B329" i="33"/>
  <c r="A329" i="33"/>
  <c r="D328" i="33"/>
  <c r="C328" i="33"/>
  <c r="B328" i="33"/>
  <c r="A328" i="33"/>
  <c r="D327" i="33"/>
  <c r="C327" i="33"/>
  <c r="B327" i="33"/>
  <c r="A327" i="33"/>
  <c r="D326" i="33"/>
  <c r="C326" i="33"/>
  <c r="B326" i="33"/>
  <c r="A326" i="33"/>
  <c r="D325" i="33"/>
  <c r="C325" i="33"/>
  <c r="B325" i="33"/>
  <c r="A325" i="33"/>
  <c r="D324" i="33"/>
  <c r="C324" i="33"/>
  <c r="B324" i="33"/>
  <c r="A324" i="33"/>
  <c r="D323" i="33"/>
  <c r="C323" i="33"/>
  <c r="B323" i="33"/>
  <c r="A323" i="33"/>
  <c r="D322" i="33"/>
  <c r="C322" i="33"/>
  <c r="B322" i="33"/>
  <c r="A322" i="33"/>
  <c r="D321" i="33"/>
  <c r="C321" i="33"/>
  <c r="B321" i="33"/>
  <c r="A321" i="33"/>
  <c r="D320" i="33"/>
  <c r="C320" i="33"/>
  <c r="B320" i="33"/>
  <c r="A320" i="33"/>
  <c r="D319" i="33"/>
  <c r="C319" i="33"/>
  <c r="B319" i="33"/>
  <c r="A319" i="33"/>
  <c r="D318" i="33"/>
  <c r="C318" i="33"/>
  <c r="B318" i="33"/>
  <c r="A318" i="33"/>
  <c r="D317" i="33"/>
  <c r="C317" i="33"/>
  <c r="B317" i="33"/>
  <c r="A317" i="33"/>
  <c r="D316" i="33"/>
  <c r="C316" i="33"/>
  <c r="B316" i="33"/>
  <c r="A316" i="33"/>
  <c r="D315" i="33"/>
  <c r="C315" i="33"/>
  <c r="B315" i="33"/>
  <c r="A315" i="33"/>
  <c r="D314" i="33"/>
  <c r="C314" i="33"/>
  <c r="B314" i="33"/>
  <c r="A314" i="33"/>
  <c r="D313" i="33"/>
  <c r="C313" i="33"/>
  <c r="B313" i="33"/>
  <c r="A313" i="33"/>
  <c r="D312" i="33"/>
  <c r="C312" i="33"/>
  <c r="B312" i="33"/>
  <c r="A312" i="33"/>
  <c r="D311" i="33"/>
  <c r="C311" i="33"/>
  <c r="B311" i="33"/>
  <c r="A311" i="33"/>
  <c r="D310" i="33"/>
  <c r="C310" i="33"/>
  <c r="B310" i="33"/>
  <c r="A310" i="33"/>
  <c r="D309" i="33"/>
  <c r="C309" i="33"/>
  <c r="B309" i="33"/>
  <c r="A309" i="33"/>
  <c r="D308" i="33"/>
  <c r="C308" i="33"/>
  <c r="B308" i="33"/>
  <c r="A308" i="33"/>
  <c r="D307" i="33"/>
  <c r="C307" i="33"/>
  <c r="B307" i="33"/>
  <c r="A307" i="33"/>
  <c r="D306" i="33"/>
  <c r="C306" i="33"/>
  <c r="B306" i="33"/>
  <c r="A306" i="33"/>
  <c r="D305" i="33"/>
  <c r="C305" i="33"/>
  <c r="B305" i="33"/>
  <c r="A305" i="33"/>
  <c r="D304" i="33"/>
  <c r="C304" i="33"/>
  <c r="B304" i="33"/>
  <c r="A304" i="33"/>
  <c r="D303" i="33"/>
  <c r="C303" i="33"/>
  <c r="B303" i="33"/>
  <c r="A303" i="33"/>
  <c r="D302" i="33"/>
  <c r="C302" i="33"/>
  <c r="B302" i="33"/>
  <c r="A302" i="33"/>
  <c r="D301" i="33"/>
  <c r="C301" i="33"/>
  <c r="B301" i="33"/>
  <c r="A301" i="33"/>
  <c r="D300" i="33"/>
  <c r="C300" i="33"/>
  <c r="B300" i="33"/>
  <c r="A300" i="33"/>
  <c r="D299" i="33"/>
  <c r="C299" i="33"/>
  <c r="B299" i="33"/>
  <c r="A299" i="33"/>
  <c r="D298" i="33"/>
  <c r="C298" i="33"/>
  <c r="B298" i="33"/>
  <c r="A298" i="33"/>
  <c r="D297" i="33"/>
  <c r="C297" i="33"/>
  <c r="B297" i="33"/>
  <c r="A297" i="33"/>
  <c r="D296" i="33"/>
  <c r="C296" i="33"/>
  <c r="B296" i="33"/>
  <c r="A296" i="33"/>
  <c r="D295" i="33"/>
  <c r="C295" i="33"/>
  <c r="B295" i="33"/>
  <c r="A295" i="33"/>
  <c r="D294" i="33"/>
  <c r="C294" i="33"/>
  <c r="B294" i="33"/>
  <c r="A294" i="33"/>
  <c r="D293" i="33"/>
  <c r="C293" i="33"/>
  <c r="B293" i="33"/>
  <c r="A293" i="33"/>
  <c r="D292" i="33"/>
  <c r="C292" i="33"/>
  <c r="B292" i="33"/>
  <c r="A292" i="33"/>
  <c r="C291" i="33"/>
  <c r="D291" i="33" s="1"/>
  <c r="B291" i="33"/>
  <c r="A291" i="33"/>
  <c r="D290" i="33"/>
  <c r="C290" i="33"/>
  <c r="B290" i="33"/>
  <c r="A290" i="33"/>
  <c r="D289" i="33"/>
  <c r="C289" i="33"/>
  <c r="B289" i="33"/>
  <c r="A289" i="33"/>
  <c r="C288" i="33"/>
  <c r="D288" i="33" s="1"/>
  <c r="B288" i="33"/>
  <c r="A288" i="33"/>
  <c r="D287" i="33"/>
  <c r="C287" i="33"/>
  <c r="B287" i="33"/>
  <c r="A287" i="33"/>
  <c r="D286" i="33"/>
  <c r="C286" i="33"/>
  <c r="B286" i="33"/>
  <c r="A286" i="33"/>
  <c r="C285" i="33"/>
  <c r="D285" i="33" s="1"/>
  <c r="B285" i="33"/>
  <c r="A285" i="33"/>
  <c r="D284" i="33"/>
  <c r="C284" i="33"/>
  <c r="B284" i="33"/>
  <c r="A284" i="33"/>
  <c r="D283" i="33"/>
  <c r="C283" i="33"/>
  <c r="B283" i="33"/>
  <c r="A283" i="33"/>
  <c r="C282" i="33"/>
  <c r="D282" i="33" s="1"/>
  <c r="B282" i="33"/>
  <c r="A282" i="33"/>
  <c r="D281" i="33"/>
  <c r="C281" i="33"/>
  <c r="B281" i="33"/>
  <c r="A281" i="33"/>
  <c r="D280" i="33"/>
  <c r="C280" i="33"/>
  <c r="B280" i="33"/>
  <c r="A280" i="33"/>
  <c r="C279" i="33"/>
  <c r="D279" i="33" s="1"/>
  <c r="B279" i="33"/>
  <c r="A279" i="33"/>
  <c r="D278" i="33"/>
  <c r="C278" i="33"/>
  <c r="B278" i="33"/>
  <c r="A278" i="33"/>
  <c r="D277" i="33"/>
  <c r="C277" i="33"/>
  <c r="B277" i="33"/>
  <c r="A277" i="33"/>
  <c r="C276" i="33"/>
  <c r="D276" i="33" s="1"/>
  <c r="B276" i="33"/>
  <c r="A276" i="33"/>
  <c r="D275" i="33"/>
  <c r="C275" i="33"/>
  <c r="B275" i="33"/>
  <c r="A275" i="33"/>
  <c r="D274" i="33"/>
  <c r="C274" i="33"/>
  <c r="B274" i="33"/>
  <c r="A274" i="33"/>
  <c r="C273" i="33"/>
  <c r="D273" i="33" s="1"/>
  <c r="B273" i="33"/>
  <c r="A273" i="33"/>
  <c r="D272" i="33"/>
  <c r="C272" i="33"/>
  <c r="B272" i="33"/>
  <c r="A272" i="33"/>
  <c r="D271" i="33"/>
  <c r="C271" i="33"/>
  <c r="B271" i="33"/>
  <c r="A271" i="33"/>
  <c r="C270" i="33"/>
  <c r="D270" i="33" s="1"/>
  <c r="B270" i="33"/>
  <c r="A270" i="33"/>
  <c r="D269" i="33"/>
  <c r="C269" i="33"/>
  <c r="B269" i="33"/>
  <c r="A269" i="33"/>
  <c r="D268" i="33"/>
  <c r="C268" i="33"/>
  <c r="B268" i="33"/>
  <c r="A268" i="33"/>
  <c r="C267" i="33"/>
  <c r="D267" i="33" s="1"/>
  <c r="B267" i="33"/>
  <c r="A267" i="33"/>
  <c r="D266" i="33"/>
  <c r="C266" i="33"/>
  <c r="B266" i="33"/>
  <c r="A266" i="33"/>
  <c r="D265" i="33"/>
  <c r="C265" i="33"/>
  <c r="B265" i="33"/>
  <c r="A265" i="33"/>
  <c r="C264" i="33"/>
  <c r="D264" i="33" s="1"/>
  <c r="B264" i="33"/>
  <c r="A264" i="33"/>
  <c r="D263" i="33"/>
  <c r="C263" i="33"/>
  <c r="B263" i="33"/>
  <c r="A263" i="33"/>
  <c r="D262" i="33"/>
  <c r="C262" i="33"/>
  <c r="B262" i="33"/>
  <c r="A262" i="33"/>
  <c r="C261" i="33"/>
  <c r="D261" i="33" s="1"/>
  <c r="B261" i="33"/>
  <c r="A261" i="33"/>
  <c r="D260" i="33"/>
  <c r="C260" i="33"/>
  <c r="B260" i="33"/>
  <c r="A260" i="33"/>
  <c r="D259" i="33"/>
  <c r="C259" i="33"/>
  <c r="B259" i="33"/>
  <c r="A259" i="33"/>
  <c r="C258" i="33"/>
  <c r="D258" i="33" s="1"/>
  <c r="B258" i="33"/>
  <c r="A258" i="33"/>
  <c r="D257" i="33"/>
  <c r="C257" i="33"/>
  <c r="B257" i="33"/>
  <c r="A257" i="33"/>
  <c r="D256" i="33"/>
  <c r="C256" i="33"/>
  <c r="B256" i="33"/>
  <c r="A256" i="33"/>
  <c r="C255" i="33"/>
  <c r="D255" i="33" s="1"/>
  <c r="B255" i="33"/>
  <c r="A255" i="33"/>
  <c r="D254" i="33"/>
  <c r="C254" i="33"/>
  <c r="B254" i="33"/>
  <c r="A254" i="33"/>
  <c r="D253" i="33"/>
  <c r="C253" i="33"/>
  <c r="B253" i="33"/>
  <c r="A253" i="33"/>
  <c r="C252" i="33"/>
  <c r="D252" i="33" s="1"/>
  <c r="B252" i="33"/>
  <c r="A252" i="33"/>
  <c r="D251" i="33"/>
  <c r="C251" i="33"/>
  <c r="B251" i="33"/>
  <c r="A251" i="33"/>
  <c r="D250" i="33"/>
  <c r="C250" i="33"/>
  <c r="B250" i="33"/>
  <c r="A250" i="33"/>
  <c r="C249" i="33"/>
  <c r="D249" i="33" s="1"/>
  <c r="B249" i="33"/>
  <c r="A249" i="33"/>
  <c r="D248" i="33"/>
  <c r="C248" i="33"/>
  <c r="B248" i="33"/>
  <c r="A248" i="33"/>
  <c r="D247" i="33"/>
  <c r="C247" i="33"/>
  <c r="B247" i="33"/>
  <c r="A247" i="33"/>
  <c r="C246" i="33"/>
  <c r="D246" i="33" s="1"/>
  <c r="B246" i="33"/>
  <c r="A246" i="33"/>
  <c r="D245" i="33"/>
  <c r="C245" i="33"/>
  <c r="B245" i="33"/>
  <c r="A245" i="33"/>
  <c r="D244" i="33"/>
  <c r="C244" i="33"/>
  <c r="B244" i="33"/>
  <c r="A244" i="33"/>
  <c r="C243" i="33"/>
  <c r="D243" i="33" s="1"/>
  <c r="B243" i="33"/>
  <c r="A243" i="33"/>
  <c r="D242" i="33"/>
  <c r="C242" i="33"/>
  <c r="B242" i="33"/>
  <c r="A242" i="33"/>
  <c r="D241" i="33"/>
  <c r="C241" i="33"/>
  <c r="B241" i="33"/>
  <c r="A241" i="33"/>
  <c r="C240" i="33"/>
  <c r="D240" i="33" s="1"/>
  <c r="B240" i="33"/>
  <c r="A240" i="33"/>
  <c r="D239" i="33"/>
  <c r="C239" i="33"/>
  <c r="B239" i="33"/>
  <c r="A239" i="33"/>
  <c r="D238" i="33"/>
  <c r="C238" i="33"/>
  <c r="B238" i="33"/>
  <c r="A238" i="33"/>
  <c r="D236" i="33"/>
  <c r="C234" i="33"/>
  <c r="B234" i="33"/>
  <c r="A234" i="33"/>
  <c r="C233" i="33"/>
  <c r="B233" i="33"/>
  <c r="A233" i="33"/>
  <c r="C232" i="33"/>
  <c r="AB20" i="34" s="1"/>
  <c r="B232" i="33"/>
  <c r="A232" i="33"/>
  <c r="D231" i="33"/>
  <c r="C231" i="33"/>
  <c r="AB19" i="34" s="1"/>
  <c r="B231" i="33"/>
  <c r="A231" i="33"/>
  <c r="B230" i="33"/>
  <c r="C230" i="33" s="1"/>
  <c r="A230" i="33"/>
  <c r="C229" i="33"/>
  <c r="Y17" i="34" s="1"/>
  <c r="B229" i="33"/>
  <c r="A229" i="33"/>
  <c r="C228" i="33"/>
  <c r="B228" i="33"/>
  <c r="A228" i="33"/>
  <c r="B227" i="33"/>
  <c r="C227" i="33" s="1"/>
  <c r="AH15" i="34" s="1"/>
  <c r="A227" i="33"/>
  <c r="C226" i="33"/>
  <c r="AD14" i="34" s="1"/>
  <c r="B226" i="33"/>
  <c r="A226" i="33"/>
  <c r="C225" i="33"/>
  <c r="B225" i="33"/>
  <c r="A225" i="33"/>
  <c r="C224" i="33"/>
  <c r="B224" i="33"/>
  <c r="A224" i="33"/>
  <c r="C223" i="33"/>
  <c r="AD11" i="34" s="1"/>
  <c r="B223" i="33"/>
  <c r="A223" i="33"/>
  <c r="D222" i="33"/>
  <c r="C222" i="33"/>
  <c r="AF10" i="34" s="1"/>
  <c r="B222" i="33"/>
  <c r="A222" i="33"/>
  <c r="B221" i="33"/>
  <c r="C221" i="33" s="1"/>
  <c r="A221" i="33"/>
  <c r="C220" i="33"/>
  <c r="AB8" i="34" s="1"/>
  <c r="B220" i="33"/>
  <c r="A220" i="33"/>
  <c r="C219" i="33"/>
  <c r="B219" i="33"/>
  <c r="A219" i="33"/>
  <c r="B218" i="33"/>
  <c r="C218" i="33" s="1"/>
  <c r="A218" i="33"/>
  <c r="C217" i="33"/>
  <c r="AD5" i="34" s="1"/>
  <c r="B217" i="33"/>
  <c r="A217" i="33"/>
  <c r="C216" i="33"/>
  <c r="AD4" i="34" s="1"/>
  <c r="B216" i="33"/>
  <c r="A216" i="33"/>
  <c r="C215" i="33"/>
  <c r="B215" i="33"/>
  <c r="A215" i="33"/>
  <c r="B212" i="33"/>
  <c r="D211" i="33"/>
  <c r="B213" i="33" s="1"/>
  <c r="D209" i="33"/>
  <c r="B209" i="33"/>
  <c r="C209" i="33" s="1"/>
  <c r="A209" i="33"/>
  <c r="C208" i="33"/>
  <c r="B208" i="33"/>
  <c r="A208" i="33"/>
  <c r="B207" i="33"/>
  <c r="C207" i="33" s="1"/>
  <c r="A207" i="33"/>
  <c r="B206" i="33"/>
  <c r="C206" i="33" s="1"/>
  <c r="A206" i="33"/>
  <c r="D205" i="33"/>
  <c r="C205" i="33"/>
  <c r="B205" i="33"/>
  <c r="A205" i="33"/>
  <c r="B204" i="33"/>
  <c r="C204" i="33" s="1"/>
  <c r="A204" i="33"/>
  <c r="D203" i="33"/>
  <c r="B203" i="33"/>
  <c r="C203" i="33" s="1"/>
  <c r="A203" i="33"/>
  <c r="C202" i="33"/>
  <c r="B202" i="33"/>
  <c r="A202" i="33"/>
  <c r="B201" i="33"/>
  <c r="C201" i="33" s="1"/>
  <c r="A201" i="33"/>
  <c r="B200" i="33"/>
  <c r="C200" i="33" s="1"/>
  <c r="A200" i="33"/>
  <c r="D199" i="33"/>
  <c r="C199" i="33"/>
  <c r="B199" i="33"/>
  <c r="A199" i="33"/>
  <c r="B198" i="33"/>
  <c r="C198" i="33" s="1"/>
  <c r="A198" i="33"/>
  <c r="D197" i="33"/>
  <c r="B197" i="33"/>
  <c r="C197" i="33" s="1"/>
  <c r="A197" i="33"/>
  <c r="C196" i="33"/>
  <c r="B196" i="33"/>
  <c r="A196" i="33"/>
  <c r="B195" i="33"/>
  <c r="C195" i="33" s="1"/>
  <c r="A195" i="33"/>
  <c r="B194" i="33"/>
  <c r="C194" i="33" s="1"/>
  <c r="A194" i="33"/>
  <c r="D193" i="33"/>
  <c r="C193" i="33"/>
  <c r="B193" i="33"/>
  <c r="A193" i="33"/>
  <c r="B192" i="33"/>
  <c r="C192" i="33" s="1"/>
  <c r="A192" i="33"/>
  <c r="D191" i="33"/>
  <c r="B191" i="33"/>
  <c r="C191" i="33" s="1"/>
  <c r="A191" i="33"/>
  <c r="C190" i="33"/>
  <c r="B190" i="33"/>
  <c r="A190" i="33"/>
  <c r="B189" i="33"/>
  <c r="C189" i="33" s="1"/>
  <c r="A189" i="33"/>
  <c r="B188" i="33"/>
  <c r="C188" i="33" s="1"/>
  <c r="J61" i="34" s="1"/>
  <c r="A188" i="33"/>
  <c r="D187" i="33"/>
  <c r="C187" i="33"/>
  <c r="B187" i="33"/>
  <c r="A187" i="33"/>
  <c r="B186" i="33"/>
  <c r="C186" i="33" s="1"/>
  <c r="A186" i="33"/>
  <c r="D185" i="33"/>
  <c r="B185" i="33"/>
  <c r="C185" i="33" s="1"/>
  <c r="A185" i="33"/>
  <c r="C184" i="33"/>
  <c r="L57" i="34" s="1"/>
  <c r="B184" i="33"/>
  <c r="A184" i="33"/>
  <c r="B183" i="33"/>
  <c r="C183" i="33" s="1"/>
  <c r="A183" i="33"/>
  <c r="B182" i="33"/>
  <c r="C182" i="33" s="1"/>
  <c r="A182" i="33"/>
  <c r="D181" i="33"/>
  <c r="C181" i="33"/>
  <c r="B181" i="33"/>
  <c r="A181" i="33"/>
  <c r="B180" i="33"/>
  <c r="C180" i="33" s="1"/>
  <c r="A180" i="33"/>
  <c r="D179" i="33"/>
  <c r="B179" i="33"/>
  <c r="C179" i="33" s="1"/>
  <c r="A179" i="33"/>
  <c r="C178" i="33"/>
  <c r="B178" i="33"/>
  <c r="A178" i="33"/>
  <c r="B177" i="33"/>
  <c r="C177" i="33" s="1"/>
  <c r="A177" i="33"/>
  <c r="B176" i="33"/>
  <c r="C176" i="33" s="1"/>
  <c r="A176" i="33"/>
  <c r="D175" i="33"/>
  <c r="C175" i="33"/>
  <c r="B175" i="33"/>
  <c r="A175" i="33"/>
  <c r="B174" i="33"/>
  <c r="C174" i="33" s="1"/>
  <c r="A174" i="33"/>
  <c r="D173" i="33"/>
  <c r="B173" i="33"/>
  <c r="C173" i="33" s="1"/>
  <c r="A173" i="33"/>
  <c r="C172" i="33"/>
  <c r="B172" i="33"/>
  <c r="A172" i="33"/>
  <c r="B171" i="33"/>
  <c r="C171" i="33" s="1"/>
  <c r="A171" i="33"/>
  <c r="B170" i="33"/>
  <c r="C170" i="33" s="1"/>
  <c r="A170" i="33"/>
  <c r="D169" i="33"/>
  <c r="C169" i="33"/>
  <c r="B169" i="33"/>
  <c r="A169" i="33"/>
  <c r="B168" i="33"/>
  <c r="C168" i="33" s="1"/>
  <c r="A168" i="33"/>
  <c r="D167" i="33"/>
  <c r="B167" i="33"/>
  <c r="C167" i="33" s="1"/>
  <c r="A167" i="33"/>
  <c r="C166" i="33"/>
  <c r="B166" i="33"/>
  <c r="A166" i="33"/>
  <c r="B165" i="33"/>
  <c r="C165" i="33" s="1"/>
  <c r="A165" i="33"/>
  <c r="B164" i="33"/>
  <c r="C164" i="33" s="1"/>
  <c r="A164" i="33"/>
  <c r="D163" i="33"/>
  <c r="C163" i="33"/>
  <c r="B163" i="33"/>
  <c r="A163" i="33"/>
  <c r="B162" i="33"/>
  <c r="C162" i="33" s="1"/>
  <c r="A162" i="33"/>
  <c r="D161" i="33"/>
  <c r="B161" i="33"/>
  <c r="C161" i="33" s="1"/>
  <c r="A161" i="33"/>
  <c r="C160" i="33"/>
  <c r="B160" i="33"/>
  <c r="A160" i="33"/>
  <c r="B159" i="33"/>
  <c r="C159" i="33" s="1"/>
  <c r="A159" i="33"/>
  <c r="B158" i="33"/>
  <c r="C158" i="33" s="1"/>
  <c r="A158" i="33"/>
  <c r="D157" i="33"/>
  <c r="C157" i="33"/>
  <c r="B157" i="33"/>
  <c r="A157" i="33"/>
  <c r="B156" i="33"/>
  <c r="C156" i="33" s="1"/>
  <c r="A156" i="33"/>
  <c r="D155" i="33"/>
  <c r="B155" i="33"/>
  <c r="C155" i="33" s="1"/>
  <c r="A155" i="33"/>
  <c r="C154" i="33"/>
  <c r="B154" i="33"/>
  <c r="A154" i="33"/>
  <c r="B153" i="33"/>
  <c r="C153" i="33" s="1"/>
  <c r="A153" i="33"/>
  <c r="B152" i="33"/>
  <c r="C152" i="33" s="1"/>
  <c r="A152" i="33"/>
  <c r="D151" i="33"/>
  <c r="C151" i="33"/>
  <c r="B151" i="33"/>
  <c r="A151" i="33"/>
  <c r="B150" i="33"/>
  <c r="C150" i="33" s="1"/>
  <c r="A150" i="33"/>
  <c r="D149" i="33"/>
  <c r="B149" i="33"/>
  <c r="C149" i="33" s="1"/>
  <c r="A149" i="33"/>
  <c r="C148" i="33"/>
  <c r="B148" i="33"/>
  <c r="A148" i="33"/>
  <c r="B147" i="33"/>
  <c r="C147" i="33" s="1"/>
  <c r="A147" i="33"/>
  <c r="B146" i="33"/>
  <c r="C146" i="33" s="1"/>
  <c r="A146" i="33"/>
  <c r="D145" i="33"/>
  <c r="C145" i="33"/>
  <c r="B145" i="33"/>
  <c r="A145" i="33"/>
  <c r="B144" i="33"/>
  <c r="C144" i="33" s="1"/>
  <c r="A144" i="33"/>
  <c r="D143" i="33"/>
  <c r="B143" i="33"/>
  <c r="C143" i="33" s="1"/>
  <c r="A143" i="33"/>
  <c r="C142" i="33"/>
  <c r="B142" i="33"/>
  <c r="A142" i="33"/>
  <c r="B141" i="33"/>
  <c r="C141" i="33" s="1"/>
  <c r="A141" i="33"/>
  <c r="B140" i="33"/>
  <c r="C140" i="33" s="1"/>
  <c r="A140" i="33"/>
  <c r="D139" i="33"/>
  <c r="C139" i="33"/>
  <c r="B139" i="33"/>
  <c r="A139" i="33"/>
  <c r="B138" i="33"/>
  <c r="C138" i="33" s="1"/>
  <c r="A138" i="33"/>
  <c r="D137" i="33"/>
  <c r="B137" i="33"/>
  <c r="C137" i="33" s="1"/>
  <c r="M10" i="34" s="1"/>
  <c r="A137" i="33"/>
  <c r="C136" i="33"/>
  <c r="B136" i="33"/>
  <c r="A136" i="33"/>
  <c r="B135" i="33"/>
  <c r="C135" i="33" s="1"/>
  <c r="A135" i="33"/>
  <c r="B134" i="33"/>
  <c r="C134" i="33" s="1"/>
  <c r="A134" i="33"/>
  <c r="D133" i="33"/>
  <c r="C133" i="33"/>
  <c r="B133" i="33"/>
  <c r="A133" i="33"/>
  <c r="B132" i="33"/>
  <c r="C132" i="33" s="1"/>
  <c r="L5" i="34" s="1"/>
  <c r="A132" i="33"/>
  <c r="D131" i="33"/>
  <c r="B131" i="33"/>
  <c r="C131" i="33" s="1"/>
  <c r="A131" i="33"/>
  <c r="C130" i="33"/>
  <c r="L3" i="34" s="1"/>
  <c r="B130" i="33"/>
  <c r="A130" i="33"/>
  <c r="D127" i="33"/>
  <c r="B127" i="33"/>
  <c r="D126" i="33"/>
  <c r="B128" i="33" s="1"/>
  <c r="C124" i="33"/>
  <c r="D124" i="33" s="1"/>
  <c r="B124" i="33"/>
  <c r="A124" i="33"/>
  <c r="D123" i="33"/>
  <c r="C123" i="33"/>
  <c r="B123" i="33"/>
  <c r="A123" i="33"/>
  <c r="B122" i="33"/>
  <c r="C122" i="33" s="1"/>
  <c r="A122" i="33"/>
  <c r="C121" i="33"/>
  <c r="D121" i="33" s="1"/>
  <c r="B121" i="33"/>
  <c r="A121" i="33"/>
  <c r="C120" i="33"/>
  <c r="B120" i="33"/>
  <c r="A120" i="33"/>
  <c r="B119" i="33"/>
  <c r="C119" i="33" s="1"/>
  <c r="A119" i="33"/>
  <c r="C118" i="33"/>
  <c r="D118" i="33" s="1"/>
  <c r="B118" i="33"/>
  <c r="A118" i="33"/>
  <c r="C117" i="33"/>
  <c r="B117" i="33"/>
  <c r="A117" i="33"/>
  <c r="C116" i="33"/>
  <c r="B116" i="33"/>
  <c r="A116" i="33"/>
  <c r="C115" i="33"/>
  <c r="D115" i="33" s="1"/>
  <c r="B115" i="33"/>
  <c r="A115" i="33"/>
  <c r="D114" i="33"/>
  <c r="C114" i="33"/>
  <c r="B114" i="33"/>
  <c r="A114" i="33"/>
  <c r="B113" i="33"/>
  <c r="C113" i="33" s="1"/>
  <c r="A113" i="33"/>
  <c r="C112" i="33"/>
  <c r="D112" i="33" s="1"/>
  <c r="B112" i="33"/>
  <c r="A112" i="33"/>
  <c r="C111" i="33"/>
  <c r="B111" i="33"/>
  <c r="A111" i="33"/>
  <c r="B110" i="33"/>
  <c r="C110" i="33" s="1"/>
  <c r="A110" i="33"/>
  <c r="C109" i="33"/>
  <c r="D109" i="33" s="1"/>
  <c r="B109" i="33"/>
  <c r="A109" i="33"/>
  <c r="C108" i="33"/>
  <c r="B108" i="33"/>
  <c r="A108" i="33"/>
  <c r="C107" i="33"/>
  <c r="B107" i="33"/>
  <c r="A107" i="33"/>
  <c r="C106" i="33"/>
  <c r="D106" i="33" s="1"/>
  <c r="B106" i="33"/>
  <c r="A106" i="33"/>
  <c r="D105" i="33"/>
  <c r="C105" i="33"/>
  <c r="B105" i="33"/>
  <c r="A105" i="33"/>
  <c r="B104" i="33"/>
  <c r="C104" i="33" s="1"/>
  <c r="A104" i="33"/>
  <c r="C103" i="33"/>
  <c r="D103" i="33" s="1"/>
  <c r="B103" i="33"/>
  <c r="A103" i="33"/>
  <c r="C102" i="33"/>
  <c r="B102" i="33"/>
  <c r="A102" i="33"/>
  <c r="B101" i="33"/>
  <c r="C101" i="33" s="1"/>
  <c r="A101" i="33"/>
  <c r="C100" i="33"/>
  <c r="D100" i="33" s="1"/>
  <c r="B100" i="33"/>
  <c r="A100" i="33"/>
  <c r="C99" i="33"/>
  <c r="B99" i="33"/>
  <c r="A99" i="33"/>
  <c r="C98" i="33"/>
  <c r="B98" i="33"/>
  <c r="A98" i="33"/>
  <c r="C97" i="33"/>
  <c r="D97" i="33" s="1"/>
  <c r="B97" i="33"/>
  <c r="A97" i="33"/>
  <c r="D96" i="33"/>
  <c r="C96" i="33"/>
  <c r="C74" i="34" s="1"/>
  <c r="B96" i="33"/>
  <c r="A96" i="33"/>
  <c r="B95" i="33"/>
  <c r="C95" i="33" s="1"/>
  <c r="A95" i="33"/>
  <c r="C94" i="33"/>
  <c r="D94" i="33" s="1"/>
  <c r="B94" i="33"/>
  <c r="A94" i="33"/>
  <c r="C93" i="33"/>
  <c r="B93" i="33"/>
  <c r="A93" i="33"/>
  <c r="B92" i="33"/>
  <c r="C92" i="33" s="1"/>
  <c r="A92" i="33"/>
  <c r="C91" i="33"/>
  <c r="C69" i="34" s="1"/>
  <c r="B91" i="33"/>
  <c r="A91" i="33"/>
  <c r="C90" i="33"/>
  <c r="B90" i="33"/>
  <c r="A90" i="33"/>
  <c r="C89" i="33"/>
  <c r="B89" i="33"/>
  <c r="A89" i="33"/>
  <c r="C88" i="33"/>
  <c r="D88" i="33" s="1"/>
  <c r="B88" i="33"/>
  <c r="A88" i="33"/>
  <c r="D87" i="33"/>
  <c r="C87" i="33"/>
  <c r="B87" i="33"/>
  <c r="A87" i="33"/>
  <c r="B86" i="33"/>
  <c r="C86" i="33" s="1"/>
  <c r="A86" i="33"/>
  <c r="C85" i="33"/>
  <c r="C63" i="34" s="1"/>
  <c r="B85" i="33"/>
  <c r="A85" i="33"/>
  <c r="C84" i="33"/>
  <c r="B84" i="33"/>
  <c r="A84" i="33"/>
  <c r="B83" i="33"/>
  <c r="C83" i="33" s="1"/>
  <c r="A83" i="33"/>
  <c r="C82" i="33"/>
  <c r="C60" i="34" s="1"/>
  <c r="B82" i="33"/>
  <c r="A82" i="33"/>
  <c r="C81" i="33"/>
  <c r="B81" i="33"/>
  <c r="A81" i="33"/>
  <c r="C80" i="33"/>
  <c r="B80" i="33"/>
  <c r="A80" i="33"/>
  <c r="C79" i="33"/>
  <c r="D79" i="33" s="1"/>
  <c r="B79" i="33"/>
  <c r="A79" i="33"/>
  <c r="D78" i="33"/>
  <c r="C78" i="33"/>
  <c r="B78" i="33"/>
  <c r="A78" i="33"/>
  <c r="B77" i="33"/>
  <c r="C77" i="33" s="1"/>
  <c r="A77" i="33"/>
  <c r="C76" i="33"/>
  <c r="C54" i="34" s="1"/>
  <c r="B76" i="33"/>
  <c r="A76" i="33"/>
  <c r="C75" i="33"/>
  <c r="B75" i="33"/>
  <c r="A75" i="33"/>
  <c r="B74" i="33"/>
  <c r="C74" i="33" s="1"/>
  <c r="A74" i="33"/>
  <c r="C73" i="33"/>
  <c r="D73" i="33" s="1"/>
  <c r="B73" i="33"/>
  <c r="A73" i="33"/>
  <c r="C72" i="33"/>
  <c r="B72" i="33"/>
  <c r="A72" i="33"/>
  <c r="C71" i="33"/>
  <c r="B71" i="33"/>
  <c r="A71" i="33"/>
  <c r="C70" i="33"/>
  <c r="D70" i="33" s="1"/>
  <c r="B70" i="33"/>
  <c r="A70" i="33"/>
  <c r="D69" i="33"/>
  <c r="C69" i="33"/>
  <c r="B69" i="33"/>
  <c r="A69" i="33"/>
  <c r="B68" i="33"/>
  <c r="C68" i="33" s="1"/>
  <c r="A68" i="33"/>
  <c r="C67" i="33"/>
  <c r="D67" i="33" s="1"/>
  <c r="B67" i="33"/>
  <c r="A67" i="33"/>
  <c r="C66" i="33"/>
  <c r="B66" i="33"/>
  <c r="A66" i="33"/>
  <c r="B65" i="33"/>
  <c r="C65" i="33" s="1"/>
  <c r="A65" i="33"/>
  <c r="C64" i="33"/>
  <c r="D64" i="33" s="1"/>
  <c r="B64" i="33"/>
  <c r="A64" i="33"/>
  <c r="C63" i="33"/>
  <c r="B63" i="33"/>
  <c r="A63" i="33"/>
  <c r="C62" i="33"/>
  <c r="B62" i="33"/>
  <c r="A62" i="33"/>
  <c r="C61" i="33"/>
  <c r="D61" i="33" s="1"/>
  <c r="B61" i="33"/>
  <c r="A61" i="33"/>
  <c r="D60" i="33"/>
  <c r="C60" i="33"/>
  <c r="B60" i="33"/>
  <c r="A60" i="33"/>
  <c r="B59" i="33"/>
  <c r="C59" i="33" s="1"/>
  <c r="A59" i="33"/>
  <c r="C58" i="33"/>
  <c r="C36" i="34" s="1"/>
  <c r="B58" i="33"/>
  <c r="A58" i="33"/>
  <c r="C57" i="33"/>
  <c r="B57" i="33"/>
  <c r="A57" i="33"/>
  <c r="B56" i="33"/>
  <c r="C56" i="33" s="1"/>
  <c r="A56" i="33"/>
  <c r="C55" i="33"/>
  <c r="D55" i="33" s="1"/>
  <c r="B55" i="33"/>
  <c r="A55" i="33"/>
  <c r="C54" i="33"/>
  <c r="B54" i="33"/>
  <c r="A54" i="33"/>
  <c r="C53" i="33"/>
  <c r="B53" i="33"/>
  <c r="A53" i="33"/>
  <c r="C52" i="33"/>
  <c r="D52" i="33" s="1"/>
  <c r="B52" i="33"/>
  <c r="A52" i="33"/>
  <c r="D51" i="33"/>
  <c r="C51" i="33"/>
  <c r="E29" i="34" s="1"/>
  <c r="B51" i="33"/>
  <c r="A51" i="33"/>
  <c r="B50" i="33"/>
  <c r="C50" i="33" s="1"/>
  <c r="A50" i="33"/>
  <c r="C49" i="33"/>
  <c r="E27" i="34" s="1"/>
  <c r="B49" i="33"/>
  <c r="A49" i="33"/>
  <c r="C48" i="33"/>
  <c r="B48" i="33"/>
  <c r="A48" i="33"/>
  <c r="B47" i="33"/>
  <c r="C47" i="33" s="1"/>
  <c r="A47" i="33"/>
  <c r="C46" i="33"/>
  <c r="E24" i="34" s="1"/>
  <c r="B46" i="33"/>
  <c r="A46" i="33"/>
  <c r="C45" i="33"/>
  <c r="B45" i="33"/>
  <c r="A45" i="33"/>
  <c r="C44" i="33"/>
  <c r="B44" i="33"/>
  <c r="A44" i="33"/>
  <c r="C43" i="33"/>
  <c r="E21" i="34" s="1"/>
  <c r="B43" i="33"/>
  <c r="A43" i="33"/>
  <c r="D42" i="33"/>
  <c r="C42" i="33"/>
  <c r="E20" i="34" s="1"/>
  <c r="B42" i="33"/>
  <c r="A42" i="33"/>
  <c r="B41" i="33"/>
  <c r="C41" i="33" s="1"/>
  <c r="A41" i="33"/>
  <c r="C40" i="33"/>
  <c r="E18" i="34" s="1"/>
  <c r="B40" i="33"/>
  <c r="A40" i="33"/>
  <c r="C39" i="33"/>
  <c r="B39" i="33"/>
  <c r="A39" i="33"/>
  <c r="B38" i="33"/>
  <c r="C38" i="33" s="1"/>
  <c r="A38" i="33"/>
  <c r="C37" i="33"/>
  <c r="E15" i="34" s="1"/>
  <c r="B37" i="33"/>
  <c r="A37" i="33"/>
  <c r="C36" i="33"/>
  <c r="B36" i="33"/>
  <c r="A36" i="33"/>
  <c r="C35" i="33"/>
  <c r="B35" i="33"/>
  <c r="A35" i="33"/>
  <c r="C34" i="33"/>
  <c r="E12" i="34" s="1"/>
  <c r="B34" i="33"/>
  <c r="A34" i="33"/>
  <c r="D33" i="33"/>
  <c r="C33" i="33"/>
  <c r="B33" i="33"/>
  <c r="A33" i="33"/>
  <c r="B32" i="33"/>
  <c r="C32" i="33" s="1"/>
  <c r="A32" i="33"/>
  <c r="C31" i="33"/>
  <c r="E9" i="34" s="1"/>
  <c r="B31" i="33"/>
  <c r="A31" i="33"/>
  <c r="C30" i="33"/>
  <c r="B30" i="33"/>
  <c r="A30" i="33"/>
  <c r="B29" i="33"/>
  <c r="C29" i="33" s="1"/>
  <c r="A29" i="33"/>
  <c r="C28" i="33"/>
  <c r="C6" i="34" s="1"/>
  <c r="B28" i="33"/>
  <c r="A28" i="33"/>
  <c r="C27" i="33"/>
  <c r="B27" i="33"/>
  <c r="A27" i="33"/>
  <c r="C26" i="33"/>
  <c r="B26" i="33"/>
  <c r="A26" i="33"/>
  <c r="C25" i="33"/>
  <c r="E3" i="34" s="1"/>
  <c r="B25" i="33"/>
  <c r="A25" i="33"/>
  <c r="D23" i="33"/>
  <c r="B23" i="33"/>
  <c r="D21" i="33"/>
  <c r="D6" i="33"/>
  <c r="B8" i="33" s="1"/>
  <c r="C4" i="33"/>
  <c r="D212" i="33" s="1"/>
  <c r="C3" i="33"/>
  <c r="C2" i="33"/>
  <c r="D34" i="29"/>
  <c r="C34" i="29"/>
  <c r="J33" i="29"/>
  <c r="I33" i="29"/>
  <c r="E33" i="29"/>
  <c r="J32" i="29"/>
  <c r="I32" i="29"/>
  <c r="E32" i="29"/>
  <c r="J31" i="29"/>
  <c r="I31" i="29"/>
  <c r="E31" i="29"/>
  <c r="J30" i="29"/>
  <c r="I30" i="29"/>
  <c r="E30" i="29"/>
  <c r="J29" i="29"/>
  <c r="I29" i="29"/>
  <c r="E29" i="29"/>
  <c r="J28" i="29"/>
  <c r="I28" i="29"/>
  <c r="E28" i="29"/>
  <c r="J27" i="29"/>
  <c r="I27" i="29"/>
  <c r="E27" i="29"/>
  <c r="J26" i="29"/>
  <c r="I26" i="29"/>
  <c r="E26" i="29"/>
  <c r="J25" i="29"/>
  <c r="I25" i="29"/>
  <c r="E25" i="29"/>
  <c r="J24" i="29"/>
  <c r="I24" i="29"/>
  <c r="E24" i="29"/>
  <c r="J23" i="29"/>
  <c r="I23" i="29"/>
  <c r="E23" i="29"/>
  <c r="J22" i="29"/>
  <c r="I22" i="29"/>
  <c r="E22" i="29"/>
  <c r="J21" i="29"/>
  <c r="I21" i="29"/>
  <c r="E21" i="29"/>
  <c r="J20" i="29"/>
  <c r="I20" i="29"/>
  <c r="E20" i="29"/>
  <c r="J19" i="29"/>
  <c r="I19" i="29"/>
  <c r="E19" i="29"/>
  <c r="J18" i="29"/>
  <c r="I18" i="29"/>
  <c r="E18" i="29"/>
  <c r="J17" i="29"/>
  <c r="I17" i="29"/>
  <c r="E17" i="29"/>
  <c r="J16" i="29"/>
  <c r="I16" i="29"/>
  <c r="E16" i="29"/>
  <c r="J15" i="29"/>
  <c r="I15" i="29"/>
  <c r="E15" i="29"/>
  <c r="J14" i="29"/>
  <c r="I14" i="29"/>
  <c r="E14" i="29"/>
  <c r="J13" i="29"/>
  <c r="I13" i="29"/>
  <c r="E13" i="29"/>
  <c r="J12" i="29"/>
  <c r="I12" i="29"/>
  <c r="E12" i="29"/>
  <c r="J11" i="29"/>
  <c r="I11" i="29"/>
  <c r="E11" i="29"/>
  <c r="J10" i="29"/>
  <c r="J47" i="29" s="1"/>
  <c r="J48" i="29" s="1"/>
  <c r="I10" i="29"/>
  <c r="E10" i="29"/>
  <c r="D337" i="20"/>
  <c r="D336" i="20"/>
  <c r="D335" i="20"/>
  <c r="D334" i="20"/>
  <c r="D333" i="20"/>
  <c r="D332" i="20"/>
  <c r="D331" i="20"/>
  <c r="D330" i="20"/>
  <c r="D329" i="20"/>
  <c r="D328" i="20"/>
  <c r="D327" i="20"/>
  <c r="D326" i="20"/>
  <c r="D325" i="20"/>
  <c r="D324" i="20"/>
  <c r="D323" i="20"/>
  <c r="D322" i="20"/>
  <c r="D321" i="20"/>
  <c r="D320" i="20"/>
  <c r="D319" i="20"/>
  <c r="D318" i="20"/>
  <c r="D317" i="20"/>
  <c r="D316" i="20"/>
  <c r="D315" i="20"/>
  <c r="D314" i="20"/>
  <c r="D313" i="20"/>
  <c r="D312" i="20"/>
  <c r="D311" i="20"/>
  <c r="D310" i="20"/>
  <c r="D309" i="20"/>
  <c r="D308" i="20"/>
  <c r="D307" i="20"/>
  <c r="D306" i="20"/>
  <c r="D305" i="20"/>
  <c r="D304" i="20"/>
  <c r="D303" i="20"/>
  <c r="D302" i="20"/>
  <c r="D301" i="20"/>
  <c r="D300" i="20"/>
  <c r="D299" i="20"/>
  <c r="D298" i="20"/>
  <c r="D297" i="20"/>
  <c r="D296" i="20"/>
  <c r="D295" i="20"/>
  <c r="D294" i="20"/>
  <c r="D293" i="20"/>
  <c r="D292" i="20"/>
  <c r="D291" i="20"/>
  <c r="D290" i="20"/>
  <c r="D289" i="20"/>
  <c r="D288" i="20"/>
  <c r="D287" i="20"/>
  <c r="D286" i="20"/>
  <c r="D285" i="20"/>
  <c r="D284" i="20"/>
  <c r="D283" i="20"/>
  <c r="D282" i="20"/>
  <c r="D281" i="20"/>
  <c r="D280" i="20"/>
  <c r="D279" i="20"/>
  <c r="D278" i="20"/>
  <c r="D277" i="20"/>
  <c r="D276" i="20"/>
  <c r="D275" i="20"/>
  <c r="D274" i="20"/>
  <c r="D273" i="20"/>
  <c r="D272" i="20"/>
  <c r="D271" i="20"/>
  <c r="D270" i="20"/>
  <c r="D269" i="20"/>
  <c r="D268" i="20"/>
  <c r="D267" i="20"/>
  <c r="D266" i="20"/>
  <c r="D265" i="20"/>
  <c r="D264" i="20"/>
  <c r="D263" i="20"/>
  <c r="D262" i="20"/>
  <c r="D261" i="20"/>
  <c r="D260" i="20"/>
  <c r="D259" i="20"/>
  <c r="D258" i="20"/>
  <c r="D257" i="20"/>
  <c r="D256" i="20"/>
  <c r="D255" i="20"/>
  <c r="D254" i="20"/>
  <c r="D253" i="20"/>
  <c r="D252" i="20"/>
  <c r="D251" i="20"/>
  <c r="D250" i="20"/>
  <c r="D249" i="20"/>
  <c r="D248" i="20"/>
  <c r="D247" i="20"/>
  <c r="D246" i="20"/>
  <c r="D245" i="20"/>
  <c r="D244" i="20"/>
  <c r="D243" i="20"/>
  <c r="D242" i="20"/>
  <c r="D241" i="20"/>
  <c r="D240" i="20"/>
  <c r="B239" i="20"/>
  <c r="A239" i="20"/>
  <c r="D238" i="20"/>
  <c r="B238" i="20"/>
  <c r="A238" i="20"/>
  <c r="D236" i="20"/>
  <c r="B234" i="20"/>
  <c r="C234" i="20" s="1"/>
  <c r="AB22" i="30" s="1"/>
  <c r="A234" i="20"/>
  <c r="B233" i="20"/>
  <c r="C233" i="20" s="1"/>
  <c r="AC21" i="30" s="1"/>
  <c r="A233" i="20"/>
  <c r="B232" i="20"/>
  <c r="C232" i="20" s="1"/>
  <c r="A232" i="20"/>
  <c r="B231" i="20"/>
  <c r="C231" i="20" s="1"/>
  <c r="AB19" i="30" s="1"/>
  <c r="A231" i="20"/>
  <c r="B230" i="20"/>
  <c r="C230" i="20" s="1"/>
  <c r="A230" i="20"/>
  <c r="B229" i="20"/>
  <c r="C229" i="20" s="1"/>
  <c r="A229" i="20"/>
  <c r="B228" i="20"/>
  <c r="C228" i="20" s="1"/>
  <c r="AF16" i="30" s="1"/>
  <c r="A228" i="20"/>
  <c r="B227" i="20"/>
  <c r="C227" i="20" s="1"/>
  <c r="A227" i="20"/>
  <c r="B226" i="20"/>
  <c r="C226" i="20" s="1"/>
  <c r="AI14" i="30" s="1"/>
  <c r="A226" i="20"/>
  <c r="B225" i="20"/>
  <c r="C225" i="20" s="1"/>
  <c r="AG13" i="30" s="1"/>
  <c r="A225" i="20"/>
  <c r="B224" i="20"/>
  <c r="C224" i="20" s="1"/>
  <c r="AF12" i="30" s="1"/>
  <c r="A224" i="20"/>
  <c r="B223" i="20"/>
  <c r="C223" i="20" s="1"/>
  <c r="A223" i="20"/>
  <c r="B222" i="20"/>
  <c r="C222" i="20" s="1"/>
  <c r="AB10" i="30" s="1"/>
  <c r="A222" i="20"/>
  <c r="B221" i="20"/>
  <c r="C221" i="20" s="1"/>
  <c r="A221" i="20"/>
  <c r="C220" i="20"/>
  <c r="AG8" i="30" s="1"/>
  <c r="B220" i="20"/>
  <c r="A220" i="20"/>
  <c r="B219" i="20"/>
  <c r="C219" i="20" s="1"/>
  <c r="AC7" i="30" s="1"/>
  <c r="A219" i="20"/>
  <c r="B218" i="20"/>
  <c r="C218" i="20" s="1"/>
  <c r="A218" i="20"/>
  <c r="B217" i="20"/>
  <c r="C217" i="20" s="1"/>
  <c r="AB5" i="30" s="1"/>
  <c r="A217" i="20"/>
  <c r="B216" i="20"/>
  <c r="C216" i="20" s="1"/>
  <c r="AI4" i="30" s="1"/>
  <c r="A216" i="20"/>
  <c r="B215" i="20"/>
  <c r="C215" i="20" s="1"/>
  <c r="AG3" i="30" s="1"/>
  <c r="A215" i="20"/>
  <c r="D213" i="20"/>
  <c r="D211" i="20"/>
  <c r="B213" i="20" s="1"/>
  <c r="B209" i="20"/>
  <c r="C209" i="20" s="1"/>
  <c r="A209" i="20"/>
  <c r="B208" i="20"/>
  <c r="C208" i="20" s="1"/>
  <c r="U81" i="30" s="1"/>
  <c r="A208" i="20"/>
  <c r="B207" i="20"/>
  <c r="C207" i="20" s="1"/>
  <c r="A207" i="20"/>
  <c r="B206" i="20"/>
  <c r="C206" i="20" s="1"/>
  <c r="A206" i="20"/>
  <c r="B205" i="20"/>
  <c r="C205" i="20" s="1"/>
  <c r="A205" i="20"/>
  <c r="B204" i="20"/>
  <c r="C204" i="20" s="1"/>
  <c r="D204" i="20" s="1"/>
  <c r="A204" i="20"/>
  <c r="B203" i="20"/>
  <c r="C203" i="20" s="1"/>
  <c r="A203" i="20"/>
  <c r="B202" i="20"/>
  <c r="C202" i="20" s="1"/>
  <c r="D202" i="20" s="1"/>
  <c r="A202" i="20"/>
  <c r="B201" i="20"/>
  <c r="C201" i="20" s="1"/>
  <c r="W74" i="30" s="1"/>
  <c r="A201" i="20"/>
  <c r="B200" i="20"/>
  <c r="C200" i="20" s="1"/>
  <c r="A200" i="20"/>
  <c r="B199" i="20"/>
  <c r="C199" i="20" s="1"/>
  <c r="O72" i="30" s="1"/>
  <c r="A199" i="20"/>
  <c r="B198" i="20"/>
  <c r="C198" i="20" s="1"/>
  <c r="S71" i="30" s="1"/>
  <c r="A198" i="20"/>
  <c r="B197" i="20"/>
  <c r="C197" i="20" s="1"/>
  <c r="A197" i="20"/>
  <c r="B196" i="20"/>
  <c r="C196" i="20" s="1"/>
  <c r="A196" i="20"/>
  <c r="D195" i="20"/>
  <c r="B195" i="20"/>
  <c r="C195" i="20" s="1"/>
  <c r="S68" i="30" s="1"/>
  <c r="A195" i="20"/>
  <c r="B194" i="20"/>
  <c r="C194" i="20" s="1"/>
  <c r="A194" i="20"/>
  <c r="B193" i="20"/>
  <c r="C193" i="20" s="1"/>
  <c r="A193" i="20"/>
  <c r="B192" i="20"/>
  <c r="C192" i="20" s="1"/>
  <c r="R65" i="30" s="1"/>
  <c r="A192" i="20"/>
  <c r="B191" i="20"/>
  <c r="C191" i="20" s="1"/>
  <c r="A191" i="20"/>
  <c r="B190" i="20"/>
  <c r="C190" i="20" s="1"/>
  <c r="U63" i="30" s="1"/>
  <c r="A190" i="20"/>
  <c r="B189" i="20"/>
  <c r="C189" i="20" s="1"/>
  <c r="R62" i="30" s="1"/>
  <c r="A189" i="20"/>
  <c r="B188" i="20"/>
  <c r="C188" i="20" s="1"/>
  <c r="A188" i="20"/>
  <c r="B187" i="20"/>
  <c r="C187" i="20" s="1"/>
  <c r="P60" i="30" s="1"/>
  <c r="A187" i="20"/>
  <c r="B186" i="20"/>
  <c r="C186" i="20" s="1"/>
  <c r="D186" i="20" s="1"/>
  <c r="A186" i="20"/>
  <c r="B185" i="20"/>
  <c r="C185" i="20" s="1"/>
  <c r="A185" i="20"/>
  <c r="B184" i="20"/>
  <c r="C184" i="20" s="1"/>
  <c r="D184" i="20" s="1"/>
  <c r="A184" i="20"/>
  <c r="B183" i="20"/>
  <c r="C183" i="20" s="1"/>
  <c r="O56" i="30" s="1"/>
  <c r="A183" i="20"/>
  <c r="B182" i="20"/>
  <c r="C182" i="20" s="1"/>
  <c r="A182" i="20"/>
  <c r="B181" i="20"/>
  <c r="C181" i="20" s="1"/>
  <c r="A181" i="20"/>
  <c r="B180" i="20"/>
  <c r="C180" i="20" s="1"/>
  <c r="S53" i="30" s="1"/>
  <c r="A180" i="20"/>
  <c r="B179" i="20"/>
  <c r="C179" i="20" s="1"/>
  <c r="A179" i="20"/>
  <c r="B178" i="20"/>
  <c r="C178" i="20" s="1"/>
  <c r="A178" i="20"/>
  <c r="B177" i="20"/>
  <c r="C177" i="20" s="1"/>
  <c r="D177" i="20" s="1"/>
  <c r="A177" i="20"/>
  <c r="B176" i="20"/>
  <c r="C176" i="20" s="1"/>
  <c r="A176" i="20"/>
  <c r="B175" i="20"/>
  <c r="C175" i="20" s="1"/>
  <c r="A175" i="20"/>
  <c r="B174" i="20"/>
  <c r="C174" i="20" s="1"/>
  <c r="D174" i="20" s="1"/>
  <c r="A174" i="20"/>
  <c r="B173" i="20"/>
  <c r="C173" i="20" s="1"/>
  <c r="A173" i="20"/>
  <c r="B172" i="20"/>
  <c r="C172" i="20" s="1"/>
  <c r="U45" i="30" s="1"/>
  <c r="A172" i="20"/>
  <c r="B171" i="20"/>
  <c r="C171" i="20" s="1"/>
  <c r="P44" i="30" s="1"/>
  <c r="A171" i="20"/>
  <c r="B170" i="20"/>
  <c r="C170" i="20" s="1"/>
  <c r="A170" i="20"/>
  <c r="B169" i="20"/>
  <c r="C169" i="20" s="1"/>
  <c r="A169" i="20"/>
  <c r="B168" i="20"/>
  <c r="C168" i="20" s="1"/>
  <c r="U41" i="30" s="1"/>
  <c r="A168" i="20"/>
  <c r="B167" i="20"/>
  <c r="C167" i="20" s="1"/>
  <c r="A167" i="20"/>
  <c r="B166" i="20"/>
  <c r="C166" i="20" s="1"/>
  <c r="D166" i="20" s="1"/>
  <c r="A166" i="20"/>
  <c r="B165" i="20"/>
  <c r="C165" i="20" s="1"/>
  <c r="A165" i="20"/>
  <c r="B164" i="20"/>
  <c r="C164" i="20" s="1"/>
  <c r="A164" i="20"/>
  <c r="C163" i="20"/>
  <c r="O36" i="30" s="1"/>
  <c r="B163" i="20"/>
  <c r="A163" i="20"/>
  <c r="B162" i="20"/>
  <c r="C162" i="20" s="1"/>
  <c r="R35" i="30" s="1"/>
  <c r="A162" i="20"/>
  <c r="B161" i="20"/>
  <c r="C161" i="20" s="1"/>
  <c r="A161" i="20"/>
  <c r="B160" i="20"/>
  <c r="C160" i="20" s="1"/>
  <c r="A160" i="20"/>
  <c r="B159" i="20"/>
  <c r="C159" i="20" s="1"/>
  <c r="O32" i="30" s="1"/>
  <c r="A159" i="20"/>
  <c r="B158" i="20"/>
  <c r="C158" i="20" s="1"/>
  <c r="A158" i="20"/>
  <c r="B157" i="20"/>
  <c r="C157" i="20" s="1"/>
  <c r="D157" i="20" s="1"/>
  <c r="A157" i="20"/>
  <c r="B156" i="20"/>
  <c r="C156" i="20" s="1"/>
  <c r="W29" i="30" s="1"/>
  <c r="A156" i="20"/>
  <c r="B155" i="20"/>
  <c r="C155" i="20" s="1"/>
  <c r="A155" i="20"/>
  <c r="B154" i="20"/>
  <c r="C154" i="20" s="1"/>
  <c r="S27" i="30" s="1"/>
  <c r="A154" i="20"/>
  <c r="B153" i="20"/>
  <c r="C153" i="20" s="1"/>
  <c r="A153" i="20"/>
  <c r="B152" i="20"/>
  <c r="C152" i="20" s="1"/>
  <c r="W25" i="30" s="1"/>
  <c r="A152" i="20"/>
  <c r="B151" i="20"/>
  <c r="C151" i="20" s="1"/>
  <c r="A151" i="20"/>
  <c r="B150" i="20"/>
  <c r="C150" i="20" s="1"/>
  <c r="A150" i="20"/>
  <c r="B149" i="20"/>
  <c r="C149" i="20" s="1"/>
  <c r="A149" i="20"/>
  <c r="B148" i="20"/>
  <c r="C148" i="20" s="1"/>
  <c r="Q21" i="30" s="1"/>
  <c r="A148" i="20"/>
  <c r="B147" i="20"/>
  <c r="C147" i="20" s="1"/>
  <c r="A147" i="20"/>
  <c r="B146" i="20"/>
  <c r="C146" i="20" s="1"/>
  <c r="A146" i="20"/>
  <c r="B145" i="20"/>
  <c r="C145" i="20" s="1"/>
  <c r="A145" i="20"/>
  <c r="B144" i="20"/>
  <c r="C144" i="20" s="1"/>
  <c r="U17" i="30" s="1"/>
  <c r="A144" i="20"/>
  <c r="B143" i="20"/>
  <c r="C143" i="20" s="1"/>
  <c r="A143" i="20"/>
  <c r="B142" i="20"/>
  <c r="C142" i="20" s="1"/>
  <c r="A142" i="20"/>
  <c r="B141" i="20"/>
  <c r="C141" i="20" s="1"/>
  <c r="A141" i="20"/>
  <c r="B140" i="20"/>
  <c r="C140" i="20" s="1"/>
  <c r="A140" i="20"/>
  <c r="B139" i="20"/>
  <c r="C139" i="20" s="1"/>
  <c r="O12" i="30" s="1"/>
  <c r="A139" i="20"/>
  <c r="B138" i="20"/>
  <c r="C138" i="20" s="1"/>
  <c r="A138" i="20"/>
  <c r="B137" i="20"/>
  <c r="C137" i="20" s="1"/>
  <c r="A137" i="20"/>
  <c r="C136" i="20"/>
  <c r="U9" i="30" s="1"/>
  <c r="B136" i="20"/>
  <c r="A136" i="20"/>
  <c r="B135" i="20"/>
  <c r="C135" i="20" s="1"/>
  <c r="A135" i="20"/>
  <c r="B134" i="20"/>
  <c r="C134" i="20" s="1"/>
  <c r="O7" i="30" s="1"/>
  <c r="A134" i="20"/>
  <c r="B133" i="20"/>
  <c r="C133" i="20" s="1"/>
  <c r="U6" i="30" s="1"/>
  <c r="A133" i="20"/>
  <c r="B132" i="20"/>
  <c r="C132" i="20" s="1"/>
  <c r="A132" i="20"/>
  <c r="B131" i="20"/>
  <c r="C131" i="20" s="1"/>
  <c r="A131" i="20"/>
  <c r="B130" i="20"/>
  <c r="C130" i="20" s="1"/>
  <c r="W3" i="30" s="1"/>
  <c r="A130" i="20"/>
  <c r="D128" i="20"/>
  <c r="D126" i="20"/>
  <c r="B128" i="20" s="1"/>
  <c r="B124" i="20"/>
  <c r="C124" i="20" s="1"/>
  <c r="J102" i="30" s="1"/>
  <c r="A124" i="20"/>
  <c r="B123" i="20"/>
  <c r="C123" i="20" s="1"/>
  <c r="A123" i="20"/>
  <c r="B122" i="20"/>
  <c r="C122" i="20" s="1"/>
  <c r="A122" i="20"/>
  <c r="B121" i="20"/>
  <c r="C121" i="20" s="1"/>
  <c r="A121" i="20"/>
  <c r="B120" i="20"/>
  <c r="C120" i="20" s="1"/>
  <c r="A120" i="20"/>
  <c r="B119" i="20"/>
  <c r="C119" i="20" s="1"/>
  <c r="H97" i="30" s="1"/>
  <c r="A119" i="20"/>
  <c r="B118" i="20"/>
  <c r="C118" i="20" s="1"/>
  <c r="A118" i="20"/>
  <c r="B117" i="20"/>
  <c r="C117" i="20" s="1"/>
  <c r="D117" i="20" s="1"/>
  <c r="A117" i="20"/>
  <c r="B116" i="20"/>
  <c r="C116" i="20" s="1"/>
  <c r="A116" i="20"/>
  <c r="B115" i="20"/>
  <c r="C115" i="20" s="1"/>
  <c r="A115" i="20"/>
  <c r="B114" i="20"/>
  <c r="C114" i="20" s="1"/>
  <c r="A114" i="20"/>
  <c r="B113" i="20"/>
  <c r="C113" i="20" s="1"/>
  <c r="A113" i="20"/>
  <c r="B112" i="20"/>
  <c r="C112" i="20" s="1"/>
  <c r="A112" i="20"/>
  <c r="B111" i="20"/>
  <c r="C111" i="20" s="1"/>
  <c r="A111" i="20"/>
  <c r="B110" i="20"/>
  <c r="C110" i="20" s="1"/>
  <c r="A110" i="20"/>
  <c r="B109" i="20"/>
  <c r="C109" i="20" s="1"/>
  <c r="A109" i="20"/>
  <c r="B108" i="20"/>
  <c r="C108" i="20" s="1"/>
  <c r="D108" i="20" s="1"/>
  <c r="A108" i="20"/>
  <c r="B107" i="20"/>
  <c r="C107" i="20" s="1"/>
  <c r="A107" i="20"/>
  <c r="B106" i="20"/>
  <c r="C106" i="20" s="1"/>
  <c r="D106" i="20" s="1"/>
  <c r="A106" i="20"/>
  <c r="B105" i="20"/>
  <c r="C105" i="20" s="1"/>
  <c r="A105" i="20"/>
  <c r="B104" i="20"/>
  <c r="C104" i="20" s="1"/>
  <c r="A104" i="20"/>
  <c r="B103" i="20"/>
  <c r="C103" i="20" s="1"/>
  <c r="A103" i="20"/>
  <c r="B102" i="20"/>
  <c r="C102" i="20" s="1"/>
  <c r="A102" i="20"/>
  <c r="B101" i="20"/>
  <c r="C101" i="20" s="1"/>
  <c r="D101" i="20" s="1"/>
  <c r="A101" i="20"/>
  <c r="B100" i="20"/>
  <c r="C100" i="20" s="1"/>
  <c r="A100" i="20"/>
  <c r="B99" i="20"/>
  <c r="C99" i="20" s="1"/>
  <c r="H77" i="30" s="1"/>
  <c r="A99" i="20"/>
  <c r="B98" i="20"/>
  <c r="C98" i="20" s="1"/>
  <c r="A98" i="20"/>
  <c r="B97" i="20"/>
  <c r="C97" i="20" s="1"/>
  <c r="A97" i="20"/>
  <c r="B96" i="20"/>
  <c r="C96" i="20" s="1"/>
  <c r="H74" i="30" s="1"/>
  <c r="A96" i="20"/>
  <c r="B95" i="20"/>
  <c r="C95" i="20" s="1"/>
  <c r="A95" i="20"/>
  <c r="B94" i="20"/>
  <c r="C94" i="20" s="1"/>
  <c r="A94" i="20"/>
  <c r="B93" i="20"/>
  <c r="C93" i="20" s="1"/>
  <c r="A93" i="20"/>
  <c r="B92" i="20"/>
  <c r="C92" i="20" s="1"/>
  <c r="A92" i="20"/>
  <c r="B91" i="20"/>
  <c r="C91" i="20" s="1"/>
  <c r="A91" i="20"/>
  <c r="B90" i="20"/>
  <c r="C90" i="20" s="1"/>
  <c r="H68" i="30" s="1"/>
  <c r="A90" i="20"/>
  <c r="B89" i="20"/>
  <c r="C89" i="20" s="1"/>
  <c r="A89" i="20"/>
  <c r="B88" i="20"/>
  <c r="C88" i="20" s="1"/>
  <c r="D88" i="20" s="1"/>
  <c r="A88" i="20"/>
  <c r="B87" i="20"/>
  <c r="C87" i="20" s="1"/>
  <c r="A87" i="20"/>
  <c r="B86" i="20"/>
  <c r="C86" i="20" s="1"/>
  <c r="A86" i="20"/>
  <c r="B85" i="20"/>
  <c r="C85" i="20" s="1"/>
  <c r="H63" i="30" s="1"/>
  <c r="A85" i="20"/>
  <c r="B84" i="20"/>
  <c r="C84" i="20" s="1"/>
  <c r="A84" i="20"/>
  <c r="B83" i="20"/>
  <c r="C83" i="20" s="1"/>
  <c r="A83" i="20"/>
  <c r="B82" i="20"/>
  <c r="C82" i="20" s="1"/>
  <c r="H60" i="30" s="1"/>
  <c r="A82" i="20"/>
  <c r="B81" i="20"/>
  <c r="C81" i="20" s="1"/>
  <c r="A81" i="20"/>
  <c r="B80" i="20"/>
  <c r="C80" i="20" s="1"/>
  <c r="A80" i="20"/>
  <c r="B79" i="20"/>
  <c r="C79" i="20" s="1"/>
  <c r="H57" i="30" s="1"/>
  <c r="A79" i="20"/>
  <c r="B78" i="20"/>
  <c r="C78" i="20" s="1"/>
  <c r="A78" i="20"/>
  <c r="B77" i="20"/>
  <c r="C77" i="20" s="1"/>
  <c r="A77" i="20"/>
  <c r="B76" i="20"/>
  <c r="C76" i="20" s="1"/>
  <c r="H54" i="30" s="1"/>
  <c r="A76" i="20"/>
  <c r="B75" i="20"/>
  <c r="C75" i="20" s="1"/>
  <c r="A75" i="20"/>
  <c r="B74" i="20"/>
  <c r="C74" i="20" s="1"/>
  <c r="A74" i="20"/>
  <c r="B73" i="20"/>
  <c r="C73" i="20" s="1"/>
  <c r="H51" i="30" s="1"/>
  <c r="A73" i="20"/>
  <c r="B72" i="20"/>
  <c r="C72" i="20" s="1"/>
  <c r="A72" i="20"/>
  <c r="B71" i="20"/>
  <c r="C71" i="20" s="1"/>
  <c r="A71" i="20"/>
  <c r="B70" i="20"/>
  <c r="C70" i="20" s="1"/>
  <c r="H48" i="30" s="1"/>
  <c r="A70" i="20"/>
  <c r="B69" i="20"/>
  <c r="C69" i="20" s="1"/>
  <c r="A69" i="20"/>
  <c r="B68" i="20"/>
  <c r="C68" i="20" s="1"/>
  <c r="A68" i="20"/>
  <c r="B67" i="20"/>
  <c r="C67" i="20" s="1"/>
  <c r="H45" i="30" s="1"/>
  <c r="A67" i="20"/>
  <c r="B66" i="20"/>
  <c r="C66" i="20" s="1"/>
  <c r="A66" i="20"/>
  <c r="B65" i="20"/>
  <c r="C65" i="20" s="1"/>
  <c r="A65" i="20"/>
  <c r="B64" i="20"/>
  <c r="C64" i="20" s="1"/>
  <c r="D64" i="20" s="1"/>
  <c r="A64" i="20"/>
  <c r="B63" i="20"/>
  <c r="C63" i="20" s="1"/>
  <c r="A63" i="20"/>
  <c r="B62" i="20"/>
  <c r="C62" i="20" s="1"/>
  <c r="A62" i="20"/>
  <c r="C61" i="20"/>
  <c r="J39" i="30" s="1"/>
  <c r="B61" i="20"/>
  <c r="A61" i="20"/>
  <c r="B60" i="20"/>
  <c r="C60" i="20" s="1"/>
  <c r="A60" i="20"/>
  <c r="B59" i="20"/>
  <c r="C59" i="20" s="1"/>
  <c r="A59" i="20"/>
  <c r="B58" i="20"/>
  <c r="C58" i="20" s="1"/>
  <c r="A58" i="20"/>
  <c r="B57" i="20"/>
  <c r="C57" i="20" s="1"/>
  <c r="A57" i="20"/>
  <c r="B56" i="20"/>
  <c r="C56" i="20" s="1"/>
  <c r="A56" i="20"/>
  <c r="B55" i="20"/>
  <c r="C55" i="20" s="1"/>
  <c r="D55" i="20" s="1"/>
  <c r="A55" i="20"/>
  <c r="B54" i="20"/>
  <c r="C54" i="20" s="1"/>
  <c r="A54" i="20"/>
  <c r="B53" i="20"/>
  <c r="C53" i="20" s="1"/>
  <c r="A53" i="20"/>
  <c r="B52" i="20"/>
  <c r="C52" i="20" s="1"/>
  <c r="H30" i="30" s="1"/>
  <c r="A52" i="20"/>
  <c r="B51" i="20"/>
  <c r="C51" i="20" s="1"/>
  <c r="A51" i="20"/>
  <c r="B50" i="20"/>
  <c r="C50" i="20" s="1"/>
  <c r="A50" i="20"/>
  <c r="B49" i="20"/>
  <c r="C49" i="20" s="1"/>
  <c r="H27" i="30" s="1"/>
  <c r="A49" i="20"/>
  <c r="B48" i="20"/>
  <c r="C48" i="20" s="1"/>
  <c r="A48" i="20"/>
  <c r="B47" i="20"/>
  <c r="C47" i="20" s="1"/>
  <c r="A47" i="20"/>
  <c r="B46" i="20"/>
  <c r="C46" i="20" s="1"/>
  <c r="A46" i="20"/>
  <c r="B45" i="20"/>
  <c r="C45" i="20" s="1"/>
  <c r="A45" i="20"/>
  <c r="B44" i="20"/>
  <c r="C44" i="20" s="1"/>
  <c r="A44" i="20"/>
  <c r="B43" i="20"/>
  <c r="C43" i="20" s="1"/>
  <c r="A43" i="20"/>
  <c r="B42" i="20"/>
  <c r="C42" i="20" s="1"/>
  <c r="A42" i="20"/>
  <c r="B41" i="20"/>
  <c r="C41" i="20" s="1"/>
  <c r="A41" i="20"/>
  <c r="B40" i="20"/>
  <c r="C40" i="20" s="1"/>
  <c r="J18" i="30" s="1"/>
  <c r="A40" i="20"/>
  <c r="B39" i="20"/>
  <c r="C39" i="20" s="1"/>
  <c r="A39" i="20"/>
  <c r="B38" i="20"/>
  <c r="C38" i="20" s="1"/>
  <c r="A38" i="20"/>
  <c r="B37" i="20"/>
  <c r="C37" i="20" s="1"/>
  <c r="A37" i="20"/>
  <c r="B36" i="20"/>
  <c r="C36" i="20" s="1"/>
  <c r="A36" i="20"/>
  <c r="B35" i="20"/>
  <c r="C35" i="20" s="1"/>
  <c r="A35" i="20"/>
  <c r="B34" i="20"/>
  <c r="C34" i="20" s="1"/>
  <c r="H12" i="30" s="1"/>
  <c r="A34" i="20"/>
  <c r="B33" i="20"/>
  <c r="C33" i="20" s="1"/>
  <c r="A33" i="20"/>
  <c r="B32" i="20"/>
  <c r="C32" i="20" s="1"/>
  <c r="A32" i="20"/>
  <c r="B31" i="20"/>
  <c r="C31" i="20" s="1"/>
  <c r="A31" i="20"/>
  <c r="B30" i="20"/>
  <c r="C30" i="20" s="1"/>
  <c r="A30" i="20"/>
  <c r="B29" i="20"/>
  <c r="C29" i="20" s="1"/>
  <c r="A29" i="20"/>
  <c r="B28" i="20"/>
  <c r="C28" i="20" s="1"/>
  <c r="H6" i="30" s="1"/>
  <c r="A28" i="20"/>
  <c r="B27" i="20"/>
  <c r="C27" i="20" s="1"/>
  <c r="A27" i="20"/>
  <c r="B26" i="20"/>
  <c r="C26" i="20" s="1"/>
  <c r="A26" i="20"/>
  <c r="B25" i="20"/>
  <c r="C25" i="20" s="1"/>
  <c r="H3" i="30" s="1"/>
  <c r="A25" i="20"/>
  <c r="D23" i="20"/>
  <c r="D21" i="20"/>
  <c r="B23" i="20" s="1"/>
  <c r="B19" i="20"/>
  <c r="C19" i="20" s="1"/>
  <c r="A19" i="20"/>
  <c r="B18" i="20"/>
  <c r="C18" i="20" s="1"/>
  <c r="A18" i="20"/>
  <c r="B17" i="20"/>
  <c r="C17" i="20" s="1"/>
  <c r="A17" i="20"/>
  <c r="B16" i="20"/>
  <c r="C16" i="20" s="1"/>
  <c r="A16" i="20"/>
  <c r="B15" i="20"/>
  <c r="C15" i="20" s="1"/>
  <c r="A15" i="20"/>
  <c r="B14" i="20"/>
  <c r="C14" i="20" s="1"/>
  <c r="A14" i="20"/>
  <c r="B13" i="20"/>
  <c r="C13" i="20" s="1"/>
  <c r="A13" i="20"/>
  <c r="B12" i="20"/>
  <c r="C12" i="20" s="1"/>
  <c r="A12" i="20"/>
  <c r="B11" i="20"/>
  <c r="C11" i="20" s="1"/>
  <c r="A11" i="20"/>
  <c r="B10" i="20"/>
  <c r="C10" i="20" s="1"/>
  <c r="A10" i="20"/>
  <c r="D8" i="20"/>
  <c r="D6" i="20"/>
  <c r="B8" i="20" s="1"/>
  <c r="C4" i="20"/>
  <c r="C3" i="20"/>
  <c r="C2" i="20"/>
  <c r="D251" i="38"/>
  <c r="D250" i="38"/>
  <c r="D249" i="38"/>
  <c r="D248" i="38"/>
  <c r="D247" i="38"/>
  <c r="D246" i="38"/>
  <c r="D245" i="38"/>
  <c r="D244" i="38"/>
  <c r="D243" i="38"/>
  <c r="D242" i="38"/>
  <c r="D241" i="38"/>
  <c r="D240" i="38"/>
  <c r="D239" i="38"/>
  <c r="D238" i="38"/>
  <c r="D237" i="38"/>
  <c r="D236" i="38"/>
  <c r="D235" i="38"/>
  <c r="D234" i="38"/>
  <c r="D233" i="38"/>
  <c r="D232" i="38"/>
  <c r="D231" i="38"/>
  <c r="D230" i="38"/>
  <c r="D229" i="38"/>
  <c r="D228" i="38"/>
  <c r="D227" i="38"/>
  <c r="D226" i="38"/>
  <c r="D225" i="38"/>
  <c r="D224" i="38"/>
  <c r="D223" i="38"/>
  <c r="D222" i="38"/>
  <c r="D221" i="38"/>
  <c r="D220" i="38"/>
  <c r="D219" i="38"/>
  <c r="D218" i="38"/>
  <c r="D217" i="38"/>
  <c r="D216" i="38"/>
  <c r="D215" i="38"/>
  <c r="D214" i="38"/>
  <c r="D213" i="38"/>
  <c r="D212" i="38"/>
  <c r="D211" i="38"/>
  <c r="D210" i="38"/>
  <c r="D209" i="38"/>
  <c r="D208" i="38"/>
  <c r="D207" i="38"/>
  <c r="D206" i="38"/>
  <c r="D205" i="38"/>
  <c r="D204" i="38"/>
  <c r="D203" i="38"/>
  <c r="D202" i="38"/>
  <c r="D201" i="38"/>
  <c r="D200" i="38"/>
  <c r="D199" i="38"/>
  <c r="D198" i="38"/>
  <c r="D197" i="38"/>
  <c r="D196" i="38"/>
  <c r="D195" i="38"/>
  <c r="D194" i="38"/>
  <c r="D193" i="38"/>
  <c r="D192" i="38"/>
  <c r="D191" i="38"/>
  <c r="D190" i="38"/>
  <c r="D189" i="38"/>
  <c r="D188" i="38"/>
  <c r="D187" i="38"/>
  <c r="D186" i="38"/>
  <c r="D185" i="38"/>
  <c r="D184" i="38"/>
  <c r="D183" i="38"/>
  <c r="D182" i="38"/>
  <c r="D181" i="38"/>
  <c r="D180" i="38"/>
  <c r="D179" i="38"/>
  <c r="D178" i="38"/>
  <c r="D177" i="38"/>
  <c r="D176" i="38"/>
  <c r="D175" i="38"/>
  <c r="D174" i="38"/>
  <c r="D173" i="38"/>
  <c r="D172" i="38"/>
  <c r="D171" i="38"/>
  <c r="D170" i="38"/>
  <c r="D169" i="38"/>
  <c r="D168" i="38"/>
  <c r="D167" i="38"/>
  <c r="D166" i="38"/>
  <c r="D165" i="38"/>
  <c r="D164" i="38"/>
  <c r="D163" i="38"/>
  <c r="D162" i="38"/>
  <c r="D161" i="38"/>
  <c r="D160" i="38"/>
  <c r="D159" i="38"/>
  <c r="D158" i="38"/>
  <c r="D157" i="38"/>
  <c r="D156" i="38"/>
  <c r="D155" i="38"/>
  <c r="D154" i="38"/>
  <c r="D153" i="38"/>
  <c r="D152" i="38"/>
  <c r="D151" i="38"/>
  <c r="D150" i="38"/>
  <c r="D149" i="38"/>
  <c r="D148" i="38"/>
  <c r="D147" i="38"/>
  <c r="D146" i="38"/>
  <c r="D145" i="38"/>
  <c r="D144" i="38"/>
  <c r="D143" i="38"/>
  <c r="D142" i="38"/>
  <c r="D141" i="38"/>
  <c r="D140" i="38"/>
  <c r="D139" i="38"/>
  <c r="D138" i="38"/>
  <c r="D137" i="38"/>
  <c r="D136" i="38"/>
  <c r="D135" i="38"/>
  <c r="D134" i="38"/>
  <c r="D133" i="38"/>
  <c r="D132" i="38"/>
  <c r="D131" i="38"/>
  <c r="D130" i="38"/>
  <c r="D129" i="38"/>
  <c r="D128" i="38"/>
  <c r="D127" i="38"/>
  <c r="D126" i="38"/>
  <c r="D125" i="38"/>
  <c r="D124" i="38"/>
  <c r="D123" i="38"/>
  <c r="D122" i="38"/>
  <c r="D121" i="38"/>
  <c r="D120" i="38"/>
  <c r="D119" i="38"/>
  <c r="D118" i="38"/>
  <c r="D117" i="38"/>
  <c r="D116" i="38"/>
  <c r="D115" i="38"/>
  <c r="D114" i="38"/>
  <c r="D113" i="38"/>
  <c r="D112" i="38"/>
  <c r="D111" i="38"/>
  <c r="D110" i="38"/>
  <c r="D109" i="38"/>
  <c r="D108" i="38"/>
  <c r="D107" i="38"/>
  <c r="D106" i="38"/>
  <c r="D105" i="38"/>
  <c r="D104" i="38"/>
  <c r="D103" i="38"/>
  <c r="D102" i="38"/>
  <c r="D101" i="38"/>
  <c r="D100" i="38"/>
  <c r="D99" i="38"/>
  <c r="D98" i="38"/>
  <c r="D97" i="38"/>
  <c r="D96" i="38"/>
  <c r="D95" i="38"/>
  <c r="D94" i="38"/>
  <c r="D93" i="38"/>
  <c r="D92" i="38"/>
  <c r="D91" i="38"/>
  <c r="D90" i="38"/>
  <c r="D89" i="38"/>
  <c r="D88" i="38"/>
  <c r="D87" i="38"/>
  <c r="D86" i="38"/>
  <c r="D85" i="38"/>
  <c r="D84" i="38"/>
  <c r="D83" i="38"/>
  <c r="D82" i="38"/>
  <c r="D81" i="38"/>
  <c r="D80" i="38"/>
  <c r="D79" i="38"/>
  <c r="D78" i="38"/>
  <c r="D77" i="38"/>
  <c r="D76" i="38"/>
  <c r="D74" i="38"/>
  <c r="D73" i="38"/>
  <c r="D72" i="38"/>
  <c r="D71" i="38"/>
  <c r="D70" i="38"/>
  <c r="D69" i="38"/>
  <c r="D68" i="38"/>
  <c r="D67" i="38"/>
  <c r="D66" i="38"/>
  <c r="D65" i="38"/>
  <c r="D64" i="38"/>
  <c r="D63" i="38"/>
  <c r="D62" i="38"/>
  <c r="D61" i="38"/>
  <c r="D60" i="38"/>
  <c r="D59" i="38"/>
  <c r="D58" i="38"/>
  <c r="D57" i="38"/>
  <c r="D56" i="38"/>
  <c r="D55" i="38"/>
  <c r="D54" i="38"/>
  <c r="D53" i="38"/>
  <c r="D52" i="38"/>
  <c r="D51" i="38"/>
  <c r="D50" i="38"/>
  <c r="D49" i="38"/>
  <c r="D48" i="38"/>
  <c r="D47" i="38"/>
  <c r="D46" i="38"/>
  <c r="D45" i="38"/>
  <c r="D44" i="38"/>
  <c r="D43" i="38"/>
  <c r="D42" i="38"/>
  <c r="D41" i="38"/>
  <c r="D40" i="38"/>
  <c r="D39" i="38"/>
  <c r="D38" i="38"/>
  <c r="D37" i="38"/>
  <c r="D36" i="38"/>
  <c r="D35" i="38"/>
  <c r="D34" i="38"/>
  <c r="D33" i="38"/>
  <c r="D32" i="38"/>
  <c r="D31" i="38"/>
  <c r="D30" i="38"/>
  <c r="D29" i="38"/>
  <c r="D28" i="38"/>
  <c r="D27" i="38"/>
  <c r="D26" i="38"/>
  <c r="D25" i="38"/>
  <c r="D24" i="38"/>
  <c r="D23" i="38"/>
  <c r="D22" i="38"/>
  <c r="D21" i="38"/>
  <c r="D20" i="38"/>
  <c r="D19" i="38"/>
  <c r="D18" i="38"/>
  <c r="D17" i="38"/>
  <c r="D16" i="38"/>
  <c r="D15" i="38"/>
  <c r="D14" i="38"/>
  <c r="D13" i="38"/>
  <c r="D12" i="38"/>
  <c r="D11" i="38"/>
  <c r="D10" i="38"/>
  <c r="D9" i="38"/>
  <c r="D8" i="38"/>
  <c r="D7" i="38"/>
  <c r="D6" i="38"/>
  <c r="D5" i="38"/>
  <c r="D4" i="38"/>
  <c r="D3" i="38"/>
  <c r="D2" i="38"/>
  <c r="K46" i="21"/>
  <c r="H46" i="21"/>
  <c r="K45" i="21"/>
  <c r="J45" i="21"/>
  <c r="H45" i="21"/>
  <c r="E44" i="21"/>
  <c r="H43" i="21"/>
  <c r="H42" i="21"/>
  <c r="H41" i="21"/>
  <c r="F36" i="21"/>
  <c r="C36" i="21"/>
  <c r="M34" i="21"/>
  <c r="F34" i="21"/>
  <c r="M33" i="21"/>
  <c r="M32" i="21"/>
  <c r="M31" i="21"/>
  <c r="F31" i="21"/>
  <c r="E31" i="21"/>
  <c r="G31" i="21" s="1"/>
  <c r="F30" i="21"/>
  <c r="E30" i="21"/>
  <c r="G30" i="21" s="1"/>
  <c r="G29" i="21"/>
  <c r="F29" i="21"/>
  <c r="E29" i="21"/>
  <c r="G28" i="21"/>
  <c r="F28" i="21"/>
  <c r="E28" i="21"/>
  <c r="F27" i="21"/>
  <c r="E27" i="21"/>
  <c r="G27" i="21" s="1"/>
  <c r="F26" i="21"/>
  <c r="E26" i="21"/>
  <c r="G26" i="21" s="1"/>
  <c r="F25" i="21"/>
  <c r="E25" i="21"/>
  <c r="G25" i="21" s="1"/>
  <c r="F24" i="21"/>
  <c r="E24" i="21"/>
  <c r="G24" i="21" s="1"/>
  <c r="J92" i="30" l="1"/>
  <c r="S32" i="30"/>
  <c r="D229" i="20"/>
  <c r="AM17" i="30"/>
  <c r="AF13" i="30"/>
  <c r="AD8" i="30"/>
  <c r="AD10" i="30"/>
  <c r="J24" i="30"/>
  <c r="J21" i="30"/>
  <c r="P78" i="30"/>
  <c r="R78" i="30"/>
  <c r="Q69" i="30"/>
  <c r="S69" i="30"/>
  <c r="D232" i="20"/>
  <c r="AB20" i="30"/>
  <c r="AE20" i="30"/>
  <c r="AD17" i="30"/>
  <c r="AE17" i="30"/>
  <c r="AC19" i="30"/>
  <c r="AG19" i="30"/>
  <c r="AK19" i="30"/>
  <c r="D223" i="20"/>
  <c r="AD11" i="30"/>
  <c r="AC11" i="30"/>
  <c r="AK8" i="30"/>
  <c r="AE10" i="30"/>
  <c r="AI10" i="30"/>
  <c r="AK10" i="30"/>
  <c r="AK4" i="30"/>
  <c r="D114" i="20"/>
  <c r="H92" i="30"/>
  <c r="D193" i="20"/>
  <c r="R66" i="30"/>
  <c r="O66" i="30"/>
  <c r="P62" i="30"/>
  <c r="U65" i="30"/>
  <c r="J74" i="30"/>
  <c r="D96" i="20"/>
  <c r="J77" i="30"/>
  <c r="U57" i="30"/>
  <c r="J71" i="30"/>
  <c r="O48" i="30"/>
  <c r="D175" i="20"/>
  <c r="S48" i="30"/>
  <c r="O50" i="30"/>
  <c r="R50" i="30"/>
  <c r="W47" i="30"/>
  <c r="S42" i="30"/>
  <c r="P42" i="30"/>
  <c r="O33" i="30"/>
  <c r="U33" i="30"/>
  <c r="R33" i="30"/>
  <c r="D168" i="20"/>
  <c r="P35" i="30"/>
  <c r="D159" i="20"/>
  <c r="P36" i="30"/>
  <c r="R30" i="30"/>
  <c r="U30" i="30"/>
  <c r="Q24" i="30"/>
  <c r="W24" i="30"/>
  <c r="S24" i="30"/>
  <c r="W21" i="30"/>
  <c r="J49" i="29"/>
  <c r="J50" i="29" s="1"/>
  <c r="J51" i="29" s="1"/>
  <c r="P15" i="30"/>
  <c r="O15" i="30"/>
  <c r="D142" i="20"/>
  <c r="U15" i="30"/>
  <c r="S15" i="30"/>
  <c r="P18" i="30"/>
  <c r="U18" i="30"/>
  <c r="D44" i="21"/>
  <c r="F44" i="21" s="1"/>
  <c r="J34" i="29"/>
  <c r="O3" i="30"/>
  <c r="Q3" i="30"/>
  <c r="J9" i="30"/>
  <c r="D22" i="20"/>
  <c r="D7" i="33"/>
  <c r="AG15" i="30"/>
  <c r="AK15" i="30"/>
  <c r="AC15" i="30"/>
  <c r="AI15" i="30"/>
  <c r="AE15" i="30"/>
  <c r="D227" i="20"/>
  <c r="AB15" i="30"/>
  <c r="AF15" i="30"/>
  <c r="AM15" i="30"/>
  <c r="AD15" i="30"/>
  <c r="D30" i="20"/>
  <c r="H8" i="30"/>
  <c r="J8" i="30"/>
  <c r="H13" i="30"/>
  <c r="J13" i="30"/>
  <c r="D35" i="20"/>
  <c r="J26" i="30"/>
  <c r="H26" i="30"/>
  <c r="D48" i="20"/>
  <c r="H31" i="30"/>
  <c r="J31" i="30"/>
  <c r="D53" i="20"/>
  <c r="H44" i="30"/>
  <c r="D66" i="20"/>
  <c r="J44" i="30"/>
  <c r="H49" i="30"/>
  <c r="J49" i="30"/>
  <c r="D71" i="20"/>
  <c r="H62" i="30"/>
  <c r="J62" i="30"/>
  <c r="D84" i="20"/>
  <c r="H67" i="30"/>
  <c r="J67" i="30"/>
  <c r="D89" i="20"/>
  <c r="H70" i="30"/>
  <c r="D92" i="20"/>
  <c r="J70" i="30"/>
  <c r="J73" i="30"/>
  <c r="H73" i="30"/>
  <c r="D95" i="20"/>
  <c r="J81" i="30"/>
  <c r="H81" i="30"/>
  <c r="D103" i="20"/>
  <c r="S4" i="30"/>
  <c r="P4" i="30"/>
  <c r="D131" i="20"/>
  <c r="U4" i="30"/>
  <c r="O4" i="30"/>
  <c r="W4" i="30"/>
  <c r="X3" i="30" s="1"/>
  <c r="R4" i="30"/>
  <c r="Q4" i="30"/>
  <c r="R14" i="30"/>
  <c r="U14" i="30"/>
  <c r="O14" i="30"/>
  <c r="S14" i="30"/>
  <c r="W14" i="30"/>
  <c r="P14" i="30"/>
  <c r="D141" i="20"/>
  <c r="Q14" i="30"/>
  <c r="W16" i="30"/>
  <c r="O16" i="30"/>
  <c r="Q16" i="30"/>
  <c r="S16" i="30"/>
  <c r="R16" i="30"/>
  <c r="D143" i="20"/>
  <c r="U16" i="30"/>
  <c r="P16" i="30"/>
  <c r="S28" i="30"/>
  <c r="W28" i="30"/>
  <c r="O28" i="30"/>
  <c r="Q28" i="30"/>
  <c r="D155" i="20"/>
  <c r="R28" i="30"/>
  <c r="P28" i="30"/>
  <c r="U28" i="30"/>
  <c r="Q49" i="30"/>
  <c r="S49" i="30"/>
  <c r="P49" i="30"/>
  <c r="W49" i="30"/>
  <c r="O49" i="30"/>
  <c r="D176" i="20"/>
  <c r="U49" i="30"/>
  <c r="R49" i="30"/>
  <c r="W70" i="30"/>
  <c r="O70" i="30"/>
  <c r="Q70" i="30"/>
  <c r="U70" i="30"/>
  <c r="P70" i="30"/>
  <c r="S70" i="30"/>
  <c r="D197" i="20"/>
  <c r="R70" i="30"/>
  <c r="U82" i="30"/>
  <c r="S82" i="30"/>
  <c r="Q82" i="30"/>
  <c r="O82" i="30"/>
  <c r="R82" i="30"/>
  <c r="W82" i="30"/>
  <c r="D209" i="20"/>
  <c r="P82" i="30"/>
  <c r="AG6" i="30"/>
  <c r="AF6" i="30"/>
  <c r="AM6" i="30"/>
  <c r="AC6" i="30"/>
  <c r="D218" i="20"/>
  <c r="AK6" i="30"/>
  <c r="AD6" i="30"/>
  <c r="AB6" i="30"/>
  <c r="AI6" i="30"/>
  <c r="AE6" i="30"/>
  <c r="D4" i="30"/>
  <c r="D11" i="20"/>
  <c r="B4" i="30"/>
  <c r="D14" i="20"/>
  <c r="D7" i="30"/>
  <c r="B7" i="30"/>
  <c r="D10" i="30"/>
  <c r="D17" i="20"/>
  <c r="B10" i="30"/>
  <c r="H4" i="30"/>
  <c r="J4" i="30"/>
  <c r="D26" i="20"/>
  <c r="J17" i="30"/>
  <c r="D39" i="20"/>
  <c r="H17" i="30"/>
  <c r="J22" i="30"/>
  <c r="H22" i="30"/>
  <c r="D44" i="20"/>
  <c r="H35" i="30"/>
  <c r="D57" i="20"/>
  <c r="J35" i="30"/>
  <c r="J40" i="30"/>
  <c r="H40" i="30"/>
  <c r="D62" i="20"/>
  <c r="H53" i="30"/>
  <c r="J53" i="30"/>
  <c r="D75" i="20"/>
  <c r="H58" i="30"/>
  <c r="J58" i="30"/>
  <c r="D80" i="20"/>
  <c r="H85" i="30"/>
  <c r="J85" i="30"/>
  <c r="D107" i="20"/>
  <c r="J88" i="30"/>
  <c r="H88" i="30"/>
  <c r="D110" i="20"/>
  <c r="H91" i="30"/>
  <c r="J91" i="30"/>
  <c r="D113" i="20"/>
  <c r="H99" i="30"/>
  <c r="J99" i="30"/>
  <c r="D121" i="20"/>
  <c r="U10" i="30"/>
  <c r="S10" i="30"/>
  <c r="D137" i="20"/>
  <c r="P10" i="30"/>
  <c r="W10" i="30"/>
  <c r="R10" i="30"/>
  <c r="Q10" i="30"/>
  <c r="O10" i="30"/>
  <c r="R22" i="30"/>
  <c r="U22" i="30"/>
  <c r="S22" i="30"/>
  <c r="W22" i="30"/>
  <c r="D149" i="20"/>
  <c r="O22" i="30"/>
  <c r="Q22" i="30"/>
  <c r="P22" i="30"/>
  <c r="S43" i="30"/>
  <c r="U43" i="30"/>
  <c r="O43" i="30"/>
  <c r="P43" i="30"/>
  <c r="W43" i="30"/>
  <c r="D170" i="20"/>
  <c r="Q43" i="30"/>
  <c r="R43" i="30"/>
  <c r="R55" i="30"/>
  <c r="U55" i="30"/>
  <c r="P55" i="30"/>
  <c r="W55" i="30"/>
  <c r="D182" i="20"/>
  <c r="Q55" i="30"/>
  <c r="O55" i="30"/>
  <c r="S55" i="30"/>
  <c r="P76" i="30"/>
  <c r="U76" i="30"/>
  <c r="W76" i="30"/>
  <c r="O76" i="30"/>
  <c r="R76" i="30"/>
  <c r="D203" i="20"/>
  <c r="S76" i="30"/>
  <c r="Q76" i="30"/>
  <c r="H7" i="30"/>
  <c r="J7" i="30"/>
  <c r="D29" i="20"/>
  <c r="J20" i="30"/>
  <c r="H20" i="30"/>
  <c r="D42" i="20"/>
  <c r="J25" i="30"/>
  <c r="D47" i="20"/>
  <c r="H25" i="30"/>
  <c r="H38" i="30"/>
  <c r="J38" i="30"/>
  <c r="D60" i="20"/>
  <c r="J43" i="30"/>
  <c r="H43" i="30"/>
  <c r="D65" i="20"/>
  <c r="J56" i="30"/>
  <c r="H56" i="30"/>
  <c r="D78" i="20"/>
  <c r="H61" i="30"/>
  <c r="J61" i="30"/>
  <c r="D83" i="20"/>
  <c r="J69" i="30"/>
  <c r="H69" i="30"/>
  <c r="D91" i="20"/>
  <c r="J72" i="30"/>
  <c r="H72" i="30"/>
  <c r="D94" i="20"/>
  <c r="H94" i="30"/>
  <c r="J94" i="30"/>
  <c r="D116" i="20"/>
  <c r="P8" i="30"/>
  <c r="O8" i="30"/>
  <c r="S8" i="30"/>
  <c r="D135" i="20"/>
  <c r="U8" i="30"/>
  <c r="R8" i="30"/>
  <c r="Q8" i="30"/>
  <c r="W8" i="30"/>
  <c r="Q13" i="30"/>
  <c r="W13" i="30"/>
  <c r="D140" i="20"/>
  <c r="R13" i="30"/>
  <c r="U13" i="30"/>
  <c r="O13" i="30"/>
  <c r="P13" i="30"/>
  <c r="S13" i="30"/>
  <c r="R20" i="30"/>
  <c r="U20" i="30"/>
  <c r="S20" i="30"/>
  <c r="Q20" i="30"/>
  <c r="P20" i="30"/>
  <c r="D147" i="20"/>
  <c r="W20" i="30"/>
  <c r="O20" i="30"/>
  <c r="U34" i="30"/>
  <c r="P34" i="30"/>
  <c r="W34" i="30"/>
  <c r="R34" i="30"/>
  <c r="D161" i="20"/>
  <c r="Q34" i="30"/>
  <c r="S34" i="30"/>
  <c r="O34" i="30"/>
  <c r="S46" i="30"/>
  <c r="W46" i="30"/>
  <c r="O46" i="30"/>
  <c r="Q46" i="30"/>
  <c r="U46" i="30"/>
  <c r="D173" i="20"/>
  <c r="R46" i="30"/>
  <c r="P46" i="30"/>
  <c r="W67" i="30"/>
  <c r="Q67" i="30"/>
  <c r="S67" i="30"/>
  <c r="P67" i="30"/>
  <c r="U67" i="30"/>
  <c r="D194" i="20"/>
  <c r="R67" i="30"/>
  <c r="O67" i="30"/>
  <c r="B5" i="30"/>
  <c r="D12" i="20"/>
  <c r="D5" i="30"/>
  <c r="B8" i="30"/>
  <c r="D15" i="20"/>
  <c r="D8" i="30"/>
  <c r="D11" i="30"/>
  <c r="B11" i="30"/>
  <c r="D18" i="20"/>
  <c r="J5" i="30"/>
  <c r="H5" i="30"/>
  <c r="D27" i="20"/>
  <c r="J10" i="30"/>
  <c r="H10" i="30"/>
  <c r="D32" i="20"/>
  <c r="H23" i="30"/>
  <c r="J23" i="30"/>
  <c r="D45" i="20"/>
  <c r="J28" i="30"/>
  <c r="H28" i="30"/>
  <c r="D50" i="20"/>
  <c r="H41" i="30"/>
  <c r="J41" i="30"/>
  <c r="D63" i="20"/>
  <c r="H46" i="30"/>
  <c r="J46" i="30"/>
  <c r="D68" i="20"/>
  <c r="H59" i="30"/>
  <c r="J59" i="30"/>
  <c r="D81" i="20"/>
  <c r="J64" i="30"/>
  <c r="H64" i="30"/>
  <c r="D86" i="20"/>
  <c r="H75" i="30"/>
  <c r="J75" i="30"/>
  <c r="D97" i="20"/>
  <c r="H78" i="30"/>
  <c r="J78" i="30"/>
  <c r="D100" i="20"/>
  <c r="H100" i="30"/>
  <c r="J100" i="30"/>
  <c r="D122" i="20"/>
  <c r="R11" i="30"/>
  <c r="U11" i="30"/>
  <c r="Q11" i="30"/>
  <c r="D138" i="20"/>
  <c r="O11" i="30"/>
  <c r="P11" i="30"/>
  <c r="W11" i="30"/>
  <c r="S11" i="30"/>
  <c r="P23" i="30"/>
  <c r="R23" i="30"/>
  <c r="Q23" i="30"/>
  <c r="U23" i="30"/>
  <c r="O23" i="30"/>
  <c r="W23" i="30"/>
  <c r="S23" i="30"/>
  <c r="D150" i="20"/>
  <c r="U37" i="30"/>
  <c r="P37" i="30"/>
  <c r="R37" i="30"/>
  <c r="W37" i="30"/>
  <c r="D164" i="20"/>
  <c r="O37" i="30"/>
  <c r="S37" i="30"/>
  <c r="Q37" i="30"/>
  <c r="P58" i="30"/>
  <c r="R58" i="30"/>
  <c r="O58" i="30"/>
  <c r="U58" i="30"/>
  <c r="S58" i="30"/>
  <c r="D185" i="20"/>
  <c r="W58" i="30"/>
  <c r="Q58" i="30"/>
  <c r="U79" i="30"/>
  <c r="R79" i="30"/>
  <c r="W79" i="30"/>
  <c r="P79" i="30"/>
  <c r="S79" i="30"/>
  <c r="D206" i="20"/>
  <c r="O79" i="30"/>
  <c r="Q79" i="30"/>
  <c r="AK18" i="30"/>
  <c r="AE18" i="30"/>
  <c r="AM18" i="30"/>
  <c r="AG18" i="30"/>
  <c r="AF18" i="30"/>
  <c r="AC18" i="30"/>
  <c r="AI18" i="30"/>
  <c r="D230" i="20"/>
  <c r="AD18" i="30"/>
  <c r="AB18" i="30"/>
  <c r="B3" i="30"/>
  <c r="D3" i="30"/>
  <c r="D10" i="20"/>
  <c r="C25" i="21"/>
  <c r="D25" i="21" s="1"/>
  <c r="C31" i="21"/>
  <c r="D31" i="21" s="1"/>
  <c r="D6" i="30"/>
  <c r="D13" i="20"/>
  <c r="B6" i="30"/>
  <c r="B9" i="30"/>
  <c r="D16" i="20"/>
  <c r="D9" i="30"/>
  <c r="D12" i="30"/>
  <c r="D19" i="20"/>
  <c r="B12" i="30"/>
  <c r="J11" i="30"/>
  <c r="D33" i="20"/>
  <c r="H11" i="30"/>
  <c r="H16" i="30"/>
  <c r="J16" i="30"/>
  <c r="D38" i="20"/>
  <c r="J29" i="30"/>
  <c r="D51" i="20"/>
  <c r="H29" i="30"/>
  <c r="J34" i="30"/>
  <c r="H34" i="30"/>
  <c r="D56" i="20"/>
  <c r="H47" i="30"/>
  <c r="D69" i="20"/>
  <c r="J47" i="30"/>
  <c r="H52" i="30"/>
  <c r="J52" i="30"/>
  <c r="D74" i="20"/>
  <c r="H65" i="30"/>
  <c r="J65" i="30"/>
  <c r="D87" i="20"/>
  <c r="H76" i="30"/>
  <c r="J76" i="30"/>
  <c r="D98" i="20"/>
  <c r="J87" i="30"/>
  <c r="H87" i="30"/>
  <c r="D109" i="20"/>
  <c r="H90" i="30"/>
  <c r="J90" i="30"/>
  <c r="D112" i="20"/>
  <c r="R26" i="30"/>
  <c r="U26" i="30"/>
  <c r="O26" i="30"/>
  <c r="S26" i="30"/>
  <c r="Q26" i="30"/>
  <c r="D153" i="20"/>
  <c r="P26" i="30"/>
  <c r="W26" i="30"/>
  <c r="R40" i="30"/>
  <c r="U40" i="30"/>
  <c r="Q40" i="30"/>
  <c r="D167" i="20"/>
  <c r="S40" i="30"/>
  <c r="W40" i="30"/>
  <c r="O40" i="30"/>
  <c r="P40" i="30"/>
  <c r="P61" i="30"/>
  <c r="R61" i="30"/>
  <c r="W61" i="30"/>
  <c r="Q61" i="30"/>
  <c r="O61" i="30"/>
  <c r="D188" i="20"/>
  <c r="U61" i="30"/>
  <c r="S61" i="30"/>
  <c r="S73" i="30"/>
  <c r="W73" i="30"/>
  <c r="O73" i="30"/>
  <c r="P73" i="30"/>
  <c r="U73" i="30"/>
  <c r="D200" i="20"/>
  <c r="R73" i="30"/>
  <c r="Q73" i="30"/>
  <c r="AI9" i="30"/>
  <c r="AB9" i="30"/>
  <c r="AE9" i="30"/>
  <c r="AK9" i="30"/>
  <c r="D221" i="20"/>
  <c r="AM9" i="30"/>
  <c r="AG9" i="30"/>
  <c r="AF9" i="30"/>
  <c r="AD9" i="30"/>
  <c r="AC9" i="30"/>
  <c r="C27" i="21"/>
  <c r="D27" i="21" s="1"/>
  <c r="J14" i="30"/>
  <c r="H14" i="30"/>
  <c r="D36" i="20"/>
  <c r="H19" i="30"/>
  <c r="J19" i="30"/>
  <c r="D41" i="20"/>
  <c r="J32" i="30"/>
  <c r="H32" i="30"/>
  <c r="D54" i="20"/>
  <c r="J37" i="30"/>
  <c r="D59" i="20"/>
  <c r="H37" i="30"/>
  <c r="J50" i="30"/>
  <c r="H50" i="30"/>
  <c r="D72" i="20"/>
  <c r="J55" i="30"/>
  <c r="H55" i="30"/>
  <c r="D77" i="20"/>
  <c r="J82" i="30"/>
  <c r="H82" i="30"/>
  <c r="D104" i="20"/>
  <c r="J93" i="30"/>
  <c r="H93" i="30"/>
  <c r="D115" i="20"/>
  <c r="H96" i="30"/>
  <c r="J96" i="30"/>
  <c r="D118" i="20"/>
  <c r="Q5" i="30"/>
  <c r="R5" i="30"/>
  <c r="W5" i="30"/>
  <c r="P5" i="30"/>
  <c r="O5" i="30"/>
  <c r="U5" i="30"/>
  <c r="S5" i="30"/>
  <c r="D132" i="20"/>
  <c r="U19" i="30"/>
  <c r="O19" i="30"/>
  <c r="W19" i="30"/>
  <c r="Q19" i="30"/>
  <c r="D146" i="20"/>
  <c r="R19" i="30"/>
  <c r="P19" i="30"/>
  <c r="S19" i="30"/>
  <c r="P31" i="30"/>
  <c r="R31" i="30"/>
  <c r="Q31" i="30"/>
  <c r="S31" i="30"/>
  <c r="D158" i="20"/>
  <c r="W31" i="30"/>
  <c r="O31" i="30"/>
  <c r="U31" i="30"/>
  <c r="Q52" i="30"/>
  <c r="S52" i="30"/>
  <c r="R52" i="30"/>
  <c r="D179" i="20"/>
  <c r="U52" i="30"/>
  <c r="W52" i="30"/>
  <c r="O52" i="30"/>
  <c r="P52" i="30"/>
  <c r="U64" i="30"/>
  <c r="P64" i="30"/>
  <c r="Q64" i="30"/>
  <c r="W64" i="30"/>
  <c r="D191" i="20"/>
  <c r="R64" i="30"/>
  <c r="S64" i="30"/>
  <c r="O64" i="30"/>
  <c r="D28" i="20"/>
  <c r="D31" i="20"/>
  <c r="D40" i="20"/>
  <c r="D49" i="20"/>
  <c r="D52" i="20"/>
  <c r="D61" i="20"/>
  <c r="D67" i="20"/>
  <c r="D70" i="20"/>
  <c r="D73" i="20"/>
  <c r="D76" i="20"/>
  <c r="D82" i="20"/>
  <c r="D85" i="20"/>
  <c r="W38" i="30"/>
  <c r="O38" i="30"/>
  <c r="Q38" i="30"/>
  <c r="P38" i="30"/>
  <c r="U38" i="30"/>
  <c r="P45" i="30"/>
  <c r="R45" i="30"/>
  <c r="W45" i="30"/>
  <c r="Q45" i="30"/>
  <c r="O45" i="30"/>
  <c r="W54" i="30"/>
  <c r="O54" i="30"/>
  <c r="Q54" i="30"/>
  <c r="U54" i="30"/>
  <c r="P54" i="30"/>
  <c r="S54" i="30"/>
  <c r="P63" i="30"/>
  <c r="S63" i="30"/>
  <c r="O63" i="30"/>
  <c r="W63" i="30"/>
  <c r="Q63" i="30"/>
  <c r="D217" i="20"/>
  <c r="D90" i="20"/>
  <c r="H101" i="30"/>
  <c r="J101" i="30"/>
  <c r="D172" i="20"/>
  <c r="D181" i="20"/>
  <c r="D190" i="20"/>
  <c r="AI13" i="30"/>
  <c r="AC13" i="30"/>
  <c r="AE13" i="30"/>
  <c r="AM22" i="30"/>
  <c r="AD22" i="30"/>
  <c r="AF22" i="30"/>
  <c r="AI22" i="30"/>
  <c r="AE22" i="30"/>
  <c r="J6" i="30"/>
  <c r="AD7" i="30"/>
  <c r="O9" i="30"/>
  <c r="Q12" i="30"/>
  <c r="AG20" i="30"/>
  <c r="P56" i="30"/>
  <c r="J97" i="30"/>
  <c r="E19" i="34"/>
  <c r="C19" i="34"/>
  <c r="D41" i="33"/>
  <c r="C31" i="34"/>
  <c r="D53" i="33"/>
  <c r="E31" i="34"/>
  <c r="C46" i="34"/>
  <c r="D68" i="33"/>
  <c r="E46" i="34"/>
  <c r="E58" i="34"/>
  <c r="C58" i="34"/>
  <c r="D80" i="33"/>
  <c r="E79" i="34"/>
  <c r="C79" i="34"/>
  <c r="D101" i="33"/>
  <c r="E85" i="34"/>
  <c r="C85" i="34"/>
  <c r="D107" i="33"/>
  <c r="E100" i="34"/>
  <c r="C100" i="34"/>
  <c r="D122" i="33"/>
  <c r="M7" i="34"/>
  <c r="J7" i="34"/>
  <c r="P7" i="34"/>
  <c r="R7" i="34"/>
  <c r="K7" i="34"/>
  <c r="N7" i="34"/>
  <c r="D134" i="33"/>
  <c r="R23" i="34"/>
  <c r="L23" i="34"/>
  <c r="K23" i="34"/>
  <c r="J23" i="34"/>
  <c r="N23" i="34"/>
  <c r="D150" i="33"/>
  <c r="M23" i="34"/>
  <c r="P23" i="34"/>
  <c r="R25" i="34"/>
  <c r="J25" i="34"/>
  <c r="N25" i="34"/>
  <c r="M25" i="34"/>
  <c r="P25" i="34"/>
  <c r="L25" i="34"/>
  <c r="D152" i="33"/>
  <c r="K25" i="34"/>
  <c r="K41" i="34"/>
  <c r="R41" i="34"/>
  <c r="J41" i="34"/>
  <c r="L41" i="34"/>
  <c r="M41" i="34"/>
  <c r="P41" i="34"/>
  <c r="D168" i="33"/>
  <c r="N41" i="34"/>
  <c r="M50" i="34"/>
  <c r="L50" i="34"/>
  <c r="R50" i="34"/>
  <c r="J50" i="34"/>
  <c r="P50" i="34"/>
  <c r="D177" i="33"/>
  <c r="N50" i="34"/>
  <c r="K50" i="34"/>
  <c r="R59" i="34"/>
  <c r="L59" i="34"/>
  <c r="K59" i="34"/>
  <c r="P59" i="34"/>
  <c r="N59" i="34"/>
  <c r="J59" i="34"/>
  <c r="D186" i="33"/>
  <c r="M59" i="34"/>
  <c r="M68" i="34"/>
  <c r="K68" i="34"/>
  <c r="R68" i="34"/>
  <c r="P68" i="34"/>
  <c r="J68" i="34"/>
  <c r="L68" i="34"/>
  <c r="D195" i="33"/>
  <c r="N68" i="34"/>
  <c r="N77" i="34"/>
  <c r="L77" i="34"/>
  <c r="R77" i="34"/>
  <c r="P77" i="34"/>
  <c r="M77" i="34"/>
  <c r="K77" i="34"/>
  <c r="D204" i="33"/>
  <c r="J77" i="34"/>
  <c r="R79" i="34"/>
  <c r="L79" i="34"/>
  <c r="P79" i="34"/>
  <c r="J79" i="34"/>
  <c r="N79" i="34"/>
  <c r="K79" i="34"/>
  <c r="D206" i="33"/>
  <c r="L7" i="34"/>
  <c r="L84" i="34" s="1"/>
  <c r="M79" i="34"/>
  <c r="C28" i="21"/>
  <c r="D28" i="21" s="1"/>
  <c r="J80" i="30"/>
  <c r="H80" i="30"/>
  <c r="D123" i="20"/>
  <c r="Q33" i="30"/>
  <c r="S33" i="30"/>
  <c r="W33" i="30"/>
  <c r="P33" i="30"/>
  <c r="R42" i="30"/>
  <c r="U42" i="30"/>
  <c r="Q42" i="30"/>
  <c r="W42" i="30"/>
  <c r="O42" i="30"/>
  <c r="R53" i="30"/>
  <c r="U53" i="30"/>
  <c r="W53" i="30"/>
  <c r="P53" i="30"/>
  <c r="O53" i="30"/>
  <c r="S60" i="30"/>
  <c r="W60" i="30"/>
  <c r="O60" i="30"/>
  <c r="Q60" i="30"/>
  <c r="R60" i="30"/>
  <c r="D225" i="20"/>
  <c r="D234" i="20"/>
  <c r="AD4" i="30"/>
  <c r="AF5" i="30"/>
  <c r="AF7" i="30"/>
  <c r="R12" i="30"/>
  <c r="AK13" i="30"/>
  <c r="H21" i="30"/>
  <c r="AK21" i="30"/>
  <c r="AG22" i="30"/>
  <c r="J51" i="30"/>
  <c r="W56" i="30"/>
  <c r="H71" i="30"/>
  <c r="W72" i="30"/>
  <c r="C26" i="21"/>
  <c r="D26" i="21" s="1"/>
  <c r="L31" i="21"/>
  <c r="D41" i="21"/>
  <c r="D99" i="20"/>
  <c r="R15" i="30"/>
  <c r="Q15" i="30"/>
  <c r="W15" i="30"/>
  <c r="D145" i="20"/>
  <c r="S30" i="30"/>
  <c r="W30" i="30"/>
  <c r="O30" i="30"/>
  <c r="Q30" i="30"/>
  <c r="P30" i="30"/>
  <c r="P32" i="30"/>
  <c r="R32" i="30"/>
  <c r="Q32" i="30"/>
  <c r="W32" i="30"/>
  <c r="R39" i="30"/>
  <c r="U39" i="30"/>
  <c r="P39" i="30"/>
  <c r="W39" i="30"/>
  <c r="Q39" i="30"/>
  <c r="W41" i="30"/>
  <c r="O41" i="30"/>
  <c r="Q41" i="30"/>
  <c r="R41" i="30"/>
  <c r="P41" i="30"/>
  <c r="U48" i="30"/>
  <c r="P48" i="30"/>
  <c r="Q48" i="30"/>
  <c r="W48" i="30"/>
  <c r="R48" i="30"/>
  <c r="U50" i="30"/>
  <c r="P50" i="30"/>
  <c r="Q50" i="30"/>
  <c r="W50" i="30"/>
  <c r="S50" i="30"/>
  <c r="W57" i="30"/>
  <c r="O57" i="30"/>
  <c r="Q57" i="30"/>
  <c r="R57" i="30"/>
  <c r="P57" i="30"/>
  <c r="S59" i="30"/>
  <c r="U59" i="30"/>
  <c r="O59" i="30"/>
  <c r="P59" i="30"/>
  <c r="W59" i="30"/>
  <c r="Q59" i="30"/>
  <c r="U66" i="30"/>
  <c r="P66" i="30"/>
  <c r="Q66" i="30"/>
  <c r="W66" i="30"/>
  <c r="S66" i="30"/>
  <c r="W68" i="30"/>
  <c r="O68" i="30"/>
  <c r="Q68" i="30"/>
  <c r="U68" i="30"/>
  <c r="P68" i="30"/>
  <c r="R68" i="30"/>
  <c r="S75" i="30"/>
  <c r="U75" i="30"/>
  <c r="O75" i="30"/>
  <c r="P75" i="30"/>
  <c r="W75" i="30"/>
  <c r="Q75" i="30"/>
  <c r="S77" i="30"/>
  <c r="Q77" i="30"/>
  <c r="W77" i="30"/>
  <c r="O77" i="30"/>
  <c r="P77" i="30"/>
  <c r="U77" i="30"/>
  <c r="D220" i="20"/>
  <c r="D222" i="20"/>
  <c r="D231" i="20"/>
  <c r="AM5" i="30"/>
  <c r="AM7" i="30"/>
  <c r="AB12" i="30"/>
  <c r="AD13" i="30"/>
  <c r="AB16" i="30"/>
  <c r="S25" i="30"/>
  <c r="S39" i="30"/>
  <c r="S41" i="30"/>
  <c r="S45" i="30"/>
  <c r="Q53" i="30"/>
  <c r="S57" i="30"/>
  <c r="R59" i="30"/>
  <c r="R63" i="30"/>
  <c r="R75" i="30"/>
  <c r="J15" i="30"/>
  <c r="H15" i="30"/>
  <c r="H36" i="30"/>
  <c r="J36" i="30"/>
  <c r="J42" i="30"/>
  <c r="H42" i="30"/>
  <c r="J66" i="30"/>
  <c r="H66" i="30"/>
  <c r="H89" i="30"/>
  <c r="J89" i="30"/>
  <c r="W17" i="30"/>
  <c r="O17" i="30"/>
  <c r="Q17" i="30"/>
  <c r="S17" i="30"/>
  <c r="P17" i="30"/>
  <c r="AK3" i="30"/>
  <c r="AE3" i="30"/>
  <c r="AM3" i="30"/>
  <c r="AF3" i="30"/>
  <c r="AI3" i="30"/>
  <c r="AB3" i="30"/>
  <c r="D215" i="20"/>
  <c r="AM14" i="30"/>
  <c r="AD14" i="30"/>
  <c r="AF14" i="30"/>
  <c r="AB14" i="30"/>
  <c r="AE14" i="30"/>
  <c r="AK14" i="30"/>
  <c r="J3" i="30"/>
  <c r="W7" i="30"/>
  <c r="AD12" i="30"/>
  <c r="AE16" i="30"/>
  <c r="J27" i="30"/>
  <c r="L34" i="21"/>
  <c r="D25" i="20"/>
  <c r="H86" i="30"/>
  <c r="J86" i="30"/>
  <c r="D111" i="20"/>
  <c r="D139" i="20"/>
  <c r="U27" i="30"/>
  <c r="O27" i="30"/>
  <c r="W27" i="30"/>
  <c r="Q27" i="30"/>
  <c r="P27" i="30"/>
  <c r="Q36" i="30"/>
  <c r="S36" i="30"/>
  <c r="R36" i="30"/>
  <c r="U36" i="30"/>
  <c r="P74" i="30"/>
  <c r="R74" i="30"/>
  <c r="O74" i="30"/>
  <c r="U74" i="30"/>
  <c r="S74" i="30"/>
  <c r="Q81" i="30"/>
  <c r="W81" i="30"/>
  <c r="S81" i="30"/>
  <c r="P81" i="30"/>
  <c r="O81" i="30"/>
  <c r="R81" i="30"/>
  <c r="B212" i="20"/>
  <c r="D226" i="20"/>
  <c r="D228" i="20"/>
  <c r="AC3" i="30"/>
  <c r="H9" i="30"/>
  <c r="R27" i="30"/>
  <c r="W36" i="30"/>
  <c r="R38" i="30"/>
  <c r="J48" i="30"/>
  <c r="J54" i="30"/>
  <c r="J60" i="30"/>
  <c r="J68" i="30"/>
  <c r="B22" i="20"/>
  <c r="AI7" i="30"/>
  <c r="AB7" i="30"/>
  <c r="AE7" i="30"/>
  <c r="AK7" i="30"/>
  <c r="AE12" i="30"/>
  <c r="AG12" i="30"/>
  <c r="AM12" i="30"/>
  <c r="AC12" i="30"/>
  <c r="D224" i="20"/>
  <c r="J30" i="30"/>
  <c r="L32" i="21"/>
  <c r="D34" i="20"/>
  <c r="D37" i="20"/>
  <c r="D43" i="20"/>
  <c r="D58" i="20"/>
  <c r="D79" i="20"/>
  <c r="D144" i="20"/>
  <c r="P29" i="30"/>
  <c r="R29" i="30"/>
  <c r="Q29" i="30"/>
  <c r="U29" i="30"/>
  <c r="R56" i="30"/>
  <c r="U56" i="30"/>
  <c r="Q56" i="30"/>
  <c r="S56" i="30"/>
  <c r="D154" i="20"/>
  <c r="D165" i="20"/>
  <c r="AE4" i="30"/>
  <c r="AM4" i="30"/>
  <c r="AC4" i="30"/>
  <c r="AG4" i="30"/>
  <c r="AG11" i="30"/>
  <c r="AE11" i="30"/>
  <c r="AK11" i="30"/>
  <c r="AB11" i="30"/>
  <c r="AM20" i="30"/>
  <c r="AD20" i="30"/>
  <c r="AF20" i="30"/>
  <c r="AI20" i="30"/>
  <c r="AC20" i="30"/>
  <c r="AK20" i="30"/>
  <c r="AB4" i="30"/>
  <c r="S38" i="30"/>
  <c r="H33" i="30"/>
  <c r="J33" i="30"/>
  <c r="J79" i="30"/>
  <c r="H79" i="30"/>
  <c r="H84" i="30"/>
  <c r="J84" i="30"/>
  <c r="S7" i="30"/>
  <c r="U7" i="30"/>
  <c r="D134" i="20"/>
  <c r="Q7" i="30"/>
  <c r="S12" i="30"/>
  <c r="U12" i="30"/>
  <c r="P12" i="30"/>
  <c r="U25" i="30"/>
  <c r="P25" i="30"/>
  <c r="R25" i="30"/>
  <c r="Q25" i="30"/>
  <c r="D152" i="20"/>
  <c r="AK5" i="30"/>
  <c r="AC5" i="30"/>
  <c r="AE5" i="30"/>
  <c r="AI5" i="30"/>
  <c r="AG16" i="30"/>
  <c r="AK16" i="30"/>
  <c r="AC16" i="30"/>
  <c r="AI16" i="30"/>
  <c r="AM16" i="30"/>
  <c r="AD16" i="30"/>
  <c r="AM21" i="30"/>
  <c r="AD21" i="30"/>
  <c r="AF21" i="30"/>
  <c r="AI21" i="30"/>
  <c r="AG21" i="30"/>
  <c r="AB21" i="30"/>
  <c r="D233" i="20"/>
  <c r="J12" i="30"/>
  <c r="C24" i="21"/>
  <c r="C30" i="21"/>
  <c r="D30" i="21" s="1"/>
  <c r="D42" i="21"/>
  <c r="D212" i="20"/>
  <c r="D46" i="20"/>
  <c r="D93" i="20"/>
  <c r="D119" i="20"/>
  <c r="D124" i="20"/>
  <c r="P9" i="30"/>
  <c r="R9" i="30"/>
  <c r="W9" i="30"/>
  <c r="P47" i="30"/>
  <c r="R47" i="30"/>
  <c r="U47" i="30"/>
  <c r="Q47" i="30"/>
  <c r="S47" i="30"/>
  <c r="Q65" i="30"/>
  <c r="S65" i="30"/>
  <c r="P65" i="30"/>
  <c r="W65" i="30"/>
  <c r="O65" i="30"/>
  <c r="R72" i="30"/>
  <c r="U72" i="30"/>
  <c r="Q72" i="30"/>
  <c r="S72" i="30"/>
  <c r="D219" i="20"/>
  <c r="J83" i="30"/>
  <c r="H83" i="30"/>
  <c r="W6" i="30"/>
  <c r="O6" i="30"/>
  <c r="S6" i="30"/>
  <c r="P6" i="30"/>
  <c r="D136" i="20"/>
  <c r="P24" i="30"/>
  <c r="R24" i="30"/>
  <c r="U24" i="30"/>
  <c r="O24" i="30"/>
  <c r="D156" i="20"/>
  <c r="D163" i="20"/>
  <c r="D183" i="20"/>
  <c r="D192" i="20"/>
  <c r="D199" i="20"/>
  <c r="D201" i="20"/>
  <c r="D208" i="20"/>
  <c r="AD3" i="30"/>
  <c r="AD5" i="30"/>
  <c r="P7" i="30"/>
  <c r="AF11" i="30"/>
  <c r="AI12" i="30"/>
  <c r="AE21" i="30"/>
  <c r="AC22" i="30"/>
  <c r="R54" i="30"/>
  <c r="P72" i="30"/>
  <c r="Q74" i="30"/>
  <c r="D26" i="33"/>
  <c r="C4" i="34"/>
  <c r="E4" i="34"/>
  <c r="E25" i="34"/>
  <c r="D47" i="33"/>
  <c r="C25" i="34"/>
  <c r="E52" i="34"/>
  <c r="C52" i="34"/>
  <c r="D74" i="33"/>
  <c r="C73" i="34"/>
  <c r="E73" i="34"/>
  <c r="D95" i="33"/>
  <c r="M5" i="34"/>
  <c r="J5" i="34"/>
  <c r="D132" i="33"/>
  <c r="R5" i="34"/>
  <c r="K5" i="34"/>
  <c r="P5" i="34"/>
  <c r="N5" i="34"/>
  <c r="M14" i="34"/>
  <c r="L14" i="34"/>
  <c r="P14" i="34"/>
  <c r="N14" i="34"/>
  <c r="D141" i="33"/>
  <c r="K14" i="34"/>
  <c r="R14" i="34"/>
  <c r="J14" i="34"/>
  <c r="L32" i="34"/>
  <c r="K32" i="34"/>
  <c r="M32" i="34"/>
  <c r="R32" i="34"/>
  <c r="J32" i="34"/>
  <c r="N32" i="34"/>
  <c r="D159" i="33"/>
  <c r="P32" i="34"/>
  <c r="R43" i="34"/>
  <c r="L43" i="34"/>
  <c r="P43" i="34"/>
  <c r="J43" i="34"/>
  <c r="N43" i="34"/>
  <c r="M43" i="34"/>
  <c r="D170" i="33"/>
  <c r="K43" i="34"/>
  <c r="P61" i="34"/>
  <c r="N61" i="34"/>
  <c r="M61" i="34"/>
  <c r="L61" i="34"/>
  <c r="R61" i="34"/>
  <c r="K61" i="34"/>
  <c r="D188" i="33"/>
  <c r="AB7" i="34"/>
  <c r="AA7" i="34"/>
  <c r="Z7" i="34"/>
  <c r="AD7" i="34"/>
  <c r="AH7" i="34"/>
  <c r="Y7" i="34"/>
  <c r="D219" i="33"/>
  <c r="AF7" i="34"/>
  <c r="X7" i="34"/>
  <c r="W13" i="34"/>
  <c r="AH13" i="34"/>
  <c r="AB13" i="34"/>
  <c r="Y13" i="34"/>
  <c r="AD13" i="34"/>
  <c r="AA13" i="34"/>
  <c r="AF13" i="34"/>
  <c r="D225" i="33"/>
  <c r="X13" i="34"/>
  <c r="Z13" i="34"/>
  <c r="L33" i="21"/>
  <c r="B7" i="20"/>
  <c r="D105" i="20"/>
  <c r="J98" i="30"/>
  <c r="H98" i="30"/>
  <c r="B127" i="20"/>
  <c r="P3" i="30"/>
  <c r="U3" i="30"/>
  <c r="R3" i="30"/>
  <c r="D133" i="20"/>
  <c r="R21" i="30"/>
  <c r="U21" i="30"/>
  <c r="S21" i="30"/>
  <c r="P21" i="30"/>
  <c r="D151" i="20"/>
  <c r="W35" i="30"/>
  <c r="Q35" i="30"/>
  <c r="S35" i="30"/>
  <c r="U35" i="30"/>
  <c r="O35" i="30"/>
  <c r="S44" i="30"/>
  <c r="W44" i="30"/>
  <c r="O44" i="30"/>
  <c r="Q44" i="30"/>
  <c r="R44" i="30"/>
  <c r="W51" i="30"/>
  <c r="Q51" i="30"/>
  <c r="S51" i="30"/>
  <c r="P51" i="30"/>
  <c r="U51" i="30"/>
  <c r="R51" i="30"/>
  <c r="S62" i="30"/>
  <c r="W62" i="30"/>
  <c r="O62" i="30"/>
  <c r="Q62" i="30"/>
  <c r="U62" i="30"/>
  <c r="R69" i="30"/>
  <c r="U69" i="30"/>
  <c r="W69" i="30"/>
  <c r="P69" i="30"/>
  <c r="O69" i="30"/>
  <c r="R71" i="30"/>
  <c r="U71" i="30"/>
  <c r="P71" i="30"/>
  <c r="W71" i="30"/>
  <c r="Q71" i="30"/>
  <c r="Q78" i="30"/>
  <c r="O78" i="30"/>
  <c r="U78" i="30"/>
  <c r="W78" i="30"/>
  <c r="S78" i="30"/>
  <c r="U80" i="30"/>
  <c r="P80" i="30"/>
  <c r="W80" i="30"/>
  <c r="O80" i="30"/>
  <c r="Q80" i="30"/>
  <c r="D216" i="20"/>
  <c r="S3" i="30"/>
  <c r="Q6" i="30"/>
  <c r="R7" i="30"/>
  <c r="Q9" i="30"/>
  <c r="AI11" i="30"/>
  <c r="AK12" i="30"/>
  <c r="AC14" i="30"/>
  <c r="H18" i="30"/>
  <c r="O29" i="30"/>
  <c r="H39" i="30"/>
  <c r="U44" i="30"/>
  <c r="U60" i="30"/>
  <c r="R80" i="30"/>
  <c r="W7" i="34"/>
  <c r="D7" i="20"/>
  <c r="D102" i="20"/>
  <c r="H95" i="30"/>
  <c r="J95" i="30"/>
  <c r="D120" i="20"/>
  <c r="D127" i="20"/>
  <c r="D130" i="20"/>
  <c r="S18" i="30"/>
  <c r="W18" i="30"/>
  <c r="O18" i="30"/>
  <c r="Q18" i="30"/>
  <c r="R18" i="30"/>
  <c r="D148" i="20"/>
  <c r="D160" i="20"/>
  <c r="D162" i="20"/>
  <c r="D169" i="20"/>
  <c r="D171" i="20"/>
  <c r="D178" i="20"/>
  <c r="D180" i="20"/>
  <c r="D187" i="20"/>
  <c r="D189" i="20"/>
  <c r="D196" i="20"/>
  <c r="D198" i="20"/>
  <c r="D205" i="20"/>
  <c r="D207" i="20"/>
  <c r="AB8" i="30"/>
  <c r="AI8" i="30"/>
  <c r="AC8" i="30"/>
  <c r="AF8" i="30"/>
  <c r="AF10" i="30"/>
  <c r="AG10" i="30"/>
  <c r="AM10" i="30"/>
  <c r="AC10" i="30"/>
  <c r="AG17" i="30"/>
  <c r="AK17" i="30"/>
  <c r="AC17" i="30"/>
  <c r="AI17" i="30"/>
  <c r="AB17" i="30"/>
  <c r="AF17" i="30"/>
  <c r="AM19" i="30"/>
  <c r="AD19" i="30"/>
  <c r="AF19" i="30"/>
  <c r="AI19" i="30"/>
  <c r="AE19" i="30"/>
  <c r="AF4" i="30"/>
  <c r="AG5" i="30"/>
  <c r="R6" i="30"/>
  <c r="AG7" i="30"/>
  <c r="AE8" i="30"/>
  <c r="AM8" i="30"/>
  <c r="S9" i="30"/>
  <c r="AM11" i="30"/>
  <c r="W12" i="30"/>
  <c r="AB13" i="30"/>
  <c r="AM13" i="30"/>
  <c r="AG14" i="30"/>
  <c r="R17" i="30"/>
  <c r="O21" i="30"/>
  <c r="AK22" i="30"/>
  <c r="H24" i="30"/>
  <c r="O25" i="30"/>
  <c r="S29" i="30"/>
  <c r="U32" i="30"/>
  <c r="O39" i="30"/>
  <c r="J45" i="30"/>
  <c r="O47" i="30"/>
  <c r="O51" i="30"/>
  <c r="J57" i="30"/>
  <c r="J63" i="30"/>
  <c r="O71" i="30"/>
  <c r="R77" i="30"/>
  <c r="S80" i="30"/>
  <c r="H102" i="30"/>
  <c r="J52" i="29"/>
  <c r="J53" i="29" s="1"/>
  <c r="J54" i="29" s="1"/>
  <c r="J55" i="29" s="1"/>
  <c r="J56" i="29" s="1"/>
  <c r="J57" i="29" s="1"/>
  <c r="J58" i="29" s="1"/>
  <c r="J59" i="29" s="1"/>
  <c r="J60" i="29" s="1"/>
  <c r="J61" i="29" s="1"/>
  <c r="J62" i="29" s="1"/>
  <c r="J63" i="29" s="1"/>
  <c r="J64" i="29" s="1"/>
  <c r="J65" i="29" s="1"/>
  <c r="J66" i="29" s="1"/>
  <c r="J67" i="29" s="1"/>
  <c r="J68" i="29" s="1"/>
  <c r="J69" i="29" s="1"/>
  <c r="J70" i="29" s="1"/>
  <c r="E7" i="34"/>
  <c r="D29" i="33"/>
  <c r="C7" i="34"/>
  <c r="D35" i="33"/>
  <c r="E13" i="34"/>
  <c r="F13" i="34" s="1"/>
  <c r="F18" i="34" s="1"/>
  <c r="C13" i="34"/>
  <c r="E28" i="34"/>
  <c r="D50" i="33"/>
  <c r="C28" i="34"/>
  <c r="E34" i="34"/>
  <c r="C34" i="34"/>
  <c r="D56" i="33"/>
  <c r="C40" i="34"/>
  <c r="E40" i="34"/>
  <c r="D62" i="33"/>
  <c r="E55" i="34"/>
  <c r="C55" i="34"/>
  <c r="D77" i="33"/>
  <c r="E61" i="34"/>
  <c r="C61" i="34"/>
  <c r="D83" i="33"/>
  <c r="E67" i="34"/>
  <c r="C67" i="34"/>
  <c r="D89" i="33"/>
  <c r="E82" i="34"/>
  <c r="C82" i="34"/>
  <c r="D104" i="33"/>
  <c r="C88" i="34"/>
  <c r="D110" i="33"/>
  <c r="E88" i="34"/>
  <c r="E94" i="34"/>
  <c r="C94" i="34"/>
  <c r="D116" i="33"/>
  <c r="N8" i="34"/>
  <c r="R8" i="34"/>
  <c r="D135" i="33"/>
  <c r="P8" i="34"/>
  <c r="J8" i="34"/>
  <c r="M8" i="34"/>
  <c r="K8" i="34"/>
  <c r="L8" i="34"/>
  <c r="R17" i="34"/>
  <c r="J17" i="34"/>
  <c r="P17" i="34"/>
  <c r="L17" i="34"/>
  <c r="D144" i="33"/>
  <c r="N17" i="34"/>
  <c r="M17" i="34"/>
  <c r="K17" i="34"/>
  <c r="P19" i="34"/>
  <c r="J19" i="34"/>
  <c r="R19" i="34"/>
  <c r="L19" i="34"/>
  <c r="K19" i="34"/>
  <c r="D146" i="33"/>
  <c r="N19" i="34"/>
  <c r="N26" i="34"/>
  <c r="M26" i="34"/>
  <c r="P26" i="34"/>
  <c r="J26" i="34"/>
  <c r="L26" i="34"/>
  <c r="D153" i="33"/>
  <c r="K26" i="34"/>
  <c r="M35" i="34"/>
  <c r="R35" i="34"/>
  <c r="L35" i="34"/>
  <c r="N35" i="34"/>
  <c r="K35" i="34"/>
  <c r="D162" i="33"/>
  <c r="J35" i="34"/>
  <c r="P35" i="34"/>
  <c r="R37" i="34"/>
  <c r="J37" i="34"/>
  <c r="P37" i="34"/>
  <c r="K37" i="34"/>
  <c r="N37" i="34"/>
  <c r="L37" i="34"/>
  <c r="M37" i="34"/>
  <c r="D164" i="33"/>
  <c r="L44" i="34"/>
  <c r="K44" i="34"/>
  <c r="N44" i="34"/>
  <c r="M44" i="34"/>
  <c r="P44" i="34"/>
  <c r="J44" i="34"/>
  <c r="R44" i="34"/>
  <c r="D171" i="33"/>
  <c r="K53" i="34"/>
  <c r="R53" i="34"/>
  <c r="J53" i="34"/>
  <c r="M53" i="34"/>
  <c r="L53" i="34"/>
  <c r="N53" i="34"/>
  <c r="D180" i="33"/>
  <c r="P53" i="34"/>
  <c r="K55" i="34"/>
  <c r="P55" i="34"/>
  <c r="J55" i="34"/>
  <c r="M55" i="34"/>
  <c r="L55" i="34"/>
  <c r="N55" i="34"/>
  <c r="R55" i="34"/>
  <c r="D182" i="33"/>
  <c r="L62" i="34"/>
  <c r="K62" i="34"/>
  <c r="N62" i="34"/>
  <c r="M62" i="34"/>
  <c r="P62" i="34"/>
  <c r="J62" i="34"/>
  <c r="R62" i="34"/>
  <c r="D189" i="33"/>
  <c r="P71" i="34"/>
  <c r="J71" i="34"/>
  <c r="N71" i="34"/>
  <c r="K71" i="34"/>
  <c r="L71" i="34"/>
  <c r="M71" i="34"/>
  <c r="D198" i="33"/>
  <c r="R71" i="34"/>
  <c r="K73" i="34"/>
  <c r="P73" i="34"/>
  <c r="L73" i="34"/>
  <c r="J73" i="34"/>
  <c r="N73" i="34"/>
  <c r="M73" i="34"/>
  <c r="R73" i="34"/>
  <c r="D200" i="33"/>
  <c r="L80" i="34"/>
  <c r="K80" i="34"/>
  <c r="R80" i="34"/>
  <c r="J80" i="34"/>
  <c r="P80" i="34"/>
  <c r="N80" i="34"/>
  <c r="M80" i="34"/>
  <c r="D207" i="33"/>
  <c r="AB16" i="34"/>
  <c r="AA16" i="34"/>
  <c r="AF16" i="34"/>
  <c r="X16" i="34"/>
  <c r="AD16" i="34"/>
  <c r="Z16" i="34"/>
  <c r="AH16" i="34"/>
  <c r="Y16" i="34"/>
  <c r="D228" i="33"/>
  <c r="AH22" i="34"/>
  <c r="Y22" i="34"/>
  <c r="AF22" i="34"/>
  <c r="X22" i="34"/>
  <c r="AB22" i="34"/>
  <c r="AD22" i="34"/>
  <c r="W22" i="34"/>
  <c r="D234" i="33"/>
  <c r="Z22" i="34"/>
  <c r="R26" i="34"/>
  <c r="E8" i="34"/>
  <c r="C8" i="34"/>
  <c r="D30" i="33"/>
  <c r="E14" i="34"/>
  <c r="D36" i="33"/>
  <c r="C14" i="34"/>
  <c r="C35" i="34"/>
  <c r="E35" i="34"/>
  <c r="D57" i="33"/>
  <c r="E41" i="34"/>
  <c r="D63" i="33"/>
  <c r="C41" i="34"/>
  <c r="E56" i="34"/>
  <c r="C56" i="34"/>
  <c r="C62" i="34"/>
  <c r="E62" i="34"/>
  <c r="D84" i="33"/>
  <c r="E68" i="34"/>
  <c r="C68" i="34"/>
  <c r="D90" i="33"/>
  <c r="E89" i="34"/>
  <c r="C89" i="34"/>
  <c r="D111" i="33"/>
  <c r="E95" i="34"/>
  <c r="D117" i="33"/>
  <c r="C95" i="34"/>
  <c r="R9" i="34"/>
  <c r="J9" i="34"/>
  <c r="P9" i="34"/>
  <c r="K9" i="34"/>
  <c r="L9" i="34"/>
  <c r="D136" i="33"/>
  <c r="N9" i="34"/>
  <c r="M9" i="34"/>
  <c r="R16" i="34"/>
  <c r="J16" i="34"/>
  <c r="P16" i="34"/>
  <c r="L16" i="34"/>
  <c r="K16" i="34"/>
  <c r="M16" i="34"/>
  <c r="N16" i="34"/>
  <c r="N18" i="34"/>
  <c r="M18" i="34"/>
  <c r="R18" i="34"/>
  <c r="J18" i="34"/>
  <c r="K18" i="34"/>
  <c r="L18" i="34"/>
  <c r="K27" i="34"/>
  <c r="P27" i="34"/>
  <c r="J27" i="34"/>
  <c r="R27" i="34"/>
  <c r="L27" i="34"/>
  <c r="M27" i="34"/>
  <c r="N27" i="34"/>
  <c r="D154" i="33"/>
  <c r="R34" i="34"/>
  <c r="J34" i="34"/>
  <c r="P34" i="34"/>
  <c r="K34" i="34"/>
  <c r="L34" i="34"/>
  <c r="N34" i="34"/>
  <c r="M34" i="34"/>
  <c r="M36" i="34"/>
  <c r="L36" i="34"/>
  <c r="N36" i="34"/>
  <c r="P36" i="34"/>
  <c r="K36" i="34"/>
  <c r="R36" i="34"/>
  <c r="J36" i="34"/>
  <c r="P45" i="34"/>
  <c r="N45" i="34"/>
  <c r="M45" i="34"/>
  <c r="L45" i="34"/>
  <c r="R45" i="34"/>
  <c r="K45" i="34"/>
  <c r="J45" i="34"/>
  <c r="D172" i="33"/>
  <c r="R52" i="34"/>
  <c r="J52" i="34"/>
  <c r="P52" i="34"/>
  <c r="N52" i="34"/>
  <c r="M52" i="34"/>
  <c r="L52" i="34"/>
  <c r="K52" i="34"/>
  <c r="N54" i="34"/>
  <c r="M54" i="34"/>
  <c r="L54" i="34"/>
  <c r="K54" i="34"/>
  <c r="P54" i="34"/>
  <c r="R54" i="34"/>
  <c r="J54" i="34"/>
  <c r="M63" i="34"/>
  <c r="R63" i="34"/>
  <c r="L63" i="34"/>
  <c r="K63" i="34"/>
  <c r="J63" i="34"/>
  <c r="N63" i="34"/>
  <c r="D190" i="33"/>
  <c r="P63" i="34"/>
  <c r="M70" i="34"/>
  <c r="K70" i="34"/>
  <c r="R70" i="34"/>
  <c r="P70" i="34"/>
  <c r="J70" i="34"/>
  <c r="N70" i="34"/>
  <c r="L70" i="34"/>
  <c r="R72" i="34"/>
  <c r="J72" i="34"/>
  <c r="N72" i="34"/>
  <c r="M72" i="34"/>
  <c r="L72" i="34"/>
  <c r="K72" i="34"/>
  <c r="P72" i="34"/>
  <c r="P81" i="34"/>
  <c r="N81" i="34"/>
  <c r="M81" i="34"/>
  <c r="J81" i="34"/>
  <c r="K81" i="34"/>
  <c r="R81" i="34"/>
  <c r="L81" i="34"/>
  <c r="D208" i="33"/>
  <c r="AB9" i="34"/>
  <c r="AA9" i="34"/>
  <c r="X9" i="34"/>
  <c r="AH9" i="34"/>
  <c r="W9" i="34"/>
  <c r="D221" i="33"/>
  <c r="Y9" i="34"/>
  <c r="AF9" i="34"/>
  <c r="Z9" i="34"/>
  <c r="AD9" i="34"/>
  <c r="AB15" i="34"/>
  <c r="AA15" i="34"/>
  <c r="AF15" i="34"/>
  <c r="X15" i="34"/>
  <c r="W15" i="34"/>
  <c r="D227" i="33"/>
  <c r="Y15" i="34"/>
  <c r="Z15" i="34"/>
  <c r="AD15" i="34"/>
  <c r="AH21" i="34"/>
  <c r="Y21" i="34"/>
  <c r="AF21" i="34"/>
  <c r="X21" i="34"/>
  <c r="AA21" i="34"/>
  <c r="W21" i="34"/>
  <c r="D233" i="33"/>
  <c r="Z21" i="34"/>
  <c r="AD21" i="34"/>
  <c r="AB21" i="34"/>
  <c r="I3" i="28"/>
  <c r="E10" i="34"/>
  <c r="C10" i="34"/>
  <c r="D32" i="33"/>
  <c r="E16" i="34"/>
  <c r="C16" i="34"/>
  <c r="D38" i="33"/>
  <c r="E22" i="34"/>
  <c r="D44" i="33"/>
  <c r="C22" i="34"/>
  <c r="E37" i="34"/>
  <c r="C37" i="34"/>
  <c r="D59" i="33"/>
  <c r="E43" i="34"/>
  <c r="D65" i="33"/>
  <c r="C43" i="34"/>
  <c r="E49" i="34"/>
  <c r="C49" i="34"/>
  <c r="D71" i="33"/>
  <c r="E64" i="34"/>
  <c r="C64" i="34"/>
  <c r="D63" i="34" s="1"/>
  <c r="D68" i="34" s="1"/>
  <c r="D86" i="33"/>
  <c r="C70" i="34"/>
  <c r="E70" i="34"/>
  <c r="D92" i="33"/>
  <c r="E76" i="34"/>
  <c r="C76" i="34"/>
  <c r="D98" i="33"/>
  <c r="E91" i="34"/>
  <c r="C91" i="34"/>
  <c r="D113" i="33"/>
  <c r="E97" i="34"/>
  <c r="C97" i="34"/>
  <c r="D119" i="33"/>
  <c r="P11" i="34"/>
  <c r="J11" i="34"/>
  <c r="R11" i="34"/>
  <c r="D138" i="33"/>
  <c r="K11" i="34"/>
  <c r="L11" i="34"/>
  <c r="N11" i="34"/>
  <c r="K13" i="34"/>
  <c r="R13" i="34"/>
  <c r="J13" i="34"/>
  <c r="M13" i="34"/>
  <c r="L13" i="34"/>
  <c r="N13" i="34"/>
  <c r="P13" i="34"/>
  <c r="D140" i="33"/>
  <c r="M20" i="34"/>
  <c r="L20" i="34"/>
  <c r="P20" i="34"/>
  <c r="K20" i="34"/>
  <c r="D147" i="33"/>
  <c r="J20" i="34"/>
  <c r="N20" i="34"/>
  <c r="R20" i="34"/>
  <c r="L29" i="34"/>
  <c r="K29" i="34"/>
  <c r="M29" i="34"/>
  <c r="N29" i="34"/>
  <c r="J29" i="34"/>
  <c r="R29" i="34"/>
  <c r="D156" i="33"/>
  <c r="P29" i="34"/>
  <c r="R31" i="34"/>
  <c r="L31" i="34"/>
  <c r="K31" i="34"/>
  <c r="M31" i="34"/>
  <c r="P31" i="34"/>
  <c r="J31" i="34"/>
  <c r="D158" i="33"/>
  <c r="N31" i="34"/>
  <c r="K38" i="34"/>
  <c r="R38" i="34"/>
  <c r="J38" i="34"/>
  <c r="L38" i="34"/>
  <c r="P38" i="34"/>
  <c r="D165" i="33"/>
  <c r="N38" i="34"/>
  <c r="N47" i="34"/>
  <c r="M47" i="34"/>
  <c r="L47" i="34"/>
  <c r="P47" i="34"/>
  <c r="K47" i="34"/>
  <c r="D174" i="33"/>
  <c r="R47" i="34"/>
  <c r="R49" i="34"/>
  <c r="J49" i="34"/>
  <c r="P49" i="34"/>
  <c r="K49" i="34"/>
  <c r="L49" i="34"/>
  <c r="N49" i="34"/>
  <c r="D176" i="33"/>
  <c r="M49" i="34"/>
  <c r="K56" i="34"/>
  <c r="R56" i="34"/>
  <c r="J56" i="34"/>
  <c r="L56" i="34"/>
  <c r="M56" i="34"/>
  <c r="P56" i="34"/>
  <c r="D183" i="33"/>
  <c r="N56" i="34"/>
  <c r="R65" i="34"/>
  <c r="J65" i="34"/>
  <c r="P65" i="34"/>
  <c r="K65" i="34"/>
  <c r="L65" i="34"/>
  <c r="N65" i="34"/>
  <c r="D192" i="33"/>
  <c r="M65" i="34"/>
  <c r="M67" i="34"/>
  <c r="L67" i="34"/>
  <c r="K67" i="34"/>
  <c r="J67" i="34"/>
  <c r="N67" i="34"/>
  <c r="P67" i="34"/>
  <c r="R67" i="34"/>
  <c r="D194" i="33"/>
  <c r="N74" i="34"/>
  <c r="L74" i="34"/>
  <c r="K74" i="34"/>
  <c r="J74" i="34"/>
  <c r="R74" i="34"/>
  <c r="P74" i="34"/>
  <c r="D201" i="33"/>
  <c r="M74" i="34"/>
  <c r="AH4" i="34"/>
  <c r="Y4" i="34"/>
  <c r="AA4" i="34"/>
  <c r="Z4" i="34"/>
  <c r="AB4" i="34"/>
  <c r="AF4" i="34"/>
  <c r="D216" i="33"/>
  <c r="X4" i="34"/>
  <c r="M11" i="34"/>
  <c r="J47" i="34"/>
  <c r="D128" i="33"/>
  <c r="D213" i="33"/>
  <c r="D8" i="33"/>
  <c r="E5" i="34"/>
  <c r="F3" i="34" s="1"/>
  <c r="F8" i="34" s="1"/>
  <c r="C5" i="34"/>
  <c r="D27" i="33"/>
  <c r="C26" i="34"/>
  <c r="E26" i="34"/>
  <c r="F23" i="34" s="1"/>
  <c r="F28" i="34" s="1"/>
  <c r="D48" i="33"/>
  <c r="C32" i="34"/>
  <c r="E32" i="34"/>
  <c r="D54" i="33"/>
  <c r="E47" i="34"/>
  <c r="C47" i="34"/>
  <c r="C53" i="34"/>
  <c r="E53" i="34"/>
  <c r="F53" i="34" s="1"/>
  <c r="F58" i="34" s="1"/>
  <c r="D75" i="33"/>
  <c r="C59" i="34"/>
  <c r="E59" i="34"/>
  <c r="D81" i="33"/>
  <c r="E80" i="34"/>
  <c r="C80" i="34"/>
  <c r="D102" i="33"/>
  <c r="E86" i="34"/>
  <c r="C86" i="34"/>
  <c r="D108" i="33"/>
  <c r="M4" i="34"/>
  <c r="M84" i="34" s="1"/>
  <c r="N4" i="34"/>
  <c r="L4" i="34"/>
  <c r="P4" i="34"/>
  <c r="K4" i="34"/>
  <c r="J4" i="34"/>
  <c r="M6" i="34"/>
  <c r="N6" i="34"/>
  <c r="L6" i="34"/>
  <c r="P6" i="34"/>
  <c r="K6" i="34"/>
  <c r="M15" i="34"/>
  <c r="R15" i="34"/>
  <c r="L15" i="34"/>
  <c r="J15" i="34"/>
  <c r="P15" i="34"/>
  <c r="D142" i="33"/>
  <c r="K15" i="34"/>
  <c r="M22" i="34"/>
  <c r="L22" i="34"/>
  <c r="P22" i="34"/>
  <c r="K22" i="34"/>
  <c r="J22" i="34"/>
  <c r="N22" i="34"/>
  <c r="O23" i="34" s="1"/>
  <c r="R22" i="34"/>
  <c r="L24" i="34"/>
  <c r="N24" i="34"/>
  <c r="M24" i="34"/>
  <c r="R24" i="34"/>
  <c r="P24" i="34"/>
  <c r="M33" i="34"/>
  <c r="L33" i="34"/>
  <c r="N33" i="34"/>
  <c r="K33" i="34"/>
  <c r="R33" i="34"/>
  <c r="D160" i="33"/>
  <c r="J33" i="34"/>
  <c r="N40" i="34"/>
  <c r="M40" i="34"/>
  <c r="P40" i="34"/>
  <c r="J40" i="34"/>
  <c r="L40" i="34"/>
  <c r="K40" i="34"/>
  <c r="N42" i="34"/>
  <c r="M42" i="34"/>
  <c r="P42" i="34"/>
  <c r="R42" i="34"/>
  <c r="L42" i="34"/>
  <c r="J42" i="34"/>
  <c r="K42" i="34"/>
  <c r="P51" i="34"/>
  <c r="J51" i="34"/>
  <c r="R51" i="34"/>
  <c r="K51" i="34"/>
  <c r="L51" i="34"/>
  <c r="N51" i="34"/>
  <c r="O51" i="34" s="1"/>
  <c r="M51" i="34"/>
  <c r="D178" i="33"/>
  <c r="P58" i="34"/>
  <c r="N58" i="34"/>
  <c r="R58" i="34"/>
  <c r="J58" i="34"/>
  <c r="K58" i="34"/>
  <c r="M58" i="34"/>
  <c r="L58" i="34"/>
  <c r="L60" i="34"/>
  <c r="K60" i="34"/>
  <c r="N60" i="34"/>
  <c r="M60" i="34"/>
  <c r="P60" i="34"/>
  <c r="J60" i="34"/>
  <c r="R69" i="34"/>
  <c r="J69" i="34"/>
  <c r="N69" i="34"/>
  <c r="O71" i="34" s="1"/>
  <c r="P69" i="34"/>
  <c r="M69" i="34"/>
  <c r="L69" i="34"/>
  <c r="K69" i="34"/>
  <c r="D196" i="33"/>
  <c r="K76" i="34"/>
  <c r="P76" i="34"/>
  <c r="R76" i="34"/>
  <c r="L76" i="34"/>
  <c r="J76" i="34"/>
  <c r="M76" i="34"/>
  <c r="N76" i="34"/>
  <c r="P78" i="34"/>
  <c r="M78" i="34"/>
  <c r="R78" i="34"/>
  <c r="N78" i="34"/>
  <c r="J78" i="34"/>
  <c r="L78" i="34"/>
  <c r="K78" i="34"/>
  <c r="AH6" i="34"/>
  <c r="Y6" i="34"/>
  <c r="AA6" i="34"/>
  <c r="Z6" i="34"/>
  <c r="D218" i="33"/>
  <c r="AB6" i="34"/>
  <c r="X6" i="34"/>
  <c r="W6" i="34"/>
  <c r="AH12" i="34"/>
  <c r="Y12" i="34"/>
  <c r="AF12" i="34"/>
  <c r="X12" i="34"/>
  <c r="AA12" i="34"/>
  <c r="Z12" i="34"/>
  <c r="W12" i="34"/>
  <c r="D224" i="33"/>
  <c r="AB12" i="34"/>
  <c r="AD12" i="34"/>
  <c r="R4" i="34"/>
  <c r="AF6" i="34"/>
  <c r="P33" i="34"/>
  <c r="I34" i="29"/>
  <c r="I47" i="29"/>
  <c r="I48" i="29" s="1"/>
  <c r="E11" i="34"/>
  <c r="C11" i="34"/>
  <c r="E17" i="34"/>
  <c r="C17" i="34"/>
  <c r="D39" i="33"/>
  <c r="D45" i="33"/>
  <c r="C23" i="34"/>
  <c r="C38" i="34"/>
  <c r="E38" i="34"/>
  <c r="C44" i="34"/>
  <c r="E44" i="34"/>
  <c r="D66" i="33"/>
  <c r="E50" i="34"/>
  <c r="C50" i="34"/>
  <c r="D72" i="33"/>
  <c r="C71" i="34"/>
  <c r="E71" i="34"/>
  <c r="D93" i="33"/>
  <c r="C77" i="34"/>
  <c r="E77" i="34"/>
  <c r="D99" i="33"/>
  <c r="E98" i="34"/>
  <c r="C98" i="34"/>
  <c r="D120" i="33"/>
  <c r="N3" i="34"/>
  <c r="O3" i="34" s="1"/>
  <c r="J3" i="34"/>
  <c r="P3" i="34"/>
  <c r="R3" i="34"/>
  <c r="K3" i="34"/>
  <c r="D130" i="33"/>
  <c r="R10" i="34"/>
  <c r="J10" i="34"/>
  <c r="P10" i="34"/>
  <c r="K10" i="34"/>
  <c r="L10" i="34"/>
  <c r="M12" i="34"/>
  <c r="L12" i="34"/>
  <c r="P12" i="34"/>
  <c r="J12" i="34"/>
  <c r="K12" i="34"/>
  <c r="M21" i="34"/>
  <c r="L21" i="34"/>
  <c r="P21" i="34"/>
  <c r="R21" i="34"/>
  <c r="K21" i="34"/>
  <c r="J21" i="34"/>
  <c r="D148" i="33"/>
  <c r="P28" i="34"/>
  <c r="N28" i="34"/>
  <c r="R28" i="34"/>
  <c r="J28" i="34"/>
  <c r="K28" i="34"/>
  <c r="M28" i="34"/>
  <c r="L28" i="34"/>
  <c r="P30" i="34"/>
  <c r="N30" i="34"/>
  <c r="R30" i="34"/>
  <c r="J30" i="34"/>
  <c r="M30" i="34"/>
  <c r="K30" i="34"/>
  <c r="L30" i="34"/>
  <c r="N39" i="34"/>
  <c r="M39" i="34"/>
  <c r="J39" i="34"/>
  <c r="R39" i="34"/>
  <c r="L39" i="34"/>
  <c r="P39" i="34"/>
  <c r="K39" i="34"/>
  <c r="D166" i="33"/>
  <c r="L46" i="34"/>
  <c r="K46" i="34"/>
  <c r="N46" i="34"/>
  <c r="M46" i="34"/>
  <c r="P46" i="34"/>
  <c r="J46" i="34"/>
  <c r="M48" i="34"/>
  <c r="L48" i="34"/>
  <c r="R48" i="34"/>
  <c r="J48" i="34"/>
  <c r="P48" i="34"/>
  <c r="K48" i="34"/>
  <c r="N48" i="34"/>
  <c r="N57" i="34"/>
  <c r="M57" i="34"/>
  <c r="J57" i="34"/>
  <c r="K57" i="34"/>
  <c r="R57" i="34"/>
  <c r="P57" i="34"/>
  <c r="D184" i="33"/>
  <c r="M64" i="34"/>
  <c r="L64" i="34"/>
  <c r="R64" i="34"/>
  <c r="J64" i="34"/>
  <c r="P64" i="34"/>
  <c r="N64" i="34"/>
  <c r="R66" i="34"/>
  <c r="M66" i="34"/>
  <c r="L66" i="34"/>
  <c r="J66" i="34"/>
  <c r="P66" i="34"/>
  <c r="K66" i="34"/>
  <c r="N66" i="34"/>
  <c r="K75" i="34"/>
  <c r="K85" i="34" s="1"/>
  <c r="L75" i="34"/>
  <c r="J75" i="34"/>
  <c r="M75" i="34"/>
  <c r="N75" i="34"/>
  <c r="R75" i="34"/>
  <c r="P75" i="34"/>
  <c r="D202" i="33"/>
  <c r="L82" i="34"/>
  <c r="K82" i="34"/>
  <c r="R82" i="34"/>
  <c r="J82" i="34"/>
  <c r="N82" i="34"/>
  <c r="M82" i="34"/>
  <c r="P82" i="34"/>
  <c r="W3" i="34"/>
  <c r="AH3" i="34"/>
  <c r="AA3" i="34"/>
  <c r="Z3" i="34"/>
  <c r="D215" i="33"/>
  <c r="AB3" i="34"/>
  <c r="Y3" i="34"/>
  <c r="X3" i="34"/>
  <c r="AF3" i="34"/>
  <c r="AF18" i="34"/>
  <c r="Z18" i="34"/>
  <c r="Y18" i="34"/>
  <c r="AH18" i="34"/>
  <c r="AB18" i="34"/>
  <c r="AA18" i="34"/>
  <c r="X18" i="34"/>
  <c r="D230" i="33"/>
  <c r="R6" i="34"/>
  <c r="J24" i="34"/>
  <c r="R40" i="34"/>
  <c r="K64" i="34"/>
  <c r="AD6" i="34"/>
  <c r="AE3" i="34" s="1"/>
  <c r="N15" i="34"/>
  <c r="AD18" i="34"/>
  <c r="C20" i="34"/>
  <c r="K24" i="34"/>
  <c r="Z10" i="34"/>
  <c r="B22" i="33"/>
  <c r="B7" i="33"/>
  <c r="E65" i="34"/>
  <c r="C65" i="34"/>
  <c r="C83" i="34"/>
  <c r="D83" i="34" s="1"/>
  <c r="D88" i="34" s="1"/>
  <c r="E83" i="34"/>
  <c r="E92" i="34"/>
  <c r="C92" i="34"/>
  <c r="E101" i="34"/>
  <c r="C101" i="34"/>
  <c r="AB10" i="34"/>
  <c r="AA10" i="34"/>
  <c r="X10" i="34"/>
  <c r="AH10" i="34"/>
  <c r="W10" i="34"/>
  <c r="Y10" i="34"/>
  <c r="AH19" i="34"/>
  <c r="Y19" i="34"/>
  <c r="AF19" i="34"/>
  <c r="X19" i="34"/>
  <c r="AA19" i="34"/>
  <c r="W19" i="34"/>
  <c r="Z19" i="34"/>
  <c r="AD19" i="34"/>
  <c r="D22" i="33"/>
  <c r="D25" i="33"/>
  <c r="D28" i="33"/>
  <c r="D31" i="33"/>
  <c r="D34" i="33"/>
  <c r="D37" i="33"/>
  <c r="D40" i="33"/>
  <c r="D43" i="33"/>
  <c r="D46" i="33"/>
  <c r="D49" i="33"/>
  <c r="D58" i="33"/>
  <c r="D76" i="33"/>
  <c r="D82" i="33"/>
  <c r="D85" i="33"/>
  <c r="D91" i="33"/>
  <c r="D217" i="33"/>
  <c r="D220" i="33"/>
  <c r="D223" i="33"/>
  <c r="D226" i="33"/>
  <c r="D229" i="33"/>
  <c r="D232" i="33"/>
  <c r="X5" i="34"/>
  <c r="W8" i="34"/>
  <c r="AD8" i="34"/>
  <c r="C21" i="34"/>
  <c r="E63" i="34"/>
  <c r="C18" i="34"/>
  <c r="E30" i="34"/>
  <c r="C30" i="34"/>
  <c r="C33" i="34"/>
  <c r="E33" i="34"/>
  <c r="C39" i="34"/>
  <c r="E39" i="34"/>
  <c r="C42" i="34"/>
  <c r="E42" i="34"/>
  <c r="E45" i="34"/>
  <c r="C45" i="34"/>
  <c r="C48" i="34"/>
  <c r="E48" i="34"/>
  <c r="E51" i="34"/>
  <c r="C51" i="34"/>
  <c r="C57" i="34"/>
  <c r="E57" i="34"/>
  <c r="E66" i="34"/>
  <c r="C66" i="34"/>
  <c r="C72" i="34"/>
  <c r="E72" i="34"/>
  <c r="E75" i="34"/>
  <c r="C75" i="34"/>
  <c r="C78" i="34"/>
  <c r="E78" i="34"/>
  <c r="E81" i="34"/>
  <c r="C81" i="34"/>
  <c r="E84" i="34"/>
  <c r="C84" i="34"/>
  <c r="E87" i="34"/>
  <c r="C87" i="34"/>
  <c r="E90" i="34"/>
  <c r="C90" i="34"/>
  <c r="C93" i="34"/>
  <c r="E93" i="34"/>
  <c r="E96" i="34"/>
  <c r="C96" i="34"/>
  <c r="E99" i="34"/>
  <c r="C99" i="34"/>
  <c r="E102" i="34"/>
  <c r="C102" i="34"/>
  <c r="AH5" i="34"/>
  <c r="Y5" i="34"/>
  <c r="AF8" i="34"/>
  <c r="Z8" i="34"/>
  <c r="AH11" i="34"/>
  <c r="Y11" i="34"/>
  <c r="AF11" i="34"/>
  <c r="X11" i="34"/>
  <c r="AA11" i="34"/>
  <c r="AH14" i="34"/>
  <c r="Y14" i="34"/>
  <c r="AF14" i="34"/>
  <c r="X14" i="34"/>
  <c r="AA14" i="34"/>
  <c r="AB17" i="34"/>
  <c r="AA17" i="34"/>
  <c r="AF17" i="34"/>
  <c r="X17" i="34"/>
  <c r="AH20" i="34"/>
  <c r="Y20" i="34"/>
  <c r="AF20" i="34"/>
  <c r="X20" i="34"/>
  <c r="AA20" i="34"/>
  <c r="W5" i="34"/>
  <c r="AF5" i="34"/>
  <c r="C9" i="34"/>
  <c r="C12" i="34"/>
  <c r="C15" i="34"/>
  <c r="W17" i="34"/>
  <c r="AD20" i="34"/>
  <c r="X7" i="30" l="1"/>
  <c r="AJ18" i="30"/>
  <c r="AH18" i="30"/>
  <c r="AN18" i="30"/>
  <c r="AN8" i="30"/>
  <c r="AL18" i="30"/>
  <c r="AH8" i="30"/>
  <c r="AL8" i="30"/>
  <c r="AH3" i="30"/>
  <c r="AJ8" i="30"/>
  <c r="K83" i="30"/>
  <c r="K88" i="30" s="1"/>
  <c r="AH13" i="30"/>
  <c r="AN13" i="30"/>
  <c r="I63" i="30"/>
  <c r="I68" i="30" s="1"/>
  <c r="Q84" i="30"/>
  <c r="Q85" i="30" s="1"/>
  <c r="T27" i="30"/>
  <c r="T31" i="30"/>
  <c r="O84" i="30"/>
  <c r="O85" i="30" s="1"/>
  <c r="K23" i="30"/>
  <c r="K28" i="30" s="1"/>
  <c r="I3" i="30"/>
  <c r="I8" i="30" s="1"/>
  <c r="K3" i="30"/>
  <c r="K8" i="30" s="1"/>
  <c r="E3" i="30"/>
  <c r="E8" i="30" s="1"/>
  <c r="D45" i="21"/>
  <c r="F45" i="21" s="1"/>
  <c r="F4" i="28"/>
  <c r="K48" i="29"/>
  <c r="I49" i="29"/>
  <c r="L3" i="28"/>
  <c r="Q27" i="34"/>
  <c r="Q31" i="34"/>
  <c r="S35" i="34"/>
  <c r="S39" i="34"/>
  <c r="X25" i="34"/>
  <c r="Q43" i="34"/>
  <c r="Q47" i="34"/>
  <c r="V63" i="30"/>
  <c r="V59" i="30"/>
  <c r="K13" i="30"/>
  <c r="K18" i="30" s="1"/>
  <c r="X24" i="34"/>
  <c r="O67" i="34"/>
  <c r="O47" i="34"/>
  <c r="O55" i="34"/>
  <c r="W25" i="34"/>
  <c r="S43" i="34"/>
  <c r="S47" i="34"/>
  <c r="F63" i="34"/>
  <c r="F68" i="34" s="1"/>
  <c r="W24" i="34"/>
  <c r="S51" i="34"/>
  <c r="S55" i="34"/>
  <c r="S15" i="34"/>
  <c r="S11" i="34"/>
  <c r="O19" i="34"/>
  <c r="X55" i="30"/>
  <c r="X51" i="30"/>
  <c r="AA25" i="34"/>
  <c r="K33" i="30"/>
  <c r="K38" i="30" s="1"/>
  <c r="AE24" i="30"/>
  <c r="AE25" i="30" s="1"/>
  <c r="V15" i="30"/>
  <c r="V11" i="30"/>
  <c r="D93" i="34"/>
  <c r="D98" i="34" s="1"/>
  <c r="AC3" i="34"/>
  <c r="S31" i="34"/>
  <c r="S27" i="34"/>
  <c r="O35" i="34"/>
  <c r="I33" i="30"/>
  <c r="I38" i="30" s="1"/>
  <c r="AL3" i="30"/>
  <c r="X75" i="30"/>
  <c r="X79" i="30"/>
  <c r="S63" i="34"/>
  <c r="S59" i="34"/>
  <c r="K93" i="30"/>
  <c r="K98" i="30" s="1"/>
  <c r="X15" i="30"/>
  <c r="X11" i="30"/>
  <c r="T71" i="30"/>
  <c r="T67" i="30"/>
  <c r="X47" i="30"/>
  <c r="X43" i="30"/>
  <c r="C4" i="28"/>
  <c r="K47" i="29"/>
  <c r="S67" i="34"/>
  <c r="S71" i="34"/>
  <c r="D3" i="34"/>
  <c r="D8" i="34" s="1"/>
  <c r="AJ3" i="30"/>
  <c r="O79" i="34"/>
  <c r="X23" i="30"/>
  <c r="X19" i="30"/>
  <c r="AI3" i="34"/>
  <c r="O75" i="34"/>
  <c r="K84" i="34"/>
  <c r="F43" i="34"/>
  <c r="F48" i="34" s="1"/>
  <c r="R84" i="30"/>
  <c r="R85" i="30" s="1"/>
  <c r="AG13" i="34"/>
  <c r="F93" i="34"/>
  <c r="F98" i="34" s="1"/>
  <c r="Y24" i="34"/>
  <c r="M85" i="34"/>
  <c r="S7" i="34"/>
  <c r="S3" i="34"/>
  <c r="O31" i="34"/>
  <c r="Q23" i="34"/>
  <c r="Q19" i="34"/>
  <c r="V3" i="30"/>
  <c r="V7" i="30"/>
  <c r="F73" i="34"/>
  <c r="F78" i="34" s="1"/>
  <c r="X59" i="30"/>
  <c r="X63" i="30"/>
  <c r="I93" i="30"/>
  <c r="I98" i="30" s="1"/>
  <c r="T15" i="30"/>
  <c r="T11" i="30"/>
  <c r="F33" i="34"/>
  <c r="F38" i="34" s="1"/>
  <c r="J85" i="34"/>
  <c r="Q7" i="34"/>
  <c r="Q3" i="34"/>
  <c r="K63" i="30"/>
  <c r="K68" i="30" s="1"/>
  <c r="V35" i="30"/>
  <c r="V39" i="30"/>
  <c r="P84" i="30"/>
  <c r="P85" i="30" s="1"/>
  <c r="AE13" i="34"/>
  <c r="O43" i="34"/>
  <c r="D73" i="34"/>
  <c r="D78" i="34" s="1"/>
  <c r="V31" i="30"/>
  <c r="V27" i="30"/>
  <c r="D33" i="34"/>
  <c r="D38" i="34" s="1"/>
  <c r="F83" i="34"/>
  <c r="F88" i="34" s="1"/>
  <c r="L85" i="34"/>
  <c r="J84" i="34"/>
  <c r="Q55" i="34"/>
  <c r="Q51" i="34"/>
  <c r="O15" i="34"/>
  <c r="O11" i="34"/>
  <c r="Q15" i="34"/>
  <c r="Q11" i="34"/>
  <c r="D13" i="34"/>
  <c r="D18" i="34" s="1"/>
  <c r="V55" i="30"/>
  <c r="V51" i="30"/>
  <c r="T39" i="30"/>
  <c r="T35" i="30"/>
  <c r="Z25" i="34"/>
  <c r="Y25" i="34"/>
  <c r="O63" i="34"/>
  <c r="AD24" i="30"/>
  <c r="AD25" i="30" s="1"/>
  <c r="I83" i="30"/>
  <c r="I88" i="30" s="1"/>
  <c r="AC24" i="30"/>
  <c r="AC25" i="30" s="1"/>
  <c r="AB24" i="30"/>
  <c r="AB25" i="30" s="1"/>
  <c r="D43" i="21"/>
  <c r="C29" i="21"/>
  <c r="D29" i="21" s="1"/>
  <c r="Z24" i="34"/>
  <c r="Q75" i="34"/>
  <c r="Q79" i="34"/>
  <c r="D23" i="34"/>
  <c r="D28" i="34" s="1"/>
  <c r="D43" i="34"/>
  <c r="D48" i="34" s="1"/>
  <c r="Q35" i="34"/>
  <c r="Q39" i="34"/>
  <c r="AC13" i="34"/>
  <c r="O59" i="34"/>
  <c r="X71" i="30"/>
  <c r="X67" i="30"/>
  <c r="K53" i="30"/>
  <c r="K58" i="30" s="1"/>
  <c r="I73" i="30"/>
  <c r="I78" i="30" s="1"/>
  <c r="AG3" i="34"/>
  <c r="AA24" i="34"/>
  <c r="S75" i="34"/>
  <c r="S79" i="34"/>
  <c r="D53" i="34"/>
  <c r="D58" i="34" s="1"/>
  <c r="Q71" i="34"/>
  <c r="Q67" i="34"/>
  <c r="O27" i="34"/>
  <c r="O39" i="34"/>
  <c r="S23" i="34"/>
  <c r="S19" i="34"/>
  <c r="T7" i="30"/>
  <c r="T3" i="30"/>
  <c r="T55" i="30"/>
  <c r="T51" i="30"/>
  <c r="X39" i="30"/>
  <c r="X35" i="30"/>
  <c r="AI13" i="34"/>
  <c r="O7" i="34"/>
  <c r="AF24" i="30"/>
  <c r="AF25" i="30" s="1"/>
  <c r="V75" i="30"/>
  <c r="V79" i="30"/>
  <c r="T63" i="30"/>
  <c r="T59" i="30"/>
  <c r="Q59" i="34"/>
  <c r="Q63" i="34"/>
  <c r="AJ13" i="30"/>
  <c r="T19" i="30"/>
  <c r="T23" i="30"/>
  <c r="C3" i="30"/>
  <c r="C8" i="30" s="1"/>
  <c r="I23" i="30"/>
  <c r="I28" i="30" s="1"/>
  <c r="I43" i="30"/>
  <c r="I48" i="30" s="1"/>
  <c r="V47" i="30"/>
  <c r="V43" i="30"/>
  <c r="I53" i="30"/>
  <c r="I58" i="30" s="1"/>
  <c r="K73" i="30"/>
  <c r="K78" i="30" s="1"/>
  <c r="I13" i="30"/>
  <c r="I18" i="30" s="1"/>
  <c r="D24" i="21"/>
  <c r="X31" i="30"/>
  <c r="X27" i="30"/>
  <c r="AN3" i="30"/>
  <c r="T79" i="30"/>
  <c r="T75" i="30"/>
  <c r="AL13" i="30"/>
  <c r="V23" i="30"/>
  <c r="V19" i="30"/>
  <c r="V71" i="30"/>
  <c r="V67" i="30"/>
  <c r="K43" i="30"/>
  <c r="K48" i="30" s="1"/>
  <c r="T43" i="30"/>
  <c r="T47" i="30"/>
  <c r="D46" i="21" l="1"/>
  <c r="F46" i="21" s="1"/>
  <c r="D49" i="21" s="1"/>
  <c r="D50" i="21" s="1"/>
  <c r="O3" i="28"/>
  <c r="C7" i="28"/>
  <c r="C5" i="28"/>
  <c r="I4" i="28"/>
  <c r="K49" i="29"/>
  <c r="I50" i="29"/>
  <c r="C34" i="21"/>
  <c r="F2" i="28"/>
  <c r="F5" i="28"/>
  <c r="I5" i="28" l="1"/>
  <c r="I2" i="28"/>
  <c r="F6" i="28"/>
  <c r="F9" i="28"/>
  <c r="F10" i="28" s="1"/>
  <c r="C9" i="28"/>
  <c r="C10" i="28" s="1"/>
  <c r="C6" i="28"/>
  <c r="B18" i="28" s="1"/>
  <c r="F7" i="28"/>
  <c r="L4" i="28"/>
  <c r="K50" i="29"/>
  <c r="I51" i="29"/>
  <c r="R3" i="28"/>
  <c r="E18" i="28" l="1"/>
  <c r="F11" i="28" s="1"/>
  <c r="L5" i="28"/>
  <c r="L2" i="28"/>
  <c r="U3" i="28"/>
  <c r="I6" i="28"/>
  <c r="I9" i="28"/>
  <c r="I10" i="28" s="1"/>
  <c r="O4" i="28"/>
  <c r="K51" i="29"/>
  <c r="I52" i="29"/>
  <c r="C11" i="28"/>
  <c r="I7" i="28"/>
  <c r="C23" i="28" l="1"/>
  <c r="L48" i="29" s="1"/>
  <c r="F12" i="28"/>
  <c r="R4" i="28"/>
  <c r="K52" i="29"/>
  <c r="I53" i="29"/>
  <c r="X3" i="28"/>
  <c r="O5" i="28"/>
  <c r="O7" i="28" s="1"/>
  <c r="O2" i="28"/>
  <c r="L9" i="28"/>
  <c r="L10" i="28" s="1"/>
  <c r="L6" i="28"/>
  <c r="C22" i="28"/>
  <c r="L47" i="29" s="1"/>
  <c r="C12" i="28"/>
  <c r="H18" i="28"/>
  <c r="I11" i="28" s="1"/>
  <c r="L7" i="28"/>
  <c r="R5" i="28" l="1"/>
  <c r="R2" i="28"/>
  <c r="C24" i="28"/>
  <c r="L49" i="29" s="1"/>
  <c r="I12" i="28"/>
  <c r="AA3" i="28"/>
  <c r="U4" i="28"/>
  <c r="K53" i="29"/>
  <c r="I54" i="29"/>
  <c r="O9" i="28"/>
  <c r="O10" i="28" s="1"/>
  <c r="O6" i="28"/>
  <c r="N18" i="28" s="1"/>
  <c r="O11" i="28" s="1"/>
  <c r="K18" i="28"/>
  <c r="L11" i="28" s="1"/>
  <c r="C26" i="28" l="1"/>
  <c r="L51" i="29" s="1"/>
  <c r="O12" i="28"/>
  <c r="AD3" i="28"/>
  <c r="X4" i="28"/>
  <c r="K54" i="29"/>
  <c r="I55" i="29"/>
  <c r="C25" i="28"/>
  <c r="L50" i="29" s="1"/>
  <c r="L12" i="28"/>
  <c r="U2" i="28"/>
  <c r="U5" i="28"/>
  <c r="U7" i="28" s="1"/>
  <c r="R9" i="28"/>
  <c r="R10" i="28" s="1"/>
  <c r="R6" i="28"/>
  <c r="R7" i="28"/>
  <c r="X5" i="28" l="1"/>
  <c r="X2" i="28"/>
  <c r="U6" i="28"/>
  <c r="T18" i="28" s="1"/>
  <c r="U9" i="28"/>
  <c r="U10" i="28" s="1"/>
  <c r="AG3" i="28"/>
  <c r="Q18" i="28"/>
  <c r="R11" i="28" s="1"/>
  <c r="AA4" i="28"/>
  <c r="K55" i="29"/>
  <c r="I56" i="29"/>
  <c r="C27" i="28" l="1"/>
  <c r="L52" i="29" s="1"/>
  <c r="R12" i="28"/>
  <c r="AA5" i="28"/>
  <c r="AA2" i="28"/>
  <c r="U11" i="28"/>
  <c r="X9" i="28"/>
  <c r="X10" i="28" s="1"/>
  <c r="X6" i="28"/>
  <c r="AD4" i="28"/>
  <c r="K56" i="29"/>
  <c r="I57" i="29"/>
  <c r="AJ3" i="28"/>
  <c r="X7" i="28"/>
  <c r="C28" i="28" l="1"/>
  <c r="L53" i="29" s="1"/>
  <c r="U12" i="28"/>
  <c r="AG4" i="28"/>
  <c r="K57" i="29"/>
  <c r="I58" i="29"/>
  <c r="AA9" i="28"/>
  <c r="AA10" i="28" s="1"/>
  <c r="AA6" i="28"/>
  <c r="AD5" i="28"/>
  <c r="AD2" i="28"/>
  <c r="W18" i="28"/>
  <c r="X11" i="28" s="1"/>
  <c r="AA7" i="28"/>
  <c r="AM3" i="28"/>
  <c r="C29" i="28" l="1"/>
  <c r="L54" i="29" s="1"/>
  <c r="X12" i="28"/>
  <c r="AJ4" i="28"/>
  <c r="K58" i="29"/>
  <c r="I59" i="29"/>
  <c r="AD9" i="28"/>
  <c r="AD10" i="28" s="1"/>
  <c r="AD6" i="28"/>
  <c r="AP3" i="28"/>
  <c r="AG5" i="28"/>
  <c r="AG2" i="28"/>
  <c r="Z18" i="28"/>
  <c r="AA11" i="28" s="1"/>
  <c r="AD7" i="28"/>
  <c r="AM4" i="28" l="1"/>
  <c r="K59" i="29"/>
  <c r="I60" i="29"/>
  <c r="AG11" i="28"/>
  <c r="AG9" i="28"/>
  <c r="AG10" i="28" s="1"/>
  <c r="AG6" i="28"/>
  <c r="AF18" i="28" s="1"/>
  <c r="AG7" i="28"/>
  <c r="AS3" i="28"/>
  <c r="C30" i="28"/>
  <c r="L55" i="29" s="1"/>
  <c r="AA12" i="28"/>
  <c r="AC18" i="28"/>
  <c r="AD11" i="28" s="1"/>
  <c r="AJ5" i="28"/>
  <c r="AJ2" i="28"/>
  <c r="C32" i="28" l="1"/>
  <c r="L57" i="29" s="1"/>
  <c r="AG12" i="28"/>
  <c r="C31" i="28"/>
  <c r="L56" i="29" s="1"/>
  <c r="AD12" i="28"/>
  <c r="AP4" i="28"/>
  <c r="I61" i="29"/>
  <c r="K60" i="29"/>
  <c r="AJ11" i="28"/>
  <c r="AJ9" i="28"/>
  <c r="AJ10" i="28" s="1"/>
  <c r="AJ6" i="28"/>
  <c r="AI18" i="28" s="1"/>
  <c r="AV3" i="28"/>
  <c r="AJ7" i="28"/>
  <c r="AM5" i="28"/>
  <c r="AM2" i="28"/>
  <c r="AM7" i="28"/>
  <c r="AP5" i="28" l="1"/>
  <c r="AP2" i="28"/>
  <c r="AP7" i="28"/>
  <c r="AS4" i="28"/>
  <c r="K61" i="29"/>
  <c r="I62" i="29"/>
  <c r="AY3" i="28"/>
  <c r="AM9" i="28"/>
  <c r="AM10" i="28" s="1"/>
  <c r="AM6" i="28"/>
  <c r="AL18" i="28" s="1"/>
  <c r="AM11" i="28"/>
  <c r="C33" i="28"/>
  <c r="L58" i="29" s="1"/>
  <c r="AJ12" i="28"/>
  <c r="AM12" i="28" l="1"/>
  <c r="C34" i="28"/>
  <c r="L59" i="29" s="1"/>
  <c r="AV4" i="28"/>
  <c r="K62" i="29"/>
  <c r="I63" i="29"/>
  <c r="AS7" i="28"/>
  <c r="AS5" i="28"/>
  <c r="AS2" i="28"/>
  <c r="BB3" i="28"/>
  <c r="AP9" i="28"/>
  <c r="AP10" i="28" s="1"/>
  <c r="AP11" i="28"/>
  <c r="AP6" i="28"/>
  <c r="AO18" i="28" s="1"/>
  <c r="AY4" i="28" l="1"/>
  <c r="K63" i="29"/>
  <c r="I64" i="29"/>
  <c r="BE3" i="28"/>
  <c r="AP12" i="28"/>
  <c r="C35" i="28"/>
  <c r="L60" i="29" s="1"/>
  <c r="AV5" i="28"/>
  <c r="AV2" i="28"/>
  <c r="AS11" i="28"/>
  <c r="AS9" i="28"/>
  <c r="AS10" i="28" s="1"/>
  <c r="AS6" i="28"/>
  <c r="AR18" i="28" s="1"/>
  <c r="C36" i="28" l="1"/>
  <c r="L61" i="29" s="1"/>
  <c r="AS12" i="28"/>
  <c r="BH3" i="28"/>
  <c r="AV11" i="28"/>
  <c r="AV9" i="28"/>
  <c r="AV10" i="28" s="1"/>
  <c r="AV6" i="28"/>
  <c r="BB4" i="28"/>
  <c r="K64" i="29"/>
  <c r="I65" i="29"/>
  <c r="AV7" i="28"/>
  <c r="AY7" i="28"/>
  <c r="AY5" i="28"/>
  <c r="AY2" i="28"/>
  <c r="C37" i="28" l="1"/>
  <c r="L62" i="29" s="1"/>
  <c r="AV12" i="28"/>
  <c r="BE4" i="28"/>
  <c r="K65" i="29"/>
  <c r="I66" i="29"/>
  <c r="BK3" i="28"/>
  <c r="BB5" i="28"/>
  <c r="BB2" i="28"/>
  <c r="AY11" i="28"/>
  <c r="AY9" i="28"/>
  <c r="AY10" i="28" s="1"/>
  <c r="AY6" i="28"/>
  <c r="AX18" i="28" s="1"/>
  <c r="AU18" i="28"/>
  <c r="BH4" i="28" l="1"/>
  <c r="K66" i="29"/>
  <c r="I67" i="29"/>
  <c r="BN3" i="28"/>
  <c r="C38" i="28"/>
  <c r="L63" i="29" s="1"/>
  <c r="AY12" i="28"/>
  <c r="BB11" i="28"/>
  <c r="BB9" i="28"/>
  <c r="BB10" i="28" s="1"/>
  <c r="BB6" i="28"/>
  <c r="BA18" i="28" s="1"/>
  <c r="BE5" i="28"/>
  <c r="BE2" i="28"/>
  <c r="BB7" i="28"/>
  <c r="BE11" i="28" l="1"/>
  <c r="BE6" i="28"/>
  <c r="BE9" i="28"/>
  <c r="BE10" i="28" s="1"/>
  <c r="BQ3" i="28"/>
  <c r="BE7" i="28"/>
  <c r="BK4" i="28"/>
  <c r="K67" i="29"/>
  <c r="I68" i="29"/>
  <c r="C39" i="28"/>
  <c r="L64" i="29" s="1"/>
  <c r="BB12" i="28"/>
  <c r="BH7" i="28"/>
  <c r="BH5" i="28"/>
  <c r="BH2" i="28"/>
  <c r="BT3" i="28" l="1"/>
  <c r="BN4" i="28"/>
  <c r="K68" i="29"/>
  <c r="I69" i="29"/>
  <c r="BD18" i="28"/>
  <c r="BH11" i="28"/>
  <c r="BH9" i="28"/>
  <c r="BH10" i="28" s="1"/>
  <c r="BH6" i="28"/>
  <c r="BG18" i="28" s="1"/>
  <c r="BK5" i="28"/>
  <c r="BK2" i="28"/>
  <c r="C40" i="28"/>
  <c r="L65" i="29" s="1"/>
  <c r="BE12" i="28"/>
  <c r="BK11" i="28" l="1"/>
  <c r="BK9" i="28"/>
  <c r="BK10" i="28" s="1"/>
  <c r="BK6" i="28"/>
  <c r="BJ18" i="28" s="1"/>
  <c r="BQ4" i="28"/>
  <c r="K69" i="29"/>
  <c r="I70" i="29"/>
  <c r="BK7" i="28"/>
  <c r="BN5" i="28"/>
  <c r="BN2" i="28"/>
  <c r="C41" i="28"/>
  <c r="L66" i="29" s="1"/>
  <c r="BH12" i="28"/>
  <c r="BT4" i="28" l="1"/>
  <c r="K70" i="29"/>
  <c r="BQ5" i="28"/>
  <c r="BQ2" i="28"/>
  <c r="BN11" i="28"/>
  <c r="BN9" i="28"/>
  <c r="BN10" i="28" s="1"/>
  <c r="BN6" i="28"/>
  <c r="BN7" i="28"/>
  <c r="C42" i="28"/>
  <c r="L67" i="29" s="1"/>
  <c r="BK12" i="28"/>
  <c r="BQ11" i="28" l="1"/>
  <c r="BQ9" i="28"/>
  <c r="BQ10" i="28" s="1"/>
  <c r="BQ6" i="28"/>
  <c r="C43" i="28"/>
  <c r="L68" i="29" s="1"/>
  <c r="BN12" i="28"/>
  <c r="BQ7" i="28"/>
  <c r="BM18" i="28"/>
  <c r="BT5" i="28"/>
  <c r="BT2" i="28"/>
  <c r="BT11" i="28" l="1"/>
  <c r="BT9" i="28"/>
  <c r="BT10" i="28" s="1"/>
  <c r="BT6" i="28"/>
  <c r="BP18" i="28"/>
  <c r="BT7" i="28"/>
  <c r="C44" i="28"/>
  <c r="L69" i="29" s="1"/>
  <c r="BQ12" i="28"/>
  <c r="BS18" i="28" l="1"/>
  <c r="C45" i="28"/>
  <c r="L70" i="29" s="1"/>
  <c r="BT12" i="28"/>
</calcChain>
</file>

<file path=xl/sharedStrings.xml><?xml version="1.0" encoding="utf-8"?>
<sst xmlns="http://schemas.openxmlformats.org/spreadsheetml/2006/main" count="19752" uniqueCount="1216">
  <si>
    <t>Intended Use</t>
  </si>
  <si>
    <t>This worksheet is associated with MTB Ultra V2 Product QC Testing Procedure (D25862).</t>
  </si>
  <si>
    <t>Fields in blue must be input electronically.</t>
  </si>
  <si>
    <t>Fields in green may be entered manually.</t>
  </si>
  <si>
    <t>Fields in yellow perform calculations.</t>
  </si>
  <si>
    <t>Mean Ct Evaluation</t>
  </si>
  <si>
    <t>This tab calculates the mean Ct for SPC and the mean IS1081-IS6110 Ct from Negative samples. It will calculate the  mean Ct  and mean TM for IS1081-IS6110, rpo1, rpo2, rpo4  from Sample Type 1 as well as the mean Ct  and mean TM for IS1081-IS6110, rpo1, rpo2, rpo3, rpo4  from Sample Type 2 and compares them to specifications on "Specifications" tab.  Failing results are highlighted in RED.</t>
  </si>
  <si>
    <t>This tab performs the same calculations for the "First 10" results</t>
  </si>
  <si>
    <t>Table of Tabs to Print-SV only</t>
  </si>
  <si>
    <t>Vacuum Seal Data</t>
  </si>
  <si>
    <t>Tab</t>
  </si>
  <si>
    <t>Print or Not Print</t>
  </si>
  <si>
    <t>This tab is used to record and evaluate the Vacuum Seal Test data from ROBAL in-process testing.</t>
  </si>
  <si>
    <t>Do NOT print</t>
  </si>
  <si>
    <t>Column A</t>
  </si>
  <si>
    <t>Print</t>
  </si>
  <si>
    <t>Enumerates the sampled cartridges.</t>
  </si>
  <si>
    <t>Test Summary</t>
  </si>
  <si>
    <t>Column B</t>
  </si>
  <si>
    <t>Data Summary</t>
  </si>
  <si>
    <t>Records the Cartridge ID.</t>
  </si>
  <si>
    <t>Data- First 10</t>
  </si>
  <si>
    <t>Data- Sample Type 0</t>
  </si>
  <si>
    <t>Column C</t>
  </si>
  <si>
    <t>Data- Sample Type 1</t>
  </si>
  <si>
    <t>Records the results of seal test.</t>
  </si>
  <si>
    <t>Data- Sample Type 2</t>
  </si>
  <si>
    <t>Valid entries are:</t>
  </si>
  <si>
    <t>Data- Replaced</t>
  </si>
  <si>
    <t>"P"</t>
  </si>
  <si>
    <t>Statistical Process Control</t>
  </si>
  <si>
    <t>"F"</t>
  </si>
  <si>
    <t>Resample Vacuum Seal Data</t>
  </si>
  <si>
    <t>Print if applicable</t>
  </si>
  <si>
    <t>"N"</t>
  </si>
  <si>
    <t>Resample Mean Ct Evaluation</t>
  </si>
  <si>
    <t>Resample Data Summary</t>
  </si>
  <si>
    <t>Column D</t>
  </si>
  <si>
    <t>Data- Resample Replaced</t>
  </si>
  <si>
    <t>Calculates the results of seal test.</t>
  </si>
  <si>
    <t>Specifications</t>
  </si>
  <si>
    <t>The result is "NA" if the test replicate was not tested or does not apply.</t>
  </si>
  <si>
    <t>HistoricalAccuStats</t>
  </si>
  <si>
    <t>The results of the calculations are used as a counter for internal worksheet purposes.</t>
  </si>
  <si>
    <t>For Reference Only</t>
  </si>
  <si>
    <t>B3</t>
  </si>
  <si>
    <t>Select Catalog Number from pull down menu</t>
  </si>
  <si>
    <t>B4</t>
  </si>
  <si>
    <t>Enter lot number (without leading 0)</t>
  </si>
  <si>
    <t>Row 9 and 11</t>
  </si>
  <si>
    <t>Enter Control lot number</t>
  </si>
  <si>
    <t>Row 15-16</t>
  </si>
  <si>
    <t>Enter pipet information</t>
  </si>
  <si>
    <t>Row 18-21</t>
  </si>
  <si>
    <t>Enter GeneXpert information</t>
  </si>
  <si>
    <t>P18</t>
  </si>
  <si>
    <t>Enter bags tested using infinity</t>
  </si>
  <si>
    <t>A23-G32</t>
  </si>
  <si>
    <t>Table 4</t>
  </si>
  <si>
    <t>column C</t>
  </si>
  <si>
    <t>Counts individual error types from data summary tab</t>
  </si>
  <si>
    <t>column D</t>
  </si>
  <si>
    <t>Compares number of failures to pass/resample criteria (N&gt;4 resample)</t>
  </si>
  <si>
    <t>column E</t>
  </si>
  <si>
    <t>Counts individual error types from resample data summary tab</t>
  </si>
  <si>
    <t>coulmn F</t>
  </si>
  <si>
    <t>Compares number of failures to pass/resample criteria (N&gt;10 resample)</t>
  </si>
  <si>
    <t>C34</t>
  </si>
  <si>
    <t>Counts the max count for Single Minor Failure</t>
  </si>
  <si>
    <t>C36</t>
  </si>
  <si>
    <t>Max allowable failure per n=210</t>
  </si>
  <si>
    <t>Counts the max count for Single Minor Failure for Resample Data</t>
  </si>
  <si>
    <t>Max allowable failure per n=410</t>
  </si>
  <si>
    <t>I23-K26</t>
  </si>
  <si>
    <t>Table 5</t>
  </si>
  <si>
    <t>K24</t>
  </si>
  <si>
    <t>Manually enter number of failures for Minor Visual Failure</t>
  </si>
  <si>
    <t>K25</t>
  </si>
  <si>
    <t>Manually enter number of failures for Major Visual Failure</t>
  </si>
  <si>
    <t>K26</t>
  </si>
  <si>
    <t>Manually enter number of failures for Delamination</t>
  </si>
  <si>
    <t>I29-M33</t>
  </si>
  <si>
    <t>Table 6</t>
  </si>
  <si>
    <t>L31</t>
  </si>
  <si>
    <t>Counts number of False Negs for original Data</t>
  </si>
  <si>
    <t>M31</t>
  </si>
  <si>
    <t>Counts number of False Negs for Resample Data</t>
  </si>
  <si>
    <t>L32</t>
  </si>
  <si>
    <t>Counts number of False Pos for original Data</t>
  </si>
  <si>
    <t>M32</t>
  </si>
  <si>
    <t>Counts number of False Pos for Resample Data</t>
  </si>
  <si>
    <t>L33</t>
  </si>
  <si>
    <t>Counts number of Major Visual Failures for original Data</t>
  </si>
  <si>
    <t>M33</t>
  </si>
  <si>
    <t>Counts number of Major Visual Failures for Resample Data</t>
  </si>
  <si>
    <t>Row 40-49</t>
  </si>
  <si>
    <t>Table 7</t>
  </si>
  <si>
    <t>Rows 41-42</t>
  </si>
  <si>
    <t>Counts number of replicates and valid replicates from Data Summary and Replaced Data tabs</t>
  </si>
  <si>
    <t>Row 43</t>
  </si>
  <si>
    <t>Counts total number of minor failures from data summary  (pressure and minor visual failures) and table 4 (for other minors)</t>
  </si>
  <si>
    <t>Row 44</t>
  </si>
  <si>
    <t>Calculates total number of major failures from rows 35 and 36</t>
  </si>
  <si>
    <t>Row 45</t>
  </si>
  <si>
    <t>Calculates total number of failures from rows 34 and 37</t>
  </si>
  <si>
    <t>Column E</t>
  </si>
  <si>
    <t>Acceptance Criteria per Specifications tab</t>
  </si>
  <si>
    <t>Column F</t>
  </si>
  <si>
    <t>Rows 44-45</t>
  </si>
  <si>
    <t>Evaluates number of failures against limits on the specifications tab</t>
  </si>
  <si>
    <t>Column H (For Resample Data )</t>
  </si>
  <si>
    <t>Column J</t>
  </si>
  <si>
    <t>Calculates combined failures for original and resample</t>
  </si>
  <si>
    <t>Column K</t>
  </si>
  <si>
    <t>D48</t>
  </si>
  <si>
    <t>Calculates overall result using table 4, table 5 and table 6</t>
  </si>
  <si>
    <t>H48</t>
  </si>
  <si>
    <t>Pull down menu for NCR number if applicable</t>
  </si>
  <si>
    <t>H49</t>
  </si>
  <si>
    <t>Pull down menu for LFI number if applicable</t>
  </si>
  <si>
    <t>Rows 2-4</t>
  </si>
  <si>
    <t>Lot information pulled from Test Summary and Specifications tabs</t>
  </si>
  <si>
    <t>D6</t>
  </si>
  <si>
    <t>Counts number of replicates in Rows 9-18</t>
  </si>
  <si>
    <t>E6</t>
  </si>
  <si>
    <t>Compares Number of replicates to Specifications</t>
  </si>
  <si>
    <t>B7</t>
  </si>
  <si>
    <t>Compares the lot number from Row 3 with the Data - First 10 tab (all replicates must match)</t>
  </si>
  <si>
    <t>D7</t>
  </si>
  <si>
    <t>Compares Assay name from C4 with the Data - First 10 tab (all replicates must match)</t>
  </si>
  <si>
    <t>Rows 10-19</t>
  </si>
  <si>
    <t>Pulls Sample ID from Data - First 10 tab</t>
  </si>
  <si>
    <t>Pulls Test Result from Data - First 10 tab</t>
  </si>
  <si>
    <t>Evaluates the result in column B and Data - First 10 tab in the following order;</t>
  </si>
  <si>
    <t>Found</t>
  </si>
  <si>
    <t>Report</t>
  </si>
  <si>
    <t>Uses Conditional formatting</t>
  </si>
  <si>
    <t>Blank Cell</t>
  </si>
  <si>
    <t>Blank</t>
  </si>
  <si>
    <t>Green</t>
  </si>
  <si>
    <t>Pass</t>
  </si>
  <si>
    <t>Error Code Present</t>
  </si>
  <si>
    <t>Error Text</t>
  </si>
  <si>
    <t>Yellow</t>
  </si>
  <si>
    <t>Minor Failure or Data Entry Error</t>
  </si>
  <si>
    <t>Invalid</t>
  </si>
  <si>
    <t>Red</t>
  </si>
  <si>
    <t>Major Failure</t>
  </si>
  <si>
    <t>If S</t>
  </si>
  <si>
    <t>Seal Test Fail</t>
  </si>
  <si>
    <t>If V</t>
  </si>
  <si>
    <t>Minor Visual</t>
  </si>
  <si>
    <t>If M</t>
  </si>
  <si>
    <t>Major Visual</t>
  </si>
  <si>
    <t>if B</t>
  </si>
  <si>
    <t>Barcode Fail</t>
  </si>
  <si>
    <t>if D</t>
  </si>
  <si>
    <t>Delamination</t>
  </si>
  <si>
    <t>Text not recognized</t>
  </si>
  <si>
    <t>Data Entry Error</t>
  </si>
  <si>
    <t>Correct Test Result</t>
  </si>
  <si>
    <t>Incorrect Test Result</t>
  </si>
  <si>
    <t>Major Functional</t>
  </si>
  <si>
    <t>Evaluates maximum pressure from Data - First 10 tab versus limit in Specifications tab</t>
  </si>
  <si>
    <t>N/A</t>
  </si>
  <si>
    <t>Fail</t>
  </si>
  <si>
    <t>Comment either with pull down menu or free text</t>
  </si>
  <si>
    <t>D21</t>
  </si>
  <si>
    <t>Counts number of replicates in Rows 23-122</t>
  </si>
  <si>
    <t>B22</t>
  </si>
  <si>
    <t>Compares the lot number from Row 3 with the Data - Sample Type 0 tab (all replicates must match)</t>
  </si>
  <si>
    <t>D22</t>
  </si>
  <si>
    <t>Compares Assay name from C4 with the Data - Sample Type 0 tab (all replicates must match)</t>
  </si>
  <si>
    <t>Rows 25-124</t>
  </si>
  <si>
    <t>Pulls Sample ID from Data - Sample Type 0 tab</t>
  </si>
  <si>
    <t>Pulls Test Result from Data - Sample Type 0 tab</t>
  </si>
  <si>
    <t>Evaluates the result in column B and Data - Sample Type 0 tab in the following order;</t>
  </si>
  <si>
    <t>Evaluates maximum pressure from Data - Sample Type 0 tab versus limit in Specifications tab</t>
  </si>
  <si>
    <t>D126</t>
  </si>
  <si>
    <t>Counts number of replicates in Rows 130-210</t>
  </si>
  <si>
    <t>F124</t>
  </si>
  <si>
    <t>B127</t>
  </si>
  <si>
    <t>Compares the lot number from Row 3 with the Data - Sample Type 1 tab (all replicates must match)</t>
  </si>
  <si>
    <t>D127</t>
  </si>
  <si>
    <t>Compares Assay name from C4 with the Data - Sample Type 1 tab (all replicates must match)</t>
  </si>
  <si>
    <t>Rows 130-209</t>
  </si>
  <si>
    <t>Pulls Sample ID from Data - Sample Type 1 tab</t>
  </si>
  <si>
    <t>Pulls Test Result from Data - Sample Type 1 tab</t>
  </si>
  <si>
    <t>Evaluates the result in column B and Data - Sample Type 1 tab in the following order;</t>
  </si>
  <si>
    <t>If SPC Ct=0</t>
  </si>
  <si>
    <t>SPC Ct=0</t>
  </si>
  <si>
    <t>D211</t>
  </si>
  <si>
    <t>Counts number of replicates in Rows 215-234</t>
  </si>
  <si>
    <t>B212</t>
  </si>
  <si>
    <t>D212</t>
  </si>
  <si>
    <t>Rows 215-234</t>
  </si>
  <si>
    <t>D236</t>
  </si>
  <si>
    <t>Counts number of replaced replicates in Data - Replaced tab</t>
  </si>
  <si>
    <t>row 238-337</t>
  </si>
  <si>
    <t>Pull data from Data - Replaced Tab as necessary</t>
  </si>
  <si>
    <t>Data - First 10</t>
  </si>
  <si>
    <t>This tab provides a location to record the GX test summary results for First 10 Cartridges.</t>
  </si>
  <si>
    <t>Paste in data to Row 2 to Row 11</t>
  </si>
  <si>
    <t>No calculations are performed in this tab.</t>
  </si>
  <si>
    <t>Data - Sample Type 0</t>
  </si>
  <si>
    <t>This tab provides a location to record the GX test summary results for Sample Type 0.</t>
  </si>
  <si>
    <t>Paste in data starting with Row 2</t>
  </si>
  <si>
    <t>Paste resample data starting from row 104</t>
  </si>
  <si>
    <t>Data - Sample Type 1</t>
  </si>
  <si>
    <t>This tab provides a location to record the GX test summary results for Sample Type 1.</t>
  </si>
  <si>
    <t>Paste resample data starting from row 84</t>
  </si>
  <si>
    <t>Data - Sample Type 2</t>
  </si>
  <si>
    <t>This tab provides a location to record the GX test summary results for Sample Type 2.</t>
  </si>
  <si>
    <t>Paste resample data starting from row 24</t>
  </si>
  <si>
    <t>Data - Replaced</t>
  </si>
  <si>
    <t>This tab provides a location to record the GX test summary results for replicates that were replaced.</t>
  </si>
  <si>
    <t>This tab perfoms intra- and inter-sample point statistical data analyses.</t>
  </si>
  <si>
    <t>The data are evaluated relative to acceptable limits established through historical data with a specified confidence.</t>
  </si>
  <si>
    <t>The confidence becomes more preceise as more data is accumulated during the course of the run.</t>
  </si>
  <si>
    <t>The Blue Data Line indicates the actual process.</t>
  </si>
  <si>
    <t>The Red Control Line indicates the historical confidence level.</t>
  </si>
  <si>
    <t>The Red Control Line is calculated using the Default Sample Size but will adjust based on the actual sample size.</t>
  </si>
  <si>
    <t>After a Sample Size of Subgroup is entered, this value is used to calculate the remainder of the Red Control Line.</t>
  </si>
  <si>
    <t>The process is operating at or better than historical limits as long as the Blue Data Line remains below the Red Control Line.</t>
  </si>
  <si>
    <t>Statistical Justification</t>
  </si>
  <si>
    <t>The equation for the Red Control Line is based on Exact Binomial Confidence Limits.</t>
  </si>
  <si>
    <t>The Red Highlight (of the entered Default Sample Size) is based on a normal approximation.</t>
  </si>
  <si>
    <t>Justification for these equations can be found in: Hollander, Myles and Wolfe, Douglas, Nonparametric Statsitical Methods, Page 23 to 24, John Wilely and Sons, NY, NY 1973.</t>
  </si>
  <si>
    <t>The Excel equations can be found in the HistoricalAccurStats tab.</t>
  </si>
  <si>
    <t>These results can be duplicated in Minitab version 15, using STATS/Basic Statistics/1-Proportion.</t>
  </si>
  <si>
    <t>Data -Resample Replaced</t>
  </si>
  <si>
    <t>This tab lists the specifications that are used to analyze the data input in the Cartridge Data and Results Summary tabs.</t>
  </si>
  <si>
    <t>This tab supports the calculations performed in the Statistical Process Control tab.</t>
  </si>
  <si>
    <t>This tab informs pull-down menus in other tabs.</t>
  </si>
  <si>
    <t>Document Revision History</t>
  </si>
  <si>
    <t>Use this table format and only provide the changes applicable to this revision and only the one prior. (Main purpose of listing the current changes is to aid in the training via Compliance Wire, provide high level list of changes, help with auditing)</t>
  </si>
  <si>
    <t>Rev.</t>
  </si>
  <si>
    <t>Effective:</t>
  </si>
  <si>
    <t>Description of Changes</t>
  </si>
  <si>
    <t>AW</t>
  </si>
  <si>
    <t>Current</t>
  </si>
  <si>
    <t>Added P/N 700-9436 to Specification tab &amp; revised worksheet formulas as needed.</t>
  </si>
  <si>
    <t>AV</t>
  </si>
  <si>
    <t>No changes to this document</t>
  </si>
  <si>
    <t>Product QC Testing Summary</t>
  </si>
  <si>
    <t>Product Catalog/Part No.:</t>
  </si>
  <si>
    <t>GXMTBRIFULTRA50</t>
  </si>
  <si>
    <t>(Select using drop-down menu.)</t>
  </si>
  <si>
    <t>Type of Resample</t>
  </si>
  <si>
    <t>NA</t>
  </si>
  <si>
    <t>Cartridge No. (LSP)</t>
  </si>
  <si>
    <t>Expiration Date</t>
  </si>
  <si>
    <t>Table 1; Test and Control Material Information</t>
  </si>
  <si>
    <t>TB1081-MDR2  Cells</t>
  </si>
  <si>
    <t>TET Buffer</t>
  </si>
  <si>
    <t>Sample Reagent</t>
  </si>
  <si>
    <t>Part No.*</t>
  </si>
  <si>
    <t>Lot No.</t>
  </si>
  <si>
    <t>Bag #</t>
  </si>
  <si>
    <t>001-1923</t>
  </si>
  <si>
    <t>500-1315
 or 
500-0995</t>
  </si>
  <si>
    <t>500-2095, 500-2290, 500-2608, 700-5208, 700-6052 or 700-9287,700-8870</t>
  </si>
  <si>
    <t>TBWT Cells</t>
  </si>
  <si>
    <t>001-1968</t>
  </si>
  <si>
    <t>* Circle one, if more than 1 option is displayed.</t>
  </si>
  <si>
    <t>Table 2; Pipette Information</t>
  </si>
  <si>
    <t>Cepheid ID</t>
  </si>
  <si>
    <t>Calibration Due Date</t>
  </si>
  <si>
    <t>Table 3; GeneXperts Used:</t>
  </si>
  <si>
    <t>Bag #s Tested on Inifinity</t>
  </si>
  <si>
    <t>Table 4: Single Minor Failure Mode:</t>
  </si>
  <si>
    <t>Table 5: Visual and Delamination Resample Results</t>
  </si>
  <si>
    <t>Type</t>
  </si>
  <si>
    <t>Original Count</t>
  </si>
  <si>
    <t>Result</t>
  </si>
  <si>
    <t>Resample Count</t>
  </si>
  <si>
    <t xml:space="preserve">Final Count </t>
  </si>
  <si>
    <t>Invalid (w/o error code)
and SPC Ct=0</t>
  </si>
  <si>
    <t>Minor Visual Failure</t>
  </si>
  <si>
    <t>Curve Fit Error</t>
  </si>
  <si>
    <t>Major Visual Failure</t>
  </si>
  <si>
    <t>Probe Check Low</t>
  </si>
  <si>
    <t>Probe Check High</t>
  </si>
  <si>
    <t>Note: Enter in results if applicable (all resamples other than functional and full)</t>
  </si>
  <si>
    <t>CIT and SLD</t>
  </si>
  <si>
    <t>Pressure Abort or Max Pressure &gt; 90 PSI</t>
  </si>
  <si>
    <t>Table 6: Major Failure Results</t>
  </si>
  <si>
    <t>Sample Volume Adequacy</t>
  </si>
  <si>
    <t>No. False Negative</t>
  </si>
  <si>
    <t>No. False Positive</t>
  </si>
  <si>
    <t>No. Major Visual Inspection Failures:</t>
  </si>
  <si>
    <t>Max Count</t>
  </si>
  <si>
    <t>MTB Trace Detected</t>
  </si>
  <si>
    <t>Max Acceptable:</t>
  </si>
  <si>
    <t>(Out of )</t>
  </si>
  <si>
    <t>(210)</t>
  </si>
  <si>
    <t>(410)</t>
  </si>
  <si>
    <t>Table 7: Result Summary:</t>
  </si>
  <si>
    <t>Accept Criteria</t>
  </si>
  <si>
    <t xml:space="preserve">Combined Count </t>
  </si>
  <si>
    <t>Total No. Cartridges Registered:</t>
  </si>
  <si>
    <t>Total No. Valid Test Replicates:</t>
  </si>
  <si>
    <t>No. Minor Failures:</t>
  </si>
  <si>
    <t>No. Seal Test Failures:</t>
  </si>
  <si>
    <t>No. Total Major Failures:</t>
  </si>
  <si>
    <t>≤ 1 Resample at 2-3</t>
  </si>
  <si>
    <t>≤ 5</t>
  </si>
  <si>
    <t>No. Total Failures:</t>
  </si>
  <si>
    <t>≤ 9</t>
  </si>
  <si>
    <t>≤ 10</t>
  </si>
  <si>
    <t>Original Result:</t>
  </si>
  <si>
    <t>NC#</t>
  </si>
  <si>
    <t>Overall Result:</t>
  </si>
  <si>
    <t>LFI#</t>
  </si>
  <si>
    <t>Comments</t>
  </si>
  <si>
    <r>
      <t xml:space="preserve"> </t>
    </r>
    <r>
      <rPr>
        <sz val="12"/>
        <rFont val="Wingdings"/>
        <charset val="2"/>
      </rPr>
      <t>¨</t>
    </r>
    <r>
      <rPr>
        <sz val="12"/>
        <rFont val="Arial"/>
        <family val="2"/>
      </rPr>
      <t>N/A</t>
    </r>
  </si>
  <si>
    <t>Recorded By:</t>
  </si>
  <si>
    <t>Date:</t>
  </si>
  <si>
    <t>PQC Reviewed By:</t>
  </si>
  <si>
    <t>Cartridge ID</t>
  </si>
  <si>
    <t>P/F/N</t>
  </si>
  <si>
    <t>0/1/NA</t>
  </si>
  <si>
    <t>01_0_01</t>
  </si>
  <si>
    <t>P</t>
  </si>
  <si>
    <t>01_0_02</t>
  </si>
  <si>
    <t>01_0_03</t>
  </si>
  <si>
    <t>01_0_04</t>
  </si>
  <si>
    <t>01_0_05</t>
  </si>
  <si>
    <t>01_0_06</t>
  </si>
  <si>
    <t>01_0_07</t>
  </si>
  <si>
    <t>01_0_08</t>
  </si>
  <si>
    <t>01_0_09</t>
  </si>
  <si>
    <t>01_0_10</t>
  </si>
  <si>
    <t>01_1_11</t>
  </si>
  <si>
    <t>01_1_12</t>
  </si>
  <si>
    <t>01_1_13</t>
  </si>
  <si>
    <t>01_1_14</t>
  </si>
  <si>
    <t>01_1_15</t>
  </si>
  <si>
    <t>01_1_16</t>
  </si>
  <si>
    <t>01_1_17</t>
  </si>
  <si>
    <t>01_1_18</t>
  </si>
  <si>
    <t>01_2_19</t>
  </si>
  <si>
    <t>01_2_20</t>
  </si>
  <si>
    <t>02_0_01</t>
  </si>
  <si>
    <t>02_0_02</t>
  </si>
  <si>
    <t>02_0_03</t>
  </si>
  <si>
    <t>02_0_04</t>
  </si>
  <si>
    <t>02_0_05</t>
  </si>
  <si>
    <t>02_0_06</t>
  </si>
  <si>
    <t>02_0_07</t>
  </si>
  <si>
    <t>02_0_08</t>
  </si>
  <si>
    <t>02_0_09</t>
  </si>
  <si>
    <t>02_0_10</t>
  </si>
  <si>
    <t>02_1_11</t>
  </si>
  <si>
    <t>02_1_12</t>
  </si>
  <si>
    <t>02_1_13</t>
  </si>
  <si>
    <t>02_1_14</t>
  </si>
  <si>
    <t>02_1_15</t>
  </si>
  <si>
    <t>02_1_16</t>
  </si>
  <si>
    <t>02_1_17</t>
  </si>
  <si>
    <t>02_1_18</t>
  </si>
  <si>
    <t>02_2_19</t>
  </si>
  <si>
    <t>02_2_20</t>
  </si>
  <si>
    <t>03_0_01</t>
  </si>
  <si>
    <t>03_0_02</t>
  </si>
  <si>
    <t>03_0_03</t>
  </si>
  <si>
    <t>03_0_04</t>
  </si>
  <si>
    <t>03_0_05</t>
  </si>
  <si>
    <t>03_0_06</t>
  </si>
  <si>
    <t>03_0_07</t>
  </si>
  <si>
    <t>03_0_08</t>
  </si>
  <si>
    <t>03_0_09</t>
  </si>
  <si>
    <t>03_0_10</t>
  </si>
  <si>
    <t>03_1_11</t>
  </si>
  <si>
    <t>03_1_12</t>
  </si>
  <si>
    <t>03_1_13</t>
  </si>
  <si>
    <t>03_1_14</t>
  </si>
  <si>
    <t>03_1_15</t>
  </si>
  <si>
    <t>03_1_16</t>
  </si>
  <si>
    <t>03_1_17</t>
  </si>
  <si>
    <t>03_1_18</t>
  </si>
  <si>
    <t>03_2_19</t>
  </si>
  <si>
    <t>03_2_20</t>
  </si>
  <si>
    <t>04_0_01</t>
  </si>
  <si>
    <t>04_0_02</t>
  </si>
  <si>
    <t>04_0_03</t>
  </si>
  <si>
    <t>04_0_04</t>
  </si>
  <si>
    <t>04_0_05</t>
  </si>
  <si>
    <t>04_0_06</t>
  </si>
  <si>
    <t>04_0_07</t>
  </si>
  <si>
    <t>04_0_08</t>
  </si>
  <si>
    <t>04_0_09</t>
  </si>
  <si>
    <t>04_0_10</t>
  </si>
  <si>
    <t>04_1_11</t>
  </si>
  <si>
    <t>04_1_12</t>
  </si>
  <si>
    <t>04_1_13</t>
  </si>
  <si>
    <t>04_1_14</t>
  </si>
  <si>
    <t>04_1_15</t>
  </si>
  <si>
    <t>04_1_16</t>
  </si>
  <si>
    <t>04_1_17</t>
  </si>
  <si>
    <t>04_1_18</t>
  </si>
  <si>
    <t>04_2_19</t>
  </si>
  <si>
    <t>04_2_20</t>
  </si>
  <si>
    <t>05_0_01</t>
  </si>
  <si>
    <t>05_0_02</t>
  </si>
  <si>
    <t>05_0_03</t>
  </si>
  <si>
    <t>05_0_04</t>
  </si>
  <si>
    <t>05_0_05</t>
  </si>
  <si>
    <t>05_0_06</t>
  </si>
  <si>
    <t>05_0_07</t>
  </si>
  <si>
    <t>05_0_08</t>
  </si>
  <si>
    <t>05_0_09</t>
  </si>
  <si>
    <t>05_0_10</t>
  </si>
  <si>
    <t>05_1_11</t>
  </si>
  <si>
    <t>05_1_12</t>
  </si>
  <si>
    <t>05_1_13</t>
  </si>
  <si>
    <t>05_1_14</t>
  </si>
  <si>
    <t>05_1_15</t>
  </si>
  <si>
    <t>05_1_16</t>
  </si>
  <si>
    <t>05_1_17</t>
  </si>
  <si>
    <t>05_1_18</t>
  </si>
  <si>
    <t>05_2_19</t>
  </si>
  <si>
    <t>05_2_20</t>
  </si>
  <si>
    <t>06_0_01</t>
  </si>
  <si>
    <t>06_0_02</t>
  </si>
  <si>
    <t>06_0_03</t>
  </si>
  <si>
    <t>06_0_04</t>
  </si>
  <si>
    <t>06_0_05</t>
  </si>
  <si>
    <t>06_0_06</t>
  </si>
  <si>
    <t>06_0_07</t>
  </si>
  <si>
    <t>06_0_08</t>
  </si>
  <si>
    <t>06_0_09</t>
  </si>
  <si>
    <t>06_0_10</t>
  </si>
  <si>
    <t>06_1_11</t>
  </si>
  <si>
    <t>06_1_12</t>
  </si>
  <si>
    <t>06_1_13</t>
  </si>
  <si>
    <t>06_1_14</t>
  </si>
  <si>
    <t>06_1_15</t>
  </si>
  <si>
    <t>06_1_16</t>
  </si>
  <si>
    <t>06_1_17</t>
  </si>
  <si>
    <t>06_1_18</t>
  </si>
  <si>
    <t>06_2_19</t>
  </si>
  <si>
    <t>06_2_20</t>
  </si>
  <si>
    <t>07_0_01</t>
  </si>
  <si>
    <t>07_0_02</t>
  </si>
  <si>
    <t>07_0_03</t>
  </si>
  <si>
    <t>07_0_04</t>
  </si>
  <si>
    <t>07_0_05</t>
  </si>
  <si>
    <t>07_0_06</t>
  </si>
  <si>
    <t>07_0_07</t>
  </si>
  <si>
    <t>07_0_08</t>
  </si>
  <si>
    <t>07_0_09</t>
  </si>
  <si>
    <t>07_0_10</t>
  </si>
  <si>
    <t>07_1_11</t>
  </si>
  <si>
    <t>07_1_12</t>
  </si>
  <si>
    <t>07_1_13</t>
  </si>
  <si>
    <t>07_1_14</t>
  </si>
  <si>
    <t>07_1_15</t>
  </si>
  <si>
    <t>07_1_16</t>
  </si>
  <si>
    <t>07_1_17</t>
  </si>
  <si>
    <t>07_1_18</t>
  </si>
  <si>
    <t>07_2_19</t>
  </si>
  <si>
    <t>07_2_20</t>
  </si>
  <si>
    <t>08_0_01</t>
  </si>
  <si>
    <t>08_0_02</t>
  </si>
  <si>
    <t>08_0_03</t>
  </si>
  <si>
    <t>08_0_04</t>
  </si>
  <si>
    <t>08_0_05</t>
  </si>
  <si>
    <t>08_0_06</t>
  </si>
  <si>
    <t>08_0_07</t>
  </si>
  <si>
    <t>08_0_08</t>
  </si>
  <si>
    <t>08_0_09</t>
  </si>
  <si>
    <t>08_0_10</t>
  </si>
  <si>
    <t>08_1_11</t>
  </si>
  <si>
    <t>08_1_12</t>
  </si>
  <si>
    <t>08_1_13</t>
  </si>
  <si>
    <t>08_1_14</t>
  </si>
  <si>
    <t>08_1_15</t>
  </si>
  <si>
    <t>08_1_16</t>
  </si>
  <si>
    <t>08_1_17</t>
  </si>
  <si>
    <t>08_1_18</t>
  </si>
  <si>
    <t>08_2_19</t>
  </si>
  <si>
    <t>08_2_20</t>
  </si>
  <si>
    <t>09_0_01</t>
  </si>
  <si>
    <t>09_0_02</t>
  </si>
  <si>
    <t>09_0_03</t>
  </si>
  <si>
    <t>09_0_04</t>
  </si>
  <si>
    <t>09_0_05</t>
  </si>
  <si>
    <t>09_0_06</t>
  </si>
  <si>
    <t>09_0_07</t>
  </si>
  <si>
    <t>09_0_08</t>
  </si>
  <si>
    <t>09_0_09</t>
  </si>
  <si>
    <t>09_0_10</t>
  </si>
  <si>
    <t>09_1_11</t>
  </si>
  <si>
    <t>09_1_12</t>
  </si>
  <si>
    <t>09_1_13</t>
  </si>
  <si>
    <t>09_1_14</t>
  </si>
  <si>
    <t>09_1_15</t>
  </si>
  <si>
    <t>09_1_16</t>
  </si>
  <si>
    <t>09_1_17</t>
  </si>
  <si>
    <t>09_1_18</t>
  </si>
  <si>
    <t>09_2_19</t>
  </si>
  <si>
    <t>09_2_20</t>
  </si>
  <si>
    <t>10_0_01</t>
  </si>
  <si>
    <t>10_0_02</t>
  </si>
  <si>
    <t>10_0_03</t>
  </si>
  <si>
    <t>10_0_04</t>
  </si>
  <si>
    <t>10_0_05</t>
  </si>
  <si>
    <t>10_0_06</t>
  </si>
  <si>
    <t>10_0_07</t>
  </si>
  <si>
    <t>10_0_08</t>
  </si>
  <si>
    <t>10_0_09</t>
  </si>
  <si>
    <t>10_0_10</t>
  </si>
  <si>
    <t>10_1_11</t>
  </si>
  <si>
    <t>10_1_12</t>
  </si>
  <si>
    <t>10_1_13</t>
  </si>
  <si>
    <t>10_1_14</t>
  </si>
  <si>
    <t>10_1_15</t>
  </si>
  <si>
    <t>10_1_16</t>
  </si>
  <si>
    <t>10_1_17</t>
  </si>
  <si>
    <t>10_1_18</t>
  </si>
  <si>
    <t>10_2_19</t>
  </si>
  <si>
    <t>10_2_20</t>
  </si>
  <si>
    <t>N</t>
  </si>
  <si>
    <t>Comments:</t>
  </si>
  <si>
    <t>Part No.</t>
  </si>
  <si>
    <t>Expected Lot Number</t>
  </si>
  <si>
    <t>Expected Assay Name</t>
  </si>
  <si>
    <t>First 10
Sample Type</t>
  </si>
  <si>
    <t>No. Of Replicates</t>
  </si>
  <si>
    <t>Lot Check</t>
  </si>
  <si>
    <t>Assay Name Check</t>
  </si>
  <si>
    <t>No. Of Replicates Check</t>
  </si>
  <si>
    <t>Expected Result</t>
  </si>
  <si>
    <t>Failure check</t>
  </si>
  <si>
    <t>Pressure Check</t>
  </si>
  <si>
    <t>Comment (drop-down menu available)</t>
  </si>
  <si>
    <t>Sample Type</t>
  </si>
  <si>
    <t>Replaced</t>
  </si>
  <si>
    <t>Sample Type 0 (Negative)</t>
  </si>
  <si>
    <t>Sample Type 1 (TBMDR2)</t>
  </si>
  <si>
    <t>Sample Type 2 (TBWT)</t>
  </si>
  <si>
    <t>Data Set</t>
  </si>
  <si>
    <t>IS1081-IS6110 Ct</t>
  </si>
  <si>
    <t>IS1081-IS6110 Ct Mean</t>
  </si>
  <si>
    <t>SPC Ct</t>
  </si>
  <si>
    <t>SPC Ct Mean</t>
  </si>
  <si>
    <t>IS1081-IS6110 Ct Mean per Data Set</t>
  </si>
  <si>
    <t>SPC mean per Data Set</t>
  </si>
  <si>
    <t>rpo1 Ct</t>
  </si>
  <si>
    <t>rpo2 Ct</t>
  </si>
  <si>
    <t>rpo4 Ct</t>
  </si>
  <si>
    <t>rpo1 Tm</t>
  </si>
  <si>
    <t>rpo1 Tm Mean</t>
  </si>
  <si>
    <t>rpo2 Tm</t>
  </si>
  <si>
    <t>rpo2 Tm Mean</t>
  </si>
  <si>
    <t>rpo4 Tm</t>
  </si>
  <si>
    <t>rpo4 Tm Mean</t>
  </si>
  <si>
    <t>rpo3 Ct</t>
  </si>
  <si>
    <t>rpo3 Tm</t>
  </si>
  <si>
    <t>rpo3 Tm Mean</t>
  </si>
  <si>
    <t>First 10</t>
  </si>
  <si>
    <t>1-5</t>
  </si>
  <si>
    <t>6-10</t>
  </si>
  <si>
    <t>rpo1 Ct Mean per Data Set</t>
  </si>
  <si>
    <t>rpo2 Ct Mean per Data Set</t>
  </si>
  <si>
    <t>rpo3 Ct Mean per Data Set</t>
  </si>
  <si>
    <t>rpo4 Ct Mean per Data Set</t>
  </si>
  <si>
    <t>FIO</t>
  </si>
  <si>
    <t>Assay</t>
  </si>
  <si>
    <t>Assay Version</t>
  </si>
  <si>
    <t>Sample ID</t>
  </si>
  <si>
    <t>Cartridge S/N</t>
  </si>
  <si>
    <t>Reagent Lot ID</t>
  </si>
  <si>
    <t>Test Type</t>
  </si>
  <si>
    <t>Instrument S/N</t>
  </si>
  <si>
    <t>Module S/N</t>
  </si>
  <si>
    <t>S/W Version</t>
  </si>
  <si>
    <t>Start Time</t>
  </si>
  <si>
    <t>Status</t>
  </si>
  <si>
    <t>Test Result</t>
  </si>
  <si>
    <t>Analyte Name</t>
  </si>
  <si>
    <t>Usage</t>
  </si>
  <si>
    <t>Target #</t>
  </si>
  <si>
    <t>Analyte Result</t>
  </si>
  <si>
    <t>Ct</t>
  </si>
  <si>
    <t>EndPt</t>
  </si>
  <si>
    <t>Curve Fit</t>
  </si>
  <si>
    <t>Target Delta Ct</t>
  </si>
  <si>
    <t>Prb Chk 1</t>
  </si>
  <si>
    <t>Prb Chk 2</t>
  </si>
  <si>
    <t>Prb Chk 3</t>
  </si>
  <si>
    <t>Probe Check Result</t>
  </si>
  <si>
    <t>2nd Deriv Peak Height</t>
  </si>
  <si>
    <t>Cycles</t>
  </si>
  <si>
    <t>Melt Peak Temperature</t>
  </si>
  <si>
    <t>Melt Peak Height</t>
  </si>
  <si>
    <t>Max Pressure (PSI)</t>
  </si>
  <si>
    <t>Min Pressure (PSI)</t>
  </si>
  <si>
    <t>Error</t>
  </si>
  <si>
    <t>Patient ID</t>
  </si>
  <si>
    <t>Quantitative Value</t>
  </si>
  <si>
    <t>Quantitative Unit</t>
  </si>
  <si>
    <t>Interpretation Flag</t>
  </si>
  <si>
    <t>User</t>
  </si>
  <si>
    <t>Enter Resample Data Below:</t>
  </si>
  <si>
    <t>Historical Defect Rate:</t>
  </si>
  <si>
    <t>(1) Input "Sample Size of Subgroup" and "Defects in Subgroup".</t>
  </si>
  <si>
    <t>Default Sample Size:</t>
  </si>
  <si>
    <t>(2) Contact the Supervisor immediately if:</t>
  </si>
  <si>
    <t>Confidence:</t>
  </si>
  <si>
    <t>(a) the Blue Data Line is above the Red Control Line</t>
  </si>
  <si>
    <t>and/or</t>
  </si>
  <si>
    <t>(b) the "Defects in Subgroup" value is displayed in Red</t>
  </si>
  <si>
    <t>Sampling</t>
  </si>
  <si>
    <t>Sample Size</t>
  </si>
  <si>
    <t>Defects</t>
  </si>
  <si>
    <t>Defect</t>
  </si>
  <si>
    <t>Point</t>
  </si>
  <si>
    <t xml:space="preserve">of Subgroup </t>
  </si>
  <si>
    <t xml:space="preserve">in Subgroup </t>
  </si>
  <si>
    <t xml:space="preserve">Per Sub Group </t>
  </si>
  <si>
    <t>Total</t>
  </si>
  <si>
    <t>Comments (Attach separate sheet(s) as required.)</t>
  </si>
  <si>
    <t>Performed By:</t>
  </si>
  <si>
    <t>DO NOT PRINT BELOW</t>
  </si>
  <si>
    <t>Defect Rate</t>
  </si>
  <si>
    <t>Total Percent</t>
  </si>
  <si>
    <t>CL</t>
  </si>
  <si>
    <t>Resample Size</t>
  </si>
  <si>
    <t>Major Cartridge Integrity Test Failure Limits (PASS, RESAMPLE), Note: this specification is not in use.</t>
  </si>
  <si>
    <t>Maximum Pressure Limit</t>
  </si>
  <si>
    <t>Minor Functional - Indeterminate error code</t>
  </si>
  <si>
    <t>MTB DETECTED*;Rif Resistance INDETERMINATE</t>
  </si>
  <si>
    <t>Valid Sample Type Codes</t>
  </si>
  <si>
    <t>Valid Replicate Check</t>
  </si>
  <si>
    <t>Max No. of Single Minor Failure Mode for initial data</t>
  </si>
  <si>
    <t>Max No. of Single Minor Failure Mode for initial+resample data</t>
  </si>
  <si>
    <t>Sample Type 0</t>
  </si>
  <si>
    <t>Sample Type 1</t>
  </si>
  <si>
    <t>Sample Type 2</t>
  </si>
  <si>
    <t>Part/Cat. No.*</t>
  </si>
  <si>
    <t>Assay Name</t>
  </si>
  <si>
    <t>Assay
(P File)</t>
  </si>
  <si>
    <t>Maximum No.
Allowable Major and
Minor Failures Total
for PASS</t>
  </si>
  <si>
    <t>Maximum No.
Allowable Seal Test Failures Total
for PASS</t>
  </si>
  <si>
    <t>Maximum No.
Allowable Major
Functional Failures
for PASS</t>
  </si>
  <si>
    <t>Maximum No.
Allowable Major
Visual Inspection Failures
for PASS</t>
  </si>
  <si>
    <t>Maximum No.
Allowable Major
Failures Total
for PASS</t>
  </si>
  <si>
    <t>Maximum No.
Allowable Major
Functional Failures
for RESAMPLE</t>
  </si>
  <si>
    <t>Maximum No.
Allowable Major
Visual Inspection Failures
for RESAMPLE</t>
  </si>
  <si>
    <t>Maximum No.
Allowable Major
Failures Total
for RESAMPLE</t>
  </si>
  <si>
    <t>Sample Type
for First 10</t>
  </si>
  <si>
    <t>GXMTBRIF-ULT-CN-10</t>
  </si>
  <si>
    <t>Xpert MTB-RIF Ultra</t>
  </si>
  <si>
    <t>P0833</t>
  </si>
  <si>
    <t>MTB NOT DETECTED</t>
  </si>
  <si>
    <t>MTB DETECTED *;Rif Resistance DETECTED</t>
  </si>
  <si>
    <t>MTB DETECTED *;Rif Resistance NOT DETECTED</t>
  </si>
  <si>
    <t>GXMTBRIF-ULT-CN-50</t>
  </si>
  <si>
    <t>GXMTBRIFULTRA10</t>
  </si>
  <si>
    <t>GXMTB-ULTRA-HB-10</t>
  </si>
  <si>
    <t>GXMTB-ULTRA-HB-50</t>
  </si>
  <si>
    <t>GXMTBULTRAMII10</t>
  </si>
  <si>
    <t>GXMTBULTRAMII50</t>
  </si>
  <si>
    <t>PN7006537</t>
  </si>
  <si>
    <t>PN7007774</t>
  </si>
  <si>
    <t>PN7009436</t>
  </si>
  <si>
    <t>PN9000779</t>
  </si>
  <si>
    <t>MTB-RIF Ultra v2 RUO</t>
  </si>
  <si>
    <t>P0792</t>
  </si>
  <si>
    <t>* Note: List must be in ascending order per Excel ordering rules.</t>
  </si>
  <si>
    <t>TYPE</t>
  </si>
  <si>
    <t>Max SPC Ct</t>
  </si>
  <si>
    <t>Max rpoB2 Ct</t>
  </si>
  <si>
    <t>rpo2 MUT Tm</t>
  </si>
  <si>
    <t>rpo4 MUT A Tm</t>
  </si>
  <si>
    <t>Conf</t>
  </si>
  <si>
    <t>SS</t>
  </si>
  <si>
    <t>Def</t>
  </si>
  <si>
    <t>v1</t>
  </si>
  <si>
    <t>v2</t>
  </si>
  <si>
    <t>Est</t>
  </si>
  <si>
    <t>ARL</t>
  </si>
  <si>
    <t>CI</t>
  </si>
  <si>
    <t>F-statistic</t>
  </si>
  <si>
    <t>cl</t>
  </si>
  <si>
    <t>est</t>
  </si>
  <si>
    <t>Reasons for replacements</t>
  </si>
  <si>
    <t>Comments for Valid Test Replicates</t>
  </si>
  <si>
    <t>NC No.</t>
  </si>
  <si>
    <t>Type Of Resample</t>
  </si>
  <si>
    <t>YES</t>
  </si>
  <si>
    <t>Instrument error replaced per D12547 Rev __</t>
  </si>
  <si>
    <t>See Replaced Data</t>
  </si>
  <si>
    <t>__NC____</t>
  </si>
  <si>
    <t>__LFI__</t>
  </si>
  <si>
    <t>NO</t>
  </si>
  <si>
    <t>Visual Only Resample</t>
  </si>
  <si>
    <t>Replaced per __LFI___</t>
  </si>
  <si>
    <t>Resample Needed</t>
  </si>
  <si>
    <t>Functional and Visual Resample</t>
  </si>
  <si>
    <t>Bent reaction tube</t>
  </si>
  <si>
    <t>Delam and Visual Resample</t>
  </si>
  <si>
    <t>Broken/missing reaction tube</t>
  </si>
  <si>
    <t>Cracked chimneys</t>
  </si>
  <si>
    <t>Desiccant in center plunger hole</t>
  </si>
  <si>
    <t>x(Seal Test Only)</t>
  </si>
  <si>
    <t>x</t>
  </si>
  <si>
    <t>Film delamination</t>
  </si>
  <si>
    <t>PASS</t>
  </si>
  <si>
    <t>Fluids/crystals on the top/inside of the cartridge</t>
  </si>
  <si>
    <t>RESAMPLE</t>
  </si>
  <si>
    <t>Incorrect lid</t>
  </si>
  <si>
    <t>Label incorrect/blurry</t>
  </si>
  <si>
    <t>Leaky cartridge</t>
  </si>
  <si>
    <t>Missing or noticeably under or overfilled on board reagent</t>
  </si>
  <si>
    <t>C15NOV23D</t>
  </si>
  <si>
    <t>B01NOV24D</t>
  </si>
  <si>
    <t>00+05-10+TBWT</t>
  </si>
  <si>
    <t>Nr. 35</t>
  </si>
  <si>
    <t xml:space="preserve">Nr. 21 </t>
  </si>
  <si>
    <t xml:space="preserve"> 01-02</t>
  </si>
  <si>
    <t xml:space="preserve"> 03-04</t>
  </si>
  <si>
    <t>NEG_00_0_01X</t>
  </si>
  <si>
    <t>Negative Control 1</t>
  </si>
  <si>
    <t>2025-10-26T01:27:08+0200</t>
  </si>
  <si>
    <t>Done</t>
  </si>
  <si>
    <t>SPC</t>
  </si>
  <si>
    <t>1,2,3,4</t>
  </si>
  <si>
    <t>IS1081-IS6110</t>
  </si>
  <si>
    <t>IC</t>
  </si>
  <si>
    <t>FAIL</t>
  </si>
  <si>
    <t>rpoB1</t>
  </si>
  <si>
    <t>Target</t>
  </si>
  <si>
    <t>INVALID</t>
  </si>
  <si>
    <t>rpoB2</t>
  </si>
  <si>
    <t>rpoB3</t>
  </si>
  <si>
    <t>rpoB4</t>
  </si>
  <si>
    <t>QC1</t>
  </si>
  <si>
    <t>Probe</t>
  </si>
  <si>
    <t>QC2</t>
  </si>
  <si>
    <t>rpoB1 melt</t>
  </si>
  <si>
    <t>Melt Target</t>
  </si>
  <si>
    <t>rpoB2 melt</t>
  </si>
  <si>
    <t>rpoB3 melt</t>
  </si>
  <si>
    <t>rpoB4 melt</t>
  </si>
  <si>
    <t>rpoB1 Mut melt</t>
  </si>
  <si>
    <t>rpoB2 Mut melt</t>
  </si>
  <si>
    <t>rpoB3 Mut melt</t>
  </si>
  <si>
    <t>rpoB4 Mut melt A</t>
  </si>
  <si>
    <t>rpoB4 Mut melt B</t>
  </si>
  <si>
    <t>&lt;None&gt;</t>
  </si>
  <si>
    <t>NEG_00_0_02X</t>
  </si>
  <si>
    <t>2025-10-26T01:27:35+0200</t>
  </si>
  <si>
    <t>NEG_00_0_03X</t>
  </si>
  <si>
    <t>2025-10-26T01:28:05+0200</t>
  </si>
  <si>
    <t>NEG_00_0_04X</t>
  </si>
  <si>
    <t>2025-10-26T01:28:32+0200</t>
  </si>
  <si>
    <t>NEG_00_0_05X</t>
  </si>
  <si>
    <t>2025-10-26T01:29:09+0200</t>
  </si>
  <si>
    <t>NEG_00_0_06+</t>
  </si>
  <si>
    <t>2025-10-26T01:29:41+0200</t>
  </si>
  <si>
    <t>NEG_00_0_07+</t>
  </si>
  <si>
    <t>2025-10-26T01:30:04+0200</t>
  </si>
  <si>
    <t>NEG_00_0_08+</t>
  </si>
  <si>
    <t>2025-10-26T01:30:36+0200</t>
  </si>
  <si>
    <t>NEG_00_0_09+</t>
  </si>
  <si>
    <t>2025-10-26T01:31:03+0200</t>
  </si>
  <si>
    <t>NEG_00_0_10+</t>
  </si>
  <si>
    <t>2025-10-26T01:31:27+0200</t>
  </si>
  <si>
    <t>NEG_01_0_01X</t>
  </si>
  <si>
    <t>2025-10-26T02:56:07+0100</t>
  </si>
  <si>
    <t>NEG_01_0_02X</t>
  </si>
  <si>
    <t>2025-10-26T02:56:32+0100</t>
  </si>
  <si>
    <t>NEG_01_0_03X</t>
  </si>
  <si>
    <t>2025-10-26T02:56:56+0100</t>
  </si>
  <si>
    <t>NEG_01_0_04X</t>
  </si>
  <si>
    <t>2025-10-26T02:57:42+0100</t>
  </si>
  <si>
    <t>NEG_01_0_05X</t>
  </si>
  <si>
    <t>2025-10-26T02:58:58+0100</t>
  </si>
  <si>
    <t>NEG_01_0_06+</t>
  </si>
  <si>
    <t>2025-10-26T02:59:48+0100</t>
  </si>
  <si>
    <t>NEG_01_0_07+</t>
  </si>
  <si>
    <t>2025-10-26T02:00:11+0100</t>
  </si>
  <si>
    <t>NEG_01_0_09+</t>
  </si>
  <si>
    <t>2025-10-26T02:00:36+0100</t>
  </si>
  <si>
    <t>NEG_01_0_10+</t>
  </si>
  <si>
    <t>2025-10-26T02:01:01+0100</t>
  </si>
  <si>
    <t>S</t>
  </si>
  <si>
    <t>Seal Test Failure</t>
  </si>
  <si>
    <t>Seal Test Failure error replaced per D12547 Rev FK</t>
  </si>
  <si>
    <t>NEG_01_0_08A+</t>
  </si>
  <si>
    <t>2025-10-26T02:34:57+0100</t>
  </si>
  <si>
    <t>C15NOV23D_01_1_11X</t>
  </si>
  <si>
    <t>Positive Control 1</t>
  </si>
  <si>
    <t>2025-10-26T01:52:14+0200</t>
  </si>
  <si>
    <t>MTB DETECTED LOW;RIF Resistance DETECTED</t>
  </si>
  <si>
    <t>POS</t>
  </si>
  <si>
    <t>NEG</t>
  </si>
  <si>
    <t>C15NOV23D_01_1_12X</t>
  </si>
  <si>
    <t>2025-10-26T01:52:39+0200</t>
  </si>
  <si>
    <t>C15NOV23D_01_1_13X</t>
  </si>
  <si>
    <t>2025-10-26T01:53:06+0200</t>
  </si>
  <si>
    <t>C15NOV23D_01_1_14X</t>
  </si>
  <si>
    <t>2025-10-26T01:53:32+0200</t>
  </si>
  <si>
    <t>C15NOV23D_01_1_15+</t>
  </si>
  <si>
    <t>2025-10-26T01:53:57+0200</t>
  </si>
  <si>
    <t>C15NOV23D_01_1_16+</t>
  </si>
  <si>
    <t>2025-10-26T01:54:19+0200</t>
  </si>
  <si>
    <t>C15NOV23D_01_1_17+</t>
  </si>
  <si>
    <t>2025-10-26T01:54:46+0200</t>
  </si>
  <si>
    <t>C15NOV23D_01_1_18+</t>
  </si>
  <si>
    <t>2025-10-26T01:55:09+0200</t>
  </si>
  <si>
    <t>NEG_02_0_01X</t>
  </si>
  <si>
    <t>2025-10-26T03:39:14+0100</t>
  </si>
  <si>
    <t>NEG_02_0_02X</t>
  </si>
  <si>
    <t>2025-10-26T03:39:40+0100</t>
  </si>
  <si>
    <t>NEG_02_0_03X</t>
  </si>
  <si>
    <t>2025-10-26T03:40:05+0100</t>
  </si>
  <si>
    <t>NEG_02_0_04X</t>
  </si>
  <si>
    <t>2025-10-26T03:40:54+0100</t>
  </si>
  <si>
    <t>NEG_02_0_05X</t>
  </si>
  <si>
    <t>2025-10-26T03:41:19+0100</t>
  </si>
  <si>
    <t>NEG_02_0_06+</t>
  </si>
  <si>
    <t>2025-10-26T03:41:42+0100</t>
  </si>
  <si>
    <t>NEG_02_0_07+</t>
  </si>
  <si>
    <t>2025-10-26T03:42:06+0100</t>
  </si>
  <si>
    <t>NEG_02_0_08+</t>
  </si>
  <si>
    <t>2025-10-26T03:42:31+0100</t>
  </si>
  <si>
    <t>NEG_02_0_09+</t>
  </si>
  <si>
    <t>2025-10-26T03:42:56+0100</t>
  </si>
  <si>
    <t>NEG_02_0_10+</t>
  </si>
  <si>
    <t>2025-10-26T03:43:21+0100</t>
  </si>
  <si>
    <t>F</t>
  </si>
  <si>
    <t>C15NOV23D_02_1_11X</t>
  </si>
  <si>
    <t>26/10/25 03:31:32</t>
  </si>
  <si>
    <t>C15NOV23D_02_1_12X</t>
  </si>
  <si>
    <t>26/10/25 03:31:57</t>
  </si>
  <si>
    <t>C15NOV23D_02_1_13X</t>
  </si>
  <si>
    <t>26/10/25 03:32:23</t>
  </si>
  <si>
    <t>C15NOV23D_02_1_14X</t>
  </si>
  <si>
    <t>26/10/25 03:32:47</t>
  </si>
  <si>
    <t>C15NOV23D_02_1_15+</t>
  </si>
  <si>
    <t>26/10/25 03:33:13</t>
  </si>
  <si>
    <t>C15NOV23D_02_1_16+</t>
  </si>
  <si>
    <t>26/10/25 03:33:38</t>
  </si>
  <si>
    <t>C15NOV23D_02_1_17+</t>
  </si>
  <si>
    <t>26/10/25 03:34:24</t>
  </si>
  <si>
    <t>C15NOV23D_02_1_18+</t>
  </si>
  <si>
    <t>26/10/25 03:34:03</t>
  </si>
  <si>
    <t>NEG_03_0_01X</t>
  </si>
  <si>
    <t>2025-10-26T05:52:14+0100</t>
  </si>
  <si>
    <t>NEG_03_0_02X</t>
  </si>
  <si>
    <t>2025-10-26T05:52:40+0100</t>
  </si>
  <si>
    <t>NEG_03_0_03X</t>
  </si>
  <si>
    <t>2025-10-26T05:53:05+0100</t>
  </si>
  <si>
    <t>NEG_03_0_04X</t>
  </si>
  <si>
    <t>2025-10-26T05:53:30+0100</t>
  </si>
  <si>
    <t>NEG_03_0_05X</t>
  </si>
  <si>
    <t>2025-10-26T05:53:53+0100</t>
  </si>
  <si>
    <t>NEG_03_0_06+</t>
  </si>
  <si>
    <t>2025-10-26T05:54:16+0100</t>
  </si>
  <si>
    <t>MTB Trace DETECTED;RIF Resistance INDETERMINATE</t>
  </si>
  <si>
    <t>NEG_03_0_07+</t>
  </si>
  <si>
    <t>2025-10-26T05:54:41+0100</t>
  </si>
  <si>
    <t>NEG_03_0_08+</t>
  </si>
  <si>
    <t>2025-10-26T05:55:05+0100</t>
  </si>
  <si>
    <t>NEG_03_0_09+</t>
  </si>
  <si>
    <t>2025-10-26T05:55:30+0100</t>
  </si>
  <si>
    <t>NEG_03_0_10+</t>
  </si>
  <si>
    <t>2025-10-26T05:55:53+0100</t>
  </si>
  <si>
    <t>C15NOV23D_03_1_11X</t>
  </si>
  <si>
    <t>2025-10-26T04:53:46+0100</t>
  </si>
  <si>
    <t>C15NOV23D_03_1_12X</t>
  </si>
  <si>
    <t>2025-10-26T04:55:01+0100</t>
  </si>
  <si>
    <t>C15NOV23D_03_1_13X</t>
  </si>
  <si>
    <t>2025-10-26T04:56:13+0100</t>
  </si>
  <si>
    <t>C15NOV23D_03_1_14X</t>
  </si>
  <si>
    <t>2025-10-26T04:57:00+0100</t>
  </si>
  <si>
    <t>C15NOV23D_03_1_15+</t>
  </si>
  <si>
    <t>2025-10-26T04:57:26+0100</t>
  </si>
  <si>
    <t>C15NOV23D_03_1_16+</t>
  </si>
  <si>
    <t>2025-10-26T04:57:53+0100</t>
  </si>
  <si>
    <t>C15NOV23D_03_1_17+</t>
  </si>
  <si>
    <t>2025-10-26T04:58:16+0100</t>
  </si>
  <si>
    <t>C15NOV23D_03_1_18+</t>
  </si>
  <si>
    <t>2025-10-26T04:58:39+0100</t>
  </si>
  <si>
    <t>04_1_14X</t>
  </si>
  <si>
    <t>NEG_04_0_01X</t>
  </si>
  <si>
    <t>2025-10-26T09:34:16+0100</t>
  </si>
  <si>
    <t>NEG_04_0_02X</t>
  </si>
  <si>
    <t>2025-10-26T09:34:40+0100</t>
  </si>
  <si>
    <t>NEG_04_0_03X</t>
  </si>
  <si>
    <t>2025-10-26T09:35:05+0100</t>
  </si>
  <si>
    <t>NEG_04_0_04X</t>
  </si>
  <si>
    <t>2025-10-26T09:35:30+0100</t>
  </si>
  <si>
    <t>NEG_04_0_05X</t>
  </si>
  <si>
    <t>2025-10-26T09:35:54+0100</t>
  </si>
  <si>
    <t>NEG_04_0_06+</t>
  </si>
  <si>
    <t>2025-10-26T09:36:20+0100</t>
  </si>
  <si>
    <t>NEG_04_0_07+</t>
  </si>
  <si>
    <t>2025-10-26T09:36:44+0100</t>
  </si>
  <si>
    <t>NEG_04_0_08+</t>
  </si>
  <si>
    <t>2025-10-26T09:37:09+0100</t>
  </si>
  <si>
    <t>NEG_04_0_09+</t>
  </si>
  <si>
    <t>2025-10-26T09:37:32+0100</t>
  </si>
  <si>
    <t>NEG_04_0_10+</t>
  </si>
  <si>
    <t>2025-10-26T09:37:56+0100</t>
  </si>
  <si>
    <t>NEG_05_0_01X</t>
  </si>
  <si>
    <t>2025-10-26T09:42:20+0100</t>
  </si>
  <si>
    <t>NEG_05_0_02X</t>
  </si>
  <si>
    <t>2025-10-26T09:42:44+0100</t>
  </si>
  <si>
    <t>NEG_05_0_03X</t>
  </si>
  <si>
    <t>2025-10-26T09:43:10+0100</t>
  </si>
  <si>
    <t>NEG_05_0_04X</t>
  </si>
  <si>
    <t>2025-10-26T09:43:34+0100</t>
  </si>
  <si>
    <t>NEG_05_0_05X</t>
  </si>
  <si>
    <t>2025-10-26T09:43:58+0100</t>
  </si>
  <si>
    <t>NEG_05_0_06+</t>
  </si>
  <si>
    <t>2025-10-26T09:44:22+0100</t>
  </si>
  <si>
    <t>NEG_05_0_07+</t>
  </si>
  <si>
    <t>2025-10-26T09:44:46+0100</t>
  </si>
  <si>
    <t>NEG_05_0_08+</t>
  </si>
  <si>
    <t>2025-10-26T09:45:11+0100</t>
  </si>
  <si>
    <t>NEG_05_0_09+</t>
  </si>
  <si>
    <t>2025-10-26T09:45:36+0100</t>
  </si>
  <si>
    <t>NEG_05_0_10+</t>
  </si>
  <si>
    <t>2025-10-26T09:46:00+0100</t>
  </si>
  <si>
    <t>C15NOV23D_04_1_11X</t>
  </si>
  <si>
    <t>2025-10-26T08:52:27+0100</t>
  </si>
  <si>
    <t>C15NOV23D_04_1_12X</t>
  </si>
  <si>
    <t>2025-10-26T08:52:53+0100</t>
  </si>
  <si>
    <t>C15NOV23D_04_1_13X</t>
  </si>
  <si>
    <t>2025-10-26T08:53:17+0100</t>
  </si>
  <si>
    <t>C15NOV23D_04_1_15+</t>
  </si>
  <si>
    <t>2025-10-26T08:53:42+0100</t>
  </si>
  <si>
    <t>C15NOV23D_04_1_16+</t>
  </si>
  <si>
    <t>2025-10-26T08:54:10+0100</t>
  </si>
  <si>
    <t>C15NOV23D_04_1_17+</t>
  </si>
  <si>
    <t>2025-10-26T08:54:32+0100</t>
  </si>
  <si>
    <t>C15NOV23D_04_1_18+</t>
  </si>
  <si>
    <t>2025-10-26T08:54:58+0100</t>
  </si>
  <si>
    <t>C15NOV23D_05_1_11X</t>
  </si>
  <si>
    <t>2025-10-26T08:55:24+0100</t>
  </si>
  <si>
    <t>C15NOV23D_05_1_12X</t>
  </si>
  <si>
    <t>2025-10-26T08:55:49+0100</t>
  </si>
  <si>
    <t>C15NOV23D_05_1_13X</t>
  </si>
  <si>
    <t>2025-10-26T08:56:11+0100</t>
  </si>
  <si>
    <t>C15NOV23D_05_1_14X</t>
  </si>
  <si>
    <t>2025-10-26T08:56:39+0100</t>
  </si>
  <si>
    <t>C15NOV23D_05_1_15+</t>
  </si>
  <si>
    <t>2025-10-26T08:57:03+0100</t>
  </si>
  <si>
    <t>C15NOV23D_05_1_16+</t>
  </si>
  <si>
    <t>2025-10-26T08:57:29+0100</t>
  </si>
  <si>
    <t>C15NOV23D_05_1_17+</t>
  </si>
  <si>
    <t>2025-10-26T08:57:53+0100</t>
  </si>
  <si>
    <t>C15NOV23D_05_1_18+</t>
  </si>
  <si>
    <t>2025-10-26T08:58:18+0100</t>
  </si>
  <si>
    <t>C15NOV23D_04_1_14AX</t>
  </si>
  <si>
    <t>2025-10-26T13:13:00+0100</t>
  </si>
  <si>
    <t>C15NOV23D_06_1_11X</t>
  </si>
  <si>
    <t>2025-10-26T13:13:26+0100</t>
  </si>
  <si>
    <t>C15NOV23D_06_1_12X</t>
  </si>
  <si>
    <t>2025-10-26T13:13:51+0100</t>
  </si>
  <si>
    <t>C15NOV23D_06_1_13X</t>
  </si>
  <si>
    <t>2025-10-26T13:14:16+0100</t>
  </si>
  <si>
    <t>C15NOV23D_06_1_14X</t>
  </si>
  <si>
    <t>2025-10-26T13:14:40+0100</t>
  </si>
  <si>
    <t>C15NOV23D_06_1_15+</t>
  </si>
  <si>
    <t>2025-10-26T13:15:05+0100</t>
  </si>
  <si>
    <t>2025-10-26T13:15:30+0100</t>
  </si>
  <si>
    <t>C15NOV23D_06_1_17+</t>
  </si>
  <si>
    <t>2025-10-26T13:15:56+0100</t>
  </si>
  <si>
    <t>C15NOV23D_06_1_18+</t>
  </si>
  <si>
    <t>2025-10-26T13:16:18+0100</t>
  </si>
  <si>
    <t>NEG_06_0_01X</t>
  </si>
  <si>
    <t>2025-10-26T14:28:54+0100</t>
  </si>
  <si>
    <t>NEG_06_0_02X</t>
  </si>
  <si>
    <t>2025-10-26T14:29:19+0100</t>
  </si>
  <si>
    <t>NEG_06_0_03X</t>
  </si>
  <si>
    <t>2025-10-26T14:29:43+0100</t>
  </si>
  <si>
    <t>NEG_06_0_04X</t>
  </si>
  <si>
    <t>2025-10-26T14:30:07+0100</t>
  </si>
  <si>
    <t>NEG_06_0_05X</t>
  </si>
  <si>
    <t>2025-10-26T14:30:32+0100</t>
  </si>
  <si>
    <t>NEG_06_0_06+</t>
  </si>
  <si>
    <t>2025-10-26T14:30:56+0100</t>
  </si>
  <si>
    <t>NEG_06_0_07+</t>
  </si>
  <si>
    <t>2025-10-26T14:31:22+0100</t>
  </si>
  <si>
    <t>NEG_06_0_08+</t>
  </si>
  <si>
    <t>2025-10-26T14:31:46+0100</t>
  </si>
  <si>
    <t>NEG_06_0_09+</t>
  </si>
  <si>
    <t>2025-10-26T14:32:09+0100</t>
  </si>
  <si>
    <t>NEG_06_0_10+</t>
  </si>
  <si>
    <t>2025-10-26T14:32:31+0100</t>
  </si>
  <si>
    <t>NEG_07_0_01X</t>
  </si>
  <si>
    <t>2025-10-26T15:58:21+0100</t>
  </si>
  <si>
    <t>NEG_07_0_02X</t>
  </si>
  <si>
    <t>2025-10-26T15:58:46+0100</t>
  </si>
  <si>
    <t>NEG_07_0_03X</t>
  </si>
  <si>
    <t>2025-10-26T15:59:10+0100</t>
  </si>
  <si>
    <t>NEG_07_0_04X</t>
  </si>
  <si>
    <t>2025-10-26T15:59:32+0100</t>
  </si>
  <si>
    <t>NEG_07_0_05X</t>
  </si>
  <si>
    <t>2025-10-26T15:59:57+0100</t>
  </si>
  <si>
    <t>NEG_07_0_06+</t>
  </si>
  <si>
    <t>2025-10-26T16:00:22+0100</t>
  </si>
  <si>
    <t>NEG_07_0_07+</t>
  </si>
  <si>
    <t>2025-10-26T16:00:48+0100</t>
  </si>
  <si>
    <t>NEG_07_0_08+</t>
  </si>
  <si>
    <t>2025-10-26T16:01:10+0100</t>
  </si>
  <si>
    <t>NEG_07_0_09+</t>
  </si>
  <si>
    <t>2025-10-26T16:01:34+0100</t>
  </si>
  <si>
    <t>NEG_07_0_10+</t>
  </si>
  <si>
    <t>2025-10-26T16:01:56+0100</t>
  </si>
  <si>
    <t>06_2_20+</t>
  </si>
  <si>
    <t>V</t>
  </si>
  <si>
    <t>Liquid under lid</t>
  </si>
  <si>
    <t>C15NOV23D_07_1_11X</t>
  </si>
  <si>
    <t>2025-10-26T15:00:13+0100</t>
  </si>
  <si>
    <t>C15NOV23D_07_1_12X</t>
  </si>
  <si>
    <t>2025-10-26T15:00:39+0100</t>
  </si>
  <si>
    <t>2025-10-26T15:01:05+0100</t>
  </si>
  <si>
    <t>C15NOV23D_07_1_14X</t>
  </si>
  <si>
    <t>2025-10-26T15:01:30+0100</t>
  </si>
  <si>
    <t>C15NOV23D_07_1_15+</t>
  </si>
  <si>
    <t>2025-10-26T15:01:55+0100</t>
  </si>
  <si>
    <t>C15NOV23D_07_1_16+</t>
  </si>
  <si>
    <t>2025-10-26T15:02:20+0100</t>
  </si>
  <si>
    <t>C15NOV23D_07_1_17+</t>
  </si>
  <si>
    <t>2025-10-26T15:02:46+0100</t>
  </si>
  <si>
    <t>C15NOV23D_07_1_18+</t>
  </si>
  <si>
    <t>2025-10-26T15:03:10+0100</t>
  </si>
  <si>
    <t>NEG_08_0_01X</t>
  </si>
  <si>
    <t>2025-10-26T18:28:41+0100</t>
  </si>
  <si>
    <t>NEG_08_0_02X</t>
  </si>
  <si>
    <t>2025-10-26T18:29:31+0100</t>
  </si>
  <si>
    <t>NEG_08_0_03X</t>
  </si>
  <si>
    <t>2025-10-26T18:30:44+0100</t>
  </si>
  <si>
    <t>NEG_08_0_04X</t>
  </si>
  <si>
    <t>2025-10-26T18:31:55+0100</t>
  </si>
  <si>
    <t>NEG_08_0_05X</t>
  </si>
  <si>
    <t>2025-10-26T18:33:10+0100</t>
  </si>
  <si>
    <t>NEG_08_0_06+</t>
  </si>
  <si>
    <t>2025-10-26T18:33:34+0100</t>
  </si>
  <si>
    <t>NEG_08_0_07+</t>
  </si>
  <si>
    <t>2025-10-26T18:34:00+0100</t>
  </si>
  <si>
    <t>NEG_08_0_08+</t>
  </si>
  <si>
    <t>2025-10-26T18:34:23+0100</t>
  </si>
  <si>
    <t>NEG_08_0_09+</t>
  </si>
  <si>
    <t>2025-10-26T18:34:48+0100</t>
  </si>
  <si>
    <t>NEG_08_0_10+</t>
  </si>
  <si>
    <t>2025-10-26T18:35:13+0100</t>
  </si>
  <si>
    <t>C15NOV23D_08_1_11X</t>
  </si>
  <si>
    <t>2025-10-26T17:29:12+0100</t>
  </si>
  <si>
    <t>C15NOV23D_08_1_12X</t>
  </si>
  <si>
    <t>2025-10-26T17:30:02+0100</t>
  </si>
  <si>
    <t>C15NOV23D_08_1_13X</t>
  </si>
  <si>
    <t>2025-10-26T17:31:16+0100</t>
  </si>
  <si>
    <t>2025-10-26T17:32:06+0100</t>
  </si>
  <si>
    <t>C15NOV23D_08_1_15+</t>
  </si>
  <si>
    <t>2025-10-26T17:32:30+0100</t>
  </si>
  <si>
    <t>2025-10-26T17:32:55+0100</t>
  </si>
  <si>
    <t>C15NOV23D_08_1_17+</t>
  </si>
  <si>
    <t>2025-10-26T17:33:21+0100</t>
  </si>
  <si>
    <t>C15NOV23D_08_1_18+</t>
  </si>
  <si>
    <t>2025-10-26T17:33:44+0100</t>
  </si>
  <si>
    <t>NEG_09_0_01X</t>
  </si>
  <si>
    <t>2025-10-26T21:41:21+0100</t>
  </si>
  <si>
    <t>NEG_09_0_02X</t>
  </si>
  <si>
    <t>2025-10-26T21:41:45+0100</t>
  </si>
  <si>
    <t>NEG_09_0_03X</t>
  </si>
  <si>
    <t>2025-10-26T21:42:10+0100</t>
  </si>
  <si>
    <t>NEG_09_0_04X</t>
  </si>
  <si>
    <t>2025-10-26T21:42:34+0100</t>
  </si>
  <si>
    <t>NEG_09_0_05X</t>
  </si>
  <si>
    <t>2025-10-26T21:42:57+0100</t>
  </si>
  <si>
    <t>NEG_09_0_06+</t>
  </si>
  <si>
    <t>2025-10-26T21:43:20+0100</t>
  </si>
  <si>
    <t>NEG_09_0_07+</t>
  </si>
  <si>
    <t>2025-10-26T21:43:46+0100</t>
  </si>
  <si>
    <t>NEG_09_0_08+</t>
  </si>
  <si>
    <t>2025-10-26T21:44:12+0100</t>
  </si>
  <si>
    <t>NEG_09_0_09+</t>
  </si>
  <si>
    <t>2025-10-26T21:44:35+0100</t>
  </si>
  <si>
    <t>NEG_09_0_10+</t>
  </si>
  <si>
    <t>2025-10-26T21:44:59+0100</t>
  </si>
  <si>
    <t>B01NOV24B_01_2_19X</t>
  </si>
  <si>
    <t>Positive Control 2</t>
  </si>
  <si>
    <t>7.1.6</t>
  </si>
  <si>
    <t>2025-10-26T20:32:59+0100</t>
  </si>
  <si>
    <t>MTB DETECTED LOW;RIF Resistance NOT DETECTED</t>
  </si>
  <si>
    <t>B01NOV24B_01_2_20+</t>
  </si>
  <si>
    <t>2025-10-26T20:36:56+0100</t>
  </si>
  <si>
    <t>B01NOV24B_02_2_19X</t>
  </si>
  <si>
    <t>2025-10-26T20:33:23+0100</t>
  </si>
  <si>
    <t>B01NOV24B_02_2_20+</t>
  </si>
  <si>
    <t>2025-10-26T20:37:22+0100</t>
  </si>
  <si>
    <t>B01NOV24B_03_2_19X</t>
  </si>
  <si>
    <t>2025-10-26T20:33:47+0100</t>
  </si>
  <si>
    <t>B01NOV24B_03_2_20+</t>
  </si>
  <si>
    <t>2025-10-26T20:37:47+0100</t>
  </si>
  <si>
    <t>B01NOV24B_04_2_19X</t>
  </si>
  <si>
    <t>2025-10-26T20:34:11+0100</t>
  </si>
  <si>
    <t>B01NOV24B_04_2_20+</t>
  </si>
  <si>
    <t>2025-10-26T20:38:11+0100</t>
  </si>
  <si>
    <t>B01NOV24B_05_2_19X</t>
  </si>
  <si>
    <t>2025-10-26T20:34:37+0100</t>
  </si>
  <si>
    <t>B01NOV24B_05_2_20+</t>
  </si>
  <si>
    <t>2025-10-26T20:38:38+0100</t>
  </si>
  <si>
    <t>B01NOV24B_06_2_19X</t>
  </si>
  <si>
    <t>2025-10-26T20:35:02+0100</t>
  </si>
  <si>
    <t>B01NOV24B_07_2_19X</t>
  </si>
  <si>
    <t>2025-10-26T20:35:27+0100</t>
  </si>
  <si>
    <t>B01NOV24B_07_2_20+</t>
  </si>
  <si>
    <t>2025-10-26T20:39:04+0100</t>
  </si>
  <si>
    <t>B01NOV24B_08_2_19X</t>
  </si>
  <si>
    <t>2025-10-26T20:35:53+0100</t>
  </si>
  <si>
    <t>B01NOV24B_08_2_20+</t>
  </si>
  <si>
    <t>2025-10-26T20:39:28+0100</t>
  </si>
  <si>
    <t>B01NOV24B_09_2_19X</t>
  </si>
  <si>
    <t>2025-10-26T20:36:29+0100</t>
  </si>
  <si>
    <t>B01NOV24B_09_2_20+</t>
  </si>
  <si>
    <t>2025-10-26T20:39:52+0100</t>
  </si>
  <si>
    <t>C15NOV23D_09_1_11X</t>
  </si>
  <si>
    <t>2025-10-26T20:33:41+0100</t>
  </si>
  <si>
    <t>C15NOV23D_09_1_12X</t>
  </si>
  <si>
    <t>2025-10-26T20:34:06+0100</t>
  </si>
  <si>
    <t>C15NOV23D_09_1_13X</t>
  </si>
  <si>
    <t>2025-10-26T20:34:32+0100</t>
  </si>
  <si>
    <t>C15NOV23D_09_1_14X</t>
  </si>
  <si>
    <t>2025-10-26T20:34:58+0100</t>
  </si>
  <si>
    <t>C15NOV23D_09_1_15+</t>
  </si>
  <si>
    <t>2025-10-26T20:35:22+0100</t>
  </si>
  <si>
    <t>C15NOV23D_09_1_16+</t>
  </si>
  <si>
    <t>2025-10-26T20:35:47+0100</t>
  </si>
  <si>
    <t>C15NOV23D_09_1_17+</t>
  </si>
  <si>
    <t>2025-10-26T20:36:13+0100</t>
  </si>
  <si>
    <t>C15NOV23D_09_1_18+</t>
  </si>
  <si>
    <t>2025-10-26T20:36:38+0100</t>
  </si>
  <si>
    <t>NEG_10_0_01X</t>
  </si>
  <si>
    <t>2025-10-26T23:37:12+0100</t>
  </si>
  <si>
    <t>NEG_10_0_02X</t>
  </si>
  <si>
    <t>2025-10-26T23:38:00+0100</t>
  </si>
  <si>
    <t>NEG_10_0_03X</t>
  </si>
  <si>
    <t>2025-10-26T23:39:12+0100</t>
  </si>
  <si>
    <t>NEG_10_0_04X</t>
  </si>
  <si>
    <t>2025-10-26T23:40:24+0100</t>
  </si>
  <si>
    <t>NEG_10_0_05X</t>
  </si>
  <si>
    <t>2025-10-26T23:41:37+0100</t>
  </si>
  <si>
    <t>NEG_10_0_06+</t>
  </si>
  <si>
    <t>2025-10-26T23:42:50+0100</t>
  </si>
  <si>
    <t>NEG_10_0_07+</t>
  </si>
  <si>
    <t>2025-10-26T23:43:14+0100</t>
  </si>
  <si>
    <t>NEG_10_0_08+</t>
  </si>
  <si>
    <t>2025-10-26T23:43:37+0100</t>
  </si>
  <si>
    <t>NEG_10_0_09+</t>
  </si>
  <si>
    <t>2025-10-26T23:44:01+0100</t>
  </si>
  <si>
    <t>NEG_10_0_10+</t>
  </si>
  <si>
    <t>2025-10-26T23:44:25+0100</t>
  </si>
  <si>
    <t>C15NOV23D_10_1_11X</t>
  </si>
  <si>
    <t>2025-10-26T22:34:44+0100</t>
  </si>
  <si>
    <t>C15NOV23D_10_1_12X</t>
  </si>
  <si>
    <t>2025-10-26T22:35:10+0100</t>
  </si>
  <si>
    <t>C15NOV23D_10_1_13X</t>
  </si>
  <si>
    <t>2025-10-26T22:35:33+0100</t>
  </si>
  <si>
    <t>C15NOV23D_10_1_14X</t>
  </si>
  <si>
    <t>2025-10-26T22:35:57+0100</t>
  </si>
  <si>
    <t>C15NOV23D_10_1_15+</t>
  </si>
  <si>
    <t>2025-10-26T22:36:21+0100</t>
  </si>
  <si>
    <t>C15NOV23D_10_1_16+</t>
  </si>
  <si>
    <t>2025-10-26T22:36:46+0100</t>
  </si>
  <si>
    <t>C15NOV23D_10_1_17+</t>
  </si>
  <si>
    <t>2025-10-26T22:37:10+0100</t>
  </si>
  <si>
    <t>C15NOV23D_10_1_18+</t>
  </si>
  <si>
    <t>2025-10-26T22:37:37+0100</t>
  </si>
  <si>
    <t>B01NOV24B_10_2_19X</t>
  </si>
  <si>
    <t>2025-10-26T22:38:02+0100</t>
  </si>
  <si>
    <t>B01NOV24B_10_2_20+</t>
  </si>
  <si>
    <t>2025-10-26T22:38:28+0100</t>
  </si>
  <si>
    <t>Nr. 22</t>
  </si>
  <si>
    <t>Infinity-I</t>
  </si>
  <si>
    <t>Infinity-V</t>
  </si>
  <si>
    <t>Infinity-VIII</t>
  </si>
  <si>
    <t>Infinity-VI</t>
  </si>
  <si>
    <t>Dec-25</t>
  </si>
  <si>
    <t>2025 10 26</t>
  </si>
  <si>
    <t>01_0_08+</t>
  </si>
  <si>
    <t xml:space="preserve">Loten har även testats av Evangelos Samakidis. </t>
  </si>
  <si>
    <t>2025 10 27</t>
  </si>
  <si>
    <t>Jesper Fredriksson</t>
  </si>
  <si>
    <t>Fredrik Jespersson</t>
  </si>
  <si>
    <t>Aborted</t>
  </si>
  <si>
    <t>NO RESULT</t>
  </si>
  <si>
    <t>Error 2037: The cartridge integrity test failed at valve position 1390. The pressure change of -0.6 PSI did not exceed the requirement of 4.0 PSI. The pressure increased from 3.5 PSI to 3.0 PSI during the test</t>
  </si>
  <si>
    <t>ERROR</t>
  </si>
  <si>
    <t>Error 5007: [CT1] probe check failed. Probe check value of 17 for reading number 2 was below the minimum of 110|Error 5007: [SPC] probe check failed. Probe check value of 19 for reading number 2 was below the minimum of 119</t>
  </si>
  <si>
    <t>C15NOV23D_03_1_14AX</t>
  </si>
  <si>
    <t>C15NOV23D_03_1_15A+</t>
  </si>
  <si>
    <t>2025-10-26T08:59:18+0100</t>
  </si>
  <si>
    <t>C15NOV23D_03_1_16A+</t>
  </si>
  <si>
    <t>2025-10-26T09:00:18+0100</t>
  </si>
  <si>
    <t>C15NOV23D_06_1_13AAX</t>
  </si>
  <si>
    <t>C15NOV23D_06_1_16A+_D06</t>
  </si>
  <si>
    <t>C15NOV23D_07_1_13X_D2B,11,05</t>
  </si>
  <si>
    <t>Error 5006: [QC-2] probe check failed. Probe check value of 247 for reading number 1 was above the maximum of 223|Error 5006: [QC-2] probe check failed. Probe check value of 247 for reading number 3 was above the maximum of 223</t>
  </si>
  <si>
    <t>C15NOV23D_08_1_14X_D2B</t>
  </si>
  <si>
    <t>C15NOV23D_08_1_16+_D05</t>
  </si>
  <si>
    <t>MTB DETECTED LOW;RIF Resistance INDETERMINATE</t>
  </si>
  <si>
    <t>Error 2008: Syringe pressure reading of 100.1 PSI exceeds the protocol limit of 100.0 PSI</t>
  </si>
  <si>
    <t>Error 2005: Motion of the syringe drive was not detected. Detected motion started at position 250 uL and transferred 211 uL at valve position 245 with pressure 2.7 PSI</t>
  </si>
  <si>
    <t>Error 1002: The temperature difference of 5.3 ºC exceeds the limit of 5.0 ºC. The temperatures for heaters A and B are 97.3 ºC and 92.0 ºC</t>
  </si>
  <si>
    <t>Error 1001: The actual temperature 61.6 ºC has drifted too far away from the setpoint of 61.0 ºC|Error 1001: The actual temperature 60.5 ºC has drifted too far away from the setpoint of 61.0 ºC|Error 1001: The actual temperature 60.4 ºC has drifted too far away from the setpoint of 61.0 ºC|Error 1001: The actual temperature 61.7 ºC has drifted too far away from the setpoint of 61.0 ºC</t>
  </si>
  <si>
    <t>C15NOV23D_06_1_13AX</t>
  </si>
  <si>
    <t>Instrument error replaced per D12547 Rev FK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</si>
</sst>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000"/>
    <numFmt numFmtId="166" formatCode="0.0%"/>
    <numFmt numFmtId="167" formatCode="[$-409]mmm\-yy;@"/>
    <numFmt numFmtId="168" formatCode="yyyy\-mm\-dd;@"/>
  </numFmts>
  <fonts count="47" x14ac:knownFonts="1">
    <font>
      <sz val="10"/>
      <name val="Arial"/>
    </font>
    <font>
      <sz val="11"/>
      <color theme="1"/>
      <name val="Calibri"/>
      <family val="2"/>
      <scheme val="minor"/>
    </font>
    <font>
      <sz val="10"/>
      <name val="Arial"/>
      <family val="2"/>
    </font>
    <font>
      <b/>
      <sz val="10"/>
      <name val="Arial"/>
      <family val="2"/>
    </font>
    <font>
      <sz val="10"/>
      <color indexed="9"/>
      <name val="Arial"/>
      <family val="2"/>
    </font>
    <font>
      <sz val="10"/>
      <color indexed="8"/>
      <name val="Arial"/>
      <family val="2"/>
    </font>
    <font>
      <b/>
      <sz val="10"/>
      <color indexed="8"/>
      <name val="Arial"/>
      <family val="2"/>
    </font>
    <font>
      <b/>
      <sz val="10"/>
      <color indexed="9"/>
      <name val="Arial"/>
      <family val="2"/>
    </font>
    <font>
      <b/>
      <u/>
      <sz val="10"/>
      <color indexed="9"/>
      <name val="Arial"/>
      <family val="2"/>
    </font>
    <font>
      <b/>
      <sz val="10"/>
      <color indexed="10"/>
      <name val="Arial"/>
      <family val="2"/>
    </font>
    <font>
      <b/>
      <sz val="12"/>
      <name val="Arial"/>
      <family val="2"/>
    </font>
    <font>
      <sz val="10"/>
      <color indexed="10"/>
      <name val="Arial"/>
      <family val="2"/>
    </font>
    <font>
      <sz val="12"/>
      <name val="Arial"/>
      <family val="2"/>
    </font>
    <font>
      <sz val="10"/>
      <color theme="0" tint="-0.249977111117893"/>
      <name val="Arial"/>
      <family val="2"/>
    </font>
    <font>
      <b/>
      <sz val="18"/>
      <name val="Arial"/>
      <family val="2"/>
    </font>
    <font>
      <b/>
      <sz val="11"/>
      <name val="Arial"/>
      <family val="2"/>
    </font>
    <font>
      <b/>
      <sz val="14"/>
      <name val="Arial"/>
      <family val="2"/>
    </font>
    <font>
      <b/>
      <sz val="16"/>
      <name val="Arial"/>
      <family val="2"/>
    </font>
    <font>
      <sz val="11"/>
      <name val="Arial"/>
      <family val="2"/>
    </font>
    <font>
      <sz val="14"/>
      <name val="Arial"/>
      <family val="2"/>
    </font>
    <font>
      <sz val="10"/>
      <name val="Arial"/>
      <family val="2"/>
    </font>
    <font>
      <b/>
      <sz val="10"/>
      <color theme="0"/>
      <name val="Arial"/>
      <family val="2"/>
    </font>
    <font>
      <sz val="10"/>
      <color theme="0"/>
      <name val="Arial"/>
      <family val="2"/>
    </font>
    <font>
      <b/>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b/>
      <sz val="11"/>
      <name val="Calibri"/>
      <family val="2"/>
      <scheme val="minor"/>
    </font>
    <font>
      <sz val="10"/>
      <color theme="1"/>
      <name val="Arial"/>
      <family val="2"/>
    </font>
    <font>
      <b/>
      <sz val="10"/>
      <color theme="1"/>
      <name val="Arial"/>
      <family val="2"/>
    </font>
    <font>
      <sz val="12"/>
      <name val="Wingdings"/>
      <charset val="2"/>
    </font>
    <font>
      <sz val="10"/>
      <color rgb="FFFF0000"/>
      <name val="Arial"/>
      <family val="2"/>
    </font>
    <font>
      <sz val="12"/>
      <color rgb="FF000000"/>
      <name val="Arial"/>
      <family val="2"/>
    </font>
    <font>
      <b/>
      <sz val="10"/>
      <color rgb="FFFF0000"/>
      <name val="Arial"/>
      <family val="2"/>
    </font>
    <font>
      <sz val="10"/>
      <color rgb="FFFFC000"/>
      <name val="Arial"/>
      <family val="2"/>
    </font>
  </fonts>
  <fills count="44">
    <fill>
      <patternFill patternType="none"/>
    </fill>
    <fill>
      <patternFill patternType="gray125"/>
    </fill>
    <fill>
      <patternFill patternType="solid">
        <fgColor indexed="23"/>
        <bgColor indexed="64"/>
      </patternFill>
    </fill>
    <fill>
      <patternFill patternType="solid">
        <fgColor indexed="9"/>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99"/>
        <bgColor indexed="64"/>
      </patternFill>
    </fill>
    <fill>
      <patternFill patternType="solid">
        <fgColor rgb="FFCCFFC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76">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style="medium">
        <color indexed="64"/>
      </top>
      <bottom style="medium">
        <color indexed="64"/>
      </bottom>
      <diagonal/>
    </border>
  </borders>
  <cellStyleXfs count="59">
    <xf numFmtId="0" fontId="0" fillId="0" borderId="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36" fillId="22" borderId="0" applyNumberFormat="0" applyBorder="0" applyAlignment="0" applyProtection="0"/>
    <xf numFmtId="0" fontId="36" fillId="26" borderId="0" applyNumberFormat="0" applyBorder="0" applyAlignment="0" applyProtection="0"/>
    <xf numFmtId="0" fontId="36" fillId="30" borderId="0" applyNumberFormat="0" applyBorder="0" applyAlignment="0" applyProtection="0"/>
    <xf numFmtId="0" fontId="36" fillId="34" borderId="0" applyNumberFormat="0" applyBorder="0" applyAlignment="0" applyProtection="0"/>
    <xf numFmtId="0" fontId="36" fillId="38" borderId="0" applyNumberFormat="0" applyBorder="0" applyAlignment="0" applyProtection="0"/>
    <xf numFmtId="0" fontId="36" fillId="42" borderId="0" applyNumberFormat="0" applyBorder="0" applyAlignment="0" applyProtection="0"/>
    <xf numFmtId="0" fontId="36" fillId="19" borderId="0" applyNumberFormat="0" applyBorder="0" applyAlignment="0" applyProtection="0"/>
    <xf numFmtId="0" fontId="36" fillId="23" borderId="0" applyNumberFormat="0" applyBorder="0" applyAlignment="0" applyProtection="0"/>
    <xf numFmtId="0" fontId="36" fillId="27" borderId="0" applyNumberFormat="0" applyBorder="0" applyAlignment="0" applyProtection="0"/>
    <xf numFmtId="0" fontId="36" fillId="31" borderId="0" applyNumberFormat="0" applyBorder="0" applyAlignment="0" applyProtection="0"/>
    <xf numFmtId="0" fontId="36" fillId="35" borderId="0" applyNumberFormat="0" applyBorder="0" applyAlignment="0" applyProtection="0"/>
    <xf numFmtId="0" fontId="36" fillId="39" borderId="0" applyNumberFormat="0" applyBorder="0" applyAlignment="0" applyProtection="0"/>
    <xf numFmtId="0" fontId="28" fillId="13" borderId="0" applyNumberFormat="0" applyBorder="0" applyAlignment="0" applyProtection="0"/>
    <xf numFmtId="0" fontId="31" fillId="16" borderId="59" applyNumberFormat="0" applyAlignment="0" applyProtection="0"/>
    <xf numFmtId="0" fontId="33" fillId="17" borderId="62" applyNumberFormat="0" applyAlignment="0" applyProtection="0"/>
    <xf numFmtId="0" fontId="35" fillId="0" borderId="0" applyNumberFormat="0" applyFill="0" applyBorder="0" applyAlignment="0" applyProtection="0"/>
    <xf numFmtId="0" fontId="27" fillId="12" borderId="0" applyNumberFormat="0" applyBorder="0" applyAlignment="0" applyProtection="0"/>
    <xf numFmtId="0" fontId="24" fillId="0" borderId="56" applyNumberFormat="0" applyFill="0" applyAlignment="0" applyProtection="0"/>
    <xf numFmtId="0" fontId="25" fillId="0" borderId="57" applyNumberFormat="0" applyFill="0" applyAlignment="0" applyProtection="0"/>
    <xf numFmtId="0" fontId="26" fillId="0" borderId="58" applyNumberFormat="0" applyFill="0" applyAlignment="0" applyProtection="0"/>
    <xf numFmtId="0" fontId="26" fillId="0" borderId="0" applyNumberFormat="0" applyFill="0" applyBorder="0" applyAlignment="0" applyProtection="0"/>
    <xf numFmtId="0" fontId="29" fillId="15" borderId="59" applyNumberFormat="0" applyAlignment="0" applyProtection="0"/>
    <xf numFmtId="0" fontId="32" fillId="0" borderId="61" applyNumberFormat="0" applyFill="0" applyAlignment="0" applyProtection="0"/>
    <xf numFmtId="0" fontId="38" fillId="14" borderId="0" applyNumberFormat="0" applyBorder="0" applyAlignment="0" applyProtection="0"/>
    <xf numFmtId="0" fontId="2" fillId="0" borderId="0"/>
    <xf numFmtId="0" fontId="2" fillId="0" borderId="0"/>
    <xf numFmtId="0" fontId="2" fillId="0" borderId="0"/>
    <xf numFmtId="0" fontId="1" fillId="0" borderId="0"/>
    <xf numFmtId="0" fontId="1" fillId="0" borderId="0"/>
    <xf numFmtId="0" fontId="2" fillId="0" borderId="0"/>
    <xf numFmtId="0" fontId="1" fillId="18" borderId="63" applyNumberFormat="0" applyFont="0" applyAlignment="0" applyProtection="0"/>
    <xf numFmtId="0" fontId="1" fillId="18" borderId="63" applyNumberFormat="0" applyFont="0" applyAlignment="0" applyProtection="0"/>
    <xf numFmtId="0" fontId="30" fillId="16" borderId="60" applyNumberFormat="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7" fillId="0" borderId="0" applyNumberFormat="0" applyFill="0" applyBorder="0" applyAlignment="0" applyProtection="0"/>
    <xf numFmtId="0" fontId="23" fillId="0" borderId="64" applyNumberFormat="0" applyFill="0" applyAlignment="0" applyProtection="0"/>
    <xf numFmtId="0" fontId="34" fillId="0" borderId="0" applyNumberFormat="0" applyFill="0" applyBorder="0" applyAlignment="0" applyProtection="0"/>
  </cellStyleXfs>
  <cellXfs count="450">
    <xf numFmtId="0" fontId="0" fillId="0" borderId="0" xfId="0"/>
    <xf numFmtId="0" fontId="5" fillId="2" borderId="0" xfId="0" applyFont="1" applyFill="1"/>
    <xf numFmtId="0" fontId="4" fillId="2" borderId="0" xfId="0" applyFont="1" applyFill="1"/>
    <xf numFmtId="0" fontId="8" fillId="2" borderId="0" xfId="0" applyFont="1" applyFill="1" applyAlignment="1">
      <alignment horizontal="left"/>
    </xf>
    <xf numFmtId="0" fontId="4" fillId="2" borderId="0" xfId="0" applyFont="1" applyFill="1" applyAlignment="1">
      <alignment horizontal="center"/>
    </xf>
    <xf numFmtId="0" fontId="5" fillId="3" borderId="1" xfId="0" applyFont="1" applyFill="1" applyBorder="1"/>
    <xf numFmtId="0" fontId="5" fillId="3" borderId="3" xfId="0" applyFont="1" applyFill="1" applyBorder="1"/>
    <xf numFmtId="0" fontId="5" fillId="3" borderId="4" xfId="0" applyFont="1" applyFill="1" applyBorder="1" applyAlignment="1">
      <alignment horizontal="center"/>
    </xf>
    <xf numFmtId="0" fontId="5" fillId="3" borderId="5" xfId="0" applyFont="1" applyFill="1" applyBorder="1"/>
    <xf numFmtId="0" fontId="5" fillId="3" borderId="7" xfId="0" applyFont="1" applyFill="1" applyBorder="1" applyAlignment="1">
      <alignment horizontal="center"/>
    </xf>
    <xf numFmtId="0" fontId="6" fillId="3" borderId="8" xfId="0" applyFont="1" applyFill="1" applyBorder="1" applyAlignment="1">
      <alignment horizontal="center"/>
    </xf>
    <xf numFmtId="0" fontId="6" fillId="3" borderId="9" xfId="0" applyFont="1" applyFill="1" applyBorder="1" applyAlignment="1">
      <alignment horizontal="center"/>
    </xf>
    <xf numFmtId="0" fontId="4" fillId="2" borderId="1" xfId="0" applyFont="1" applyFill="1" applyBorder="1" applyAlignment="1">
      <alignment horizontal="center"/>
    </xf>
    <xf numFmtId="0" fontId="7" fillId="2" borderId="2" xfId="0" applyFont="1" applyFill="1" applyBorder="1" applyAlignment="1">
      <alignment horizontal="center"/>
    </xf>
    <xf numFmtId="0" fontId="7" fillId="2" borderId="9" xfId="0" applyFont="1" applyFill="1" applyBorder="1" applyAlignment="1">
      <alignment horizontal="center"/>
    </xf>
    <xf numFmtId="0" fontId="7" fillId="2" borderId="0" xfId="0" applyFont="1" applyFill="1" applyAlignment="1">
      <alignment horizontal="center"/>
    </xf>
    <xf numFmtId="0" fontId="6" fillId="3" borderId="10" xfId="0" applyFont="1" applyFill="1" applyBorder="1" applyAlignment="1">
      <alignment horizontal="center"/>
    </xf>
    <xf numFmtId="0" fontId="6" fillId="3" borderId="4" xfId="0" applyFont="1" applyFill="1" applyBorder="1" applyAlignment="1">
      <alignment horizontal="center"/>
    </xf>
    <xf numFmtId="0" fontId="4" fillId="2" borderId="5" xfId="0" applyFont="1" applyFill="1" applyBorder="1" applyAlignment="1">
      <alignment horizontal="center"/>
    </xf>
    <xf numFmtId="0" fontId="7" fillId="2" borderId="4" xfId="0" applyFont="1" applyFill="1" applyBorder="1" applyAlignment="1">
      <alignment horizontal="center"/>
    </xf>
    <xf numFmtId="0" fontId="5" fillId="3" borderId="11" xfId="0" applyFont="1" applyFill="1" applyBorder="1" applyAlignment="1">
      <alignment horizontal="center"/>
    </xf>
    <xf numFmtId="0" fontId="11" fillId="2" borderId="0" xfId="0" applyFont="1" applyFill="1" applyAlignment="1">
      <alignment horizontal="center"/>
    </xf>
    <xf numFmtId="0" fontId="4" fillId="2" borderId="3" xfId="0" applyFont="1" applyFill="1" applyBorder="1" applyAlignment="1">
      <alignment horizontal="center"/>
    </xf>
    <xf numFmtId="0" fontId="4" fillId="2" borderId="9" xfId="0" applyFont="1" applyFill="1" applyBorder="1" applyAlignment="1">
      <alignment horizontal="center"/>
    </xf>
    <xf numFmtId="10" fontId="4" fillId="2" borderId="0" xfId="0" applyNumberFormat="1" applyFont="1" applyFill="1" applyAlignment="1">
      <alignment horizontal="center"/>
    </xf>
    <xf numFmtId="0" fontId="4" fillId="2" borderId="4" xfId="0" applyFont="1" applyFill="1" applyBorder="1" applyAlignment="1">
      <alignment horizontal="center"/>
    </xf>
    <xf numFmtId="0" fontId="4" fillId="2" borderId="7" xfId="0" applyFont="1" applyFill="1" applyBorder="1" applyAlignment="1">
      <alignment horizontal="center"/>
    </xf>
    <xf numFmtId="0" fontId="5" fillId="3" borderId="5" xfId="0" applyFont="1" applyFill="1" applyBorder="1" applyAlignment="1">
      <alignment horizontal="center"/>
    </xf>
    <xf numFmtId="0" fontId="5" fillId="3" borderId="12" xfId="0" applyFont="1" applyFill="1" applyBorder="1" applyAlignment="1">
      <alignment horizontal="center"/>
    </xf>
    <xf numFmtId="0" fontId="4" fillId="2" borderId="13" xfId="0" applyFont="1" applyFill="1" applyBorder="1" applyAlignment="1">
      <alignment horizontal="center"/>
    </xf>
    <xf numFmtId="0" fontId="4" fillId="2" borderId="6" xfId="0" applyFont="1" applyFill="1" applyBorder="1" applyAlignment="1">
      <alignment horizontal="center"/>
    </xf>
    <xf numFmtId="0" fontId="9" fillId="2" borderId="0" xfId="0" applyFont="1" applyFill="1"/>
    <xf numFmtId="0" fontId="5" fillId="3" borderId="0" xfId="0" applyFont="1" applyFill="1"/>
    <xf numFmtId="0" fontId="4" fillId="3" borderId="0" xfId="0" applyFont="1" applyFill="1"/>
    <xf numFmtId="0" fontId="4" fillId="3" borderId="0" xfId="0" applyFont="1" applyFill="1" applyAlignment="1">
      <alignment horizontal="center"/>
    </xf>
    <xf numFmtId="0" fontId="3" fillId="0" borderId="0" xfId="0" applyFont="1"/>
    <xf numFmtId="0" fontId="0" fillId="4" borderId="0" xfId="0" applyFill="1"/>
    <xf numFmtId="0" fontId="0" fillId="5" borderId="0" xfId="0" applyFill="1"/>
    <xf numFmtId="0" fontId="0" fillId="6" borderId="0" xfId="0" applyFill="1"/>
    <xf numFmtId="0" fontId="2" fillId="0" borderId="0" xfId="0" applyFont="1"/>
    <xf numFmtId="0" fontId="5" fillId="2" borderId="0" xfId="0" applyFont="1" applyFill="1" applyAlignment="1">
      <alignment vertical="top"/>
    </xf>
    <xf numFmtId="166" fontId="5" fillId="3" borderId="9" xfId="0" applyNumberFormat="1" applyFont="1" applyFill="1" applyBorder="1" applyAlignment="1">
      <alignment horizontal="center"/>
    </xf>
    <xf numFmtId="0" fontId="5" fillId="4" borderId="14" xfId="0" applyFont="1" applyFill="1" applyBorder="1" applyAlignment="1" applyProtection="1">
      <alignment horizontal="center"/>
      <protection locked="0"/>
    </xf>
    <xf numFmtId="0" fontId="5" fillId="4" borderId="15" xfId="0" applyFont="1" applyFill="1" applyBorder="1" applyAlignment="1" applyProtection="1">
      <alignment horizontal="center"/>
      <protection locked="0"/>
    </xf>
    <xf numFmtId="0" fontId="5" fillId="2" borderId="2" xfId="0" applyFont="1" applyFill="1" applyBorder="1"/>
    <xf numFmtId="0" fontId="5" fillId="2" borderId="2" xfId="0" applyFont="1" applyFill="1" applyBorder="1" applyAlignment="1">
      <alignment vertical="center"/>
    </xf>
    <xf numFmtId="0" fontId="5" fillId="2" borderId="0" xfId="0" applyFont="1" applyFill="1" applyAlignment="1">
      <alignment horizontal="center" vertical="center"/>
    </xf>
    <xf numFmtId="0" fontId="4" fillId="3" borderId="19" xfId="0" applyFont="1" applyFill="1" applyBorder="1" applyAlignment="1">
      <alignment horizontal="center"/>
    </xf>
    <xf numFmtId="0" fontId="7" fillId="3" borderId="20" xfId="0" applyFont="1" applyFill="1" applyBorder="1" applyAlignment="1">
      <alignment horizontal="center"/>
    </xf>
    <xf numFmtId="0" fontId="4" fillId="3" borderId="21" xfId="0" applyFont="1" applyFill="1" applyBorder="1" applyAlignment="1">
      <alignment horizontal="center"/>
    </xf>
    <xf numFmtId="0" fontId="4" fillId="3" borderId="22" xfId="0" applyFont="1" applyFill="1" applyBorder="1" applyAlignment="1">
      <alignment horizontal="center"/>
    </xf>
    <xf numFmtId="0" fontId="7" fillId="3" borderId="0" xfId="0" applyFont="1" applyFill="1" applyAlignment="1">
      <alignment horizontal="center"/>
    </xf>
    <xf numFmtId="0" fontId="7" fillId="3" borderId="23" xfId="0" applyFont="1" applyFill="1" applyBorder="1" applyAlignment="1">
      <alignment horizontal="center"/>
    </xf>
    <xf numFmtId="10" fontId="4" fillId="3" borderId="0" xfId="0" applyNumberFormat="1" applyFont="1" applyFill="1" applyAlignment="1">
      <alignment horizontal="center"/>
    </xf>
    <xf numFmtId="0" fontId="4" fillId="3" borderId="23" xfId="0" applyFont="1" applyFill="1" applyBorder="1"/>
    <xf numFmtId="0" fontId="4" fillId="3" borderId="24" xfId="0" applyFont="1" applyFill="1" applyBorder="1" applyAlignment="1">
      <alignment horizontal="center"/>
    </xf>
    <xf numFmtId="0" fontId="4" fillId="3" borderId="25" xfId="0" applyFont="1" applyFill="1" applyBorder="1" applyAlignment="1">
      <alignment horizontal="center"/>
    </xf>
    <xf numFmtId="10" fontId="4" fillId="3" borderId="25" xfId="0" applyNumberFormat="1" applyFont="1" applyFill="1" applyBorder="1" applyAlignment="1">
      <alignment horizontal="center"/>
    </xf>
    <xf numFmtId="0" fontId="0" fillId="0" borderId="0" xfId="0" applyAlignment="1">
      <alignment vertical="center"/>
    </xf>
    <xf numFmtId="0" fontId="0" fillId="0" borderId="0" xfId="0" applyProtection="1">
      <protection locked="0"/>
    </xf>
    <xf numFmtId="22" fontId="0" fillId="0" borderId="0" xfId="0" applyNumberFormat="1" applyProtection="1">
      <protection locked="0"/>
    </xf>
    <xf numFmtId="0" fontId="12" fillId="0" borderId="0" xfId="0" applyFont="1"/>
    <xf numFmtId="0" fontId="3" fillId="0" borderId="14" xfId="0" applyFont="1" applyBorder="1" applyAlignment="1">
      <alignment horizontal="center"/>
    </xf>
    <xf numFmtId="0" fontId="13" fillId="0" borderId="0" xfId="0" applyFont="1"/>
    <xf numFmtId="0" fontId="0" fillId="0" borderId="0" xfId="0" applyAlignment="1">
      <alignment horizontal="center" vertical="center"/>
    </xf>
    <xf numFmtId="0" fontId="0" fillId="0" borderId="14" xfId="0" applyBorder="1" applyAlignment="1" applyProtection="1">
      <alignment horizontal="center" vertical="center"/>
      <protection locked="0"/>
    </xf>
    <xf numFmtId="0" fontId="14" fillId="0" borderId="0" xfId="0" applyFont="1"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3" fillId="8" borderId="14" xfId="0" applyFont="1" applyFill="1" applyBorder="1" applyAlignment="1">
      <alignment vertical="center"/>
    </xf>
    <xf numFmtId="0" fontId="3" fillId="8" borderId="14" xfId="0" applyFont="1" applyFill="1" applyBorder="1" applyAlignment="1">
      <alignment horizontal="left" vertical="center"/>
    </xf>
    <xf numFmtId="0" fontId="3" fillId="8" borderId="14" xfId="0" applyFont="1" applyFill="1" applyBorder="1" applyAlignment="1">
      <alignment vertical="center" wrapText="1"/>
    </xf>
    <xf numFmtId="0" fontId="3" fillId="8" borderId="14" xfId="0" applyFont="1" applyFill="1" applyBorder="1" applyAlignment="1">
      <alignment horizontal="center" vertical="center"/>
    </xf>
    <xf numFmtId="0" fontId="0" fillId="0" borderId="14" xfId="0" applyBorder="1" applyAlignment="1">
      <alignment vertical="center"/>
    </xf>
    <xf numFmtId="0" fontId="0" fillId="0" borderId="14" xfId="0" applyBorder="1" applyAlignment="1">
      <alignment horizontal="left" vertical="center"/>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33" xfId="0" applyBorder="1" applyAlignment="1">
      <alignment horizontal="center" vertical="center"/>
    </xf>
    <xf numFmtId="0" fontId="2" fillId="0" borderId="14" xfId="0" applyFont="1" applyBorder="1" applyAlignment="1" applyProtection="1">
      <alignment horizontal="center" vertical="center"/>
      <protection locked="0"/>
    </xf>
    <xf numFmtId="0" fontId="10" fillId="0" borderId="0" xfId="0" applyFont="1" applyAlignment="1">
      <alignment vertical="center" wrapText="1"/>
    </xf>
    <xf numFmtId="0" fontId="3" fillId="0" borderId="0" xfId="0" applyFont="1" applyAlignment="1">
      <alignment horizont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Alignment="1">
      <alignment horizontal="left"/>
    </xf>
    <xf numFmtId="0" fontId="12" fillId="0" borderId="0" xfId="0" applyFont="1" applyAlignment="1">
      <alignment horizontal="center" vertical="center"/>
    </xf>
    <xf numFmtId="0" fontId="12" fillId="0" borderId="0" xfId="0" applyFont="1" applyAlignment="1">
      <alignment vertical="center"/>
    </xf>
    <xf numFmtId="0" fontId="10" fillId="0" borderId="14" xfId="0" applyFont="1" applyBorder="1" applyAlignment="1">
      <alignment vertical="center"/>
    </xf>
    <xf numFmtId="0" fontId="10" fillId="9" borderId="14" xfId="0" applyFont="1" applyFill="1" applyBorder="1" applyAlignment="1">
      <alignment horizontal="center" vertical="center"/>
    </xf>
    <xf numFmtId="0" fontId="10" fillId="0" borderId="14" xfId="0" applyFont="1" applyBorder="1" applyAlignment="1">
      <alignment vertical="center" wrapText="1"/>
    </xf>
    <xf numFmtId="0" fontId="10" fillId="6" borderId="14" xfId="0" applyFont="1" applyFill="1" applyBorder="1" applyAlignment="1">
      <alignment horizontal="center" vertical="center" wrapText="1"/>
    </xf>
    <xf numFmtId="0" fontId="10" fillId="0" borderId="14" xfId="0" applyFont="1" applyBorder="1" applyAlignment="1">
      <alignment horizontal="left" vertical="center" wrapText="1"/>
    </xf>
    <xf numFmtId="0" fontId="10" fillId="9" borderId="14" xfId="0" applyFont="1" applyFill="1" applyBorder="1" applyAlignment="1">
      <alignment horizontal="center" vertical="center" wrapText="1"/>
    </xf>
    <xf numFmtId="0" fontId="12" fillId="0" borderId="22" xfId="0" applyFont="1" applyBorder="1" applyAlignment="1">
      <alignment horizontal="center" vertical="center" wrapText="1"/>
    </xf>
    <xf numFmtId="0" fontId="16" fillId="0" borderId="0" xfId="0" applyFont="1" applyAlignment="1">
      <alignment horizontal="right" vertical="center"/>
    </xf>
    <xf numFmtId="0" fontId="15" fillId="8" borderId="14" xfId="0" applyFont="1" applyFill="1" applyBorder="1" applyAlignment="1">
      <alignment horizontal="center"/>
    </xf>
    <xf numFmtId="0" fontId="10" fillId="0" borderId="0" xfId="0" applyFont="1" applyAlignment="1">
      <alignment horizontal="right"/>
    </xf>
    <xf numFmtId="0" fontId="12" fillId="5" borderId="25" xfId="0" applyFont="1" applyFill="1" applyBorder="1" applyProtection="1">
      <protection locked="0"/>
    </xf>
    <xf numFmtId="0" fontId="3" fillId="0" borderId="0" xfId="0" applyFont="1" applyAlignment="1">
      <alignment horizontal="left"/>
    </xf>
    <xf numFmtId="0" fontId="20" fillId="0" borderId="0" xfId="0" applyFont="1"/>
    <xf numFmtId="0" fontId="3" fillId="8" borderId="14" xfId="0" applyFont="1" applyFill="1" applyBorder="1" applyAlignment="1">
      <alignment horizontal="right" vertical="center"/>
    </xf>
    <xf numFmtId="0" fontId="0" fillId="0" borderId="0" xfId="0" applyAlignment="1">
      <alignment horizontal="center"/>
    </xf>
    <xf numFmtId="0" fontId="3" fillId="7" borderId="37" xfId="0" applyFont="1" applyFill="1" applyBorder="1" applyAlignment="1">
      <alignment vertical="center" wrapText="1"/>
    </xf>
    <xf numFmtId="0" fontId="10" fillId="0" borderId="14" xfId="44" applyFont="1" applyBorder="1" applyAlignment="1">
      <alignment horizontal="center"/>
    </xf>
    <xf numFmtId="0" fontId="12" fillId="0" borderId="0" xfId="44" quotePrefix="1" applyFont="1" applyAlignment="1">
      <alignment horizontal="center"/>
    </xf>
    <xf numFmtId="0" fontId="15" fillId="10" borderId="14" xfId="0" applyFont="1" applyFill="1" applyBorder="1" applyAlignment="1">
      <alignment horizontal="center"/>
    </xf>
    <xf numFmtId="0" fontId="2" fillId="0" borderId="0" xfId="44" applyProtection="1">
      <protection locked="0"/>
    </xf>
    <xf numFmtId="22" fontId="2" fillId="0" borderId="0" xfId="44" applyNumberFormat="1" applyProtection="1">
      <protection locked="0"/>
    </xf>
    <xf numFmtId="0" fontId="16" fillId="11" borderId="46" xfId="0" applyFont="1" applyFill="1" applyBorder="1" applyAlignment="1" applyProtection="1">
      <alignment horizontal="center" vertical="center"/>
      <protection locked="0"/>
    </xf>
    <xf numFmtId="0" fontId="15" fillId="0" borderId="0" xfId="0" applyFont="1" applyAlignment="1">
      <alignment horizontal="center"/>
    </xf>
    <xf numFmtId="0" fontId="12" fillId="11" borderId="14" xfId="0" applyFont="1" applyFill="1" applyBorder="1" applyAlignment="1">
      <alignment horizontal="center" vertical="center"/>
    </xf>
    <xf numFmtId="0" fontId="0" fillId="5" borderId="14" xfId="0" applyFill="1" applyBorder="1" applyAlignment="1" applyProtection="1">
      <alignment horizontal="center" vertical="center"/>
      <protection locked="0"/>
    </xf>
    <xf numFmtId="0" fontId="3" fillId="0" borderId="14" xfId="0" applyFont="1" applyBorder="1"/>
    <xf numFmtId="0" fontId="3" fillId="0" borderId="14" xfId="0" applyFont="1" applyBorder="1" applyAlignment="1">
      <alignment wrapText="1"/>
    </xf>
    <xf numFmtId="0" fontId="2" fillId="0" borderId="14" xfId="0" applyFont="1" applyBorder="1" applyAlignment="1">
      <alignment horizontal="left"/>
    </xf>
    <xf numFmtId="0" fontId="2" fillId="0" borderId="14" xfId="0" applyFont="1" applyBorder="1"/>
    <xf numFmtId="0" fontId="2" fillId="0" borderId="14" xfId="0" applyFont="1" applyBorder="1" applyAlignment="1">
      <alignment horizontal="right"/>
    </xf>
    <xf numFmtId="0" fontId="0" fillId="0" borderId="48" xfId="0" applyBorder="1" applyAlignment="1">
      <alignment horizontal="right"/>
    </xf>
    <xf numFmtId="0" fontId="0" fillId="0" borderId="27" xfId="0" applyBorder="1"/>
    <xf numFmtId="0" fontId="0" fillId="0" borderId="49" xfId="0" applyBorder="1"/>
    <xf numFmtId="0" fontId="0" fillId="0" borderId="50" xfId="0" applyBorder="1"/>
    <xf numFmtId="1" fontId="22" fillId="0" borderId="33" xfId="0" applyNumberFormat="1" applyFont="1" applyBorder="1" applyAlignment="1">
      <alignment horizontal="right"/>
    </xf>
    <xf numFmtId="1" fontId="22" fillId="0" borderId="29" xfId="0" applyNumberFormat="1" applyFont="1" applyBorder="1" applyAlignment="1">
      <alignment horizontal="right"/>
    </xf>
    <xf numFmtId="0" fontId="0" fillId="0" borderId="0" xfId="0" applyAlignment="1">
      <alignment horizontal="left"/>
    </xf>
    <xf numFmtId="0" fontId="3" fillId="0" borderId="51" xfId="0" applyFont="1" applyBorder="1" applyAlignment="1">
      <alignment horizontal="center"/>
    </xf>
    <xf numFmtId="0" fontId="6" fillId="3" borderId="2" xfId="0" applyFont="1" applyFill="1" applyBorder="1" applyAlignment="1">
      <alignment horizontal="right"/>
    </xf>
    <xf numFmtId="0" fontId="6" fillId="3" borderId="0" xfId="0" applyFont="1" applyFill="1" applyAlignment="1">
      <alignment horizontal="right"/>
    </xf>
    <xf numFmtId="0" fontId="6" fillId="3" borderId="6" xfId="0" applyFont="1" applyFill="1" applyBorder="1" applyAlignment="1">
      <alignment horizontal="right"/>
    </xf>
    <xf numFmtId="0" fontId="6" fillId="3" borderId="1" xfId="0" applyFont="1" applyFill="1" applyBorder="1" applyAlignment="1">
      <alignment horizontal="center"/>
    </xf>
    <xf numFmtId="0" fontId="6" fillId="3" borderId="3" xfId="0" applyFont="1" applyFill="1" applyBorder="1" applyAlignment="1">
      <alignment horizontal="center"/>
    </xf>
    <xf numFmtId="0" fontId="6" fillId="2" borderId="2" xfId="0" applyFont="1" applyFill="1" applyBorder="1" applyAlignment="1">
      <alignment vertical="top" wrapText="1"/>
    </xf>
    <xf numFmtId="0" fontId="6" fillId="2" borderId="6" xfId="0" applyFont="1" applyFill="1" applyBorder="1" applyAlignment="1">
      <alignment horizontal="left"/>
    </xf>
    <xf numFmtId="0" fontId="6" fillId="2" borderId="0" xfId="0" applyFont="1" applyFill="1" applyAlignment="1">
      <alignment horizontal="right"/>
    </xf>
    <xf numFmtId="0" fontId="6" fillId="2" borderId="0" xfId="0" applyFont="1" applyFill="1" applyAlignment="1">
      <alignment vertical="top"/>
    </xf>
    <xf numFmtId="0" fontId="6" fillId="0" borderId="0" xfId="0" applyFont="1"/>
    <xf numFmtId="0" fontId="6" fillId="0" borderId="0" xfId="0" applyFont="1" applyAlignment="1">
      <alignment horizontal="right"/>
    </xf>
    <xf numFmtId="0" fontId="3" fillId="3" borderId="0" xfId="0" applyFont="1" applyFill="1"/>
    <xf numFmtId="0" fontId="0" fillId="3" borderId="0" xfId="0" applyFill="1"/>
    <xf numFmtId="3" fontId="3" fillId="3" borderId="0" xfId="0" applyNumberFormat="1" applyFont="1" applyFill="1"/>
    <xf numFmtId="0" fontId="3" fillId="3" borderId="1" xfId="0" applyFont="1" applyFill="1" applyBorder="1" applyAlignment="1">
      <alignment horizontal="right"/>
    </xf>
    <xf numFmtId="0" fontId="0" fillId="3" borderId="16" xfId="0" applyFill="1" applyBorder="1" applyAlignment="1">
      <alignment horizontal="center"/>
    </xf>
    <xf numFmtId="0" fontId="3" fillId="3" borderId="3" xfId="0" applyFont="1" applyFill="1" applyBorder="1" applyAlignment="1">
      <alignment horizontal="right"/>
    </xf>
    <xf numFmtId="4" fontId="0" fillId="3" borderId="17" xfId="0" applyNumberFormat="1" applyFill="1" applyBorder="1" applyAlignment="1">
      <alignment horizontal="center"/>
    </xf>
    <xf numFmtId="0" fontId="3" fillId="3" borderId="5" xfId="0" applyFont="1" applyFill="1" applyBorder="1" applyAlignment="1">
      <alignment horizontal="right"/>
    </xf>
    <xf numFmtId="0" fontId="0" fillId="3" borderId="18" xfId="0" applyFill="1" applyBorder="1" applyAlignment="1">
      <alignment horizontal="center"/>
    </xf>
    <xf numFmtId="0" fontId="0" fillId="3" borderId="4" xfId="0" applyFill="1" applyBorder="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4" fontId="0" fillId="3" borderId="4" xfId="0" applyNumberFormat="1" applyFill="1" applyBorder="1" applyAlignment="1">
      <alignment horizontal="center"/>
    </xf>
    <xf numFmtId="164" fontId="0" fillId="3" borderId="9" xfId="0" applyNumberFormat="1" applyFill="1" applyBorder="1" applyAlignment="1">
      <alignment horizontal="center"/>
    </xf>
    <xf numFmtId="4" fontId="0" fillId="3" borderId="7" xfId="0" applyNumberFormat="1" applyFill="1" applyBorder="1" applyAlignment="1">
      <alignment horizontal="center"/>
    </xf>
    <xf numFmtId="0" fontId="0" fillId="3" borderId="16" xfId="0" applyFill="1" applyBorder="1" applyAlignment="1">
      <alignment horizontal="right"/>
    </xf>
    <xf numFmtId="0" fontId="0" fillId="3" borderId="18" xfId="0" applyFill="1" applyBorder="1" applyAlignment="1">
      <alignment horizontal="right"/>
    </xf>
    <xf numFmtId="0" fontId="0" fillId="3" borderId="0" xfId="0" applyFill="1" applyAlignment="1">
      <alignment horizontal="center"/>
    </xf>
    <xf numFmtId="165" fontId="0" fillId="3" borderId="0" xfId="0" applyNumberFormat="1" applyFill="1"/>
    <xf numFmtId="164" fontId="0" fillId="3" borderId="0" xfId="0" applyNumberFormat="1" applyFill="1"/>
    <xf numFmtId="0" fontId="2" fillId="0" borderId="14"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pplyProtection="1">
      <alignment horizontal="center" vertical="center"/>
      <protection locked="0"/>
    </xf>
    <xf numFmtId="0" fontId="0" fillId="0" borderId="0" xfId="0" applyAlignment="1">
      <alignment horizontal="center" vertical="center" wrapText="1"/>
    </xf>
    <xf numFmtId="22" fontId="0" fillId="0" borderId="0" xfId="0" applyNumberFormat="1"/>
    <xf numFmtId="0" fontId="0" fillId="0" borderId="14" xfId="0" applyBorder="1" applyAlignment="1">
      <alignment horizontal="center"/>
    </xf>
    <xf numFmtId="0" fontId="0" fillId="0" borderId="14" xfId="0" applyBorder="1"/>
    <xf numFmtId="0" fontId="2" fillId="0" borderId="14" xfId="0" applyFont="1" applyBorder="1" applyAlignment="1">
      <alignment horizontal="center"/>
    </xf>
    <xf numFmtId="0" fontId="10" fillId="6" borderId="33" xfId="0" applyFont="1" applyFill="1" applyBorder="1" applyAlignment="1">
      <alignment vertical="center" wrapText="1"/>
    </xf>
    <xf numFmtId="0" fontId="14" fillId="0" borderId="0" xfId="0" applyFont="1"/>
    <xf numFmtId="0" fontId="0" fillId="0" borderId="43" xfId="0" applyBorder="1"/>
    <xf numFmtId="0" fontId="0" fillId="0" borderId="32" xfId="0" applyBorder="1"/>
    <xf numFmtId="0" fontId="3" fillId="8" borderId="49" xfId="0" applyFont="1" applyFill="1" applyBorder="1" applyAlignment="1">
      <alignment horizontal="center" vertical="center" wrapText="1"/>
    </xf>
    <xf numFmtId="0" fontId="0" fillId="0" borderId="51" xfId="0" applyBorder="1"/>
    <xf numFmtId="0" fontId="3" fillId="8" borderId="52"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3" fillId="8" borderId="53" xfId="0" applyFont="1" applyFill="1" applyBorder="1" applyAlignment="1">
      <alignment horizontal="center" vertical="center" wrapText="1"/>
    </xf>
    <xf numFmtId="0" fontId="0" fillId="0" borderId="54" xfId="0" applyBorder="1"/>
    <xf numFmtId="0" fontId="3" fillId="0" borderId="33" xfId="0" applyFont="1" applyBorder="1"/>
    <xf numFmtId="0" fontId="10" fillId="6" borderId="33" xfId="0" applyFont="1" applyFill="1" applyBorder="1" applyAlignment="1">
      <alignment horizontal="center" vertical="center" wrapText="1"/>
    </xf>
    <xf numFmtId="0" fontId="12" fillId="5" borderId="25" xfId="0" applyFont="1" applyFill="1" applyBorder="1" applyAlignment="1" applyProtection="1">
      <alignment horizontal="center"/>
      <protection locked="0"/>
    </xf>
    <xf numFmtId="0" fontId="15" fillId="8" borderId="14" xfId="0" applyFont="1" applyFill="1" applyBorder="1" applyAlignment="1">
      <alignment horizontal="center" wrapText="1"/>
    </xf>
    <xf numFmtId="0" fontId="15" fillId="0" borderId="14" xfId="0" applyFont="1" applyBorder="1" applyAlignment="1">
      <alignment horizontal="center"/>
    </xf>
    <xf numFmtId="0" fontId="16" fillId="0" borderId="0" xfId="0" applyFont="1" applyAlignment="1">
      <alignment horizontal="left"/>
    </xf>
    <xf numFmtId="0" fontId="15" fillId="8" borderId="14" xfId="0" applyFont="1" applyFill="1" applyBorder="1" applyAlignment="1">
      <alignment horizontal="center" vertical="center" wrapText="1"/>
    </xf>
    <xf numFmtId="0" fontId="2" fillId="0" borderId="0" xfId="0" applyFont="1" applyAlignment="1">
      <alignment vertical="center"/>
    </xf>
    <xf numFmtId="0" fontId="15" fillId="8" borderId="33" xfId="0" applyFont="1" applyFill="1" applyBorder="1" applyAlignment="1">
      <alignment horizontal="center" wrapText="1"/>
    </xf>
    <xf numFmtId="0" fontId="2" fillId="0" borderId="14" xfId="0" applyFont="1" applyBorder="1" applyAlignment="1">
      <alignment vertical="center"/>
    </xf>
    <xf numFmtId="0" fontId="15" fillId="10" borderId="14" xfId="0" applyFont="1" applyFill="1" applyBorder="1" applyAlignment="1">
      <alignment horizontal="center" wrapText="1"/>
    </xf>
    <xf numFmtId="0" fontId="18" fillId="0" borderId="0" xfId="0" applyFont="1" applyAlignment="1">
      <alignment horizontal="center"/>
    </xf>
    <xf numFmtId="0" fontId="18" fillId="0" borderId="14" xfId="0" applyFont="1" applyBorder="1" applyAlignment="1">
      <alignment horizontal="right"/>
    </xf>
    <xf numFmtId="0" fontId="3" fillId="0" borderId="35" xfId="0" applyFont="1" applyBorder="1" applyAlignment="1">
      <alignment wrapText="1"/>
    </xf>
    <xf numFmtId="0" fontId="39" fillId="4" borderId="14" xfId="0" applyFont="1" applyFill="1" applyBorder="1" applyAlignment="1" applyProtection="1">
      <alignment horizontal="center" vertical="center"/>
      <protection locked="0"/>
    </xf>
    <xf numFmtId="0" fontId="2" fillId="0" borderId="0" xfId="44"/>
    <xf numFmtId="22" fontId="2" fillId="0" borderId="0" xfId="44" applyNumberFormat="1"/>
    <xf numFmtId="0" fontId="2" fillId="0" borderId="54" xfId="0" applyFont="1" applyBorder="1"/>
    <xf numFmtId="0" fontId="2" fillId="0" borderId="43" xfId="0" applyFont="1" applyBorder="1"/>
    <xf numFmtId="0" fontId="2" fillId="0" borderId="32" xfId="0" applyFont="1" applyBorder="1"/>
    <xf numFmtId="0" fontId="40" fillId="0" borderId="14" xfId="0" applyFont="1" applyBorder="1" applyAlignment="1" applyProtection="1">
      <alignment horizontal="center" vertical="center"/>
      <protection locked="0"/>
    </xf>
    <xf numFmtId="0" fontId="3" fillId="0" borderId="20" xfId="0" applyFont="1" applyBorder="1" applyAlignment="1">
      <alignment wrapText="1"/>
    </xf>
    <xf numFmtId="0" fontId="3" fillId="0" borderId="0" xfId="0" applyFont="1" applyAlignment="1">
      <alignment wrapText="1"/>
    </xf>
    <xf numFmtId="0" fontId="0" fillId="0" borderId="30" xfId="0" applyBorder="1" applyAlignment="1">
      <alignment horizontal="right"/>
    </xf>
    <xf numFmtId="0" fontId="2" fillId="5" borderId="14" xfId="0" applyFont="1" applyFill="1" applyBorder="1" applyAlignment="1" applyProtection="1">
      <alignment horizontal="center"/>
      <protection locked="0"/>
    </xf>
    <xf numFmtId="49" fontId="0" fillId="4" borderId="14" xfId="0" applyNumberFormat="1" applyFill="1" applyBorder="1" applyAlignment="1" applyProtection="1">
      <alignment horizontal="center"/>
      <protection locked="0"/>
    </xf>
    <xf numFmtId="0" fontId="0" fillId="0" borderId="31" xfId="0" applyBorder="1" applyAlignment="1">
      <alignment horizontal="right"/>
    </xf>
    <xf numFmtId="0" fontId="3" fillId="0" borderId="0" xfId="0" applyFont="1" applyAlignment="1">
      <alignment horizontal="right"/>
    </xf>
    <xf numFmtId="0" fontId="3" fillId="0" borderId="37" xfId="0" applyFont="1" applyBorder="1" applyAlignment="1">
      <alignment horizontal="center"/>
    </xf>
    <xf numFmtId="0" fontId="3" fillId="0" borderId="43" xfId="0" applyFont="1" applyBorder="1" applyAlignment="1">
      <alignment horizontal="center" wrapText="1"/>
    </xf>
    <xf numFmtId="0" fontId="3" fillId="0" borderId="42" xfId="0" applyFont="1" applyBorder="1" applyAlignment="1">
      <alignment horizontal="center" wrapText="1"/>
    </xf>
    <xf numFmtId="1" fontId="0" fillId="6" borderId="29" xfId="0" applyNumberFormat="1" applyFill="1" applyBorder="1" applyAlignment="1">
      <alignment horizontal="center"/>
    </xf>
    <xf numFmtId="0" fontId="2" fillId="5" borderId="32" xfId="0" applyFont="1" applyFill="1" applyBorder="1" applyAlignment="1" applyProtection="1">
      <alignment horizontal="center"/>
      <protection locked="0"/>
    </xf>
    <xf numFmtId="49" fontId="0" fillId="4" borderId="32" xfId="0" applyNumberFormat="1" applyFill="1" applyBorder="1" applyAlignment="1" applyProtection="1">
      <alignment horizontal="center"/>
      <protection locked="0"/>
    </xf>
    <xf numFmtId="0" fontId="14" fillId="0" borderId="0" xfId="0" applyFont="1" applyAlignment="1">
      <alignment horizontal="center" vertical="center" wrapText="1"/>
    </xf>
    <xf numFmtId="0" fontId="3" fillId="8" borderId="69" xfId="0" applyFont="1" applyFill="1" applyBorder="1" applyAlignment="1">
      <alignment horizontal="center" vertical="center" wrapText="1"/>
    </xf>
    <xf numFmtId="0" fontId="3" fillId="8" borderId="70" xfId="0" applyFont="1" applyFill="1" applyBorder="1" applyAlignment="1">
      <alignment horizontal="center" vertical="center" wrapText="1"/>
    </xf>
    <xf numFmtId="0" fontId="41" fillId="0" borderId="0" xfId="0" applyFont="1" applyAlignment="1">
      <alignment horizontal="left" vertical="center" indent="4"/>
    </xf>
    <xf numFmtId="0" fontId="40" fillId="0" borderId="0" xfId="0" applyFont="1"/>
    <xf numFmtId="0" fontId="40" fillId="0" borderId="14" xfId="0" applyFont="1" applyBorder="1" applyAlignment="1">
      <alignment horizontal="center" vertical="center" wrapText="1"/>
    </xf>
    <xf numFmtId="0" fontId="40" fillId="0" borderId="14" xfId="0" applyFont="1" applyBorder="1" applyAlignment="1">
      <alignment vertical="center" wrapText="1"/>
    </xf>
    <xf numFmtId="0" fontId="2" fillId="5" borderId="14" xfId="44" applyFill="1" applyBorder="1" applyAlignment="1" applyProtection="1">
      <alignment horizontal="center"/>
      <protection locked="0"/>
    </xf>
    <xf numFmtId="14" fontId="12" fillId="5" borderId="25" xfId="0" applyNumberFormat="1" applyFont="1" applyFill="1" applyBorder="1" applyAlignment="1" applyProtection="1">
      <alignment horizontal="center"/>
      <protection locked="0"/>
    </xf>
    <xf numFmtId="0" fontId="0" fillId="0" borderId="37"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3" fillId="7" borderId="38" xfId="0" applyFont="1" applyFill="1" applyBorder="1" applyAlignment="1">
      <alignment vertical="center" wrapText="1"/>
    </xf>
    <xf numFmtId="0" fontId="3" fillId="7" borderId="71" xfId="0" applyFont="1" applyFill="1" applyBorder="1" applyAlignment="1">
      <alignment vertical="center" wrapText="1"/>
    </xf>
    <xf numFmtId="0" fontId="0" fillId="0" borderId="1" xfId="0" applyBorder="1"/>
    <xf numFmtId="0" fontId="3" fillId="8" borderId="54" xfId="0" applyFont="1" applyFill="1" applyBorder="1" applyAlignment="1">
      <alignment horizontal="center" vertical="center" wrapText="1"/>
    </xf>
    <xf numFmtId="0" fontId="0" fillId="0" borderId="43" xfId="0" applyBorder="1" applyAlignment="1">
      <alignment horizontal="center" vertical="center"/>
    </xf>
    <xf numFmtId="0" fontId="0" fillId="0" borderId="67" xfId="0" applyBorder="1" applyAlignment="1">
      <alignment horizontal="center" vertical="center"/>
    </xf>
    <xf numFmtId="0" fontId="0" fillId="0" borderId="44" xfId="0" applyBorder="1" applyAlignment="1">
      <alignment horizontal="center" vertical="center"/>
    </xf>
    <xf numFmtId="0" fontId="0" fillId="0" borderId="32" xfId="0" applyBorder="1" applyAlignment="1">
      <alignment horizontal="center" vertical="center"/>
    </xf>
    <xf numFmtId="0" fontId="0" fillId="0" borderId="42" xfId="0" applyBorder="1" applyAlignment="1">
      <alignment horizontal="center" vertical="center"/>
    </xf>
    <xf numFmtId="0" fontId="2" fillId="0" borderId="72" xfId="0" applyFont="1" applyBorder="1" applyAlignment="1">
      <alignment horizontal="center" vertical="center"/>
    </xf>
    <xf numFmtId="0" fontId="0" fillId="0" borderId="29" xfId="0" applyBorder="1" applyAlignment="1">
      <alignment horizontal="center" vertical="center"/>
    </xf>
    <xf numFmtId="0" fontId="2" fillId="0" borderId="35" xfId="0" applyFont="1" applyBorder="1" applyAlignment="1">
      <alignment horizontal="center" vertical="center"/>
    </xf>
    <xf numFmtId="0" fontId="0" fillId="0" borderId="55" xfId="0" applyBorder="1" applyAlignment="1">
      <alignment horizontal="center" vertical="center"/>
    </xf>
    <xf numFmtId="0" fontId="2" fillId="0" borderId="21" xfId="0" applyFont="1" applyBorder="1" applyAlignment="1">
      <alignment horizontal="center" vertical="center"/>
    </xf>
    <xf numFmtId="0" fontId="0" fillId="0" borderId="45" xfId="0" applyBorder="1" applyAlignment="1">
      <alignment horizontal="center" vertical="center"/>
    </xf>
    <xf numFmtId="0" fontId="2" fillId="0" borderId="73" xfId="0" applyFont="1" applyBorder="1" applyAlignment="1">
      <alignment horizontal="center" vertical="center"/>
    </xf>
    <xf numFmtId="0" fontId="0" fillId="0" borderId="51" xfId="0" applyBorder="1" applyAlignment="1">
      <alignment horizontal="center" vertical="center"/>
    </xf>
    <xf numFmtId="0" fontId="0" fillId="0" borderId="1" xfId="0" applyBorder="1" applyAlignment="1">
      <alignment wrapText="1"/>
    </xf>
    <xf numFmtId="0" fontId="0" fillId="0" borderId="72" xfId="0" applyBorder="1" applyAlignment="1">
      <alignment horizontal="center" vertical="center"/>
    </xf>
    <xf numFmtId="0" fontId="0" fillId="0" borderId="35" xfId="0" applyBorder="1" applyAlignment="1">
      <alignment horizontal="center" vertical="center"/>
    </xf>
    <xf numFmtId="0" fontId="0" fillId="0" borderId="73" xfId="0" applyBorder="1" applyAlignment="1">
      <alignment horizontal="center" vertical="center"/>
    </xf>
    <xf numFmtId="0" fontId="0" fillId="0" borderId="26"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3" fillId="8" borderId="37" xfId="0" applyFont="1" applyFill="1" applyBorder="1" applyAlignment="1">
      <alignment horizontal="center" vertical="center" wrapText="1"/>
    </xf>
    <xf numFmtId="0" fontId="3" fillId="8" borderId="43" xfId="0" applyFont="1" applyFill="1" applyBorder="1" applyAlignment="1">
      <alignment horizontal="center" vertical="center" wrapText="1"/>
    </xf>
    <xf numFmtId="0" fontId="3" fillId="8" borderId="42" xfId="0" applyFont="1" applyFill="1" applyBorder="1" applyAlignment="1">
      <alignment horizontal="center" vertical="center" wrapText="1"/>
    </xf>
    <xf numFmtId="0" fontId="19" fillId="0" borderId="0" xfId="0" quotePrefix="1" applyFont="1" applyAlignment="1">
      <alignment horizontal="left" vertical="center"/>
    </xf>
    <xf numFmtId="0" fontId="0" fillId="0" borderId="31" xfId="0" quotePrefix="1" applyBorder="1" applyAlignment="1">
      <alignment horizontal="center" vertical="center" wrapText="1"/>
    </xf>
    <xf numFmtId="0" fontId="0" fillId="0" borderId="32" xfId="0" quotePrefix="1" applyBorder="1" applyAlignment="1">
      <alignment horizontal="center" vertical="center" wrapText="1"/>
    </xf>
    <xf numFmtId="0" fontId="0" fillId="0" borderId="45" xfId="0" quotePrefix="1" applyBorder="1" applyAlignment="1">
      <alignment horizontal="center" vertical="center" wrapText="1"/>
    </xf>
    <xf numFmtId="0" fontId="0" fillId="0" borderId="37" xfId="0" applyBorder="1"/>
    <xf numFmtId="0" fontId="0" fillId="0" borderId="42" xfId="0" applyBorder="1"/>
    <xf numFmtId="0" fontId="0" fillId="0" borderId="30" xfId="0" applyBorder="1"/>
    <xf numFmtId="0" fontId="0" fillId="0" borderId="29" xfId="0" applyBorder="1"/>
    <xf numFmtId="0" fontId="0" fillId="0" borderId="31" xfId="0" applyBorder="1"/>
    <xf numFmtId="0" fontId="0" fillId="0" borderId="45" xfId="0" applyBorder="1"/>
    <xf numFmtId="0" fontId="0" fillId="0" borderId="65" xfId="0" applyBorder="1"/>
    <xf numFmtId="0" fontId="0" fillId="0" borderId="66" xfId="0" applyBorder="1"/>
    <xf numFmtId="0" fontId="0" fillId="0" borderId="72" xfId="0" applyBorder="1"/>
    <xf numFmtId="0" fontId="0" fillId="0" borderId="35" xfId="0" applyBorder="1"/>
    <xf numFmtId="0" fontId="0" fillId="0" borderId="73" xfId="0" applyBorder="1"/>
    <xf numFmtId="0" fontId="0" fillId="0" borderId="26" xfId="0" applyBorder="1"/>
    <xf numFmtId="0" fontId="0" fillId="0" borderId="0" xfId="0" applyAlignment="1">
      <alignment wrapText="1"/>
    </xf>
    <xf numFmtId="0" fontId="0" fillId="0" borderId="13" xfId="0" applyBorder="1" applyAlignment="1">
      <alignment wrapText="1"/>
    </xf>
    <xf numFmtId="0" fontId="3" fillId="8" borderId="75" xfId="0" applyFont="1" applyFill="1" applyBorder="1" applyAlignment="1">
      <alignment horizontal="center" vertical="center" wrapText="1"/>
    </xf>
    <xf numFmtId="0" fontId="3" fillId="8" borderId="68" xfId="0" applyFont="1" applyFill="1" applyBorder="1" applyAlignment="1">
      <alignment horizontal="center" vertical="center" wrapText="1"/>
    </xf>
    <xf numFmtId="0" fontId="2" fillId="0" borderId="0" xfId="0" applyFont="1" applyAlignment="1">
      <alignment horizontal="center"/>
    </xf>
    <xf numFmtId="0" fontId="2" fillId="0" borderId="3" xfId="0" applyFont="1" applyBorder="1"/>
    <xf numFmtId="0" fontId="2" fillId="0" borderId="4" xfId="0" applyFont="1" applyBorder="1" applyAlignment="1">
      <alignment horizontal="center"/>
    </xf>
    <xf numFmtId="0" fontId="2" fillId="0" borderId="5" xfId="0" applyFont="1" applyBorder="1"/>
    <xf numFmtId="0" fontId="2" fillId="0" borderId="6" xfId="0" applyFont="1" applyBorder="1"/>
    <xf numFmtId="0" fontId="2" fillId="0" borderId="6" xfId="0" applyFont="1" applyBorder="1" applyAlignment="1">
      <alignment horizontal="center"/>
    </xf>
    <xf numFmtId="0" fontId="2" fillId="0" borderId="7" xfId="0" applyFont="1" applyBorder="1" applyAlignment="1">
      <alignment horizontal="center"/>
    </xf>
    <xf numFmtId="0" fontId="40" fillId="0" borderId="0" xfId="0" applyFont="1" applyAlignment="1">
      <alignment horizontal="center" vertical="center" wrapText="1"/>
    </xf>
    <xf numFmtId="14" fontId="40" fillId="0" borderId="0" xfId="0" applyNumberFormat="1" applyFont="1" applyAlignment="1">
      <alignment horizontal="center" vertical="center" wrapText="1"/>
    </xf>
    <xf numFmtId="0" fontId="40" fillId="0" borderId="0" xfId="0" applyFont="1" applyAlignment="1">
      <alignment vertical="center" wrapText="1"/>
    </xf>
    <xf numFmtId="14" fontId="40" fillId="0" borderId="14" xfId="0" applyNumberFormat="1" applyFont="1" applyBorder="1" applyAlignment="1">
      <alignment horizontal="center" vertical="center" wrapText="1"/>
    </xf>
    <xf numFmtId="0" fontId="2" fillId="5" borderId="14" xfId="0" applyFont="1" applyFill="1" applyBorder="1" applyAlignment="1" applyProtection="1">
      <alignment horizontal="center" vertical="center"/>
      <protection locked="0"/>
    </xf>
    <xf numFmtId="49" fontId="2" fillId="5" borderId="14" xfId="0" quotePrefix="1" applyNumberFormat="1" applyFont="1" applyFill="1" applyBorder="1" applyAlignment="1" applyProtection="1">
      <alignment horizontal="center" vertical="center"/>
      <protection locked="0"/>
    </xf>
    <xf numFmtId="49" fontId="2" fillId="5" borderId="14" xfId="0" applyNumberFormat="1" applyFont="1" applyFill="1" applyBorder="1" applyAlignment="1" applyProtection="1">
      <alignment horizontal="center" vertical="center"/>
      <protection locked="0"/>
    </xf>
    <xf numFmtId="0" fontId="0" fillId="5" borderId="14" xfId="0" applyFill="1" applyBorder="1" applyAlignment="1" applyProtection="1">
      <alignment horizontal="center" vertical="center" wrapText="1"/>
      <protection locked="0"/>
    </xf>
    <xf numFmtId="0" fontId="43" fillId="0" borderId="0" xfId="0" applyFont="1"/>
    <xf numFmtId="0" fontId="43" fillId="0" borderId="0" xfId="0" applyFont="1" applyProtection="1">
      <protection locked="0"/>
    </xf>
    <xf numFmtId="22" fontId="43" fillId="0" borderId="0" xfId="0" applyNumberFormat="1" applyFont="1" applyProtection="1">
      <protection locked="0"/>
    </xf>
    <xf numFmtId="0" fontId="2" fillId="0" borderId="33" xfId="0" applyFont="1" applyBorder="1" applyAlignment="1">
      <alignment horizontal="center" vertical="center"/>
    </xf>
    <xf numFmtId="1" fontId="45" fillId="6" borderId="29" xfId="0" applyNumberFormat="1" applyFont="1" applyFill="1" applyBorder="1" applyAlignment="1">
      <alignment horizontal="center"/>
    </xf>
    <xf numFmtId="0" fontId="3" fillId="0" borderId="14" xfId="0" applyFont="1" applyBorder="1" applyAlignment="1">
      <alignment horizontal="left"/>
    </xf>
    <xf numFmtId="0" fontId="3" fillId="0" borderId="14" xfId="0" applyFont="1" applyBorder="1" applyAlignment="1">
      <alignment horizontal="center"/>
    </xf>
    <xf numFmtId="0" fontId="0" fillId="0" borderId="14" xfId="0" applyBorder="1" applyAlignment="1">
      <alignment horizontal="left"/>
    </xf>
    <xf numFmtId="0" fontId="40" fillId="0" borderId="0" xfId="0" applyFont="1" applyAlignment="1">
      <alignment horizontal="left" vertical="top" wrapText="1"/>
    </xf>
    <xf numFmtId="0" fontId="2" fillId="5" borderId="43" xfId="0" applyFont="1" applyFill="1" applyBorder="1" applyAlignment="1" applyProtection="1">
      <alignment horizontal="center" vertical="center" wrapText="1"/>
      <protection locked="0"/>
    </xf>
    <xf numFmtId="0" fontId="2" fillId="5" borderId="42" xfId="0" applyFont="1" applyFill="1" applyBorder="1" applyAlignment="1" applyProtection="1">
      <alignment horizontal="center" vertical="center" wrapText="1"/>
      <protection locked="0"/>
    </xf>
    <xf numFmtId="0" fontId="23" fillId="0" borderId="14" xfId="0" applyFont="1" applyBorder="1" applyAlignment="1">
      <alignment horizontal="center"/>
    </xf>
    <xf numFmtId="0" fontId="15" fillId="8" borderId="14" xfId="0" applyFont="1" applyFill="1" applyBorder="1" applyAlignment="1">
      <alignment horizontal="center" vertical="center"/>
    </xf>
    <xf numFmtId="17" fontId="44" fillId="11" borderId="43" xfId="0" applyNumberFormat="1" applyFont="1" applyFill="1" applyBorder="1" applyAlignment="1">
      <alignment horizontal="center" vertical="center"/>
    </xf>
    <xf numFmtId="17" fontId="44" fillId="11" borderId="42" xfId="0" applyNumberFormat="1" applyFont="1" applyFill="1" applyBorder="1" applyAlignment="1">
      <alignment horizontal="center" vertical="center"/>
    </xf>
    <xf numFmtId="17" fontId="44" fillId="11" borderId="32" xfId="0" applyNumberFormat="1" applyFont="1" applyFill="1" applyBorder="1" applyAlignment="1">
      <alignment horizontal="center" vertical="center"/>
    </xf>
    <xf numFmtId="17" fontId="44" fillId="11" borderId="45" xfId="0" applyNumberFormat="1" applyFont="1" applyFill="1" applyBorder="1" applyAlignment="1">
      <alignment horizontal="center" vertical="center"/>
    </xf>
    <xf numFmtId="0" fontId="0" fillId="5" borderId="14" xfId="0" applyFill="1" applyBorder="1" applyAlignment="1" applyProtection="1">
      <alignment horizontal="center" vertical="center"/>
      <protection locked="0"/>
    </xf>
    <xf numFmtId="0" fontId="0" fillId="5" borderId="29" xfId="0" applyFill="1" applyBorder="1" applyAlignment="1" applyProtection="1">
      <alignment horizontal="center" vertical="center"/>
      <protection locked="0"/>
    </xf>
    <xf numFmtId="0" fontId="0" fillId="5" borderId="32" xfId="0" applyFill="1" applyBorder="1" applyAlignment="1" applyProtection="1">
      <alignment horizontal="center" vertical="center"/>
      <protection locked="0"/>
    </xf>
    <xf numFmtId="0" fontId="0" fillId="5" borderId="45" xfId="0" applyFill="1" applyBorder="1" applyAlignment="1" applyProtection="1">
      <alignment horizontal="center" vertical="center"/>
      <protection locked="0"/>
    </xf>
    <xf numFmtId="17" fontId="44" fillId="11" borderId="37" xfId="0" applyNumberFormat="1" applyFont="1" applyFill="1" applyBorder="1" applyAlignment="1">
      <alignment horizontal="center" vertical="center"/>
    </xf>
    <xf numFmtId="167" fontId="2" fillId="5" borderId="31" xfId="0" applyNumberFormat="1" applyFont="1" applyFill="1" applyBorder="1" applyAlignment="1" applyProtection="1">
      <alignment horizontal="center" vertical="center" wrapText="1"/>
      <protection locked="0"/>
    </xf>
    <xf numFmtId="167" fontId="2" fillId="5" borderId="32" xfId="0" applyNumberFormat="1" applyFont="1" applyFill="1" applyBorder="1" applyAlignment="1" applyProtection="1">
      <alignment horizontal="center" vertical="center" wrapText="1"/>
      <protection locked="0"/>
    </xf>
    <xf numFmtId="0" fontId="15" fillId="0" borderId="14" xfId="0" applyFont="1" applyBorder="1" applyAlignment="1">
      <alignment horizontal="center"/>
    </xf>
    <xf numFmtId="0" fontId="18" fillId="0" borderId="14" xfId="0" applyFont="1" applyBorder="1" applyAlignment="1">
      <alignment horizontal="center"/>
    </xf>
    <xf numFmtId="0" fontId="15" fillId="0" borderId="33" xfId="0" applyFont="1" applyBorder="1" applyAlignment="1">
      <alignment horizontal="center" wrapText="1"/>
    </xf>
    <xf numFmtId="0" fontId="18" fillId="0" borderId="35" xfId="0" applyFont="1" applyBorder="1" applyAlignment="1">
      <alignment horizontal="center" wrapText="1"/>
    </xf>
    <xf numFmtId="0" fontId="15" fillId="0" borderId="14" xfId="0" applyFont="1" applyBorder="1" applyAlignment="1">
      <alignment horizontal="center" wrapText="1"/>
    </xf>
    <xf numFmtId="0" fontId="14" fillId="0" borderId="0" xfId="0" applyFont="1" applyAlignment="1">
      <alignment horizontal="center" vertical="center"/>
    </xf>
    <xf numFmtId="0" fontId="10" fillId="0" borderId="25" xfId="0" applyFont="1" applyBorder="1" applyAlignment="1">
      <alignment horizontal="left" vertical="center"/>
    </xf>
    <xf numFmtId="0" fontId="10" fillId="0" borderId="0" xfId="0" applyFont="1" applyAlignment="1">
      <alignment horizontal="left" vertical="center"/>
    </xf>
    <xf numFmtId="0" fontId="10" fillId="4" borderId="14" xfId="0" applyFont="1" applyFill="1" applyBorder="1" applyAlignment="1" applyProtection="1">
      <alignment horizontal="center" vertical="center"/>
      <protection locked="0"/>
    </xf>
    <xf numFmtId="0" fontId="2" fillId="5" borderId="37" xfId="0" applyFont="1" applyFill="1" applyBorder="1" applyAlignment="1" applyProtection="1">
      <alignment horizontal="center" vertical="center" wrapText="1"/>
      <protection locked="0"/>
    </xf>
    <xf numFmtId="168" fontId="0" fillId="5" borderId="14" xfId="0" applyNumberFormat="1" applyFill="1" applyBorder="1" applyAlignment="1" applyProtection="1">
      <alignment horizontal="center" vertical="center"/>
      <protection locked="0"/>
    </xf>
    <xf numFmtId="0" fontId="10" fillId="0" borderId="0" xfId="0" applyFont="1" applyAlignment="1">
      <alignment horizontal="center" vertical="center" wrapText="1"/>
    </xf>
    <xf numFmtId="0" fontId="3" fillId="0" borderId="33" xfId="0" applyFont="1" applyBorder="1" applyAlignment="1">
      <alignment horizontal="center" wrapText="1"/>
    </xf>
    <xf numFmtId="0" fontId="3" fillId="0" borderId="34" xfId="0" applyFont="1" applyBorder="1" applyAlignment="1">
      <alignment horizontal="center" wrapText="1"/>
    </xf>
    <xf numFmtId="0" fontId="3" fillId="0" borderId="35" xfId="0" applyFont="1" applyBorder="1" applyAlignment="1">
      <alignment horizontal="center" wrapText="1"/>
    </xf>
    <xf numFmtId="0" fontId="15" fillId="4" borderId="33"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2" fillId="0" borderId="22" xfId="0" applyFont="1" applyBorder="1" applyAlignment="1">
      <alignment horizontal="center" vertical="center"/>
    </xf>
    <xf numFmtId="0" fontId="2" fillId="0" borderId="0" xfId="0" applyFont="1" applyAlignment="1">
      <alignment horizontal="center" vertical="center"/>
    </xf>
    <xf numFmtId="0" fontId="10" fillId="0" borderId="22" xfId="0" applyFont="1" applyBorder="1" applyAlignment="1">
      <alignment horizontal="center" vertical="center"/>
    </xf>
    <xf numFmtId="0" fontId="10" fillId="0" borderId="0" xfId="0" applyFont="1" applyAlignment="1">
      <alignment horizontal="center" vertical="center"/>
    </xf>
    <xf numFmtId="0" fontId="0" fillId="0" borderId="0" xfId="0" applyAlignment="1">
      <alignment horizontal="center"/>
    </xf>
    <xf numFmtId="0" fontId="3" fillId="0" borderId="14" xfId="0" applyFont="1" applyBorder="1" applyAlignment="1">
      <alignment horizontal="center" wrapText="1"/>
    </xf>
    <xf numFmtId="0" fontId="12" fillId="5" borderId="25" xfId="0" applyFont="1" applyFill="1" applyBorder="1" applyAlignment="1" applyProtection="1">
      <alignment horizontal="center"/>
      <protection locked="0"/>
    </xf>
    <xf numFmtId="0" fontId="0" fillId="5" borderId="30" xfId="0" applyFill="1" applyBorder="1" applyAlignment="1" applyProtection="1">
      <alignment horizontal="center" vertical="center"/>
      <protection locked="0"/>
    </xf>
    <xf numFmtId="0" fontId="0" fillId="5" borderId="31" xfId="0" applyFill="1" applyBorder="1" applyAlignment="1" applyProtection="1">
      <alignment horizontal="center" vertical="center"/>
      <protection locked="0"/>
    </xf>
    <xf numFmtId="0" fontId="15" fillId="8" borderId="14" xfId="0" applyFont="1" applyFill="1" applyBorder="1" applyAlignment="1">
      <alignment horizontal="center"/>
    </xf>
    <xf numFmtId="17" fontId="44" fillId="11" borderId="31" xfId="0" applyNumberFormat="1" applyFont="1" applyFill="1" applyBorder="1" applyAlignment="1">
      <alignment horizontal="center" vertical="center"/>
    </xf>
    <xf numFmtId="0" fontId="15" fillId="0" borderId="33" xfId="0" applyFont="1" applyBorder="1" applyAlignment="1">
      <alignment horizontal="center"/>
    </xf>
    <xf numFmtId="0" fontId="15" fillId="0" borderId="35" xfId="0" applyFont="1" applyBorder="1" applyAlignment="1">
      <alignment horizontal="center"/>
    </xf>
    <xf numFmtId="14" fontId="12" fillId="5" borderId="25" xfId="0" applyNumberFormat="1" applyFont="1" applyFill="1" applyBorder="1" applyAlignment="1" applyProtection="1">
      <alignment horizontal="center"/>
      <protection locked="0"/>
    </xf>
    <xf numFmtId="0" fontId="19" fillId="11" borderId="47" xfId="0" applyFont="1" applyFill="1" applyBorder="1" applyAlignment="1" applyProtection="1">
      <alignment horizontal="center" vertical="center"/>
      <protection locked="0"/>
    </xf>
    <xf numFmtId="0" fontId="19" fillId="11" borderId="36" xfId="0" applyFont="1" applyFill="1" applyBorder="1" applyAlignment="1" applyProtection="1">
      <alignment horizontal="center" vertical="center"/>
      <protection locked="0"/>
    </xf>
    <xf numFmtId="0" fontId="15" fillId="10" borderId="14" xfId="0" applyFont="1" applyFill="1" applyBorder="1" applyAlignment="1">
      <alignment horizontal="center"/>
    </xf>
    <xf numFmtId="0" fontId="16" fillId="6" borderId="13" xfId="0" applyFont="1" applyFill="1" applyBorder="1" applyAlignment="1">
      <alignment horizontal="center" vertical="center"/>
    </xf>
    <xf numFmtId="0" fontId="16" fillId="6" borderId="36" xfId="0" applyFont="1" applyFill="1" applyBorder="1" applyAlignment="1">
      <alignment horizontal="center" vertical="center"/>
    </xf>
    <xf numFmtId="0" fontId="15" fillId="0" borderId="34" xfId="0" applyFont="1" applyBorder="1" applyAlignment="1">
      <alignment horizontal="center"/>
    </xf>
    <xf numFmtId="0" fontId="2" fillId="5" borderId="33" xfId="0" applyFont="1" applyFill="1" applyBorder="1" applyAlignment="1" applyProtection="1">
      <alignment horizontal="center" vertical="center" wrapText="1"/>
      <protection locked="0"/>
    </xf>
    <xf numFmtId="0" fontId="0" fillId="5" borderId="34" xfId="0" applyFill="1" applyBorder="1" applyAlignment="1" applyProtection="1">
      <alignment horizontal="center" vertical="center" wrapText="1"/>
      <protection locked="0"/>
    </xf>
    <xf numFmtId="0" fontId="0" fillId="5" borderId="35" xfId="0" applyFill="1" applyBorder="1" applyAlignment="1" applyProtection="1">
      <alignment horizontal="center" vertical="center" wrapText="1"/>
      <protection locked="0"/>
    </xf>
    <xf numFmtId="0" fontId="3" fillId="11" borderId="14" xfId="0" applyFont="1" applyFill="1" applyBorder="1" applyAlignment="1">
      <alignment horizontal="center"/>
    </xf>
    <xf numFmtId="167" fontId="2" fillId="5" borderId="32" xfId="0" applyNumberFormat="1" applyFont="1" applyFill="1" applyBorder="1" applyAlignment="1" applyProtection="1">
      <alignment horizontal="center" vertical="center"/>
      <protection locked="0"/>
    </xf>
    <xf numFmtId="167" fontId="0" fillId="5" borderId="32" xfId="0" applyNumberFormat="1" applyFill="1" applyBorder="1" applyAlignment="1" applyProtection="1">
      <alignment horizontal="center" vertical="center"/>
      <protection locked="0"/>
    </xf>
    <xf numFmtId="0" fontId="2" fillId="5" borderId="43" xfId="0" applyFont="1" applyFill="1" applyBorder="1" applyAlignment="1" applyProtection="1">
      <alignment horizontal="center" vertical="center"/>
      <protection locked="0"/>
    </xf>
    <xf numFmtId="0" fontId="0" fillId="5" borderId="43" xfId="0" applyFill="1" applyBorder="1" applyAlignment="1" applyProtection="1">
      <alignment horizontal="center" vertical="center"/>
      <protection locked="0"/>
    </xf>
    <xf numFmtId="0" fontId="0" fillId="5" borderId="42" xfId="0" applyFill="1" applyBorder="1" applyAlignment="1" applyProtection="1">
      <alignment horizontal="center" vertical="center"/>
      <protection locked="0"/>
    </xf>
    <xf numFmtId="167" fontId="0" fillId="5" borderId="45" xfId="0" applyNumberFormat="1" applyFill="1" applyBorder="1" applyAlignment="1" applyProtection="1">
      <alignment horizontal="center" vertical="center"/>
      <protection locked="0"/>
    </xf>
    <xf numFmtId="0" fontId="2" fillId="5" borderId="25" xfId="0" applyFont="1" applyFill="1" applyBorder="1" applyAlignment="1" applyProtection="1">
      <alignment horizontal="center"/>
      <protection locked="0"/>
    </xf>
    <xf numFmtId="14" fontId="2" fillId="5" borderId="25" xfId="0" applyNumberFormat="1" applyFont="1"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17" fillId="0" borderId="0" xfId="0" applyFont="1" applyAlignment="1">
      <alignment horizontal="center" vertical="center" wrapText="1"/>
    </xf>
    <xf numFmtId="0" fontId="3" fillId="10" borderId="24" xfId="0" applyFont="1" applyFill="1" applyBorder="1" applyAlignment="1">
      <alignment horizontal="center" vertical="center"/>
    </xf>
    <xf numFmtId="0" fontId="3" fillId="10" borderId="26" xfId="0" applyFont="1" applyFill="1" applyBorder="1" applyAlignment="1">
      <alignment horizontal="center" vertical="center"/>
    </xf>
    <xf numFmtId="0" fontId="3" fillId="10" borderId="14" xfId="0" applyFont="1" applyFill="1" applyBorder="1" applyAlignment="1">
      <alignment horizontal="center" vertical="center"/>
    </xf>
    <xf numFmtId="0" fontId="10" fillId="6" borderId="33" xfId="0" applyFont="1" applyFill="1" applyBorder="1" applyAlignment="1">
      <alignment horizontal="center" vertical="center" wrapText="1"/>
    </xf>
    <xf numFmtId="0" fontId="10" fillId="6" borderId="35"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0" fillId="0" borderId="42" xfId="0" applyBorder="1" applyAlignment="1">
      <alignment horizontal="center" vertical="center"/>
    </xf>
    <xf numFmtId="0" fontId="0" fillId="0" borderId="29" xfId="0" applyBorder="1" applyAlignment="1">
      <alignment horizontal="center" vertical="center"/>
    </xf>
    <xf numFmtId="0" fontId="0" fillId="0" borderId="55" xfId="0" applyBorder="1" applyAlignment="1">
      <alignment horizontal="center" vertical="center"/>
    </xf>
    <xf numFmtId="0" fontId="0" fillId="0" borderId="45" xfId="0" applyBorder="1" applyAlignment="1">
      <alignment horizontal="center" vertical="center"/>
    </xf>
    <xf numFmtId="0" fontId="0" fillId="0" borderId="14" xfId="0" applyBorder="1" applyAlignment="1">
      <alignment horizontal="center" vertical="center"/>
    </xf>
    <xf numFmtId="0" fontId="0" fillId="0" borderId="32" xfId="0" applyBorder="1" applyAlignment="1">
      <alignment horizontal="center" vertical="center"/>
    </xf>
    <xf numFmtId="0" fontId="0" fillId="0" borderId="43" xfId="0" applyBorder="1" applyAlignment="1">
      <alignment horizontal="center" vertical="center"/>
    </xf>
    <xf numFmtId="0" fontId="0" fillId="0" borderId="29" xfId="0" applyBorder="1" applyAlignment="1">
      <alignment horizontal="center" vertical="center" wrapText="1"/>
    </xf>
    <xf numFmtId="0" fontId="0" fillId="0" borderId="45" xfId="0" applyBorder="1" applyAlignment="1">
      <alignment horizontal="center" vertical="center" wrapText="1"/>
    </xf>
    <xf numFmtId="0" fontId="0" fillId="0" borderId="14" xfId="0" applyBorder="1" applyAlignment="1">
      <alignment horizontal="center" vertical="center" wrapText="1"/>
    </xf>
    <xf numFmtId="0" fontId="0" fillId="0" borderId="32" xfId="0" applyBorder="1" applyAlignment="1">
      <alignment horizontal="center" vertical="center" wrapText="1"/>
    </xf>
    <xf numFmtId="0" fontId="0" fillId="0" borderId="38" xfId="0" applyBorder="1" applyAlignment="1">
      <alignment horizontal="center" vertical="center" wrapText="1"/>
    </xf>
    <xf numFmtId="0" fontId="0" fillId="0" borderId="11" xfId="0" applyBorder="1" applyAlignment="1">
      <alignment horizontal="center" vertical="center" wrapText="1"/>
    </xf>
    <xf numFmtId="0" fontId="0" fillId="0" borderId="71" xfId="0" applyBorder="1" applyAlignment="1">
      <alignment horizontal="center" vertical="center" wrapText="1"/>
    </xf>
    <xf numFmtId="0" fontId="0" fillId="0" borderId="14" xfId="0" applyBorder="1" applyAlignment="1">
      <alignment horizontal="center"/>
    </xf>
    <xf numFmtId="0" fontId="0" fillId="0" borderId="32" xfId="0" applyBorder="1" applyAlignment="1">
      <alignment horizontal="center"/>
    </xf>
    <xf numFmtId="0" fontId="0" fillId="0" borderId="43" xfId="0" applyBorder="1" applyAlignment="1">
      <alignment horizontal="center"/>
    </xf>
    <xf numFmtId="0" fontId="0" fillId="0" borderId="37"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65" xfId="0" applyBorder="1" applyAlignment="1">
      <alignment horizontal="center" vertical="center" wrapText="1"/>
    </xf>
    <xf numFmtId="0" fontId="0" fillId="0" borderId="29" xfId="0" applyBorder="1" applyAlignment="1">
      <alignment horizontal="center"/>
    </xf>
    <xf numFmtId="0" fontId="0" fillId="0" borderId="45" xfId="0" applyBorder="1" applyAlignment="1">
      <alignment horizontal="center"/>
    </xf>
    <xf numFmtId="0" fontId="0" fillId="0" borderId="42" xfId="0" applyBorder="1" applyAlignment="1">
      <alignment horizontal="center"/>
    </xf>
    <xf numFmtId="0" fontId="0" fillId="0" borderId="66" xfId="0" applyBorder="1" applyAlignment="1">
      <alignment horizontal="center"/>
    </xf>
    <xf numFmtId="16" fontId="2" fillId="0" borderId="38" xfId="0" quotePrefix="1" applyNumberFormat="1" applyFont="1" applyBorder="1" applyAlignment="1">
      <alignment horizontal="center" vertical="center" wrapText="1"/>
    </xf>
    <xf numFmtId="0" fontId="2" fillId="0" borderId="74" xfId="0" quotePrefix="1" applyFont="1" applyBorder="1" applyAlignment="1">
      <alignment horizontal="center" vertical="center" wrapText="1"/>
    </xf>
    <xf numFmtId="0" fontId="0" fillId="0" borderId="40" xfId="0" applyBorder="1" applyAlignment="1">
      <alignment horizontal="center" vertical="center" wrapText="1"/>
    </xf>
    <xf numFmtId="0" fontId="0" fillId="0" borderId="44" xfId="0" applyBorder="1" applyAlignment="1">
      <alignment horizontal="center" vertical="center"/>
    </xf>
    <xf numFmtId="0" fontId="2" fillId="0" borderId="0" xfId="0" applyFont="1" applyAlignment="1">
      <alignment horizontal="center"/>
    </xf>
    <xf numFmtId="0" fontId="0" fillId="0" borderId="37"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7" fillId="2" borderId="25" xfId="0" applyFont="1" applyFill="1" applyBorder="1" applyAlignment="1">
      <alignment horizontal="center"/>
    </xf>
    <xf numFmtId="0" fontId="5" fillId="3" borderId="1" xfId="0" applyFont="1" applyFill="1" applyBorder="1" applyAlignment="1">
      <alignment horizontal="left"/>
    </xf>
    <xf numFmtId="0" fontId="5" fillId="3" borderId="2" xfId="0" applyFont="1" applyFill="1" applyBorder="1" applyAlignment="1">
      <alignment horizontal="left"/>
    </xf>
    <xf numFmtId="0" fontId="5" fillId="3" borderId="9" xfId="0" applyFont="1" applyFill="1" applyBorder="1" applyAlignment="1">
      <alignment horizontal="left"/>
    </xf>
    <xf numFmtId="0" fontId="5" fillId="3" borderId="3" xfId="0" applyFont="1" applyFill="1" applyBorder="1" applyAlignment="1">
      <alignment horizontal="left" wrapText="1"/>
    </xf>
    <xf numFmtId="0" fontId="5" fillId="3" borderId="0" xfId="0" applyFont="1" applyFill="1" applyAlignment="1">
      <alignment horizontal="left" wrapText="1"/>
    </xf>
    <xf numFmtId="0" fontId="5" fillId="3" borderId="4" xfId="0" applyFont="1" applyFill="1" applyBorder="1" applyAlignment="1">
      <alignment horizontal="left" wrapText="1"/>
    </xf>
    <xf numFmtId="0" fontId="6" fillId="2" borderId="0" xfId="0" applyFont="1" applyFill="1" applyAlignment="1">
      <alignment horizontal="left"/>
    </xf>
    <xf numFmtId="0" fontId="6" fillId="2" borderId="0" xfId="0" applyFont="1" applyFill="1" applyAlignment="1">
      <alignment horizontal="left" vertical="top" wrapText="1"/>
    </xf>
    <xf numFmtId="0" fontId="2" fillId="2" borderId="0" xfId="0" applyFont="1" applyFill="1" applyAlignment="1" applyProtection="1">
      <alignment horizontal="left"/>
      <protection locked="0"/>
    </xf>
    <xf numFmtId="0" fontId="6" fillId="0" borderId="38" xfId="0" applyFont="1" applyBorder="1" applyAlignment="1">
      <alignment horizontal="center" vertical="top"/>
    </xf>
    <xf numFmtId="0" fontId="6" fillId="0" borderId="39" xfId="0" applyFont="1" applyBorder="1" applyAlignment="1">
      <alignment horizontal="center" vertical="top"/>
    </xf>
    <xf numFmtId="0" fontId="6" fillId="0" borderId="28" xfId="0" applyFont="1" applyBorder="1" applyAlignment="1">
      <alignment horizontal="center" vertical="top"/>
    </xf>
    <xf numFmtId="0" fontId="5" fillId="5" borderId="0" xfId="0" applyFont="1" applyFill="1" applyAlignment="1" applyProtection="1">
      <alignment horizontal="center"/>
      <protection locked="0"/>
    </xf>
    <xf numFmtId="0" fontId="5" fillId="5" borderId="25" xfId="0" applyFont="1" applyFill="1" applyBorder="1" applyAlignment="1" applyProtection="1">
      <alignment horizontal="center"/>
      <protection locked="0"/>
    </xf>
    <xf numFmtId="0" fontId="5" fillId="5" borderId="40" xfId="0" applyFont="1" applyFill="1" applyBorder="1" applyAlignment="1" applyProtection="1">
      <alignment horizontal="center" vertical="center"/>
      <protection locked="0"/>
    </xf>
    <xf numFmtId="0" fontId="5" fillId="5" borderId="20" xfId="0" applyFont="1" applyFill="1" applyBorder="1" applyAlignment="1" applyProtection="1">
      <alignment horizontal="center" vertical="center"/>
      <protection locked="0"/>
    </xf>
    <xf numFmtId="0" fontId="5" fillId="5" borderId="41" xfId="0" applyFont="1" applyFill="1" applyBorder="1" applyAlignment="1" applyProtection="1">
      <alignment horizontal="center" vertical="center"/>
      <protection locked="0"/>
    </xf>
    <xf numFmtId="0" fontId="5" fillId="5" borderId="3" xfId="0" applyFont="1" applyFill="1" applyBorder="1" applyAlignment="1" applyProtection="1">
      <alignment horizontal="center" vertical="center"/>
      <protection locked="0"/>
    </xf>
    <xf numFmtId="0" fontId="5" fillId="5" borderId="0" xfId="0" applyFont="1" applyFill="1" applyAlignment="1" applyProtection="1">
      <alignment horizontal="center" vertical="center"/>
      <protection locked="0"/>
    </xf>
    <xf numFmtId="0" fontId="5" fillId="5" borderId="4" xfId="0" applyFont="1" applyFill="1" applyBorder="1" applyAlignment="1" applyProtection="1">
      <alignment horizontal="center" vertical="center"/>
      <protection locked="0"/>
    </xf>
    <xf numFmtId="0" fontId="5" fillId="5" borderId="5" xfId="0" applyFont="1" applyFill="1" applyBorder="1" applyAlignment="1" applyProtection="1">
      <alignment horizontal="center" vertical="center"/>
      <protection locked="0"/>
    </xf>
    <xf numFmtId="0" fontId="5" fillId="5" borderId="6" xfId="0" applyFont="1" applyFill="1" applyBorder="1" applyAlignment="1" applyProtection="1">
      <alignment horizontal="center" vertical="center"/>
      <protection locked="0"/>
    </xf>
    <xf numFmtId="0" fontId="5" fillId="5" borderId="7" xfId="0" applyFont="1" applyFill="1" applyBorder="1" applyAlignment="1" applyProtection="1">
      <alignment horizontal="center" vertical="center"/>
      <protection locked="0"/>
    </xf>
    <xf numFmtId="14" fontId="5" fillId="5" borderId="0" xfId="0" applyNumberFormat="1" applyFont="1" applyFill="1" applyAlignment="1" applyProtection="1">
      <alignment horizontal="center"/>
      <protection locked="0"/>
    </xf>
    <xf numFmtId="0" fontId="3" fillId="10" borderId="33" xfId="0" applyFont="1" applyFill="1" applyBorder="1" applyAlignment="1">
      <alignment horizontal="center" vertical="center"/>
    </xf>
    <xf numFmtId="0" fontId="3" fillId="10" borderId="35" xfId="0" applyFont="1" applyFill="1" applyBorder="1" applyAlignment="1">
      <alignment horizontal="center" vertical="center"/>
    </xf>
    <xf numFmtId="0" fontId="0" fillId="0" borderId="51" xfId="0" applyBorder="1" applyAlignment="1">
      <alignment horizontal="center" vertical="center"/>
    </xf>
    <xf numFmtId="0" fontId="0" fillId="0" borderId="66" xfId="0" applyBorder="1" applyAlignment="1">
      <alignment horizontal="center" vertical="center"/>
    </xf>
    <xf numFmtId="0" fontId="0" fillId="0" borderId="7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0" xfId="0" applyAlignment="1">
      <alignment horizontal="center" wrapText="1"/>
    </xf>
    <xf numFmtId="0" fontId="2" fillId="0" borderId="38" xfId="0" quotePrefix="1" applyFont="1" applyBorder="1" applyAlignment="1">
      <alignment horizontal="center" vertical="center" wrapText="1"/>
    </xf>
    <xf numFmtId="0" fontId="3" fillId="0" borderId="37" xfId="0" applyFont="1" applyBorder="1" applyAlignment="1">
      <alignment horizontal="left"/>
    </xf>
    <xf numFmtId="0" fontId="3" fillId="0" borderId="43" xfId="0" applyFont="1" applyBorder="1" applyAlignment="1">
      <alignment horizontal="left"/>
    </xf>
    <xf numFmtId="0" fontId="21" fillId="0" borderId="30" xfId="0" applyFont="1" applyBorder="1" applyAlignment="1">
      <alignment horizontal="left"/>
    </xf>
    <xf numFmtId="0" fontId="21" fillId="0" borderId="14" xfId="0" applyFont="1" applyBorder="1" applyAlignment="1">
      <alignment horizontal="left"/>
    </xf>
    <xf numFmtId="0" fontId="3" fillId="0" borderId="31" xfId="0" applyFont="1" applyBorder="1" applyAlignment="1">
      <alignment horizontal="left"/>
    </xf>
    <xf numFmtId="0" fontId="3" fillId="0" borderId="32" xfId="0" applyFont="1" applyBorder="1" applyAlignment="1">
      <alignment horizontal="left"/>
    </xf>
    <xf numFmtId="0" fontId="40" fillId="43" borderId="0" xfId="0" applyFont="1" applyFill="1"/>
    <xf numFmtId="0" fontId="46" fillId="0" borderId="0" xfId="0" applyFont="1"/>
    <xf numFmtId="49" fontId="2" fillId="4" borderId="14" xfId="0" applyNumberFormat="1" applyFont="1" applyFill="1" applyBorder="1" applyAlignment="1" applyProtection="1">
      <alignment horizontal="center"/>
      <protection locked="0"/>
    </xf>
    <xf numFmtId="0" fontId="43" fillId="0" borderId="0" xfId="0" applyFont="1" applyAlignment="1">
      <alignment horizontal="left" vertical="top"/>
    </xf>
  </cellXfs>
  <cellStyles count="59">
    <cellStyle name="20 % - Dekorfärg5" xfId="5" builtinId="46" customBuiltin="1"/>
    <cellStyle name="20 % - Dekorfärg6" xfId="7" builtinId="50" customBuiltin="1"/>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6" xr:uid="{00000000-0005-0000-0000-000005000000}"/>
    <cellStyle name="20% - Accent6 2" xfId="8" xr:uid="{00000000-0005-0000-0000-000007000000}"/>
    <cellStyle name="40 % - Dekorfärg1" xfId="9" builtinId="31" customBuiltin="1"/>
    <cellStyle name="40 % - Dekorfärg2" xfId="11" builtinId="35" customBuiltin="1"/>
    <cellStyle name="40 % - Dekorfärg4" xfId="14" builtinId="43" customBuiltin="1"/>
    <cellStyle name="40 % - Dekorfärg5" xfId="16" builtinId="47" customBuiltin="1"/>
    <cellStyle name="40 % - Dekorfärg6" xfId="18" builtinId="51" customBuiltin="1"/>
    <cellStyle name="40% - Accent1 2" xfId="10" xr:uid="{00000000-0005-0000-0000-000009000000}"/>
    <cellStyle name="40% - Accent2 2" xfId="12" xr:uid="{00000000-0005-0000-0000-00000B000000}"/>
    <cellStyle name="40% - Accent3 2" xfId="13" xr:uid="{00000000-0005-0000-0000-00000C000000}"/>
    <cellStyle name="40% - Accent4 2" xfId="15" xr:uid="{00000000-0005-0000-0000-00000E000000}"/>
    <cellStyle name="40% - Accent5 2" xfId="17" xr:uid="{00000000-0005-0000-0000-000010000000}"/>
    <cellStyle name="40% - Accent6 2" xfId="19" xr:uid="{00000000-0005-0000-0000-000012000000}"/>
    <cellStyle name="60% - Accent1 2" xfId="20" xr:uid="{00000000-0005-0000-0000-000013000000}"/>
    <cellStyle name="60% - Accent2 2" xfId="21" xr:uid="{00000000-0005-0000-0000-000014000000}"/>
    <cellStyle name="60% - Accent3 2" xfId="22" xr:uid="{00000000-0005-0000-0000-000015000000}"/>
    <cellStyle name="60% - Accent4 2" xfId="23" xr:uid="{00000000-0005-0000-0000-000016000000}"/>
    <cellStyle name="60% - Accent5 2" xfId="24" xr:uid="{00000000-0005-0000-0000-000017000000}"/>
    <cellStyle name="60% - Accent6 2" xfId="25" xr:uid="{00000000-0005-0000-0000-000018000000}"/>
    <cellStyle name="Beräkning" xfId="33" builtinId="22" customBuiltin="1"/>
    <cellStyle name="Bra" xfId="36" builtinId="26" customBuiltin="1"/>
    <cellStyle name="Dekorfärg1" xfId="26" builtinId="29" customBuiltin="1"/>
    <cellStyle name="Dekorfärg2" xfId="27" builtinId="33" customBuiltin="1"/>
    <cellStyle name="Dekorfärg3" xfId="28" builtinId="37" customBuiltin="1"/>
    <cellStyle name="Dekorfärg4" xfId="29" builtinId="41" customBuiltin="1"/>
    <cellStyle name="Dekorfärg5" xfId="30" builtinId="45" customBuiltin="1"/>
    <cellStyle name="Dekorfärg6" xfId="31" builtinId="49" customBuiltin="1"/>
    <cellStyle name="Dålig" xfId="32" builtinId="27" customBuiltin="1"/>
    <cellStyle name="Förklarande text" xfId="35" builtinId="53" customBuiltin="1"/>
    <cellStyle name="Indata" xfId="41" builtinId="20" customBuiltin="1"/>
    <cellStyle name="Kontrollcell" xfId="34" builtinId="23" customBuiltin="1"/>
    <cellStyle name="Länkad cell" xfId="42" builtinId="24" customBuiltin="1"/>
    <cellStyle name="Neutral 2" xfId="43" xr:uid="{00000000-0005-0000-0000-00002A000000}"/>
    <cellStyle name="Normal" xfId="0" builtinId="0"/>
    <cellStyle name="Normal 2" xfId="44" xr:uid="{00000000-0005-0000-0000-00002C000000}"/>
    <cellStyle name="Normal 2 2" xfId="45" xr:uid="{00000000-0005-0000-0000-00002D000000}"/>
    <cellStyle name="Normal 3" xfId="46" xr:uid="{00000000-0005-0000-0000-00002E000000}"/>
    <cellStyle name="Normal 4" xfId="47" xr:uid="{00000000-0005-0000-0000-00002F000000}"/>
    <cellStyle name="Normal 4 2" xfId="48" xr:uid="{00000000-0005-0000-0000-000030000000}"/>
    <cellStyle name="Normal 5" xfId="49" xr:uid="{00000000-0005-0000-0000-000031000000}"/>
    <cellStyle name="Note 2" xfId="50" xr:uid="{00000000-0005-0000-0000-000032000000}"/>
    <cellStyle name="Note 2 2" xfId="51" xr:uid="{00000000-0005-0000-0000-000033000000}"/>
    <cellStyle name="Percent 2" xfId="53" xr:uid="{00000000-0005-0000-0000-000035000000}"/>
    <cellStyle name="Percent 3" xfId="54" xr:uid="{00000000-0005-0000-0000-000036000000}"/>
    <cellStyle name="Percent 3 2" xfId="55" xr:uid="{00000000-0005-0000-0000-000037000000}"/>
    <cellStyle name="Rubrik 1" xfId="37" builtinId="16" customBuiltin="1"/>
    <cellStyle name="Rubrik 2" xfId="38" builtinId="17" customBuiltin="1"/>
    <cellStyle name="Rubrik 3" xfId="39" builtinId="18" customBuiltin="1"/>
    <cellStyle name="Rubrik 4" xfId="40" builtinId="19" customBuiltin="1"/>
    <cellStyle name="Summa" xfId="57" builtinId="25" customBuiltin="1"/>
    <cellStyle name="Title 2" xfId="56" xr:uid="{00000000-0005-0000-0000-000038000000}"/>
    <cellStyle name="Utdata" xfId="52" builtinId="21" customBuiltin="1"/>
    <cellStyle name="Varningstext" xfId="58" builtinId="11" customBuiltin="1"/>
  </cellStyles>
  <dxfs count="753">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numFmt numFmtId="0" formatCode="General"/>
      <fill>
        <patternFill patternType="solid">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b/>
        <i val="0"/>
        <color indexed="1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numFmt numFmtId="0" formatCode="General"/>
      <fill>
        <patternFill patternType="solid">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mruColors>
      <color rgb="FFFFC7CE"/>
      <color rgb="FFCCFFCC"/>
      <color rgb="FFCC0000"/>
      <color rgb="FFFFEB9C"/>
      <color rgb="FF9C6500"/>
      <color rgb="FFFFFF99"/>
      <color rgb="FFCCFFFF"/>
      <color rgb="FF19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Product QC Testing Chart</a:t>
            </a:r>
          </a:p>
        </c:rich>
      </c:tx>
      <c:layout>
        <c:manualLayout>
          <c:xMode val="edge"/>
          <c:yMode val="edge"/>
          <c:x val="0.26573422663045948"/>
          <c:y val="2.9106029106029108E-2"/>
        </c:manualLayout>
      </c:layout>
      <c:overlay val="0"/>
      <c:spPr>
        <a:noFill/>
        <a:ln w="25400">
          <a:noFill/>
        </a:ln>
      </c:spPr>
    </c:title>
    <c:autoTitleDeleted val="0"/>
    <c:plotArea>
      <c:layout>
        <c:manualLayout>
          <c:layoutTarget val="inner"/>
          <c:xMode val="edge"/>
          <c:yMode val="edge"/>
          <c:x val="0.13706303066476636"/>
          <c:y val="9.9792201094928673E-2"/>
          <c:w val="0.83916141223326335"/>
          <c:h val="0.76299453753830881"/>
        </c:manualLayout>
      </c:layout>
      <c:lineChart>
        <c:grouping val="standard"/>
        <c:varyColors val="0"/>
        <c:ser>
          <c:idx val="0"/>
          <c:order val="0"/>
          <c:tx>
            <c:strRef>
              <c:f>'Statistical Process Control'!$K$46</c:f>
              <c:strCache>
                <c:ptCount val="1"/>
                <c:pt idx="0">
                  <c:v>Total Percent</c:v>
                </c:pt>
              </c:strCache>
            </c:strRef>
          </c:tx>
          <c:spPr>
            <a:ln w="12700">
              <a:solidFill>
                <a:srgbClr val="0000FF"/>
              </a:solidFill>
              <a:prstDash val="solid"/>
            </a:ln>
          </c:spPr>
          <c:marker>
            <c:symbol val="diamond"/>
            <c:size val="5"/>
            <c:spPr>
              <a:solidFill>
                <a:srgbClr val="0000FF"/>
              </a:solidFill>
              <a:ln>
                <a:solidFill>
                  <a:srgbClr val="0000FF"/>
                </a:solidFill>
                <a:prstDash val="solid"/>
              </a:ln>
            </c:spPr>
          </c:marker>
          <c:cat>
            <c:numRef>
              <c:f>'Statistical Process Control'!$H$47:$H$70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'Statistical Process Control'!$K$47:$K$70</c:f>
              <c:numCache>
                <c:formatCode>0.00%</c:formatCode>
                <c:ptCount val="24"/>
                <c:pt idx="0">
                  <c:v>0</c:v>
                </c:pt>
                <c:pt idx="1">
                  <c:v>0</c:v>
                </c:pt>
                <c:pt idx="2">
                  <c:v>1.6666666666666666E-2</c:v>
                </c:pt>
                <c:pt idx="3">
                  <c:v>1.2500000000000001E-2</c:v>
                </c:pt>
                <c:pt idx="4">
                  <c:v>0.01</c:v>
                </c:pt>
                <c:pt idx="5">
                  <c:v>1.6666666666666666E-2</c:v>
                </c:pt>
                <c:pt idx="6">
                  <c:v>1.4285714285714285E-2</c:v>
                </c:pt>
                <c:pt idx="7">
                  <c:v>1.2500000000000001E-2</c:v>
                </c:pt>
                <c:pt idx="8">
                  <c:v>1.1111111111111112E-2</c:v>
                </c:pt>
                <c:pt idx="9">
                  <c:v>0.01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7D61-432A-AEEA-64F020D49892}"/>
            </c:ext>
          </c:extLst>
        </c:ser>
        <c:ser>
          <c:idx val="1"/>
          <c:order val="1"/>
          <c:tx>
            <c:strRef>
              <c:f>'Statistical Process Control'!$L$46</c:f>
              <c:strCache>
                <c:ptCount val="1"/>
                <c:pt idx="0">
                  <c:v>CL</c:v>
                </c:pt>
              </c:strCache>
            </c:strRef>
          </c:tx>
          <c:spPr>
            <a:ln w="38100">
              <a:solidFill>
                <a:srgbClr val="FF0000"/>
              </a:solidFill>
              <a:prstDash val="solid"/>
            </a:ln>
          </c:spPr>
          <c:marker>
            <c:symbol val="none"/>
          </c:marker>
          <c:cat>
            <c:numRef>
              <c:f>'Statistical Process Control'!$H$47:$H$70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'Statistical Process Control'!$L$47:$L$70</c:f>
              <c:numCache>
                <c:formatCode>General</c:formatCode>
                <c:ptCount val="24"/>
                <c:pt idx="0">
                  <c:v>0.14862790937658446</c:v>
                </c:pt>
                <c:pt idx="1">
                  <c:v>9.0057962325347005E-2</c:v>
                </c:pt>
                <c:pt idx="2">
                  <c:v>6.9410823142639175E-2</c:v>
                </c:pt>
                <c:pt idx="3">
                  <c:v>5.8821631097975884E-2</c:v>
                </c:pt>
                <c:pt idx="4">
                  <c:v>5.2345290180388124E-2</c:v>
                </c:pt>
                <c:pt idx="5">
                  <c:v>4.9449305557185144E-2</c:v>
                </c:pt>
                <c:pt idx="6">
                  <c:v>4.5946665708491694E-2</c:v>
                </c:pt>
                <c:pt idx="7">
                  <c:v>4.3305320007228448E-2</c:v>
                </c:pt>
                <c:pt idx="8">
                  <c:v>4.1237407233679253E-2</c:v>
                </c:pt>
                <c:pt idx="9">
                  <c:v>3.9569892809598967E-2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7D61-432A-AEEA-64F020D49892}"/>
            </c:ext>
          </c:extLst>
        </c:ser>
        <c:dLbls>
          <c:showLegendKey val="0"/>
          <c:showVal val="0"/>
          <c:showCatName val="0"/>
          <c:showSerName val="0"/>
          <c:showPercent val="0"/>
          <c:showBubbleSize val="0"/>
        </c:dLbls>
        <c:marker val="1"/>
        <c:smooth val="0"/>
        <c:axId val="291129344"/>
        <c:axId val="51795584"/>
      </c:lineChart>
      <c:catAx>
        <c:axId val="291129344"/>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Sample Point</a:t>
                </a:r>
              </a:p>
            </c:rich>
          </c:tx>
          <c:layout>
            <c:manualLayout>
              <c:xMode val="edge"/>
              <c:yMode val="edge"/>
              <c:x val="0.47692336726883838"/>
              <c:y val="0.9272358003066664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sv-SE"/>
          </a:p>
        </c:txPr>
        <c:crossAx val="51795584"/>
        <c:crosses val="autoZero"/>
        <c:auto val="1"/>
        <c:lblAlgn val="ctr"/>
        <c:lblOffset val="100"/>
        <c:tickLblSkip val="1"/>
        <c:tickMarkSkip val="1"/>
        <c:noMultiLvlLbl val="0"/>
      </c:catAx>
      <c:valAx>
        <c:axId val="51795584"/>
        <c:scaling>
          <c:orientation val="minMax"/>
          <c:max val="0.15"/>
          <c:min val="0"/>
        </c:scaling>
        <c:delete val="0"/>
        <c:axPos val="l"/>
        <c:majorGridlines>
          <c:spPr>
            <a:ln w="3175">
              <a:solidFill>
                <a:srgbClr val="000000"/>
              </a:solidFill>
              <a:prstDash val="solid"/>
            </a:ln>
          </c:spPr>
        </c:majorGridlines>
        <c:title>
          <c:tx>
            <c:rich>
              <a:bodyPr/>
              <a:lstStyle/>
              <a:p>
                <a:pPr>
                  <a:defRPr sz="1175" b="1" i="0" u="none" strike="noStrike" baseline="0">
                    <a:solidFill>
                      <a:srgbClr val="000000"/>
                    </a:solidFill>
                    <a:latin typeface="Arial"/>
                    <a:ea typeface="Arial"/>
                    <a:cs typeface="Arial"/>
                  </a:defRPr>
                </a:pPr>
                <a:r>
                  <a:rPr lang="en-US"/>
                  <a:t>Accumulative Percent Defective</a:t>
                </a:r>
              </a:p>
            </c:rich>
          </c:tx>
          <c:layout>
            <c:manualLayout>
              <c:xMode val="edge"/>
              <c:yMode val="edge"/>
              <c:x val="1.8181881725503352E-2"/>
              <c:y val="0.2286904469581634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sv-SE"/>
          </a:p>
        </c:txPr>
        <c:crossAx val="291129344"/>
        <c:crosses val="autoZero"/>
        <c:crossBetween val="between"/>
        <c:majorUnit val="0.01"/>
        <c:minorUnit val="0.01"/>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sv-SE"/>
    </a:p>
  </c:txPr>
  <c:printSettings>
    <c:headerFooter alignWithMargins="0"/>
    <c:pageMargins b="1" l="0.75" r="0.7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104775</xdr:colOff>
      <xdr:row>8</xdr:row>
      <xdr:rowOff>1209675</xdr:rowOff>
    </xdr:from>
    <xdr:to>
      <xdr:col>2</xdr:col>
      <xdr:colOff>723900</xdr:colOff>
      <xdr:row>8</xdr:row>
      <xdr:rowOff>1533525</xdr:rowOff>
    </xdr:to>
    <xdr:sp macro="" textlink="">
      <xdr:nvSpPr>
        <xdr:cNvPr id="2" name="Oval 1">
          <a:extLst>
            <a:ext uri="{FF2B5EF4-FFF2-40B4-BE49-F238E27FC236}">
              <a16:creationId xmlns:a16="http://schemas.microsoft.com/office/drawing/2014/main" id="{6C78D7B7-6541-D659-DB66-3EF548D53C7E}"/>
            </a:ext>
          </a:extLst>
        </xdr:cNvPr>
        <xdr:cNvSpPr/>
      </xdr:nvSpPr>
      <xdr:spPr>
        <a:xfrm>
          <a:off x="2181225" y="3333750"/>
          <a:ext cx="619125" cy="3238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1171575</xdr:colOff>
      <xdr:row>8</xdr:row>
      <xdr:rowOff>885825</xdr:rowOff>
    </xdr:from>
    <xdr:to>
      <xdr:col>4</xdr:col>
      <xdr:colOff>1790700</xdr:colOff>
      <xdr:row>8</xdr:row>
      <xdr:rowOff>1209675</xdr:rowOff>
    </xdr:to>
    <xdr:sp macro="" textlink="">
      <xdr:nvSpPr>
        <xdr:cNvPr id="3" name="Oval 2">
          <a:extLst>
            <a:ext uri="{FF2B5EF4-FFF2-40B4-BE49-F238E27FC236}">
              <a16:creationId xmlns:a16="http://schemas.microsoft.com/office/drawing/2014/main" id="{D16C522A-E596-427A-BE51-F843B7A83A13}"/>
            </a:ext>
          </a:extLst>
        </xdr:cNvPr>
        <xdr:cNvSpPr/>
      </xdr:nvSpPr>
      <xdr:spPr>
        <a:xfrm>
          <a:off x="5172075" y="3009900"/>
          <a:ext cx="619125" cy="3238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438150</xdr:colOff>
      <xdr:row>8</xdr:row>
      <xdr:rowOff>1285875</xdr:rowOff>
    </xdr:from>
    <xdr:to>
      <xdr:col>7</xdr:col>
      <xdr:colOff>1057275</xdr:colOff>
      <xdr:row>8</xdr:row>
      <xdr:rowOff>1609725</xdr:rowOff>
    </xdr:to>
    <xdr:sp macro="" textlink="">
      <xdr:nvSpPr>
        <xdr:cNvPr id="4" name="Oval 3">
          <a:extLst>
            <a:ext uri="{FF2B5EF4-FFF2-40B4-BE49-F238E27FC236}">
              <a16:creationId xmlns:a16="http://schemas.microsoft.com/office/drawing/2014/main" id="{87602E80-883D-4430-B5C9-D5AE27CEDAD2}"/>
            </a:ext>
          </a:extLst>
        </xdr:cNvPr>
        <xdr:cNvSpPr/>
      </xdr:nvSpPr>
      <xdr:spPr>
        <a:xfrm>
          <a:off x="8086725" y="3409950"/>
          <a:ext cx="619125" cy="3238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742950</xdr:colOff>
      <xdr:row>11</xdr:row>
      <xdr:rowOff>1219200</xdr:rowOff>
    </xdr:from>
    <xdr:to>
      <xdr:col>4</xdr:col>
      <xdr:colOff>1362075</xdr:colOff>
      <xdr:row>11</xdr:row>
      <xdr:rowOff>1543050</xdr:rowOff>
    </xdr:to>
    <xdr:sp macro="" textlink="">
      <xdr:nvSpPr>
        <xdr:cNvPr id="5" name="Oval 4">
          <a:extLst>
            <a:ext uri="{FF2B5EF4-FFF2-40B4-BE49-F238E27FC236}">
              <a16:creationId xmlns:a16="http://schemas.microsoft.com/office/drawing/2014/main" id="{D635514C-72A6-4F0C-83F8-3367977D5A6C}"/>
            </a:ext>
          </a:extLst>
        </xdr:cNvPr>
        <xdr:cNvSpPr/>
      </xdr:nvSpPr>
      <xdr:spPr>
        <a:xfrm>
          <a:off x="4743450" y="6096000"/>
          <a:ext cx="619125" cy="3238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213360</xdr:colOff>
      <xdr:row>6</xdr:row>
      <xdr:rowOff>91440</xdr:rowOff>
    </xdr:from>
    <xdr:to>
      <xdr:col>12</xdr:col>
      <xdr:colOff>266700</xdr:colOff>
      <xdr:row>34</xdr:row>
      <xdr:rowOff>99060</xdr:rowOff>
    </xdr:to>
    <xdr:graphicFrame macro="">
      <xdr:nvGraphicFramePr>
        <xdr:cNvPr id="2" name="Chart 8">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0.38576</cdr:x>
      <cdr:y>0.16815</cdr:y>
    </cdr:from>
    <cdr:to>
      <cdr:x>0.80171</cdr:x>
      <cdr:y>0.36667</cdr:y>
    </cdr:to>
    <cdr:sp macro="" textlink="">
      <cdr:nvSpPr>
        <cdr:cNvPr id="3073" name="Text Box 1"/>
        <cdr:cNvSpPr txBox="1">
          <a:spLocks xmlns:a="http://schemas.openxmlformats.org/drawingml/2006/main" noChangeArrowheads="1"/>
        </cdr:cNvSpPr>
      </cdr:nvSpPr>
      <cdr:spPr bwMode="auto">
        <a:xfrm xmlns:a="http://schemas.openxmlformats.org/drawingml/2006/main">
          <a:off x="2083325" y="828573"/>
          <a:ext cx="3306847" cy="894665"/>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w="9525">
          <a:solidFill>
            <a:srgbClr xmlns:mc="http://schemas.openxmlformats.org/markup-compatibility/2006" xmlns:a14="http://schemas.microsoft.com/office/drawing/2010/main" val="000000" mc:Ignorable="a14" a14:legacySpreadsheetColorIndex="64"/>
          </a:solidFill>
          <a:miter lim="800000"/>
          <a:headEnd/>
          <a:tailEnd/>
        </a:ln>
      </cdr:spPr>
      <cdr:txBody>
        <a:bodyPr xmlns:a="http://schemas.openxmlformats.org/drawingml/2006/main" vertOverflow="clip" wrap="square" lIns="45720" tIns="36576" rIns="45720" bIns="0" anchor="t" upright="1"/>
        <a:lstStyle xmlns:a="http://schemas.openxmlformats.org/drawingml/2006/main"/>
        <a:p xmlns:a="http://schemas.openxmlformats.org/drawingml/2006/main">
          <a:pPr algn="ctr" rtl="0">
            <a:defRPr sz="1000"/>
          </a:pPr>
          <a:r>
            <a:rPr lang="en-US" sz="1775" b="0" i="0" u="sng" strike="noStrike" baseline="0">
              <a:solidFill>
                <a:srgbClr val="0000FF"/>
              </a:solidFill>
              <a:latin typeface="Arial"/>
              <a:cs typeface="Arial"/>
            </a:rPr>
            <a:t>Blue Data Line</a:t>
          </a:r>
          <a:r>
            <a:rPr lang="en-US" sz="1775" b="0" i="0" u="none" strike="noStrike" baseline="0">
              <a:solidFill>
                <a:srgbClr val="000000"/>
              </a:solidFill>
              <a:latin typeface="Arial"/>
              <a:cs typeface="Arial"/>
            </a:rPr>
            <a:t> </a:t>
          </a:r>
        </a:p>
        <a:p xmlns:a="http://schemas.openxmlformats.org/drawingml/2006/main">
          <a:pPr algn="ctr" rtl="0">
            <a:defRPr sz="1000"/>
          </a:pPr>
          <a:r>
            <a:rPr lang="en-US" sz="1775" b="0" i="0" u="none" strike="noStrike" baseline="0">
              <a:solidFill>
                <a:srgbClr val="000000"/>
              </a:solidFill>
              <a:latin typeface="Arial"/>
              <a:cs typeface="Arial"/>
            </a:rPr>
            <a:t>should stay below the </a:t>
          </a:r>
        </a:p>
        <a:p xmlns:a="http://schemas.openxmlformats.org/drawingml/2006/main">
          <a:pPr algn="ctr" rtl="0">
            <a:defRPr sz="1000"/>
          </a:pPr>
          <a:r>
            <a:rPr lang="en-US" sz="1775" b="0" i="0" u="sng" strike="noStrike" baseline="0">
              <a:solidFill>
                <a:srgbClr val="FF0000"/>
              </a:solidFill>
              <a:latin typeface="Arial"/>
              <a:cs typeface="Arial"/>
            </a:rPr>
            <a:t>Red Control Line</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cepheid.pri/cphd_us/Users/atran/AppData/Local/Temp/D16895%20Attachment%201%20ROBAL%20Product%20Testing%20Worksheet-MRS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epheid.pri/cphd_us/Users/atran/AppData/Local/Temp/D25862%20Attachment%201%20MTB%20Ultra%20V2%20ROBAL%20Product%20Testing%20Worksheet-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epheid.pri/cphd_us/Users/boddy/AppData/Local/Temp/D13152%20Lot%20Performance%20and%20Acceptance%20Criteria%20Summary%20Sheet%20Rev%20W-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epheid.pri/cphd_us/Users/treed/AppData/Local/Temp/D13152%20Lot%20Performance%20and%20Acceptance%20Criteria%20Summary%20Sheet%20Rev%20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jesperfredriksson/Desktop/M:\Product%20Transfer\Shared\NPI\00_NPI%20General\10_QC-IPT%20consolidation\MTB%20RIF%20ULTRA%20V2\IPT\Copy%20of%20Copy%20of%20D25862_ATTR%20101010%20attachment%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nded Use"/>
      <sheetName val="Cartridge Data"/>
      <sheetName val="Additional data"/>
      <sheetName val="Results Summary"/>
      <sheetName val="Test Material"/>
      <sheetName val="Equipment"/>
      <sheetName val="Data - First 10"/>
      <sheetName val="Data - Sample Type 0"/>
      <sheetName val="Data - Sample Type 1"/>
      <sheetName val="Data - Replaced"/>
      <sheetName val="Specifications"/>
      <sheetName val="Statistical Process Control"/>
      <sheetName val="HistoricalAccuStats"/>
      <sheetName val="Sheet1"/>
    </sheetNames>
    <sheetDataSet>
      <sheetData sheetId="0"/>
      <sheetData sheetId="1"/>
      <sheetData sheetId="2"/>
      <sheetData sheetId="3"/>
      <sheetData sheetId="4"/>
      <sheetData sheetId="5"/>
      <sheetData sheetId="6"/>
      <sheetData sheetId="7"/>
      <sheetData sheetId="8"/>
      <sheetData sheetId="9"/>
      <sheetData sheetId="10">
        <row r="11">
          <cell r="A11" t="str">
            <v>GXMRSA100N10</v>
          </cell>
        </row>
        <row r="12">
          <cell r="A12" t="str">
            <v>GXMRSA120</v>
          </cell>
        </row>
        <row r="13">
          <cell r="A13" t="str">
            <v>GXMRSACE120</v>
          </cell>
        </row>
      </sheetData>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nded Use"/>
      <sheetName val="Cartridge Data"/>
      <sheetName val="Vacuum Seal Data"/>
      <sheetName val="Mean Ct Evaluation"/>
      <sheetName val="Additional data"/>
      <sheetName val="Results Summary"/>
      <sheetName val="Test Material"/>
      <sheetName val="Equipment"/>
      <sheetName val="Data - First 10"/>
      <sheetName val="Data - Sample Type 0"/>
      <sheetName val="Data - Sample Type 1"/>
      <sheetName val="Data - Replaced"/>
      <sheetName val="Specifications"/>
      <sheetName val="Statistical Process Control"/>
      <sheetName val="HistoricalAccuSta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1">
          <cell r="A11" t="str">
            <v>GXMTBRIFULTRA10</v>
          </cell>
        </row>
        <row r="12">
          <cell r="A12" t="str">
            <v>GXMTBRIFULTRA50</v>
          </cell>
        </row>
        <row r="13">
          <cell r="A13" t="str">
            <v>PN9000779</v>
          </cell>
        </row>
      </sheetData>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 DO NOT PRINT"/>
      <sheetName val="Single Minor Failure Mode"/>
      <sheetName val="IP Testing Results"/>
      <sheetName val="QC Testing Results"/>
      <sheetName val="IP Results_EV_ONLY"/>
      <sheetName val="QC Results_EV_ONLY"/>
      <sheetName val="IP Results_FIIFV_ONLY"/>
      <sheetName val="QC Results_FIiFV ONLY"/>
      <sheetName val="IP Result_CTNG_CT_Flu_HIVQual"/>
      <sheetName val="QC Result_CTNG_CT_Flu_HIVQual"/>
      <sheetName val="HPV ONLY_IP Results"/>
      <sheetName val="HPV ONLY_QC Results"/>
    </sheetNames>
    <sheetDataSet>
      <sheetData sheetId="0">
        <row r="3">
          <cell r="B3" t="str">
            <v xml:space="preserve">Pass </v>
          </cell>
        </row>
        <row r="4">
          <cell r="B4" t="str">
            <v>Fail</v>
          </cell>
        </row>
        <row r="11">
          <cell r="B11" t="str">
            <v>N/A</v>
          </cell>
        </row>
        <row r="12">
          <cell r="B12" t="str">
            <v>Yes</v>
          </cell>
        </row>
        <row r="13">
          <cell r="B13" t="str">
            <v>No</v>
          </cell>
        </row>
        <row r="17">
          <cell r="B17" t="str">
            <v>Yes</v>
          </cell>
        </row>
        <row r="18">
          <cell r="B18" t="str">
            <v>No</v>
          </cell>
        </row>
        <row r="19">
          <cell r="B19" t="str">
            <v>Resampling Required</v>
          </cell>
        </row>
        <row r="28">
          <cell r="B28" t="str">
            <v>X</v>
          </cell>
        </row>
        <row r="29">
          <cell r="B29" t="str">
            <v>N/A</v>
          </cell>
        </row>
        <row r="33">
          <cell r="B33" t="str">
            <v>________LFI-____________</v>
          </cell>
        </row>
        <row r="34">
          <cell r="B34" t="str">
            <v>N/A</v>
          </cell>
        </row>
        <row r="37">
          <cell r="B37" t="str">
            <v>PASS</v>
          </cell>
        </row>
        <row r="38">
          <cell r="B38" t="str">
            <v>Resample</v>
          </cell>
        </row>
        <row r="39">
          <cell r="B39" t="str">
            <v>FAIL</v>
          </cell>
        </row>
        <row r="42">
          <cell r="B42" t="str">
            <v>Pass</v>
          </cell>
        </row>
        <row r="43">
          <cell r="B43" t="str">
            <v>More Analysis</v>
          </cell>
        </row>
        <row r="46">
          <cell r="B46" t="str">
            <v>X (Seal Test Only)</v>
          </cell>
        </row>
        <row r="47">
          <cell r="B47" t="str">
            <v>X</v>
          </cell>
        </row>
        <row r="48">
          <cell r="B48" t="str">
            <v>N/A</v>
          </cell>
        </row>
        <row r="51">
          <cell r="B51" t="str">
            <v>N/A</v>
          </cell>
        </row>
        <row r="52">
          <cell r="B52" t="str">
            <v>PASS</v>
          </cell>
        </row>
        <row r="53">
          <cell r="B53" t="str">
            <v>Resample</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 DO NOT PRINT"/>
      <sheetName val="Single Minor Failure Mode"/>
      <sheetName val="IP Testing Results"/>
      <sheetName val="QC Testing Results"/>
      <sheetName val="IP Results_EV_ONLY"/>
      <sheetName val="QC Results_EV_ONLY"/>
      <sheetName val="IP Results_FIIFV_ONLY"/>
      <sheetName val="QC Results_FIiFV ONLY"/>
      <sheetName val="IP Result_CTNG_CT_Flu_HIVQual"/>
      <sheetName val="QC Result_CTNG_CT_Flu_HIVQual"/>
      <sheetName val="HPV ONLY_IP Results"/>
      <sheetName val="HPV ONLY_QC Results"/>
    </sheetNames>
    <sheetDataSet>
      <sheetData sheetId="0">
        <row r="7">
          <cell r="B7" t="str">
            <v>________NCR-____________</v>
          </cell>
        </row>
        <row r="8">
          <cell r="B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Reference Only"/>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6"/>
  <sheetViews>
    <sheetView zoomScaleNormal="100" zoomScaleSheetLayoutView="100" workbookViewId="0"/>
  </sheetViews>
  <sheetFormatPr baseColWidth="10" defaultColWidth="9.5" defaultRowHeight="13" x14ac:dyDescent="0.15"/>
  <cols>
    <col min="1" max="1" width="12.5" customWidth="1"/>
    <col min="2" max="2" width="27.5" customWidth="1"/>
    <col min="3" max="3" width="81.5" bestFit="1" customWidth="1"/>
    <col min="14" max="14" width="25.5" customWidth="1"/>
  </cols>
  <sheetData>
    <row r="1" spans="1:16" s="35" customFormat="1" x14ac:dyDescent="0.15">
      <c r="A1" s="35" t="s">
        <v>0</v>
      </c>
    </row>
    <row r="2" spans="1:16" x14ac:dyDescent="0.15">
      <c r="A2" s="39" t="s">
        <v>1</v>
      </c>
    </row>
    <row r="4" spans="1:16" s="36" customFormat="1" x14ac:dyDescent="0.15">
      <c r="A4" s="36" t="s">
        <v>2</v>
      </c>
    </row>
    <row r="5" spans="1:16" s="37" customFormat="1" x14ac:dyDescent="0.15">
      <c r="A5" s="37" t="s">
        <v>3</v>
      </c>
    </row>
    <row r="6" spans="1:16" s="38" customFormat="1" x14ac:dyDescent="0.15">
      <c r="A6" s="38" t="s">
        <v>4</v>
      </c>
    </row>
    <row r="9" spans="1:16" x14ac:dyDescent="0.15">
      <c r="A9" s="35" t="s">
        <v>5</v>
      </c>
      <c r="B9" s="39"/>
      <c r="C9" s="39"/>
    </row>
    <row r="10" spans="1:16" x14ac:dyDescent="0.15">
      <c r="A10" s="39" t="s">
        <v>6</v>
      </c>
    </row>
    <row r="11" spans="1:16" x14ac:dyDescent="0.15">
      <c r="A11" t="s">
        <v>7</v>
      </c>
      <c r="N11" s="289" t="s">
        <v>8</v>
      </c>
      <c r="O11" s="289"/>
      <c r="P11" s="289"/>
    </row>
    <row r="12" spans="1:16" s="39" customFormat="1" x14ac:dyDescent="0.15">
      <c r="A12" s="35" t="s">
        <v>9</v>
      </c>
      <c r="B12" s="35"/>
      <c r="N12" s="113" t="s">
        <v>10</v>
      </c>
      <c r="O12" s="288" t="s">
        <v>11</v>
      </c>
      <c r="P12" s="288"/>
    </row>
    <row r="13" spans="1:16" s="39" customFormat="1" x14ac:dyDescent="0.15">
      <c r="A13" s="39" t="s">
        <v>12</v>
      </c>
      <c r="B13" s="35"/>
      <c r="N13" s="163" t="s">
        <v>0</v>
      </c>
      <c r="O13" s="290" t="s">
        <v>13</v>
      </c>
      <c r="P13" s="290"/>
    </row>
    <row r="14" spans="1:16" s="39" customFormat="1" x14ac:dyDescent="0.15">
      <c r="B14" s="35" t="s">
        <v>14</v>
      </c>
      <c r="N14" s="163" t="s">
        <v>5</v>
      </c>
      <c r="O14" s="290" t="s">
        <v>15</v>
      </c>
      <c r="P14" s="290"/>
    </row>
    <row r="15" spans="1:16" s="39" customFormat="1" x14ac:dyDescent="0.15">
      <c r="B15" s="39" t="s">
        <v>16</v>
      </c>
      <c r="N15" s="163" t="s">
        <v>9</v>
      </c>
      <c r="O15" s="290" t="s">
        <v>15</v>
      </c>
      <c r="P15" s="290"/>
    </row>
    <row r="16" spans="1:16" s="39" customFormat="1" x14ac:dyDescent="0.15">
      <c r="N16" s="163" t="s">
        <v>17</v>
      </c>
      <c r="O16" s="290" t="s">
        <v>15</v>
      </c>
      <c r="P16" s="290"/>
    </row>
    <row r="17" spans="1:16" s="39" customFormat="1" x14ac:dyDescent="0.15">
      <c r="B17" s="35" t="s">
        <v>18</v>
      </c>
      <c r="N17" s="163" t="s">
        <v>19</v>
      </c>
      <c r="O17" s="290" t="s">
        <v>15</v>
      </c>
      <c r="P17" s="290"/>
    </row>
    <row r="18" spans="1:16" s="39" customFormat="1" x14ac:dyDescent="0.15">
      <c r="B18" s="39" t="s">
        <v>20</v>
      </c>
      <c r="N18" s="163" t="s">
        <v>21</v>
      </c>
      <c r="O18" s="290" t="s">
        <v>15</v>
      </c>
      <c r="P18" s="290"/>
    </row>
    <row r="19" spans="1:16" s="39" customFormat="1" x14ac:dyDescent="0.15">
      <c r="B19" s="35"/>
      <c r="N19" s="163" t="s">
        <v>22</v>
      </c>
      <c r="O19" s="290" t="s">
        <v>15</v>
      </c>
      <c r="P19" s="290"/>
    </row>
    <row r="20" spans="1:16" s="39" customFormat="1" x14ac:dyDescent="0.15">
      <c r="A20" s="35"/>
      <c r="B20" s="35" t="s">
        <v>23</v>
      </c>
      <c r="N20" s="163" t="s">
        <v>24</v>
      </c>
      <c r="O20" s="290" t="s">
        <v>15</v>
      </c>
      <c r="P20" s="290"/>
    </row>
    <row r="21" spans="1:16" s="39" customFormat="1" x14ac:dyDescent="0.15">
      <c r="B21" s="39" t="s">
        <v>25</v>
      </c>
      <c r="N21" s="163" t="s">
        <v>26</v>
      </c>
      <c r="O21" s="290" t="s">
        <v>15</v>
      </c>
      <c r="P21" s="290"/>
    </row>
    <row r="22" spans="1:16" s="39" customFormat="1" x14ac:dyDescent="0.15">
      <c r="B22" s="39" t="s">
        <v>27</v>
      </c>
      <c r="N22" s="163" t="s">
        <v>28</v>
      </c>
      <c r="O22" s="290" t="s">
        <v>15</v>
      </c>
      <c r="P22" s="290"/>
    </row>
    <row r="23" spans="1:16" s="39" customFormat="1" x14ac:dyDescent="0.15">
      <c r="C23" s="39" t="s">
        <v>29</v>
      </c>
      <c r="N23" s="163" t="s">
        <v>30</v>
      </c>
      <c r="O23" s="290" t="s">
        <v>15</v>
      </c>
      <c r="P23" s="290"/>
    </row>
    <row r="24" spans="1:16" s="39" customFormat="1" x14ac:dyDescent="0.15">
      <c r="C24" s="39" t="s">
        <v>31</v>
      </c>
      <c r="N24" s="163" t="s">
        <v>32</v>
      </c>
      <c r="O24" s="290" t="s">
        <v>33</v>
      </c>
      <c r="P24" s="290"/>
    </row>
    <row r="25" spans="1:16" s="39" customFormat="1" x14ac:dyDescent="0.15">
      <c r="C25" s="39" t="s">
        <v>34</v>
      </c>
      <c r="N25" s="163" t="s">
        <v>35</v>
      </c>
      <c r="O25" s="290" t="s">
        <v>33</v>
      </c>
      <c r="P25" s="290"/>
    </row>
    <row r="26" spans="1:16" s="39" customFormat="1" x14ac:dyDescent="0.15">
      <c r="N26" s="163" t="s">
        <v>36</v>
      </c>
      <c r="O26" s="290" t="s">
        <v>33</v>
      </c>
      <c r="P26" s="290"/>
    </row>
    <row r="27" spans="1:16" s="39" customFormat="1" x14ac:dyDescent="0.15">
      <c r="B27" s="35" t="s">
        <v>37</v>
      </c>
      <c r="N27" s="163" t="s">
        <v>38</v>
      </c>
      <c r="O27" s="290" t="s">
        <v>33</v>
      </c>
      <c r="P27" s="290"/>
    </row>
    <row r="28" spans="1:16" s="39" customFormat="1" x14ac:dyDescent="0.15">
      <c r="B28" s="39" t="s">
        <v>39</v>
      </c>
      <c r="N28" s="163" t="s">
        <v>40</v>
      </c>
      <c r="O28" s="290" t="s">
        <v>13</v>
      </c>
      <c r="P28" s="290"/>
    </row>
    <row r="29" spans="1:16" s="39" customFormat="1" x14ac:dyDescent="0.15">
      <c r="B29" s="39" t="s">
        <v>41</v>
      </c>
      <c r="N29" s="163" t="s">
        <v>42</v>
      </c>
      <c r="O29" s="290" t="s">
        <v>13</v>
      </c>
      <c r="P29" s="290"/>
    </row>
    <row r="30" spans="1:16" s="39" customFormat="1" x14ac:dyDescent="0.15">
      <c r="B30" s="39" t="s">
        <v>43</v>
      </c>
      <c r="N30" s="163" t="s">
        <v>44</v>
      </c>
      <c r="O30" s="290" t="s">
        <v>13</v>
      </c>
      <c r="P30" s="290"/>
    </row>
    <row r="31" spans="1:16" s="35" customFormat="1" x14ac:dyDescent="0.15">
      <c r="A31" s="35" t="s">
        <v>17</v>
      </c>
      <c r="N31" s="39"/>
      <c r="O31" s="39"/>
    </row>
    <row r="32" spans="1:16" x14ac:dyDescent="0.15">
      <c r="A32" t="s">
        <v>45</v>
      </c>
      <c r="B32" t="s">
        <v>46</v>
      </c>
      <c r="P32" s="35"/>
    </row>
    <row r="33" spans="1:15" x14ac:dyDescent="0.15">
      <c r="A33" t="s">
        <v>47</v>
      </c>
      <c r="B33" s="39" t="s">
        <v>48</v>
      </c>
      <c r="N33" s="35"/>
      <c r="O33" s="35"/>
    </row>
    <row r="34" spans="1:15" x14ac:dyDescent="0.15">
      <c r="A34" s="39" t="s">
        <v>49</v>
      </c>
      <c r="B34" s="39" t="s">
        <v>50</v>
      </c>
      <c r="C34" s="35"/>
    </row>
    <row r="35" spans="1:15" x14ac:dyDescent="0.15">
      <c r="A35" s="39" t="s">
        <v>51</v>
      </c>
      <c r="B35" s="39" t="s">
        <v>52</v>
      </c>
    </row>
    <row r="36" spans="1:15" x14ac:dyDescent="0.15">
      <c r="A36" s="39" t="s">
        <v>53</v>
      </c>
      <c r="B36" s="39" t="s">
        <v>54</v>
      </c>
    </row>
    <row r="37" spans="1:15" x14ac:dyDescent="0.15">
      <c r="A37" s="39" t="s">
        <v>55</v>
      </c>
      <c r="B37" s="39" t="s">
        <v>56</v>
      </c>
    </row>
    <row r="38" spans="1:15" x14ac:dyDescent="0.15">
      <c r="A38" s="39"/>
      <c r="B38" s="39"/>
    </row>
    <row r="39" spans="1:15" x14ac:dyDescent="0.15">
      <c r="A39" s="39" t="s">
        <v>57</v>
      </c>
      <c r="B39" s="39" t="s">
        <v>58</v>
      </c>
      <c r="C39" s="35"/>
    </row>
    <row r="40" spans="1:15" x14ac:dyDescent="0.15">
      <c r="B40" s="39" t="s">
        <v>59</v>
      </c>
      <c r="C40" s="39" t="s">
        <v>60</v>
      </c>
    </row>
    <row r="41" spans="1:15" x14ac:dyDescent="0.15">
      <c r="B41" s="39" t="s">
        <v>61</v>
      </c>
      <c r="C41" s="39" t="s">
        <v>62</v>
      </c>
    </row>
    <row r="42" spans="1:15" x14ac:dyDescent="0.15">
      <c r="B42" s="39" t="s">
        <v>63</v>
      </c>
      <c r="C42" s="39" t="s">
        <v>64</v>
      </c>
    </row>
    <row r="43" spans="1:15" x14ac:dyDescent="0.15">
      <c r="B43" s="39" t="s">
        <v>65</v>
      </c>
      <c r="C43" s="39" t="s">
        <v>66</v>
      </c>
    </row>
    <row r="44" spans="1:15" x14ac:dyDescent="0.15">
      <c r="A44" t="s">
        <v>67</v>
      </c>
      <c r="B44" s="39" t="s">
        <v>68</v>
      </c>
      <c r="C44" s="39"/>
    </row>
    <row r="45" spans="1:15" x14ac:dyDescent="0.15">
      <c r="A45" t="s">
        <v>69</v>
      </c>
      <c r="B45" s="39" t="s">
        <v>70</v>
      </c>
      <c r="C45" s="39"/>
    </row>
    <row r="46" spans="1:15" x14ac:dyDescent="0.15">
      <c r="A46" t="s">
        <v>67</v>
      </c>
      <c r="B46" s="39" t="s">
        <v>71</v>
      </c>
      <c r="C46" s="39"/>
    </row>
    <row r="47" spans="1:15" x14ac:dyDescent="0.15">
      <c r="A47" t="s">
        <v>69</v>
      </c>
      <c r="B47" s="39" t="s">
        <v>72</v>
      </c>
    </row>
    <row r="49" spans="1:4" x14ac:dyDescent="0.15">
      <c r="A49" t="s">
        <v>73</v>
      </c>
      <c r="B49" t="s">
        <v>74</v>
      </c>
    </row>
    <row r="50" spans="1:4" x14ac:dyDescent="0.15">
      <c r="A50" t="s">
        <v>75</v>
      </c>
      <c r="B50" t="s">
        <v>76</v>
      </c>
    </row>
    <row r="51" spans="1:4" x14ac:dyDescent="0.15">
      <c r="A51" t="s">
        <v>77</v>
      </c>
      <c r="B51" t="s">
        <v>78</v>
      </c>
    </row>
    <row r="52" spans="1:4" x14ac:dyDescent="0.15">
      <c r="A52" t="s">
        <v>79</v>
      </c>
      <c r="B52" t="s">
        <v>80</v>
      </c>
    </row>
    <row r="54" spans="1:4" x14ac:dyDescent="0.15">
      <c r="A54" t="s">
        <v>81</v>
      </c>
      <c r="B54" t="s">
        <v>82</v>
      </c>
    </row>
    <row r="55" spans="1:4" x14ac:dyDescent="0.15">
      <c r="A55" t="s">
        <v>83</v>
      </c>
      <c r="B55" t="s">
        <v>84</v>
      </c>
    </row>
    <row r="56" spans="1:4" x14ac:dyDescent="0.15">
      <c r="A56" t="s">
        <v>85</v>
      </c>
      <c r="B56" t="s">
        <v>86</v>
      </c>
    </row>
    <row r="57" spans="1:4" x14ac:dyDescent="0.15">
      <c r="A57" t="s">
        <v>87</v>
      </c>
      <c r="B57" t="s">
        <v>88</v>
      </c>
    </row>
    <row r="58" spans="1:4" x14ac:dyDescent="0.15">
      <c r="A58" t="s">
        <v>89</v>
      </c>
      <c r="B58" t="s">
        <v>90</v>
      </c>
    </row>
    <row r="59" spans="1:4" x14ac:dyDescent="0.15">
      <c r="A59" t="s">
        <v>91</v>
      </c>
      <c r="B59" t="s">
        <v>92</v>
      </c>
    </row>
    <row r="60" spans="1:4" x14ac:dyDescent="0.15">
      <c r="A60" t="s">
        <v>93</v>
      </c>
      <c r="B60" t="s">
        <v>94</v>
      </c>
    </row>
    <row r="62" spans="1:4" x14ac:dyDescent="0.15">
      <c r="A62" s="39" t="s">
        <v>95</v>
      </c>
      <c r="B62" t="s">
        <v>96</v>
      </c>
    </row>
    <row r="63" spans="1:4" x14ac:dyDescent="0.15">
      <c r="B63" t="s">
        <v>37</v>
      </c>
      <c r="C63" s="39" t="s">
        <v>97</v>
      </c>
      <c r="D63" s="39" t="s">
        <v>98</v>
      </c>
    </row>
    <row r="64" spans="1:4" x14ac:dyDescent="0.15">
      <c r="C64" s="39" t="s">
        <v>99</v>
      </c>
      <c r="D64" s="39" t="s">
        <v>100</v>
      </c>
    </row>
    <row r="65" spans="1:4" x14ac:dyDescent="0.15">
      <c r="C65" s="39" t="s">
        <v>101</v>
      </c>
      <c r="D65" s="39" t="s">
        <v>102</v>
      </c>
    </row>
    <row r="66" spans="1:4" x14ac:dyDescent="0.15">
      <c r="C66" s="39" t="s">
        <v>103</v>
      </c>
      <c r="D66" s="39" t="s">
        <v>104</v>
      </c>
    </row>
    <row r="67" spans="1:4" x14ac:dyDescent="0.15">
      <c r="B67" s="39" t="s">
        <v>105</v>
      </c>
      <c r="C67" s="39" t="s">
        <v>106</v>
      </c>
      <c r="D67" s="39"/>
    </row>
    <row r="68" spans="1:4" x14ac:dyDescent="0.15">
      <c r="B68" s="39" t="s">
        <v>107</v>
      </c>
      <c r="C68" s="39" t="s">
        <v>108</v>
      </c>
      <c r="D68" s="39" t="s">
        <v>109</v>
      </c>
    </row>
    <row r="69" spans="1:4" x14ac:dyDescent="0.15">
      <c r="B69" t="s">
        <v>110</v>
      </c>
      <c r="C69" s="39" t="s">
        <v>97</v>
      </c>
      <c r="D69" s="39" t="s">
        <v>98</v>
      </c>
    </row>
    <row r="70" spans="1:4" x14ac:dyDescent="0.15">
      <c r="C70" s="39" t="s">
        <v>99</v>
      </c>
      <c r="D70" s="39" t="s">
        <v>100</v>
      </c>
    </row>
    <row r="71" spans="1:4" x14ac:dyDescent="0.15">
      <c r="C71" s="39" t="s">
        <v>101</v>
      </c>
      <c r="D71" s="39" t="s">
        <v>102</v>
      </c>
    </row>
    <row r="72" spans="1:4" x14ac:dyDescent="0.15">
      <c r="C72" s="39" t="s">
        <v>103</v>
      </c>
      <c r="D72" s="39" t="s">
        <v>104</v>
      </c>
    </row>
    <row r="73" spans="1:4" x14ac:dyDescent="0.15">
      <c r="B73" t="s">
        <v>111</v>
      </c>
      <c r="C73" s="39" t="s">
        <v>101</v>
      </c>
      <c r="D73" s="39" t="s">
        <v>112</v>
      </c>
    </row>
    <row r="74" spans="1:4" x14ac:dyDescent="0.15">
      <c r="B74" t="s">
        <v>113</v>
      </c>
      <c r="C74" s="39" t="s">
        <v>108</v>
      </c>
      <c r="D74" s="39" t="s">
        <v>109</v>
      </c>
    </row>
    <row r="75" spans="1:4" x14ac:dyDescent="0.15">
      <c r="C75" s="39"/>
      <c r="D75" s="39"/>
    </row>
    <row r="76" spans="1:4" x14ac:dyDescent="0.15">
      <c r="A76" s="39" t="s">
        <v>114</v>
      </c>
      <c r="B76" s="39" t="s">
        <v>115</v>
      </c>
    </row>
    <row r="77" spans="1:4" x14ac:dyDescent="0.15">
      <c r="A77" s="39" t="s">
        <v>116</v>
      </c>
      <c r="B77" s="39" t="s">
        <v>117</v>
      </c>
    </row>
    <row r="78" spans="1:4" x14ac:dyDescent="0.15">
      <c r="A78" s="39" t="s">
        <v>118</v>
      </c>
      <c r="B78" s="39" t="s">
        <v>119</v>
      </c>
    </row>
    <row r="79" spans="1:4" x14ac:dyDescent="0.15">
      <c r="A79" s="39"/>
      <c r="B79" s="39"/>
    </row>
    <row r="80" spans="1:4" x14ac:dyDescent="0.15">
      <c r="A80" s="35" t="s">
        <v>19</v>
      </c>
    </row>
    <row r="81" spans="1:9" x14ac:dyDescent="0.15">
      <c r="A81" s="39" t="s">
        <v>120</v>
      </c>
      <c r="B81" s="39" t="s">
        <v>121</v>
      </c>
    </row>
    <row r="82" spans="1:9" x14ac:dyDescent="0.15">
      <c r="A82" s="39" t="s">
        <v>122</v>
      </c>
      <c r="B82" s="39" t="s">
        <v>123</v>
      </c>
      <c r="C82" s="35"/>
    </row>
    <row r="83" spans="1:9" x14ac:dyDescent="0.15">
      <c r="A83" s="39" t="s">
        <v>124</v>
      </c>
      <c r="B83" s="39" t="s">
        <v>125</v>
      </c>
    </row>
    <row r="84" spans="1:9" x14ac:dyDescent="0.15">
      <c r="A84" s="39" t="s">
        <v>126</v>
      </c>
      <c r="B84" s="39" t="s">
        <v>127</v>
      </c>
    </row>
    <row r="85" spans="1:9" x14ac:dyDescent="0.15">
      <c r="A85" s="39" t="s">
        <v>128</v>
      </c>
      <c r="B85" s="39" t="s">
        <v>129</v>
      </c>
    </row>
    <row r="86" spans="1:9" x14ac:dyDescent="0.15">
      <c r="A86" s="39"/>
      <c r="B86" s="39"/>
    </row>
    <row r="87" spans="1:9" x14ac:dyDescent="0.15">
      <c r="A87" s="39" t="s">
        <v>130</v>
      </c>
      <c r="B87" s="39" t="s">
        <v>14</v>
      </c>
      <c r="C87" s="39" t="s">
        <v>131</v>
      </c>
    </row>
    <row r="88" spans="1:9" x14ac:dyDescent="0.15">
      <c r="B88" s="39" t="s">
        <v>18</v>
      </c>
      <c r="C88" s="39" t="s">
        <v>132</v>
      </c>
    </row>
    <row r="89" spans="1:9" x14ac:dyDescent="0.15">
      <c r="B89" s="39" t="s">
        <v>23</v>
      </c>
      <c r="C89" s="39" t="s">
        <v>133</v>
      </c>
    </row>
    <row r="90" spans="1:9" x14ac:dyDescent="0.15">
      <c r="B90" s="39"/>
      <c r="C90" s="39"/>
      <c r="D90" s="35" t="s">
        <v>134</v>
      </c>
      <c r="E90" s="35"/>
      <c r="F90" s="35" t="s">
        <v>135</v>
      </c>
      <c r="H90" s="35" t="s">
        <v>136</v>
      </c>
    </row>
    <row r="91" spans="1:9" x14ac:dyDescent="0.15">
      <c r="D91" s="39" t="s">
        <v>137</v>
      </c>
      <c r="F91" s="39" t="s">
        <v>138</v>
      </c>
      <c r="H91" s="39" t="s">
        <v>139</v>
      </c>
      <c r="I91" s="39" t="s">
        <v>140</v>
      </c>
    </row>
    <row r="92" spans="1:9" x14ac:dyDescent="0.15">
      <c r="D92" s="39" t="s">
        <v>141</v>
      </c>
      <c r="F92" s="39" t="s">
        <v>142</v>
      </c>
      <c r="H92" s="39" t="s">
        <v>143</v>
      </c>
      <c r="I92" s="39" t="s">
        <v>144</v>
      </c>
    </row>
    <row r="93" spans="1:9" x14ac:dyDescent="0.15">
      <c r="D93" s="39" t="s">
        <v>145</v>
      </c>
      <c r="F93" s="39" t="s">
        <v>145</v>
      </c>
      <c r="H93" s="39" t="s">
        <v>146</v>
      </c>
      <c r="I93" s="39" t="s">
        <v>147</v>
      </c>
    </row>
    <row r="94" spans="1:9" x14ac:dyDescent="0.15">
      <c r="D94" s="39" t="s">
        <v>148</v>
      </c>
      <c r="F94" s="39" t="s">
        <v>149</v>
      </c>
    </row>
    <row r="95" spans="1:9" x14ac:dyDescent="0.15">
      <c r="D95" s="39" t="s">
        <v>150</v>
      </c>
      <c r="F95" s="39" t="s">
        <v>151</v>
      </c>
    </row>
    <row r="96" spans="1:9" x14ac:dyDescent="0.15">
      <c r="C96" s="35"/>
      <c r="D96" s="39" t="s">
        <v>152</v>
      </c>
      <c r="F96" s="39" t="s">
        <v>153</v>
      </c>
    </row>
    <row r="97" spans="1:6" x14ac:dyDescent="0.15">
      <c r="D97" s="39" t="s">
        <v>154</v>
      </c>
      <c r="F97" s="39" t="s">
        <v>155</v>
      </c>
    </row>
    <row r="98" spans="1:6" x14ac:dyDescent="0.15">
      <c r="D98" s="39" t="s">
        <v>156</v>
      </c>
      <c r="F98" s="39" t="s">
        <v>157</v>
      </c>
    </row>
    <row r="99" spans="1:6" x14ac:dyDescent="0.15">
      <c r="D99" s="39" t="s">
        <v>158</v>
      </c>
      <c r="F99" s="39" t="s">
        <v>159</v>
      </c>
    </row>
    <row r="100" spans="1:6" x14ac:dyDescent="0.15">
      <c r="D100" s="39" t="s">
        <v>160</v>
      </c>
      <c r="F100" s="39" t="s">
        <v>140</v>
      </c>
    </row>
    <row r="101" spans="1:6" x14ac:dyDescent="0.15">
      <c r="D101" s="39" t="s">
        <v>161</v>
      </c>
      <c r="F101" s="39" t="s">
        <v>162</v>
      </c>
    </row>
    <row r="102" spans="1:6" x14ac:dyDescent="0.15">
      <c r="B102" s="39" t="s">
        <v>37</v>
      </c>
      <c r="C102" s="39" t="s">
        <v>163</v>
      </c>
    </row>
    <row r="103" spans="1:6" x14ac:dyDescent="0.15">
      <c r="D103" s="35" t="s">
        <v>136</v>
      </c>
    </row>
    <row r="104" spans="1:6" x14ac:dyDescent="0.15">
      <c r="D104" s="39" t="s">
        <v>139</v>
      </c>
      <c r="E104" s="39" t="s">
        <v>140</v>
      </c>
    </row>
    <row r="105" spans="1:6" x14ac:dyDescent="0.15">
      <c r="D105" s="39" t="s">
        <v>143</v>
      </c>
      <c r="E105" s="39" t="s">
        <v>164</v>
      </c>
    </row>
    <row r="106" spans="1:6" x14ac:dyDescent="0.15">
      <c r="D106" s="39" t="s">
        <v>146</v>
      </c>
      <c r="E106" s="39" t="s">
        <v>165</v>
      </c>
    </row>
    <row r="108" spans="1:6" x14ac:dyDescent="0.15">
      <c r="B108" s="39" t="s">
        <v>105</v>
      </c>
      <c r="C108" s="39" t="s">
        <v>166</v>
      </c>
    </row>
    <row r="110" spans="1:6" x14ac:dyDescent="0.15">
      <c r="A110" s="39" t="s">
        <v>167</v>
      </c>
      <c r="B110" s="39" t="s">
        <v>168</v>
      </c>
      <c r="C110" s="35"/>
    </row>
    <row r="111" spans="1:6" x14ac:dyDescent="0.15">
      <c r="A111" s="39" t="s">
        <v>169</v>
      </c>
      <c r="B111" s="39" t="s">
        <v>170</v>
      </c>
    </row>
    <row r="112" spans="1:6" x14ac:dyDescent="0.15">
      <c r="A112" s="39" t="s">
        <v>171</v>
      </c>
      <c r="B112" s="39" t="s">
        <v>172</v>
      </c>
    </row>
    <row r="113" spans="1:10" x14ac:dyDescent="0.15">
      <c r="A113" s="39"/>
      <c r="B113" s="39"/>
    </row>
    <row r="114" spans="1:10" x14ac:dyDescent="0.15">
      <c r="A114" s="39" t="s">
        <v>173</v>
      </c>
      <c r="B114" s="39" t="s">
        <v>14</v>
      </c>
      <c r="C114" s="39" t="s">
        <v>174</v>
      </c>
    </row>
    <row r="115" spans="1:10" x14ac:dyDescent="0.15">
      <c r="B115" s="39" t="s">
        <v>18</v>
      </c>
      <c r="C115" s="39" t="s">
        <v>175</v>
      </c>
    </row>
    <row r="116" spans="1:10" x14ac:dyDescent="0.15">
      <c r="B116" s="39" t="s">
        <v>23</v>
      </c>
      <c r="C116" s="39" t="s">
        <v>176</v>
      </c>
    </row>
    <row r="117" spans="1:10" x14ac:dyDescent="0.15">
      <c r="B117" s="39"/>
      <c r="C117" s="39"/>
      <c r="D117" s="35" t="s">
        <v>134</v>
      </c>
      <c r="E117" s="35"/>
      <c r="F117" s="35" t="s">
        <v>135</v>
      </c>
      <c r="H117" s="35" t="s">
        <v>136</v>
      </c>
    </row>
    <row r="118" spans="1:10" x14ac:dyDescent="0.15">
      <c r="D118" s="39" t="s">
        <v>137</v>
      </c>
      <c r="F118" s="39" t="s">
        <v>138</v>
      </c>
      <c r="H118" s="39" t="s">
        <v>139</v>
      </c>
      <c r="I118" s="39" t="s">
        <v>140</v>
      </c>
    </row>
    <row r="119" spans="1:10" x14ac:dyDescent="0.15">
      <c r="D119" s="39" t="s">
        <v>141</v>
      </c>
      <c r="F119" s="39" t="s">
        <v>142</v>
      </c>
      <c r="H119" s="39" t="s">
        <v>143</v>
      </c>
      <c r="I119" s="39" t="s">
        <v>144</v>
      </c>
    </row>
    <row r="120" spans="1:10" x14ac:dyDescent="0.15">
      <c r="D120" s="39" t="s">
        <v>145</v>
      </c>
      <c r="F120" s="39" t="s">
        <v>145</v>
      </c>
      <c r="H120" s="39" t="s">
        <v>146</v>
      </c>
      <c r="I120" s="39" t="s">
        <v>147</v>
      </c>
    </row>
    <row r="121" spans="1:10" x14ac:dyDescent="0.15">
      <c r="D121" s="39" t="s">
        <v>148</v>
      </c>
      <c r="F121" s="39" t="s">
        <v>149</v>
      </c>
      <c r="J121" s="63"/>
    </row>
    <row r="122" spans="1:10" x14ac:dyDescent="0.15">
      <c r="D122" s="39" t="s">
        <v>150</v>
      </c>
      <c r="F122" s="39" t="s">
        <v>151</v>
      </c>
      <c r="J122" s="63"/>
    </row>
    <row r="123" spans="1:10" x14ac:dyDescent="0.15">
      <c r="C123" s="35"/>
      <c r="D123" s="39" t="s">
        <v>152</v>
      </c>
      <c r="F123" s="39" t="s">
        <v>153</v>
      </c>
      <c r="J123" s="63"/>
    </row>
    <row r="124" spans="1:10" x14ac:dyDescent="0.15">
      <c r="D124" s="39" t="s">
        <v>154</v>
      </c>
      <c r="F124" s="39" t="s">
        <v>155</v>
      </c>
    </row>
    <row r="125" spans="1:10" x14ac:dyDescent="0.15">
      <c r="D125" s="39" t="s">
        <v>156</v>
      </c>
      <c r="F125" s="39" t="s">
        <v>157</v>
      </c>
    </row>
    <row r="126" spans="1:10" x14ac:dyDescent="0.15">
      <c r="D126" s="39" t="s">
        <v>158</v>
      </c>
      <c r="F126" s="39" t="s">
        <v>159</v>
      </c>
    </row>
    <row r="127" spans="1:10" x14ac:dyDescent="0.15">
      <c r="D127" s="39" t="s">
        <v>160</v>
      </c>
      <c r="F127" s="39" t="s">
        <v>140</v>
      </c>
    </row>
    <row r="128" spans="1:10" x14ac:dyDescent="0.15">
      <c r="D128" s="39" t="s">
        <v>161</v>
      </c>
      <c r="F128" s="39" t="s">
        <v>162</v>
      </c>
    </row>
    <row r="129" spans="1:5" x14ac:dyDescent="0.15">
      <c r="B129" s="39" t="s">
        <v>37</v>
      </c>
      <c r="C129" s="39" t="s">
        <v>177</v>
      </c>
    </row>
    <row r="130" spans="1:5" x14ac:dyDescent="0.15">
      <c r="D130" s="35" t="s">
        <v>136</v>
      </c>
    </row>
    <row r="131" spans="1:5" x14ac:dyDescent="0.15">
      <c r="D131" s="39" t="s">
        <v>139</v>
      </c>
      <c r="E131" s="39" t="s">
        <v>140</v>
      </c>
    </row>
    <row r="132" spans="1:5" x14ac:dyDescent="0.15">
      <c r="D132" s="39" t="s">
        <v>143</v>
      </c>
      <c r="E132" s="39" t="s">
        <v>164</v>
      </c>
    </row>
    <row r="133" spans="1:5" x14ac:dyDescent="0.15">
      <c r="D133" s="39" t="s">
        <v>146</v>
      </c>
      <c r="E133" s="39" t="s">
        <v>165</v>
      </c>
    </row>
    <row r="135" spans="1:5" x14ac:dyDescent="0.15">
      <c r="B135" s="39" t="s">
        <v>105</v>
      </c>
      <c r="C135" s="39" t="s">
        <v>166</v>
      </c>
    </row>
    <row r="137" spans="1:5" x14ac:dyDescent="0.15">
      <c r="A137" s="39" t="s">
        <v>178</v>
      </c>
      <c r="B137" s="39" t="s">
        <v>179</v>
      </c>
      <c r="C137" s="35"/>
    </row>
    <row r="138" spans="1:5" x14ac:dyDescent="0.15">
      <c r="A138" s="39" t="s">
        <v>180</v>
      </c>
      <c r="B138" s="39" t="s">
        <v>125</v>
      </c>
    </row>
    <row r="139" spans="1:5" x14ac:dyDescent="0.15">
      <c r="A139" s="39" t="s">
        <v>181</v>
      </c>
      <c r="B139" s="39" t="s">
        <v>182</v>
      </c>
    </row>
    <row r="140" spans="1:5" x14ac:dyDescent="0.15">
      <c r="A140" s="39" t="s">
        <v>183</v>
      </c>
      <c r="B140" s="39" t="s">
        <v>184</v>
      </c>
    </row>
    <row r="141" spans="1:5" x14ac:dyDescent="0.15">
      <c r="A141" s="39"/>
      <c r="B141" s="39"/>
    </row>
    <row r="142" spans="1:5" x14ac:dyDescent="0.15">
      <c r="A142" s="39" t="s">
        <v>185</v>
      </c>
      <c r="B142" s="39" t="s">
        <v>14</v>
      </c>
      <c r="C142" s="39" t="s">
        <v>186</v>
      </c>
    </row>
    <row r="143" spans="1:5" x14ac:dyDescent="0.15">
      <c r="B143" s="39" t="s">
        <v>18</v>
      </c>
      <c r="C143" s="39" t="s">
        <v>187</v>
      </c>
    </row>
    <row r="144" spans="1:5" x14ac:dyDescent="0.15">
      <c r="B144" s="39" t="s">
        <v>23</v>
      </c>
      <c r="C144" s="39" t="s">
        <v>188</v>
      </c>
    </row>
    <row r="145" spans="2:9" x14ac:dyDescent="0.15">
      <c r="B145" s="39"/>
      <c r="C145" s="39"/>
      <c r="D145" s="35" t="s">
        <v>134</v>
      </c>
      <c r="E145" s="35"/>
      <c r="F145" s="35" t="s">
        <v>135</v>
      </c>
      <c r="H145" s="35" t="s">
        <v>136</v>
      </c>
    </row>
    <row r="146" spans="2:9" x14ac:dyDescent="0.15">
      <c r="D146" s="39" t="s">
        <v>137</v>
      </c>
      <c r="F146" s="39" t="s">
        <v>138</v>
      </c>
      <c r="H146" s="39" t="s">
        <v>139</v>
      </c>
      <c r="I146" s="39" t="s">
        <v>140</v>
      </c>
    </row>
    <row r="147" spans="2:9" x14ac:dyDescent="0.15">
      <c r="D147" s="39" t="s">
        <v>141</v>
      </c>
      <c r="F147" s="39" t="s">
        <v>142</v>
      </c>
      <c r="H147" s="39" t="s">
        <v>143</v>
      </c>
      <c r="I147" s="39" t="s">
        <v>144</v>
      </c>
    </row>
    <row r="148" spans="2:9" x14ac:dyDescent="0.15">
      <c r="D148" s="39" t="s">
        <v>145</v>
      </c>
      <c r="F148" s="39" t="s">
        <v>145</v>
      </c>
      <c r="H148" s="39" t="s">
        <v>146</v>
      </c>
      <c r="I148" s="39" t="s">
        <v>147</v>
      </c>
    </row>
    <row r="149" spans="2:9" x14ac:dyDescent="0.15">
      <c r="D149" s="39" t="s">
        <v>150</v>
      </c>
      <c r="F149" s="39" t="s">
        <v>151</v>
      </c>
    </row>
    <row r="150" spans="2:9" x14ac:dyDescent="0.15">
      <c r="C150" s="35"/>
      <c r="D150" s="39" t="s">
        <v>152</v>
      </c>
      <c r="F150" s="39" t="s">
        <v>153</v>
      </c>
    </row>
    <row r="151" spans="2:9" x14ac:dyDescent="0.15">
      <c r="D151" s="39" t="s">
        <v>154</v>
      </c>
      <c r="F151" s="39" t="s">
        <v>155</v>
      </c>
    </row>
    <row r="152" spans="2:9" x14ac:dyDescent="0.15">
      <c r="D152" s="39" t="s">
        <v>156</v>
      </c>
      <c r="F152" s="39" t="s">
        <v>157</v>
      </c>
    </row>
    <row r="153" spans="2:9" x14ac:dyDescent="0.15">
      <c r="D153" s="39" t="s">
        <v>158</v>
      </c>
      <c r="F153" s="39" t="s">
        <v>159</v>
      </c>
    </row>
    <row r="154" spans="2:9" x14ac:dyDescent="0.15">
      <c r="D154" s="39" t="s">
        <v>189</v>
      </c>
      <c r="F154" s="39" t="s">
        <v>190</v>
      </c>
    </row>
    <row r="155" spans="2:9" x14ac:dyDescent="0.15">
      <c r="D155" s="39" t="s">
        <v>160</v>
      </c>
      <c r="F155" s="39" t="s">
        <v>140</v>
      </c>
    </row>
    <row r="156" spans="2:9" x14ac:dyDescent="0.15">
      <c r="D156" s="39" t="s">
        <v>161</v>
      </c>
      <c r="F156" s="39" t="s">
        <v>162</v>
      </c>
    </row>
    <row r="157" spans="2:9" x14ac:dyDescent="0.15">
      <c r="B157" s="39" t="s">
        <v>37</v>
      </c>
      <c r="C157" s="39" t="s">
        <v>177</v>
      </c>
    </row>
    <row r="158" spans="2:9" x14ac:dyDescent="0.15">
      <c r="D158" s="35" t="s">
        <v>136</v>
      </c>
    </row>
    <row r="159" spans="2:9" x14ac:dyDescent="0.15">
      <c r="D159" s="39" t="s">
        <v>139</v>
      </c>
      <c r="E159" s="39" t="s">
        <v>140</v>
      </c>
    </row>
    <row r="160" spans="2:9" x14ac:dyDescent="0.15">
      <c r="D160" s="39" t="s">
        <v>143</v>
      </c>
      <c r="E160" s="39" t="s">
        <v>164</v>
      </c>
    </row>
    <row r="161" spans="1:9" x14ac:dyDescent="0.15">
      <c r="D161" s="39" t="s">
        <v>146</v>
      </c>
      <c r="E161" s="39" t="s">
        <v>165</v>
      </c>
    </row>
    <row r="163" spans="1:9" x14ac:dyDescent="0.15">
      <c r="B163" s="39" t="s">
        <v>105</v>
      </c>
      <c r="C163" s="39" t="s">
        <v>166</v>
      </c>
    </row>
    <row r="165" spans="1:9" x14ac:dyDescent="0.15">
      <c r="A165" s="39" t="s">
        <v>191</v>
      </c>
      <c r="B165" s="39" t="s">
        <v>192</v>
      </c>
      <c r="C165" s="35"/>
    </row>
    <row r="166" spans="1:9" x14ac:dyDescent="0.15">
      <c r="A166" s="39" t="s">
        <v>193</v>
      </c>
      <c r="B166" s="39" t="s">
        <v>182</v>
      </c>
    </row>
    <row r="167" spans="1:9" x14ac:dyDescent="0.15">
      <c r="A167" s="39" t="s">
        <v>194</v>
      </c>
      <c r="B167" s="39" t="s">
        <v>184</v>
      </c>
    </row>
    <row r="168" spans="1:9" x14ac:dyDescent="0.15">
      <c r="A168" s="39"/>
      <c r="B168" s="39"/>
    </row>
    <row r="169" spans="1:9" x14ac:dyDescent="0.15">
      <c r="A169" s="39" t="s">
        <v>195</v>
      </c>
      <c r="B169" s="39" t="s">
        <v>14</v>
      </c>
      <c r="C169" s="39" t="s">
        <v>186</v>
      </c>
    </row>
    <row r="170" spans="1:9" x14ac:dyDescent="0.15">
      <c r="B170" s="39" t="s">
        <v>18</v>
      </c>
      <c r="C170" s="39" t="s">
        <v>187</v>
      </c>
    </row>
    <row r="171" spans="1:9" x14ac:dyDescent="0.15">
      <c r="B171" s="39" t="s">
        <v>23</v>
      </c>
      <c r="C171" s="39" t="s">
        <v>188</v>
      </c>
    </row>
    <row r="172" spans="1:9" x14ac:dyDescent="0.15">
      <c r="B172" s="39"/>
      <c r="C172" s="39"/>
      <c r="D172" s="35" t="s">
        <v>134</v>
      </c>
      <c r="E172" s="35"/>
      <c r="F172" s="35" t="s">
        <v>135</v>
      </c>
      <c r="H172" s="35" t="s">
        <v>136</v>
      </c>
    </row>
    <row r="173" spans="1:9" x14ac:dyDescent="0.15">
      <c r="D173" s="39" t="s">
        <v>137</v>
      </c>
      <c r="F173" s="39" t="s">
        <v>138</v>
      </c>
      <c r="H173" s="39" t="s">
        <v>139</v>
      </c>
      <c r="I173" s="39" t="s">
        <v>140</v>
      </c>
    </row>
    <row r="174" spans="1:9" x14ac:dyDescent="0.15">
      <c r="D174" s="39" t="s">
        <v>141</v>
      </c>
      <c r="F174" s="39" t="s">
        <v>142</v>
      </c>
      <c r="H174" s="39" t="s">
        <v>143</v>
      </c>
      <c r="I174" s="39" t="s">
        <v>144</v>
      </c>
    </row>
    <row r="175" spans="1:9" x14ac:dyDescent="0.15">
      <c r="D175" s="39" t="s">
        <v>145</v>
      </c>
      <c r="F175" s="39" t="s">
        <v>145</v>
      </c>
      <c r="H175" s="39" t="s">
        <v>146</v>
      </c>
      <c r="I175" s="39" t="s">
        <v>147</v>
      </c>
    </row>
    <row r="176" spans="1:9" x14ac:dyDescent="0.15">
      <c r="D176" s="39" t="s">
        <v>150</v>
      </c>
      <c r="F176" s="39" t="s">
        <v>151</v>
      </c>
    </row>
    <row r="177" spans="1:6" x14ac:dyDescent="0.15">
      <c r="C177" s="35"/>
      <c r="D177" s="39" t="s">
        <v>152</v>
      </c>
      <c r="F177" s="39" t="s">
        <v>153</v>
      </c>
    </row>
    <row r="178" spans="1:6" x14ac:dyDescent="0.15">
      <c r="D178" s="39" t="s">
        <v>154</v>
      </c>
      <c r="F178" s="39" t="s">
        <v>155</v>
      </c>
    </row>
    <row r="179" spans="1:6" x14ac:dyDescent="0.15">
      <c r="D179" s="39" t="s">
        <v>156</v>
      </c>
      <c r="F179" s="39" t="s">
        <v>157</v>
      </c>
    </row>
    <row r="180" spans="1:6" x14ac:dyDescent="0.15">
      <c r="D180" s="39" t="s">
        <v>158</v>
      </c>
      <c r="F180" s="39" t="s">
        <v>159</v>
      </c>
    </row>
    <row r="181" spans="1:6" x14ac:dyDescent="0.15">
      <c r="D181" s="39" t="s">
        <v>189</v>
      </c>
      <c r="F181" s="39" t="s">
        <v>190</v>
      </c>
    </row>
    <row r="182" spans="1:6" x14ac:dyDescent="0.15">
      <c r="D182" s="39" t="s">
        <v>160</v>
      </c>
      <c r="F182" s="39" t="s">
        <v>140</v>
      </c>
    </row>
    <row r="183" spans="1:6" x14ac:dyDescent="0.15">
      <c r="D183" s="39" t="s">
        <v>161</v>
      </c>
      <c r="F183" s="39" t="s">
        <v>162</v>
      </c>
    </row>
    <row r="184" spans="1:6" x14ac:dyDescent="0.15">
      <c r="B184" s="39" t="s">
        <v>37</v>
      </c>
      <c r="C184" s="39" t="s">
        <v>177</v>
      </c>
    </row>
    <row r="185" spans="1:6" x14ac:dyDescent="0.15">
      <c r="D185" s="35" t="s">
        <v>136</v>
      </c>
    </row>
    <row r="186" spans="1:6" x14ac:dyDescent="0.15">
      <c r="D186" s="39" t="s">
        <v>139</v>
      </c>
      <c r="E186" s="39" t="s">
        <v>140</v>
      </c>
    </row>
    <row r="187" spans="1:6" x14ac:dyDescent="0.15">
      <c r="D187" s="39" t="s">
        <v>143</v>
      </c>
      <c r="E187" s="39" t="s">
        <v>164</v>
      </c>
    </row>
    <row r="188" spans="1:6" x14ac:dyDescent="0.15">
      <c r="D188" s="39" t="s">
        <v>146</v>
      </c>
      <c r="E188" s="39" t="s">
        <v>165</v>
      </c>
    </row>
    <row r="190" spans="1:6" x14ac:dyDescent="0.15">
      <c r="B190" s="39" t="s">
        <v>105</v>
      </c>
      <c r="C190" s="39" t="s">
        <v>166</v>
      </c>
    </row>
    <row r="192" spans="1:6" x14ac:dyDescent="0.15">
      <c r="A192" s="39" t="s">
        <v>196</v>
      </c>
      <c r="B192" s="39" t="s">
        <v>197</v>
      </c>
      <c r="C192" s="39"/>
    </row>
    <row r="193" spans="1:16" x14ac:dyDescent="0.15">
      <c r="A193" s="39" t="s">
        <v>198</v>
      </c>
      <c r="B193" s="39" t="s">
        <v>199</v>
      </c>
      <c r="C193" s="35"/>
    </row>
    <row r="194" spans="1:16" s="35" customFormat="1" x14ac:dyDescent="0.15"/>
    <row r="195" spans="1:16" x14ac:dyDescent="0.15">
      <c r="B195" s="39" t="s">
        <v>105</v>
      </c>
      <c r="C195" s="39" t="s">
        <v>166</v>
      </c>
      <c r="P195" s="35"/>
    </row>
    <row r="196" spans="1:16" x14ac:dyDescent="0.15">
      <c r="A196" s="35" t="s">
        <v>200</v>
      </c>
      <c r="D196" s="35"/>
      <c r="E196" s="35"/>
    </row>
    <row r="197" spans="1:16" x14ac:dyDescent="0.15">
      <c r="A197" s="39" t="s">
        <v>201</v>
      </c>
      <c r="B197" s="35"/>
      <c r="C197" s="35"/>
    </row>
    <row r="198" spans="1:16" x14ac:dyDescent="0.15">
      <c r="A198" s="39" t="s">
        <v>202</v>
      </c>
      <c r="B198" s="35"/>
      <c r="C198" s="35"/>
    </row>
    <row r="199" spans="1:16" x14ac:dyDescent="0.15">
      <c r="A199" t="s">
        <v>203</v>
      </c>
      <c r="B199" s="35"/>
      <c r="C199" s="35"/>
      <c r="D199" s="35"/>
      <c r="E199" s="35"/>
    </row>
    <row r="200" spans="1:16" x14ac:dyDescent="0.15">
      <c r="D200" s="35"/>
      <c r="E200" s="35"/>
    </row>
    <row r="201" spans="1:16" x14ac:dyDescent="0.15">
      <c r="A201" s="35" t="s">
        <v>204</v>
      </c>
      <c r="D201" s="35"/>
      <c r="E201" s="35"/>
    </row>
    <row r="202" spans="1:16" x14ac:dyDescent="0.15">
      <c r="A202" s="39" t="s">
        <v>205</v>
      </c>
      <c r="B202" s="35"/>
      <c r="C202" s="35"/>
    </row>
    <row r="203" spans="1:16" x14ac:dyDescent="0.15">
      <c r="A203" s="39" t="s">
        <v>206</v>
      </c>
      <c r="B203" s="35"/>
      <c r="C203" s="35"/>
    </row>
    <row r="204" spans="1:16" x14ac:dyDescent="0.15">
      <c r="A204" t="s">
        <v>203</v>
      </c>
      <c r="B204" s="35"/>
      <c r="C204" s="35"/>
      <c r="D204" s="35"/>
      <c r="E204" s="35"/>
    </row>
    <row r="205" spans="1:16" x14ac:dyDescent="0.15">
      <c r="A205" t="s">
        <v>207</v>
      </c>
      <c r="D205" s="35"/>
      <c r="E205" s="35"/>
    </row>
    <row r="206" spans="1:16" x14ac:dyDescent="0.15">
      <c r="D206" s="35"/>
      <c r="E206" s="35"/>
    </row>
    <row r="207" spans="1:16" x14ac:dyDescent="0.15">
      <c r="A207" s="35" t="s">
        <v>208</v>
      </c>
      <c r="D207" s="35"/>
      <c r="E207" s="35"/>
    </row>
    <row r="208" spans="1:16" x14ac:dyDescent="0.15">
      <c r="A208" s="39" t="s">
        <v>209</v>
      </c>
      <c r="B208" s="35"/>
      <c r="C208" s="35"/>
    </row>
    <row r="209" spans="1:5" x14ac:dyDescent="0.15">
      <c r="A209" s="39" t="s">
        <v>206</v>
      </c>
      <c r="B209" s="35"/>
      <c r="C209" s="35"/>
    </row>
    <row r="210" spans="1:5" x14ac:dyDescent="0.15">
      <c r="A210" t="s">
        <v>203</v>
      </c>
      <c r="B210" s="35"/>
      <c r="C210" s="35"/>
      <c r="D210" s="35"/>
      <c r="E210" s="35"/>
    </row>
    <row r="211" spans="1:5" x14ac:dyDescent="0.15">
      <c r="A211" t="s">
        <v>210</v>
      </c>
      <c r="D211" s="35"/>
      <c r="E211" s="35"/>
    </row>
    <row r="212" spans="1:5" x14ac:dyDescent="0.15">
      <c r="D212" s="35"/>
      <c r="E212" s="35"/>
    </row>
    <row r="213" spans="1:5" x14ac:dyDescent="0.15">
      <c r="A213" s="35" t="s">
        <v>211</v>
      </c>
      <c r="D213" s="35"/>
      <c r="E213" s="35"/>
    </row>
    <row r="214" spans="1:5" x14ac:dyDescent="0.15">
      <c r="A214" s="39" t="s">
        <v>212</v>
      </c>
      <c r="B214" s="35"/>
      <c r="C214" s="35"/>
    </row>
    <row r="215" spans="1:5" x14ac:dyDescent="0.15">
      <c r="A215" s="39" t="s">
        <v>206</v>
      </c>
      <c r="B215" s="35"/>
      <c r="C215" s="35"/>
    </row>
    <row r="216" spans="1:5" x14ac:dyDescent="0.15">
      <c r="A216" t="s">
        <v>203</v>
      </c>
      <c r="B216" s="35"/>
      <c r="C216" s="35"/>
      <c r="D216" s="35"/>
      <c r="E216" s="35"/>
    </row>
    <row r="217" spans="1:5" x14ac:dyDescent="0.15">
      <c r="A217" t="s">
        <v>213</v>
      </c>
      <c r="D217" s="35"/>
      <c r="E217" s="35"/>
    </row>
    <row r="218" spans="1:5" x14ac:dyDescent="0.15">
      <c r="B218" s="35"/>
      <c r="C218" s="35"/>
      <c r="D218" s="35"/>
      <c r="E218" s="35"/>
    </row>
    <row r="219" spans="1:5" x14ac:dyDescent="0.15">
      <c r="A219" s="35" t="s">
        <v>214</v>
      </c>
      <c r="D219" s="35"/>
      <c r="E219" s="35"/>
    </row>
    <row r="220" spans="1:5" x14ac:dyDescent="0.15">
      <c r="A220" s="39" t="s">
        <v>215</v>
      </c>
      <c r="B220" s="35"/>
      <c r="C220" s="35"/>
    </row>
    <row r="221" spans="1:5" x14ac:dyDescent="0.15">
      <c r="A221" s="39" t="s">
        <v>206</v>
      </c>
      <c r="B221" s="35"/>
      <c r="C221" s="35"/>
    </row>
    <row r="222" spans="1:5" x14ac:dyDescent="0.15">
      <c r="A222" t="s">
        <v>203</v>
      </c>
      <c r="B222" s="35"/>
      <c r="C222" s="35"/>
      <c r="D222" s="35"/>
      <c r="E222" s="35"/>
    </row>
    <row r="224" spans="1:5" x14ac:dyDescent="0.15">
      <c r="A224" s="35" t="s">
        <v>30</v>
      </c>
    </row>
    <row r="225" spans="1:2" x14ac:dyDescent="0.15">
      <c r="A225" t="s">
        <v>216</v>
      </c>
    </row>
    <row r="227" spans="1:2" x14ac:dyDescent="0.15">
      <c r="A227" t="s">
        <v>217</v>
      </c>
    </row>
    <row r="228" spans="1:2" x14ac:dyDescent="0.15">
      <c r="A228" t="s">
        <v>218</v>
      </c>
    </row>
    <row r="230" spans="1:2" x14ac:dyDescent="0.15">
      <c r="A230" t="s">
        <v>219</v>
      </c>
    </row>
    <row r="232" spans="1:2" x14ac:dyDescent="0.15">
      <c r="A232" t="s">
        <v>220</v>
      </c>
    </row>
    <row r="233" spans="1:2" x14ac:dyDescent="0.15">
      <c r="A233" t="s">
        <v>221</v>
      </c>
    </row>
    <row r="234" spans="1:2" x14ac:dyDescent="0.15">
      <c r="A234" t="s">
        <v>222</v>
      </c>
    </row>
    <row r="236" spans="1:2" x14ac:dyDescent="0.15">
      <c r="A236" t="s">
        <v>223</v>
      </c>
      <c r="B236" s="35" t="s">
        <v>224</v>
      </c>
    </row>
    <row r="237" spans="1:2" x14ac:dyDescent="0.15">
      <c r="B237" t="s">
        <v>225</v>
      </c>
    </row>
    <row r="238" spans="1:2" x14ac:dyDescent="0.15">
      <c r="B238" t="s">
        <v>226</v>
      </c>
    </row>
    <row r="239" spans="1:2" x14ac:dyDescent="0.15">
      <c r="B239" t="s">
        <v>227</v>
      </c>
    </row>
    <row r="240" spans="1:2" x14ac:dyDescent="0.15">
      <c r="B240" t="s">
        <v>228</v>
      </c>
    </row>
    <row r="241" spans="1:4" x14ac:dyDescent="0.15">
      <c r="B241" t="s">
        <v>229</v>
      </c>
    </row>
    <row r="243" spans="1:4" x14ac:dyDescent="0.15">
      <c r="B243" s="35"/>
      <c r="C243" s="35"/>
      <c r="D243" s="35"/>
    </row>
    <row r="244" spans="1:4" x14ac:dyDescent="0.15">
      <c r="A244" s="35" t="s">
        <v>35</v>
      </c>
      <c r="B244" s="39"/>
      <c r="C244" s="39"/>
    </row>
    <row r="245" spans="1:4" x14ac:dyDescent="0.15">
      <c r="A245" s="39" t="s">
        <v>6</v>
      </c>
    </row>
    <row r="246" spans="1:4" x14ac:dyDescent="0.15">
      <c r="A246" t="s">
        <v>7</v>
      </c>
    </row>
    <row r="248" spans="1:4" s="39" customFormat="1" x14ac:dyDescent="0.15">
      <c r="B248" s="35"/>
    </row>
    <row r="249" spans="1:4" s="39" customFormat="1" x14ac:dyDescent="0.15">
      <c r="A249" s="35" t="s">
        <v>32</v>
      </c>
      <c r="B249" s="35"/>
    </row>
    <row r="250" spans="1:4" s="39" customFormat="1" x14ac:dyDescent="0.15">
      <c r="A250" s="39" t="s">
        <v>12</v>
      </c>
      <c r="B250" s="35"/>
    </row>
    <row r="251" spans="1:4" s="39" customFormat="1" x14ac:dyDescent="0.15">
      <c r="B251" s="35" t="s">
        <v>14</v>
      </c>
    </row>
    <row r="252" spans="1:4" s="39" customFormat="1" x14ac:dyDescent="0.15">
      <c r="B252" s="39" t="s">
        <v>16</v>
      </c>
    </row>
    <row r="253" spans="1:4" s="39" customFormat="1" x14ac:dyDescent="0.15"/>
    <row r="254" spans="1:4" s="39" customFormat="1" x14ac:dyDescent="0.15">
      <c r="B254" s="35" t="s">
        <v>18</v>
      </c>
    </row>
    <row r="255" spans="1:4" s="39" customFormat="1" x14ac:dyDescent="0.15">
      <c r="B255" s="39" t="s">
        <v>20</v>
      </c>
    </row>
    <row r="256" spans="1:4" s="39" customFormat="1" x14ac:dyDescent="0.15">
      <c r="B256" s="35"/>
    </row>
    <row r="257" spans="1:16" s="39" customFormat="1" x14ac:dyDescent="0.15">
      <c r="A257" s="35"/>
      <c r="B257" s="35" t="s">
        <v>23</v>
      </c>
    </row>
    <row r="258" spans="1:16" s="39" customFormat="1" x14ac:dyDescent="0.15">
      <c r="B258" s="39" t="s">
        <v>25</v>
      </c>
    </row>
    <row r="259" spans="1:16" s="39" customFormat="1" x14ac:dyDescent="0.15">
      <c r="B259" s="39" t="s">
        <v>27</v>
      </c>
    </row>
    <row r="260" spans="1:16" s="39" customFormat="1" x14ac:dyDescent="0.15">
      <c r="C260" s="39" t="s">
        <v>29</v>
      </c>
    </row>
    <row r="261" spans="1:16" s="39" customFormat="1" x14ac:dyDescent="0.15">
      <c r="C261" s="39" t="s">
        <v>31</v>
      </c>
    </row>
    <row r="262" spans="1:16" s="39" customFormat="1" x14ac:dyDescent="0.15">
      <c r="C262" s="39" t="s">
        <v>34</v>
      </c>
    </row>
    <row r="263" spans="1:16" s="39" customFormat="1" x14ac:dyDescent="0.15"/>
    <row r="264" spans="1:16" s="39" customFormat="1" x14ac:dyDescent="0.15">
      <c r="B264" s="35" t="s">
        <v>37</v>
      </c>
    </row>
    <row r="265" spans="1:16" s="39" customFormat="1" x14ac:dyDescent="0.15">
      <c r="B265" s="39" t="s">
        <v>39</v>
      </c>
    </row>
    <row r="266" spans="1:16" s="39" customFormat="1" x14ac:dyDescent="0.15">
      <c r="B266" s="39" t="s">
        <v>41</v>
      </c>
    </row>
    <row r="267" spans="1:16" s="39" customFormat="1" x14ac:dyDescent="0.15">
      <c r="B267" s="39" t="s">
        <v>43</v>
      </c>
    </row>
    <row r="268" spans="1:16" x14ac:dyDescent="0.15">
      <c r="N268" s="39"/>
      <c r="O268" s="39"/>
      <c r="P268" s="39"/>
    </row>
    <row r="269" spans="1:16" x14ac:dyDescent="0.15">
      <c r="A269" s="35" t="s">
        <v>36</v>
      </c>
    </row>
    <row r="270" spans="1:16" x14ac:dyDescent="0.15">
      <c r="A270" s="39" t="s">
        <v>120</v>
      </c>
      <c r="B270" s="39" t="s">
        <v>121</v>
      </c>
    </row>
    <row r="271" spans="1:16" x14ac:dyDescent="0.15">
      <c r="A271" s="39" t="s">
        <v>122</v>
      </c>
      <c r="B271" s="39" t="s">
        <v>123</v>
      </c>
      <c r="C271" s="35"/>
    </row>
    <row r="272" spans="1:16" x14ac:dyDescent="0.15">
      <c r="A272" s="39" t="s">
        <v>124</v>
      </c>
      <c r="B272" s="39" t="s">
        <v>125</v>
      </c>
    </row>
    <row r="273" spans="1:9" x14ac:dyDescent="0.15">
      <c r="A273" s="39" t="s">
        <v>126</v>
      </c>
      <c r="B273" s="39" t="s">
        <v>127</v>
      </c>
    </row>
    <row r="274" spans="1:9" x14ac:dyDescent="0.15">
      <c r="A274" s="39" t="s">
        <v>128</v>
      </c>
      <c r="B274" s="39" t="s">
        <v>129</v>
      </c>
    </row>
    <row r="275" spans="1:9" x14ac:dyDescent="0.15">
      <c r="A275" s="39"/>
      <c r="B275" s="39"/>
    </row>
    <row r="276" spans="1:9" x14ac:dyDescent="0.15">
      <c r="A276" s="39" t="s">
        <v>130</v>
      </c>
      <c r="B276" s="39" t="s">
        <v>14</v>
      </c>
      <c r="C276" s="39" t="s">
        <v>131</v>
      </c>
    </row>
    <row r="277" spans="1:9" x14ac:dyDescent="0.15">
      <c r="B277" s="39" t="s">
        <v>18</v>
      </c>
      <c r="C277" s="39" t="s">
        <v>132</v>
      </c>
    </row>
    <row r="278" spans="1:9" x14ac:dyDescent="0.15">
      <c r="B278" s="39" t="s">
        <v>23</v>
      </c>
      <c r="C278" s="39" t="s">
        <v>133</v>
      </c>
    </row>
    <row r="279" spans="1:9" x14ac:dyDescent="0.15">
      <c r="B279" s="39"/>
      <c r="C279" s="39"/>
      <c r="D279" s="35" t="s">
        <v>134</v>
      </c>
      <c r="E279" s="35"/>
      <c r="F279" s="35" t="s">
        <v>135</v>
      </c>
      <c r="H279" s="35" t="s">
        <v>136</v>
      </c>
    </row>
    <row r="280" spans="1:9" x14ac:dyDescent="0.15">
      <c r="D280" s="39" t="s">
        <v>137</v>
      </c>
      <c r="F280" s="39" t="s">
        <v>138</v>
      </c>
      <c r="H280" s="39" t="s">
        <v>139</v>
      </c>
      <c r="I280" s="39" t="s">
        <v>140</v>
      </c>
    </row>
    <row r="281" spans="1:9" x14ac:dyDescent="0.15">
      <c r="D281" s="39" t="s">
        <v>141</v>
      </c>
      <c r="F281" s="39" t="s">
        <v>142</v>
      </c>
      <c r="H281" s="39" t="s">
        <v>143</v>
      </c>
      <c r="I281" s="39" t="s">
        <v>144</v>
      </c>
    </row>
    <row r="282" spans="1:9" x14ac:dyDescent="0.15">
      <c r="D282" s="39" t="s">
        <v>145</v>
      </c>
      <c r="F282" s="39" t="s">
        <v>145</v>
      </c>
      <c r="H282" s="39" t="s">
        <v>146</v>
      </c>
      <c r="I282" s="39" t="s">
        <v>147</v>
      </c>
    </row>
    <row r="283" spans="1:9" x14ac:dyDescent="0.15">
      <c r="D283" s="39" t="s">
        <v>148</v>
      </c>
      <c r="F283" s="39" t="s">
        <v>149</v>
      </c>
    </row>
    <row r="284" spans="1:9" x14ac:dyDescent="0.15">
      <c r="D284" s="39" t="s">
        <v>150</v>
      </c>
      <c r="F284" s="39" t="s">
        <v>151</v>
      </c>
    </row>
    <row r="285" spans="1:9" x14ac:dyDescent="0.15">
      <c r="C285" s="35"/>
      <c r="D285" s="39" t="s">
        <v>152</v>
      </c>
      <c r="F285" s="39" t="s">
        <v>153</v>
      </c>
    </row>
    <row r="286" spans="1:9" x14ac:dyDescent="0.15">
      <c r="D286" s="39" t="s">
        <v>154</v>
      </c>
      <c r="F286" s="39" t="s">
        <v>155</v>
      </c>
    </row>
    <row r="287" spans="1:9" x14ac:dyDescent="0.15">
      <c r="D287" s="39" t="s">
        <v>156</v>
      </c>
      <c r="F287" s="39" t="s">
        <v>157</v>
      </c>
    </row>
    <row r="288" spans="1:9" x14ac:dyDescent="0.15">
      <c r="D288" s="39" t="s">
        <v>158</v>
      </c>
      <c r="F288" s="39" t="s">
        <v>159</v>
      </c>
    </row>
    <row r="289" spans="1:6" x14ac:dyDescent="0.15">
      <c r="D289" s="39" t="s">
        <v>160</v>
      </c>
      <c r="F289" s="39" t="s">
        <v>140</v>
      </c>
    </row>
    <row r="290" spans="1:6" x14ac:dyDescent="0.15">
      <c r="D290" s="39" t="s">
        <v>161</v>
      </c>
      <c r="F290" s="39" t="s">
        <v>162</v>
      </c>
    </row>
    <row r="291" spans="1:6" x14ac:dyDescent="0.15">
      <c r="B291" s="39" t="s">
        <v>37</v>
      </c>
      <c r="C291" s="39" t="s">
        <v>163</v>
      </c>
    </row>
    <row r="292" spans="1:6" x14ac:dyDescent="0.15">
      <c r="D292" s="35" t="s">
        <v>136</v>
      </c>
    </row>
    <row r="293" spans="1:6" x14ac:dyDescent="0.15">
      <c r="D293" s="39" t="s">
        <v>139</v>
      </c>
      <c r="E293" s="39" t="s">
        <v>140</v>
      </c>
    </row>
    <row r="294" spans="1:6" x14ac:dyDescent="0.15">
      <c r="D294" s="39" t="s">
        <v>143</v>
      </c>
      <c r="E294" s="39" t="s">
        <v>164</v>
      </c>
    </row>
    <row r="295" spans="1:6" x14ac:dyDescent="0.15">
      <c r="D295" s="39" t="s">
        <v>146</v>
      </c>
      <c r="E295" s="39" t="s">
        <v>165</v>
      </c>
    </row>
    <row r="297" spans="1:6" x14ac:dyDescent="0.15">
      <c r="B297" s="39" t="s">
        <v>105</v>
      </c>
      <c r="C297" s="39" t="s">
        <v>166</v>
      </c>
    </row>
    <row r="299" spans="1:6" x14ac:dyDescent="0.15">
      <c r="A299" s="39" t="s">
        <v>167</v>
      </c>
      <c r="B299" s="39" t="s">
        <v>168</v>
      </c>
      <c r="C299" s="35"/>
    </row>
    <row r="300" spans="1:6" x14ac:dyDescent="0.15">
      <c r="A300" s="39" t="s">
        <v>169</v>
      </c>
      <c r="B300" s="39" t="s">
        <v>170</v>
      </c>
    </row>
    <row r="301" spans="1:6" x14ac:dyDescent="0.15">
      <c r="A301" s="39" t="s">
        <v>171</v>
      </c>
      <c r="B301" s="39" t="s">
        <v>172</v>
      </c>
    </row>
    <row r="302" spans="1:6" x14ac:dyDescent="0.15">
      <c r="A302" s="39"/>
      <c r="B302" s="39"/>
    </row>
    <row r="303" spans="1:6" x14ac:dyDescent="0.15">
      <c r="A303" s="39" t="s">
        <v>173</v>
      </c>
      <c r="B303" s="39" t="s">
        <v>14</v>
      </c>
      <c r="C303" s="39" t="s">
        <v>174</v>
      </c>
    </row>
    <row r="304" spans="1:6" x14ac:dyDescent="0.15">
      <c r="B304" s="39" t="s">
        <v>18</v>
      </c>
      <c r="C304" s="39" t="s">
        <v>175</v>
      </c>
    </row>
    <row r="305" spans="2:10" x14ac:dyDescent="0.15">
      <c r="B305" s="39" t="s">
        <v>23</v>
      </c>
      <c r="C305" s="39" t="s">
        <v>176</v>
      </c>
    </row>
    <row r="306" spans="2:10" x14ac:dyDescent="0.15">
      <c r="B306" s="39"/>
      <c r="C306" s="39"/>
      <c r="D306" s="35" t="s">
        <v>134</v>
      </c>
      <c r="E306" s="35"/>
      <c r="F306" s="35" t="s">
        <v>135</v>
      </c>
      <c r="H306" s="35" t="s">
        <v>136</v>
      </c>
    </row>
    <row r="307" spans="2:10" x14ac:dyDescent="0.15">
      <c r="D307" s="39" t="s">
        <v>137</v>
      </c>
      <c r="F307" s="39" t="s">
        <v>138</v>
      </c>
      <c r="H307" s="39" t="s">
        <v>139</v>
      </c>
      <c r="I307" s="39" t="s">
        <v>140</v>
      </c>
    </row>
    <row r="308" spans="2:10" x14ac:dyDescent="0.15">
      <c r="D308" s="39" t="s">
        <v>141</v>
      </c>
      <c r="F308" s="39" t="s">
        <v>142</v>
      </c>
      <c r="H308" s="39" t="s">
        <v>143</v>
      </c>
      <c r="I308" s="39" t="s">
        <v>144</v>
      </c>
    </row>
    <row r="309" spans="2:10" x14ac:dyDescent="0.15">
      <c r="D309" s="39" t="s">
        <v>145</v>
      </c>
      <c r="F309" s="39" t="s">
        <v>145</v>
      </c>
      <c r="H309" s="39" t="s">
        <v>146</v>
      </c>
      <c r="I309" s="39" t="s">
        <v>147</v>
      </c>
    </row>
    <row r="310" spans="2:10" x14ac:dyDescent="0.15">
      <c r="D310" s="39" t="s">
        <v>148</v>
      </c>
      <c r="F310" s="39" t="s">
        <v>149</v>
      </c>
      <c r="J310" s="63"/>
    </row>
    <row r="311" spans="2:10" x14ac:dyDescent="0.15">
      <c r="D311" s="39" t="s">
        <v>150</v>
      </c>
      <c r="F311" s="39" t="s">
        <v>151</v>
      </c>
      <c r="J311" s="63"/>
    </row>
    <row r="312" spans="2:10" x14ac:dyDescent="0.15">
      <c r="C312" s="35"/>
      <c r="D312" s="39" t="s">
        <v>152</v>
      </c>
      <c r="F312" s="39" t="s">
        <v>153</v>
      </c>
      <c r="J312" s="63"/>
    </row>
    <row r="313" spans="2:10" x14ac:dyDescent="0.15">
      <c r="D313" s="39" t="s">
        <v>154</v>
      </c>
      <c r="F313" s="39" t="s">
        <v>155</v>
      </c>
    </row>
    <row r="314" spans="2:10" x14ac:dyDescent="0.15">
      <c r="D314" s="39" t="s">
        <v>156</v>
      </c>
      <c r="F314" s="39" t="s">
        <v>157</v>
      </c>
    </row>
    <row r="315" spans="2:10" x14ac:dyDescent="0.15">
      <c r="D315" s="39" t="s">
        <v>158</v>
      </c>
      <c r="F315" s="39" t="s">
        <v>159</v>
      </c>
    </row>
    <row r="316" spans="2:10" x14ac:dyDescent="0.15">
      <c r="D316" s="39" t="s">
        <v>160</v>
      </c>
      <c r="F316" s="39" t="s">
        <v>140</v>
      </c>
    </row>
    <row r="317" spans="2:10" x14ac:dyDescent="0.15">
      <c r="D317" s="39" t="s">
        <v>161</v>
      </c>
      <c r="F317" s="39" t="s">
        <v>162</v>
      </c>
    </row>
    <row r="318" spans="2:10" x14ac:dyDescent="0.15">
      <c r="B318" s="39" t="s">
        <v>37</v>
      </c>
      <c r="C318" s="39" t="s">
        <v>177</v>
      </c>
    </row>
    <row r="319" spans="2:10" x14ac:dyDescent="0.15">
      <c r="D319" s="35" t="s">
        <v>136</v>
      </c>
    </row>
    <row r="320" spans="2:10" x14ac:dyDescent="0.15">
      <c r="D320" s="39" t="s">
        <v>139</v>
      </c>
      <c r="E320" s="39" t="s">
        <v>140</v>
      </c>
    </row>
    <row r="321" spans="1:9" x14ac:dyDescent="0.15">
      <c r="D321" s="39" t="s">
        <v>143</v>
      </c>
      <c r="E321" s="39" t="s">
        <v>164</v>
      </c>
    </row>
    <row r="322" spans="1:9" x14ac:dyDescent="0.15">
      <c r="D322" s="39" t="s">
        <v>146</v>
      </c>
      <c r="E322" s="39" t="s">
        <v>165</v>
      </c>
    </row>
    <row r="324" spans="1:9" x14ac:dyDescent="0.15">
      <c r="B324" s="39" t="s">
        <v>105</v>
      </c>
      <c r="C324" s="39" t="s">
        <v>166</v>
      </c>
    </row>
    <row r="326" spans="1:9" x14ac:dyDescent="0.15">
      <c r="A326" s="39" t="s">
        <v>178</v>
      </c>
      <c r="B326" s="39" t="s">
        <v>179</v>
      </c>
      <c r="C326" s="35"/>
    </row>
    <row r="327" spans="1:9" x14ac:dyDescent="0.15">
      <c r="A327" s="39" t="s">
        <v>180</v>
      </c>
      <c r="B327" s="39" t="s">
        <v>125</v>
      </c>
    </row>
    <row r="328" spans="1:9" x14ac:dyDescent="0.15">
      <c r="A328" s="39" t="s">
        <v>181</v>
      </c>
      <c r="B328" s="39" t="s">
        <v>182</v>
      </c>
    </row>
    <row r="329" spans="1:9" x14ac:dyDescent="0.15">
      <c r="A329" s="39" t="s">
        <v>183</v>
      </c>
      <c r="B329" s="39" t="s">
        <v>184</v>
      </c>
    </row>
    <row r="330" spans="1:9" x14ac:dyDescent="0.15">
      <c r="A330" s="39"/>
      <c r="B330" s="39"/>
    </row>
    <row r="331" spans="1:9" x14ac:dyDescent="0.15">
      <c r="A331" s="39" t="s">
        <v>185</v>
      </c>
      <c r="B331" s="39" t="s">
        <v>14</v>
      </c>
      <c r="C331" s="39" t="s">
        <v>186</v>
      </c>
    </row>
    <row r="332" spans="1:9" x14ac:dyDescent="0.15">
      <c r="B332" s="39" t="s">
        <v>18</v>
      </c>
      <c r="C332" s="39" t="s">
        <v>187</v>
      </c>
    </row>
    <row r="333" spans="1:9" x14ac:dyDescent="0.15">
      <c r="B333" s="39" t="s">
        <v>23</v>
      </c>
      <c r="C333" s="39" t="s">
        <v>188</v>
      </c>
    </row>
    <row r="334" spans="1:9" x14ac:dyDescent="0.15">
      <c r="B334" s="39"/>
      <c r="C334" s="39"/>
      <c r="D334" s="35" t="s">
        <v>134</v>
      </c>
      <c r="E334" s="35"/>
      <c r="F334" s="35" t="s">
        <v>135</v>
      </c>
      <c r="H334" s="35" t="s">
        <v>136</v>
      </c>
    </row>
    <row r="335" spans="1:9" x14ac:dyDescent="0.15">
      <c r="D335" s="39" t="s">
        <v>137</v>
      </c>
      <c r="F335" s="39" t="s">
        <v>138</v>
      </c>
      <c r="H335" s="39" t="s">
        <v>139</v>
      </c>
      <c r="I335" s="39" t="s">
        <v>140</v>
      </c>
    </row>
    <row r="336" spans="1:9" x14ac:dyDescent="0.15">
      <c r="D336" s="39" t="s">
        <v>141</v>
      </c>
      <c r="F336" s="39" t="s">
        <v>142</v>
      </c>
      <c r="H336" s="39" t="s">
        <v>143</v>
      </c>
      <c r="I336" s="39" t="s">
        <v>144</v>
      </c>
    </row>
    <row r="337" spans="2:9" x14ac:dyDescent="0.15">
      <c r="D337" s="39" t="s">
        <v>145</v>
      </c>
      <c r="F337" s="39" t="s">
        <v>145</v>
      </c>
      <c r="H337" s="39" t="s">
        <v>146</v>
      </c>
      <c r="I337" s="39" t="s">
        <v>147</v>
      </c>
    </row>
    <row r="338" spans="2:9" x14ac:dyDescent="0.15">
      <c r="D338" s="39" t="s">
        <v>150</v>
      </c>
      <c r="F338" s="39" t="s">
        <v>151</v>
      </c>
    </row>
    <row r="339" spans="2:9" x14ac:dyDescent="0.15">
      <c r="C339" s="35"/>
      <c r="D339" s="39" t="s">
        <v>152</v>
      </c>
      <c r="F339" s="39" t="s">
        <v>153</v>
      </c>
    </row>
    <row r="340" spans="2:9" x14ac:dyDescent="0.15">
      <c r="D340" s="39" t="s">
        <v>154</v>
      </c>
      <c r="F340" s="39" t="s">
        <v>155</v>
      </c>
    </row>
    <row r="341" spans="2:9" x14ac:dyDescent="0.15">
      <c r="D341" s="39" t="s">
        <v>156</v>
      </c>
      <c r="F341" s="39" t="s">
        <v>157</v>
      </c>
    </row>
    <row r="342" spans="2:9" x14ac:dyDescent="0.15">
      <c r="D342" s="39" t="s">
        <v>158</v>
      </c>
      <c r="F342" s="39" t="s">
        <v>159</v>
      </c>
    </row>
    <row r="343" spans="2:9" x14ac:dyDescent="0.15">
      <c r="D343" s="39" t="s">
        <v>189</v>
      </c>
      <c r="F343" s="39" t="s">
        <v>190</v>
      </c>
    </row>
    <row r="344" spans="2:9" x14ac:dyDescent="0.15">
      <c r="D344" s="39" t="s">
        <v>160</v>
      </c>
      <c r="F344" s="39" t="s">
        <v>140</v>
      </c>
    </row>
    <row r="345" spans="2:9" x14ac:dyDescent="0.15">
      <c r="D345" s="39" t="s">
        <v>161</v>
      </c>
      <c r="F345" s="39" t="s">
        <v>162</v>
      </c>
    </row>
    <row r="346" spans="2:9" x14ac:dyDescent="0.15">
      <c r="B346" s="39" t="s">
        <v>37</v>
      </c>
      <c r="C346" s="39" t="s">
        <v>177</v>
      </c>
    </row>
    <row r="347" spans="2:9" x14ac:dyDescent="0.15">
      <c r="D347" s="35" t="s">
        <v>136</v>
      </c>
    </row>
    <row r="348" spans="2:9" x14ac:dyDescent="0.15">
      <c r="D348" s="39" t="s">
        <v>139</v>
      </c>
      <c r="E348" s="39" t="s">
        <v>140</v>
      </c>
    </row>
    <row r="349" spans="2:9" x14ac:dyDescent="0.15">
      <c r="D349" s="39" t="s">
        <v>143</v>
      </c>
      <c r="E349" s="39" t="s">
        <v>164</v>
      </c>
    </row>
    <row r="350" spans="2:9" x14ac:dyDescent="0.15">
      <c r="D350" s="39" t="s">
        <v>146</v>
      </c>
      <c r="E350" s="39" t="s">
        <v>165</v>
      </c>
    </row>
    <row r="352" spans="2:9" x14ac:dyDescent="0.15">
      <c r="B352" s="39" t="s">
        <v>105</v>
      </c>
      <c r="C352" s="39" t="s">
        <v>166</v>
      </c>
    </row>
    <row r="354" spans="1:9" x14ac:dyDescent="0.15">
      <c r="A354" s="39" t="s">
        <v>191</v>
      </c>
      <c r="B354" s="39" t="s">
        <v>192</v>
      </c>
      <c r="C354" s="35"/>
    </row>
    <row r="355" spans="1:9" x14ac:dyDescent="0.15">
      <c r="A355" s="39" t="s">
        <v>193</v>
      </c>
      <c r="B355" s="39" t="s">
        <v>182</v>
      </c>
    </row>
    <row r="356" spans="1:9" x14ac:dyDescent="0.15">
      <c r="A356" s="39" t="s">
        <v>194</v>
      </c>
      <c r="B356" s="39" t="s">
        <v>184</v>
      </c>
    </row>
    <row r="357" spans="1:9" x14ac:dyDescent="0.15">
      <c r="A357" s="39"/>
      <c r="B357" s="39"/>
    </row>
    <row r="358" spans="1:9" x14ac:dyDescent="0.15">
      <c r="A358" s="39" t="s">
        <v>195</v>
      </c>
      <c r="B358" s="39" t="s">
        <v>14</v>
      </c>
      <c r="C358" s="39" t="s">
        <v>186</v>
      </c>
    </row>
    <row r="359" spans="1:9" x14ac:dyDescent="0.15">
      <c r="B359" s="39" t="s">
        <v>18</v>
      </c>
      <c r="C359" s="39" t="s">
        <v>187</v>
      </c>
    </row>
    <row r="360" spans="1:9" x14ac:dyDescent="0.15">
      <c r="B360" s="39" t="s">
        <v>23</v>
      </c>
      <c r="C360" s="39" t="s">
        <v>188</v>
      </c>
    </row>
    <row r="361" spans="1:9" x14ac:dyDescent="0.15">
      <c r="B361" s="39"/>
      <c r="C361" s="39"/>
      <c r="D361" s="35" t="s">
        <v>134</v>
      </c>
      <c r="E361" s="35"/>
      <c r="F361" s="35" t="s">
        <v>135</v>
      </c>
      <c r="H361" s="35" t="s">
        <v>136</v>
      </c>
    </row>
    <row r="362" spans="1:9" x14ac:dyDescent="0.15">
      <c r="D362" s="39" t="s">
        <v>137</v>
      </c>
      <c r="F362" s="39" t="s">
        <v>138</v>
      </c>
      <c r="H362" s="39" t="s">
        <v>139</v>
      </c>
      <c r="I362" s="39" t="s">
        <v>140</v>
      </c>
    </row>
    <row r="363" spans="1:9" x14ac:dyDescent="0.15">
      <c r="D363" s="39" t="s">
        <v>141</v>
      </c>
      <c r="F363" s="39" t="s">
        <v>142</v>
      </c>
      <c r="H363" s="39" t="s">
        <v>143</v>
      </c>
      <c r="I363" s="39" t="s">
        <v>144</v>
      </c>
    </row>
    <row r="364" spans="1:9" x14ac:dyDescent="0.15">
      <c r="D364" s="39" t="s">
        <v>145</v>
      </c>
      <c r="F364" s="39" t="s">
        <v>145</v>
      </c>
      <c r="H364" s="39" t="s">
        <v>146</v>
      </c>
      <c r="I364" s="39" t="s">
        <v>147</v>
      </c>
    </row>
    <row r="365" spans="1:9" x14ac:dyDescent="0.15">
      <c r="D365" s="39" t="s">
        <v>150</v>
      </c>
      <c r="F365" s="39" t="s">
        <v>151</v>
      </c>
    </row>
    <row r="366" spans="1:9" x14ac:dyDescent="0.15">
      <c r="C366" s="35"/>
      <c r="D366" s="39" t="s">
        <v>152</v>
      </c>
      <c r="F366" s="39" t="s">
        <v>153</v>
      </c>
    </row>
    <row r="367" spans="1:9" x14ac:dyDescent="0.15">
      <c r="D367" s="39" t="s">
        <v>154</v>
      </c>
      <c r="F367" s="39" t="s">
        <v>155</v>
      </c>
    </row>
    <row r="368" spans="1:9" x14ac:dyDescent="0.15">
      <c r="D368" s="39" t="s">
        <v>156</v>
      </c>
      <c r="F368" s="39" t="s">
        <v>157</v>
      </c>
    </row>
    <row r="369" spans="1:16" x14ac:dyDescent="0.15">
      <c r="D369" s="39" t="s">
        <v>158</v>
      </c>
      <c r="F369" s="39" t="s">
        <v>159</v>
      </c>
    </row>
    <row r="370" spans="1:16" x14ac:dyDescent="0.15">
      <c r="D370" s="39" t="s">
        <v>189</v>
      </c>
      <c r="F370" s="39" t="s">
        <v>190</v>
      </c>
    </row>
    <row r="371" spans="1:16" x14ac:dyDescent="0.15">
      <c r="D371" s="39" t="s">
        <v>160</v>
      </c>
      <c r="F371" s="39" t="s">
        <v>140</v>
      </c>
    </row>
    <row r="372" spans="1:16" x14ac:dyDescent="0.15">
      <c r="D372" s="39" t="s">
        <v>161</v>
      </c>
      <c r="F372" s="39" t="s">
        <v>162</v>
      </c>
    </row>
    <row r="373" spans="1:16" x14ac:dyDescent="0.15">
      <c r="B373" s="39" t="s">
        <v>37</v>
      </c>
      <c r="C373" s="39" t="s">
        <v>177</v>
      </c>
    </row>
    <row r="374" spans="1:16" x14ac:dyDescent="0.15">
      <c r="D374" s="35" t="s">
        <v>136</v>
      </c>
    </row>
    <row r="375" spans="1:16" x14ac:dyDescent="0.15">
      <c r="D375" s="39" t="s">
        <v>139</v>
      </c>
      <c r="E375" s="39" t="s">
        <v>140</v>
      </c>
    </row>
    <row r="376" spans="1:16" x14ac:dyDescent="0.15">
      <c r="D376" s="39" t="s">
        <v>143</v>
      </c>
      <c r="E376" s="39" t="s">
        <v>164</v>
      </c>
    </row>
    <row r="377" spans="1:16" x14ac:dyDescent="0.15">
      <c r="D377" s="39" t="s">
        <v>146</v>
      </c>
      <c r="E377" s="39" t="s">
        <v>165</v>
      </c>
    </row>
    <row r="379" spans="1:16" x14ac:dyDescent="0.15">
      <c r="B379" s="39" t="s">
        <v>105</v>
      </c>
      <c r="C379" s="39" t="s">
        <v>166</v>
      </c>
    </row>
    <row r="381" spans="1:16" x14ac:dyDescent="0.15">
      <c r="A381" s="39" t="s">
        <v>196</v>
      </c>
      <c r="B381" s="39" t="s">
        <v>197</v>
      </c>
      <c r="C381" s="39"/>
    </row>
    <row r="382" spans="1:16" x14ac:dyDescent="0.15">
      <c r="A382" s="39" t="s">
        <v>198</v>
      </c>
      <c r="B382" s="39" t="s">
        <v>199</v>
      </c>
      <c r="C382" s="35"/>
    </row>
    <row r="383" spans="1:16" s="35" customFormat="1" x14ac:dyDescent="0.15"/>
    <row r="384" spans="1:16" x14ac:dyDescent="0.15">
      <c r="B384" s="39" t="s">
        <v>105</v>
      </c>
      <c r="C384" s="39" t="s">
        <v>166</v>
      </c>
      <c r="P384" s="35"/>
    </row>
    <row r="385" spans="1:15" x14ac:dyDescent="0.15">
      <c r="B385" s="39"/>
      <c r="C385" s="39"/>
      <c r="N385" s="35"/>
      <c r="O385" s="35"/>
    </row>
    <row r="387" spans="1:15" x14ac:dyDescent="0.15">
      <c r="A387" s="35" t="s">
        <v>230</v>
      </c>
      <c r="D387" s="35"/>
      <c r="E387" s="35"/>
    </row>
    <row r="388" spans="1:15" x14ac:dyDescent="0.15">
      <c r="A388" s="39" t="s">
        <v>215</v>
      </c>
      <c r="B388" s="35"/>
      <c r="C388" s="35"/>
    </row>
    <row r="389" spans="1:15" x14ac:dyDescent="0.15">
      <c r="A389" s="39" t="s">
        <v>206</v>
      </c>
      <c r="B389" s="35"/>
      <c r="C389" s="35"/>
    </row>
    <row r="390" spans="1:15" x14ac:dyDescent="0.15">
      <c r="A390" t="s">
        <v>203</v>
      </c>
      <c r="B390" s="35"/>
      <c r="C390" s="35"/>
      <c r="D390" s="35"/>
      <c r="E390" s="35"/>
    </row>
    <row r="391" spans="1:15" x14ac:dyDescent="0.15">
      <c r="B391" s="35"/>
      <c r="C391" s="35"/>
      <c r="D391" s="35"/>
      <c r="E391" s="35"/>
    </row>
    <row r="392" spans="1:15" x14ac:dyDescent="0.15">
      <c r="A392" s="35" t="s">
        <v>40</v>
      </c>
    </row>
    <row r="393" spans="1:15" x14ac:dyDescent="0.15">
      <c r="A393" t="s">
        <v>231</v>
      </c>
    </row>
    <row r="394" spans="1:15" x14ac:dyDescent="0.15">
      <c r="A394" t="s">
        <v>203</v>
      </c>
    </row>
    <row r="396" spans="1:15" x14ac:dyDescent="0.15">
      <c r="A396" s="35" t="s">
        <v>42</v>
      </c>
    </row>
    <row r="397" spans="1:15" x14ac:dyDescent="0.15">
      <c r="A397" t="s">
        <v>232</v>
      </c>
    </row>
    <row r="399" spans="1:15" x14ac:dyDescent="0.15">
      <c r="A399" s="35" t="s">
        <v>44</v>
      </c>
    </row>
    <row r="400" spans="1:15" x14ac:dyDescent="0.15">
      <c r="A400" s="39" t="s">
        <v>233</v>
      </c>
    </row>
    <row r="401" spans="1:21" x14ac:dyDescent="0.15">
      <c r="A401" t="s">
        <v>203</v>
      </c>
    </row>
    <row r="403" spans="1:21" x14ac:dyDescent="0.15">
      <c r="A403" s="212" t="s">
        <v>234</v>
      </c>
      <c r="B403" s="213"/>
      <c r="C403" s="213"/>
    </row>
    <row r="404" spans="1:21" ht="55.25" customHeight="1" x14ac:dyDescent="0.15">
      <c r="A404" s="291" t="s">
        <v>235</v>
      </c>
      <c r="B404" s="291"/>
      <c r="C404" s="291"/>
      <c r="D404" s="291"/>
      <c r="E404" s="291"/>
    </row>
    <row r="405" spans="1:21" ht="14" x14ac:dyDescent="0.15">
      <c r="A405" s="214" t="s">
        <v>236</v>
      </c>
      <c r="B405" s="214" t="s">
        <v>237</v>
      </c>
      <c r="C405" s="215" t="s">
        <v>238</v>
      </c>
    </row>
    <row r="406" spans="1:21" ht="14" x14ac:dyDescent="0.15">
      <c r="A406" s="214" t="s">
        <v>239</v>
      </c>
      <c r="B406" s="214" t="s">
        <v>240</v>
      </c>
      <c r="C406" s="215" t="s">
        <v>241</v>
      </c>
    </row>
    <row r="407" spans="1:21" ht="14" x14ac:dyDescent="0.15">
      <c r="A407" s="214" t="s">
        <v>242</v>
      </c>
      <c r="B407" s="278">
        <v>45849</v>
      </c>
      <c r="C407" s="215" t="s">
        <v>243</v>
      </c>
    </row>
    <row r="408" spans="1:21" x14ac:dyDescent="0.15">
      <c r="A408" s="275"/>
      <c r="B408" s="276"/>
      <c r="C408" s="277"/>
    </row>
    <row r="412" spans="1:21" x14ac:dyDescent="0.15">
      <c r="M412" s="39"/>
      <c r="N412" s="39"/>
      <c r="T412" s="39"/>
      <c r="U412" s="39"/>
    </row>
    <row r="413" spans="1:21" x14ac:dyDescent="0.15">
      <c r="M413" s="39"/>
      <c r="N413" s="39"/>
    </row>
    <row r="429" spans="14:16" s="35" customFormat="1" x14ac:dyDescent="0.15"/>
    <row r="430" spans="14:16" s="35" customFormat="1" x14ac:dyDescent="0.15"/>
    <row r="431" spans="14:16" s="35" customFormat="1" x14ac:dyDescent="0.15"/>
    <row r="432" spans="14:16" x14ac:dyDescent="0.15">
      <c r="N432" s="35"/>
      <c r="O432" s="35"/>
      <c r="P432" s="35"/>
    </row>
    <row r="433" spans="14:16" x14ac:dyDescent="0.15">
      <c r="N433" s="35"/>
      <c r="O433" s="35"/>
    </row>
    <row r="434" spans="14:16" s="35" customFormat="1" x14ac:dyDescent="0.15"/>
    <row r="435" spans="14:16" s="35" customFormat="1" x14ac:dyDescent="0.15"/>
    <row r="436" spans="14:16" s="35" customFormat="1" x14ac:dyDescent="0.15"/>
    <row r="437" spans="14:16" s="35" customFormat="1" x14ac:dyDescent="0.15"/>
    <row r="438" spans="14:16" s="35" customFormat="1" x14ac:dyDescent="0.15"/>
    <row r="439" spans="14:16" s="35" customFormat="1" x14ac:dyDescent="0.15"/>
    <row r="440" spans="14:16" s="35" customFormat="1" x14ac:dyDescent="0.15"/>
    <row r="441" spans="14:16" x14ac:dyDescent="0.15">
      <c r="N441" s="35"/>
      <c r="O441" s="35"/>
      <c r="P441" s="35"/>
    </row>
    <row r="442" spans="14:16" x14ac:dyDescent="0.15">
      <c r="N442" s="35"/>
      <c r="O442" s="35"/>
    </row>
    <row r="443" spans="14:16" s="35" customFormat="1" x14ac:dyDescent="0.15"/>
    <row r="444" spans="14:16" s="35" customFormat="1" x14ac:dyDescent="0.15"/>
    <row r="445" spans="14:16" s="35" customFormat="1" x14ac:dyDescent="0.15"/>
    <row r="446" spans="14:16" x14ac:dyDescent="0.15">
      <c r="N446" s="35"/>
      <c r="O446" s="35"/>
      <c r="P446" s="35"/>
    </row>
    <row r="447" spans="14:16" x14ac:dyDescent="0.15">
      <c r="N447" s="35"/>
      <c r="O447" s="35"/>
    </row>
    <row r="448" spans="14:16" s="35" customFormat="1" x14ac:dyDescent="0.15"/>
    <row r="449" spans="14:16" s="35" customFormat="1" x14ac:dyDescent="0.15"/>
    <row r="450" spans="14:16" s="35" customFormat="1" x14ac:dyDescent="0.15"/>
    <row r="451" spans="14:16" s="35" customFormat="1" x14ac:dyDescent="0.15"/>
    <row r="452" spans="14:16" s="35" customFormat="1" x14ac:dyDescent="0.15"/>
    <row r="453" spans="14:16" x14ac:dyDescent="0.15">
      <c r="N453" s="35"/>
      <c r="O453" s="35"/>
      <c r="P453" s="35"/>
    </row>
    <row r="454" spans="14:16" x14ac:dyDescent="0.15">
      <c r="N454" s="35"/>
      <c r="O454" s="35"/>
    </row>
    <row r="615" ht="14" customHeight="1" x14ac:dyDescent="0.15"/>
    <row r="616" ht="14" customHeight="1" x14ac:dyDescent="0.15"/>
  </sheetData>
  <mergeCells count="21">
    <mergeCell ref="A404:E404"/>
    <mergeCell ref="O26:P26"/>
    <mergeCell ref="O27:P27"/>
    <mergeCell ref="O28:P28"/>
    <mergeCell ref="O29:P29"/>
    <mergeCell ref="O30:P30"/>
    <mergeCell ref="O21:P21"/>
    <mergeCell ref="O22:P22"/>
    <mergeCell ref="O23:P23"/>
    <mergeCell ref="O24:P24"/>
    <mergeCell ref="O25:P25"/>
    <mergeCell ref="O16:P16"/>
    <mergeCell ref="O17:P17"/>
    <mergeCell ref="O18:P18"/>
    <mergeCell ref="O19:P19"/>
    <mergeCell ref="O20:P20"/>
    <mergeCell ref="O12:P12"/>
    <mergeCell ref="N11:P11"/>
    <mergeCell ref="O13:P13"/>
    <mergeCell ref="O14:P14"/>
    <mergeCell ref="O15:P15"/>
  </mergeCells>
  <phoneticPr fontId="0" type="noConversion"/>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7"/>
  <sheetViews>
    <sheetView tabSelected="1" zoomScale="85" zoomScaleNormal="85" zoomScaleSheetLayoutView="40" zoomScalePageLayoutView="55" workbookViewId="0">
      <selection activeCell="D12" sqref="D12"/>
    </sheetView>
  </sheetViews>
  <sheetFormatPr baseColWidth="10" defaultColWidth="8.83203125" defaultRowHeight="13" x14ac:dyDescent="0.15"/>
  <cols>
    <col min="1" max="2" width="15.5" customWidth="1"/>
    <col min="3" max="3" width="12.5" customWidth="1"/>
    <col min="4" max="4" width="16.5" customWidth="1"/>
    <col min="5" max="5" width="27.5" customWidth="1"/>
    <col min="6" max="6" width="12.5" customWidth="1"/>
    <col min="7" max="7" width="14.5" customWidth="1"/>
    <col min="8" max="8" width="17.5" customWidth="1"/>
    <col min="9" max="9" width="19.5" customWidth="1"/>
    <col min="10" max="10" width="12.5" customWidth="1"/>
    <col min="11" max="11" width="18.5" customWidth="1"/>
    <col min="12" max="12" width="15.5" bestFit="1" customWidth="1"/>
    <col min="13" max="13" width="11.5" customWidth="1"/>
    <col min="14" max="14" width="12.5" customWidth="1"/>
  </cols>
  <sheetData>
    <row r="1" spans="1:14" x14ac:dyDescent="0.15">
      <c r="A1" s="312" t="s">
        <v>244</v>
      </c>
      <c r="B1" s="312"/>
      <c r="C1" s="312"/>
      <c r="D1" s="312"/>
      <c r="E1" s="312"/>
      <c r="F1" s="312"/>
      <c r="G1" s="312"/>
      <c r="H1" s="312"/>
      <c r="I1" s="312"/>
      <c r="J1" s="312"/>
      <c r="K1" s="312"/>
      <c r="L1" s="312"/>
      <c r="M1" s="312"/>
      <c r="N1" s="312"/>
    </row>
    <row r="2" spans="1:14" x14ac:dyDescent="0.15">
      <c r="A2" s="312"/>
      <c r="B2" s="312"/>
      <c r="C2" s="312"/>
      <c r="D2" s="312"/>
      <c r="E2" s="312"/>
      <c r="F2" s="312"/>
      <c r="G2" s="312"/>
      <c r="H2" s="312"/>
      <c r="I2" s="312"/>
      <c r="J2" s="312"/>
      <c r="K2" s="312"/>
      <c r="L2" s="312"/>
      <c r="M2" s="312"/>
      <c r="N2" s="312"/>
    </row>
    <row r="3" spans="1:14" ht="51" x14ac:dyDescent="0.15">
      <c r="A3" s="81" t="s">
        <v>245</v>
      </c>
      <c r="B3" s="315" t="s">
        <v>246</v>
      </c>
      <c r="C3" s="315"/>
      <c r="D3" s="315"/>
      <c r="E3" s="325" t="s">
        <v>247</v>
      </c>
      <c r="F3" s="326"/>
      <c r="G3" s="182"/>
      <c r="H3" s="318" t="s">
        <v>248</v>
      </c>
      <c r="I3" s="318"/>
      <c r="J3" s="322" t="s">
        <v>249</v>
      </c>
      <c r="K3" s="323"/>
      <c r="L3" s="323"/>
      <c r="M3" s="324"/>
      <c r="N3" s="66"/>
    </row>
    <row r="4" spans="1:14" ht="34" x14ac:dyDescent="0.15">
      <c r="A4" s="81" t="s">
        <v>250</v>
      </c>
      <c r="B4" s="315">
        <v>92303</v>
      </c>
      <c r="C4" s="315"/>
      <c r="D4" s="315"/>
      <c r="E4" s="327" t="s">
        <v>251</v>
      </c>
      <c r="F4" s="328"/>
      <c r="G4" s="317">
        <v>46488</v>
      </c>
      <c r="H4" s="317"/>
      <c r="I4" s="66"/>
      <c r="J4" s="66"/>
      <c r="K4" s="66"/>
      <c r="L4" s="66"/>
      <c r="M4" s="66"/>
      <c r="N4" s="66"/>
    </row>
    <row r="6" spans="1:14" ht="16" x14ac:dyDescent="0.15">
      <c r="A6" s="313" t="s">
        <v>252</v>
      </c>
      <c r="B6" s="313"/>
      <c r="C6" s="314"/>
      <c r="D6" s="314"/>
    </row>
    <row r="7" spans="1:14" ht="12.75" customHeight="1" x14ac:dyDescent="0.15">
      <c r="A7" s="319" t="s">
        <v>253</v>
      </c>
      <c r="B7" s="321"/>
      <c r="C7" s="114" t="s">
        <v>254</v>
      </c>
      <c r="D7" s="114"/>
      <c r="E7" s="319" t="s">
        <v>255</v>
      </c>
      <c r="F7" s="320"/>
      <c r="G7" s="321"/>
      <c r="H7" s="319" t="s">
        <v>255</v>
      </c>
      <c r="I7" s="320"/>
      <c r="J7" s="321"/>
    </row>
    <row r="8" spans="1:14" ht="21.75" customHeight="1" x14ac:dyDescent="0.15">
      <c r="A8" s="62" t="s">
        <v>256</v>
      </c>
      <c r="B8" s="62" t="s">
        <v>257</v>
      </c>
      <c r="C8" s="125" t="s">
        <v>256</v>
      </c>
      <c r="D8" s="125" t="s">
        <v>257</v>
      </c>
      <c r="E8" s="125" t="s">
        <v>256</v>
      </c>
      <c r="F8" s="125" t="s">
        <v>257</v>
      </c>
      <c r="G8" s="125" t="s">
        <v>258</v>
      </c>
      <c r="H8" s="125" t="s">
        <v>256</v>
      </c>
      <c r="I8" s="125" t="s">
        <v>257</v>
      </c>
      <c r="J8" s="125" t="s">
        <v>258</v>
      </c>
    </row>
    <row r="9" spans="1:14" ht="191.75" customHeight="1" x14ac:dyDescent="0.15">
      <c r="A9" s="77" t="s">
        <v>259</v>
      </c>
      <c r="B9" s="112" t="s">
        <v>717</v>
      </c>
      <c r="C9" s="77" t="s">
        <v>260</v>
      </c>
      <c r="D9" s="112">
        <v>1001500034</v>
      </c>
      <c r="E9" s="157" t="s">
        <v>261</v>
      </c>
      <c r="F9" s="112">
        <v>1001499559</v>
      </c>
      <c r="G9" s="282" t="s">
        <v>719</v>
      </c>
      <c r="H9" s="157" t="s">
        <v>261</v>
      </c>
      <c r="I9" s="112">
        <v>1001502674</v>
      </c>
      <c r="J9" s="280" t="s">
        <v>722</v>
      </c>
    </row>
    <row r="10" spans="1:14" ht="13.25" customHeight="1" x14ac:dyDescent="0.15">
      <c r="A10" s="330" t="s">
        <v>262</v>
      </c>
      <c r="B10" s="330"/>
      <c r="C10" s="197"/>
      <c r="D10" s="196"/>
      <c r="E10" s="319" t="s">
        <v>255</v>
      </c>
      <c r="F10" s="320"/>
      <c r="G10" s="321"/>
      <c r="H10" s="319" t="s">
        <v>255</v>
      </c>
      <c r="I10" s="320"/>
      <c r="J10" s="321"/>
    </row>
    <row r="11" spans="1:14" ht="13.25" customHeight="1" x14ac:dyDescent="0.15">
      <c r="A11" s="62" t="s">
        <v>256</v>
      </c>
      <c r="B11" s="62" t="s">
        <v>257</v>
      </c>
      <c r="C11" s="82"/>
      <c r="D11" s="82"/>
      <c r="E11" s="125" t="s">
        <v>256</v>
      </c>
      <c r="F11" s="125" t="s">
        <v>257</v>
      </c>
      <c r="G11" s="125" t="s">
        <v>258</v>
      </c>
      <c r="H11" s="125" t="s">
        <v>256</v>
      </c>
      <c r="I11" s="125" t="s">
        <v>257</v>
      </c>
      <c r="J11" s="125" t="s">
        <v>258</v>
      </c>
    </row>
    <row r="12" spans="1:14" ht="192.5" customHeight="1" x14ac:dyDescent="0.15">
      <c r="A12" s="157" t="s">
        <v>263</v>
      </c>
      <c r="B12" s="112" t="s">
        <v>718</v>
      </c>
      <c r="C12" s="158"/>
      <c r="D12" s="64"/>
      <c r="E12" s="157" t="s">
        <v>261</v>
      </c>
      <c r="F12" s="112">
        <v>1001501891</v>
      </c>
      <c r="G12" s="281" t="s">
        <v>723</v>
      </c>
      <c r="H12" s="157" t="s">
        <v>261</v>
      </c>
      <c r="I12" s="279" t="s">
        <v>164</v>
      </c>
      <c r="J12" s="279" t="s">
        <v>164</v>
      </c>
    </row>
    <row r="13" spans="1:14" ht="13.25" customHeight="1" x14ac:dyDescent="0.15">
      <c r="A13" s="329" t="s">
        <v>264</v>
      </c>
      <c r="B13" s="329"/>
      <c r="C13" s="329"/>
      <c r="D13" s="124"/>
      <c r="H13" s="158"/>
      <c r="I13" s="159"/>
      <c r="J13" s="159"/>
    </row>
    <row r="14" spans="1:14" ht="16" x14ac:dyDescent="0.15">
      <c r="A14" s="84" t="s">
        <v>265</v>
      </c>
      <c r="B14" s="58"/>
      <c r="C14" s="58"/>
      <c r="D14" s="58"/>
      <c r="E14" s="58"/>
      <c r="F14" s="58"/>
      <c r="G14" s="58"/>
      <c r="H14" s="58"/>
      <c r="I14" s="58"/>
      <c r="J14" s="58"/>
      <c r="K14" s="58"/>
      <c r="L14" s="58"/>
      <c r="M14" s="58"/>
    </row>
    <row r="15" spans="1:14" ht="14" x14ac:dyDescent="0.15">
      <c r="A15" s="221" t="s">
        <v>266</v>
      </c>
      <c r="B15" s="316" t="s">
        <v>720</v>
      </c>
      <c r="C15" s="292"/>
      <c r="D15" s="292" t="s">
        <v>721</v>
      </c>
      <c r="E15" s="292"/>
      <c r="F15" s="292" t="s">
        <v>1181</v>
      </c>
      <c r="G15" s="292"/>
      <c r="H15" s="352" t="s">
        <v>164</v>
      </c>
      <c r="I15" s="352"/>
      <c r="J15" s="351" t="s">
        <v>164</v>
      </c>
      <c r="K15" s="352"/>
      <c r="L15" s="351" t="s">
        <v>164</v>
      </c>
      <c r="M15" s="353"/>
    </row>
    <row r="16" spans="1:14" ht="28" x14ac:dyDescent="0.15">
      <c r="A16" s="222" t="s">
        <v>267</v>
      </c>
      <c r="B16" s="305">
        <v>45986</v>
      </c>
      <c r="C16" s="306"/>
      <c r="D16" s="306">
        <v>46016</v>
      </c>
      <c r="E16" s="306"/>
      <c r="F16" s="306">
        <v>46047</v>
      </c>
      <c r="G16" s="306"/>
      <c r="H16" s="349" t="s">
        <v>164</v>
      </c>
      <c r="I16" s="350"/>
      <c r="J16" s="349" t="s">
        <v>164</v>
      </c>
      <c r="K16" s="350"/>
      <c r="L16" s="349" t="s">
        <v>164</v>
      </c>
      <c r="M16" s="354"/>
    </row>
    <row r="17" spans="1:17" ht="17" thickBot="1" x14ac:dyDescent="0.2">
      <c r="A17" s="84" t="s">
        <v>268</v>
      </c>
      <c r="B17" s="58"/>
      <c r="C17" s="58"/>
      <c r="D17" s="58"/>
      <c r="E17" s="58"/>
      <c r="F17" s="58"/>
      <c r="G17" s="58"/>
      <c r="H17" s="58"/>
      <c r="I17" s="58"/>
      <c r="J17" s="58"/>
      <c r="K17" s="58"/>
      <c r="L17" s="58"/>
      <c r="M17" s="58"/>
    </row>
    <row r="18" spans="1:17" ht="56" x14ac:dyDescent="0.15">
      <c r="A18" s="221" t="s">
        <v>266</v>
      </c>
      <c r="B18" s="304" t="s">
        <v>1182</v>
      </c>
      <c r="C18" s="296"/>
      <c r="D18" s="296" t="s">
        <v>1183</v>
      </c>
      <c r="E18" s="296"/>
      <c r="F18" s="296" t="s">
        <v>1184</v>
      </c>
      <c r="G18" s="296"/>
      <c r="H18" s="296" t="s">
        <v>1185</v>
      </c>
      <c r="I18" s="296"/>
      <c r="J18" s="296" t="s">
        <v>164</v>
      </c>
      <c r="K18" s="296"/>
      <c r="L18" s="296" t="s">
        <v>164</v>
      </c>
      <c r="M18" s="297"/>
      <c r="O18" s="103" t="s">
        <v>269</v>
      </c>
      <c r="P18" s="292" t="s">
        <v>164</v>
      </c>
      <c r="Q18" s="293"/>
    </row>
    <row r="19" spans="1:17" ht="29" thickBot="1" x14ac:dyDescent="0.2">
      <c r="A19" s="222" t="s">
        <v>267</v>
      </c>
      <c r="B19" s="335" t="s">
        <v>1186</v>
      </c>
      <c r="C19" s="298"/>
      <c r="D19" s="298">
        <v>46023</v>
      </c>
      <c r="E19" s="298"/>
      <c r="F19" s="298">
        <v>46023</v>
      </c>
      <c r="G19" s="298"/>
      <c r="H19" s="298">
        <v>45986</v>
      </c>
      <c r="I19" s="298"/>
      <c r="J19" s="298" t="s">
        <v>164</v>
      </c>
      <c r="K19" s="298"/>
      <c r="L19" s="298" t="s">
        <v>164</v>
      </c>
      <c r="M19" s="299"/>
    </row>
    <row r="20" spans="1:17" ht="13.25" customHeight="1" x14ac:dyDescent="0.15">
      <c r="A20" s="221" t="s">
        <v>266</v>
      </c>
      <c r="B20" s="332" t="s">
        <v>164</v>
      </c>
      <c r="C20" s="300"/>
      <c r="D20" s="300" t="s">
        <v>164</v>
      </c>
      <c r="E20" s="300"/>
      <c r="F20" s="300" t="s">
        <v>164</v>
      </c>
      <c r="G20" s="300"/>
      <c r="H20" s="300" t="s">
        <v>164</v>
      </c>
      <c r="I20" s="300"/>
      <c r="J20" s="300" t="s">
        <v>164</v>
      </c>
      <c r="K20" s="300"/>
      <c r="L20" s="300" t="s">
        <v>164</v>
      </c>
      <c r="M20" s="301"/>
    </row>
    <row r="21" spans="1:17" ht="28" x14ac:dyDescent="0.15">
      <c r="A21" s="222" t="s">
        <v>267</v>
      </c>
      <c r="B21" s="333" t="s">
        <v>164</v>
      </c>
      <c r="C21" s="302"/>
      <c r="D21" s="302" t="s">
        <v>164</v>
      </c>
      <c r="E21" s="302"/>
      <c r="F21" s="302" t="s">
        <v>164</v>
      </c>
      <c r="G21" s="302"/>
      <c r="H21" s="302" t="s">
        <v>164</v>
      </c>
      <c r="I21" s="302"/>
      <c r="J21" s="302" t="s">
        <v>164</v>
      </c>
      <c r="K21" s="302"/>
      <c r="L21" s="302" t="s">
        <v>164</v>
      </c>
      <c r="M21" s="303"/>
    </row>
    <row r="22" spans="1:17" ht="18" x14ac:dyDescent="0.2">
      <c r="A22" s="85" t="s">
        <v>270</v>
      </c>
      <c r="I22" s="180" t="s">
        <v>271</v>
      </c>
    </row>
    <row r="23" spans="1:17" ht="30" x14ac:dyDescent="0.15">
      <c r="A23" s="334" t="s">
        <v>272</v>
      </c>
      <c r="B23" s="334"/>
      <c r="C23" s="178" t="s">
        <v>273</v>
      </c>
      <c r="D23" s="96" t="s">
        <v>274</v>
      </c>
      <c r="E23" s="178" t="s">
        <v>275</v>
      </c>
      <c r="F23" s="178" t="s">
        <v>276</v>
      </c>
      <c r="G23" s="96" t="s">
        <v>274</v>
      </c>
      <c r="I23" s="295" t="s">
        <v>272</v>
      </c>
      <c r="J23" s="295"/>
      <c r="K23" s="181" t="s">
        <v>275</v>
      </c>
    </row>
    <row r="24" spans="1:17" ht="29.25" customHeight="1" x14ac:dyDescent="0.2">
      <c r="A24" s="311" t="s">
        <v>277</v>
      </c>
      <c r="B24" s="307"/>
      <c r="C24" s="185">
        <f>IF($B$3="","",COUNTIF('Data Summary'!$C2:$C234,"INVALID")+COUNTIF('Data Summary'!$C2:$C234,"SPC CT=0"))</f>
        <v>1</v>
      </c>
      <c r="D24" s="106" t="str">
        <f>IF($B$3="","",IF(C24&gt;Specifications!$E$5,"Resample","Pass"))</f>
        <v>Pass</v>
      </c>
      <c r="E24" s="106" t="str">
        <f>IF($J$3="","",IF($J$3="Visual Only Resample","NA",IF($J$3="Delam and Visual Resample","NA",IF($J$3="NA","NA",(COUNTIF('Resample Data Summary'!$C8:$C234,"INVALID")+COUNTIF('Resample Data Summary'!$C8:$C234,"SPC CT=0"))))))</f>
        <v>NA</v>
      </c>
      <c r="F24" s="106" t="str">
        <f t="shared" ref="F24:F30" si="0">IF($J$3="","",IF($J$3="Visual Only Resample","NA",IF($J$3="Delam and Visual Resample","NA",IF($J$3="NA","NA",(SUM(E24+C24))))))</f>
        <v>NA</v>
      </c>
      <c r="G24" s="106" t="str">
        <f>IF(J3="","",IF(E24="NA","NA",IF((C24+E24)&gt;Specifications!E6,"Fail","Pass")))</f>
        <v>NA</v>
      </c>
      <c r="I24" s="294" t="s">
        <v>278</v>
      </c>
      <c r="J24" s="294"/>
      <c r="K24" s="189" t="s">
        <v>164</v>
      </c>
    </row>
    <row r="25" spans="1:17" ht="15" x14ac:dyDescent="0.2">
      <c r="A25" s="307" t="s">
        <v>279</v>
      </c>
      <c r="B25" s="307"/>
      <c r="C25" s="106">
        <f>IF($B$3="","",COUNTIF('Data Summary'!$C2:$C234, "Error 5001:*") +COUNTIF('Data Summary'!$C2:$C234, "Error 5002:*")+COUNTIF( 'Data Summary'!$C2:$C234, "Error 5003:*")+COUNTIF('Data Summary'!$C2:$C234, "Error 5004:*")+COUNTIF('Data Summary'!$C2:$C234, "Error 5005:*")+COUNTIF('Data Summary'!$C2:$C234, "Error 5015:*")+COUNTIF('Data Summary'!$C2:$C234, "Error 5016:*"))</f>
        <v>0</v>
      </c>
      <c r="D25" s="106" t="str">
        <f>IF($B$3="","",IF(C25&gt;Specifications!$E$5,"Resample","Pass"))</f>
        <v>Pass</v>
      </c>
      <c r="E25" s="106" t="str">
        <f>IF($J$3="","",IF($J$3="Visual Only Resample","NA",IF($J$3="Delam and Visual Resample","NA",IF($J$3="NA","NA",(COUNTIF('Resample Data Summary'!$C2:$C234,"Error 5001:*")+COUNTIF('Resample Data Summary'!$C2:$C234,"Error 5002:*")+COUNTIF('Resample Data Summary'!$C2:$C234,"Error 5003:*")+COUNTIF('Resample Data Summary'!$C2:$C234,"Error 5004:*")+COUNTIF('Resample Data Summary'!$C2:$C234,"Error 5005:*")+COUNTIF('Resample Data Summary'!$C2:$C234,"Error 5015:*")+COUNTIF('Resample Data Summary'!$C2:$C234,"Error 5016:*"))))))</f>
        <v>NA</v>
      </c>
      <c r="F25" s="106" t="str">
        <f t="shared" si="0"/>
        <v>NA</v>
      </c>
      <c r="G25" s="106" t="str">
        <f>IF(J3="","",IF(E25="NA","NA",IF((C25+E25)&gt;Specifications!E6,"Fail","Pass")))</f>
        <v>NA</v>
      </c>
      <c r="I25" s="294" t="s">
        <v>280</v>
      </c>
      <c r="J25" s="294"/>
      <c r="K25" s="189" t="s">
        <v>164</v>
      </c>
    </row>
    <row r="26" spans="1:17" ht="15" x14ac:dyDescent="0.2">
      <c r="A26" s="307" t="s">
        <v>281</v>
      </c>
      <c r="B26" s="307"/>
      <c r="C26" s="106">
        <f>IF($B$3="","",COUNTIF('Data Summary'!$C2:$C234, "Error 5007:*") +COUNTIF('Data Summary'!$C2:$C234, "Error 5017:*")+COUNTIF( 'Data Summary'!$C2:$C234, "Error 5019:*"))</f>
        <v>1</v>
      </c>
      <c r="D26" s="106" t="str">
        <f>IF($B$3="","",IF(C26&gt;Specifications!$E$5,"Resample","Pass"))</f>
        <v>Pass</v>
      </c>
      <c r="E26" s="106" t="str">
        <f>IF($J$3="","",IF($J$3="Visual Only Resample","NA",IF($J$3="Delam and Visual Resample","NA",IF($J$3="NA","NA",(COUNTIF('Resample Data Summary'!$C2:$C234,"Error 5007:*")+COUNTIF('Resample Data Summary'!$C2:$C234,"Error 5017:*")+COUNTIF('Resample Data Summary'!$C2:$C234,"Error 5019:*"))))))</f>
        <v>NA</v>
      </c>
      <c r="F26" s="106" t="str">
        <f t="shared" si="0"/>
        <v>NA</v>
      </c>
      <c r="G26" s="106" t="str">
        <f>IF(J3="","",IF(E26="NA","NA",IF((C26+E26)&gt;Specifications!E6,"Fail","Pass")))</f>
        <v>NA</v>
      </c>
      <c r="I26" s="294" t="s">
        <v>157</v>
      </c>
      <c r="J26" s="294"/>
      <c r="K26" s="189" t="s">
        <v>164</v>
      </c>
    </row>
    <row r="27" spans="1:17" ht="14" x14ac:dyDescent="0.15">
      <c r="A27" s="307" t="s">
        <v>282</v>
      </c>
      <c r="B27" s="307"/>
      <c r="C27" s="106">
        <f>IF($B$3="","",COUNTIF('Data Summary'!$C2:$C234, "Error 5006:*") +COUNTIF('Data Summary'!$C2:$C234, "Error 5018:*"))</f>
        <v>1</v>
      </c>
      <c r="D27" s="106" t="str">
        <f>IF($B$3="","",IF(C27&gt;Specifications!$E$5,"Resample","Pass"))</f>
        <v>Pass</v>
      </c>
      <c r="E27" s="106" t="str">
        <f>IF($J$3="","",IF($J$3="Visual Only Resample","NA",IF($J$3="Delam and Visual Resample","NA",IF($J$3="NA","NA",(COUNTIF('Resample Data Summary'!$C2:$C234,"Error 5006:*")+COUNTIF('Resample Data Summary'!$C2:$C234,"Error 5018:*"))))))</f>
        <v>NA</v>
      </c>
      <c r="F27" s="106" t="str">
        <f t="shared" si="0"/>
        <v>NA</v>
      </c>
      <c r="G27" s="106" t="str">
        <f>IF(J3="","",IF(E27="NA","NA",IF((C27+E27)&gt;Specifications!E6,"Fail","Pass")))</f>
        <v>NA</v>
      </c>
      <c r="I27" s="39" t="s">
        <v>283</v>
      </c>
    </row>
    <row r="28" spans="1:17" ht="14" x14ac:dyDescent="0.15">
      <c r="A28" s="307" t="s">
        <v>284</v>
      </c>
      <c r="B28" s="308"/>
      <c r="C28" s="106">
        <f>IF($B$3="","",COUNTIF('Data Summary'!$C2:$C234,"Error 2037*")+COUNTIF('Data Summary'!$C2:$C234,"Error 5011*"))</f>
        <v>1</v>
      </c>
      <c r="D28" s="106" t="str">
        <f>IF($B$3="","",IF(C28&gt;Specifications!$E$5,"Resample","Pass"))</f>
        <v>Pass</v>
      </c>
      <c r="E28" s="106" t="str">
        <f>IF($J$3="","",IF($J$3="Visual Only Resample","NA",IF($J$3="Delam and Visual Resample","NA",IF($J$3="NA","NA",(COUNTIF('Resample Data Summary'!$C$8:$C$234,"Error 2037*")+COUNTIF('Resample Data Summary'!$C$8:$C$234,"Error 5011*"))))))</f>
        <v>NA</v>
      </c>
      <c r="F28" s="106" t="str">
        <f t="shared" si="0"/>
        <v>NA</v>
      </c>
      <c r="G28" s="106" t="str">
        <f>IF(J3="","",IF(E28="NA","NA",IF((C28+E28)&gt;Specifications!E6,"Fail","Pass")))</f>
        <v>NA</v>
      </c>
    </row>
    <row r="29" spans="1:17" ht="27.75" customHeight="1" x14ac:dyDescent="0.2">
      <c r="A29" s="309" t="s">
        <v>285</v>
      </c>
      <c r="B29" s="310"/>
      <c r="C29" s="106">
        <f>IF($B$3="","",
COUNTIFS('Data Summary'!D10:D19,"FAIL",'Data Summary'!C10:C19,"PASS")
+COUNTIFS('Data Summary'!D25:D124,"FAIL",'Data Summary'!C25:C124,"PASS")
+COUNTIFS('Data Summary'!D130:D209,"FAIL",'Data Summary'!C130:C209,"PASS")
+COUNTIFS('Data Summary'!D215:D234,"FAIL",'Data Summary'!C215:C234,"PASS")
+COUNTIFS('Data Summary'!D10:D19,"FAIL",'Data Summary'!C10:C19,"ERROR*")
+COUNTIFS('Data Summary'!D25:D124,"FAIL",'Data Summary'!C25:C124,"ERROR*")
+COUNTIFS('Data Summary'!D130:D209,"FAIL",'Data Summary'!C130:C209,"ERROR*")
+COUNTIFS('Data Summary'!D215:D234,"FAIL",'Data Summary'!C215:C234,"ERROR*")
+COUNTIFS('Data Summary'!D10:D19,"PASS",'Data Summary'!C10:C19,"ERROR 2008*")
+COUNTIFS('Data Summary'!D25:D124,"PASS",'Data Summary'!C25:C124,"ERROR 2008*")
+COUNTIFS('Data Summary'!D130:D209,"PASS",'Data Summary'!C130:C209,"ERROR 2008*")
+COUNTIFS('Data Summary'!D215:D234,"PASS",'Data Summary'!C215:C234,"ERROR 2008*")
+COUNTIFS('Data Summary'!D10:D19,"FAIL",'Data Summary'!C10:C19,"MAJOR FUNCTIONAL")
+COUNTIFS('Data Summary'!D25:D124,"FAIL",'Data Summary'!C25:C124,"MAJOR FUNCTIONAL")
+COUNTIFS('Data Summary'!D130:D209,"FAIL",'Data Summary'!C130:C209,"MAJOR FUNCTIONAL")
+COUNTIFS('Data Summary'!D215:D234,"FAIL",'Data Summary'!C215:C234,"MAJOR FUNCTIONAL")
+COUNTIFS('Data Summary'!D10:D19,"FAIL",'Data Summary'!C10:C19,"INVALID")
+COUNTIFS('Data Summary'!D25:D124,"FAIL",'Data Summary'!C25:C124,"INVALID")
+COUNTIFS('Data Summary'!D130:D209,"FAIL",'Data Summary'!C130:C209,"INVALID")
+COUNTIFS('Data Summary'!D215:D234,"FAIL",'Data Summary'!C215:C234,"INVALID"))</f>
        <v>1</v>
      </c>
      <c r="D29" s="106" t="str">
        <f>IF($B$3="","",IF(C29&gt;Specifications!$E$5,"Resample","Pass"))</f>
        <v>Pass</v>
      </c>
      <c r="E29" s="106" t="str">
        <f>IF($J$3="","",
IF($J$3="Visual Only Resample","NA",
IF($J$3="Delam and Visual Resample","NA",
IF($J$3="NA","NA",
COUNTIFS('Resample Data Summary'!D10:D19,"FAIL",'Resample Data Summary'!C10:C19,"PASS")
+COUNTIFS('Resample Data Summary'!D25:D124,"FAIL",'Resample Data Summary'!C25:C124,"PASS")
+COUNTIFS('Resample Data Summary'!D130:D209,"FAIL",'Resample Data Summary'!C130:C209,"PASS")
+COUNTIFS('Resample Data Summary'!D215:D234,"FAIL",'Resample Data Summary'!C215:C234,"PASS")
+COUNTIFS('Resample Data Summary'!D10:D19,"FAIL",'Resample Data Summary'!C10:C19,"ERROR*")
+COUNTIFS('Resample Data Summary'!D25:D124,"FAIL",'Resample Data Summary'!C25:C124,"ERROR*")
+COUNTIFS('Resample Data Summary'!D130:D209,"FAIL",'Resample Data Summary'!C130:C209,"ERROR*")
+COUNTIFS('Resample Data Summary'!D215:D234,"FAIL",'Resample Data Summary'!C215:C234,"ERROR*")
+COUNTIFS('Resample Data Summary'!D10:D19,"PASS",'Resample Data Summary'!C10:C19,"ERROR 2008*")
+COUNTIFS('Resample Data Summary'!D25:D124,"PASS",'Resample Data Summary'!C25:C124,"ERROR 2008*")
+COUNTIFS('Resample Data Summary'!D130:D209,"PASS",'Resample Data Summary'!C130:C209,"ERROR 2008*")
+COUNTIFS('Resample Data Summary'!D215:D234,"PASS",'Resample Data Summary'!C215:C234,"ERROR 2008*")
+COUNTIFS('Resample Data Summary'!D10:D19,"FAIL",'Resample Data Summary'!C10:C19,"MAJOR FUNCTIONAL")
+COUNTIFS('Resample Data Summary'!D25:D124,"FAIL",'Resample Data Summary'!C25:C124,"MAJOR FUNCTIONAL")
+COUNTIFS('Resample Data Summary'!D130:D209,"FAIL",'Resample Data Summary'!C130:C209,"MAJOR FUNCTIONAL")
+COUNTIFS('Resample Data Summary'!D215:D234,"FAIL",'Resample Data Summary'!C215:C234,"MAJOR FUNCTIONAL")
+COUNTIFS('Resample Data Summary'!D10:D19,"FAIL",'Resample Data Summary'!C10:C19,"INVALID")
+COUNTIFS('Resample Data Summary'!D25:D124,"FAIL",'Resample Data Summary'!C25:C124,"INVALID")
+COUNTIFS('Resample Data Summary'!D130:D209,"FAIL",'Resample Data Summary'!C130:C209,"INVALID")
+COUNTIFS('Resample Data Summary'!D215:D234,"FAIL",'Resample Data Summary'!C215:C234,"INVALID")))))</f>
        <v>NA</v>
      </c>
      <c r="F29" s="106" t="str">
        <f t="shared" si="0"/>
        <v>NA</v>
      </c>
      <c r="G29" s="106" t="str">
        <f>IF(J3="","",IF(E29="NA","NA",IF((C29+E29)&gt;Specifications!E6,"Fail","Pass")))</f>
        <v>NA</v>
      </c>
      <c r="I29" s="180" t="s">
        <v>286</v>
      </c>
    </row>
    <row r="30" spans="1:17" ht="29.25" customHeight="1" x14ac:dyDescent="0.15">
      <c r="A30" s="309" t="s">
        <v>287</v>
      </c>
      <c r="B30" s="310"/>
      <c r="C30" s="106">
        <f>IF($B$3="","",COUNTIF('Data Summary'!$C2:$C234,"Error 2096*")+COUNTIF('Data Summary'!$C2:$C234,"Error 2097*")+COUNTIF('Data Summary'!$C2:$C234,"Error 2125*"))</f>
        <v>0</v>
      </c>
      <c r="D30" s="106" t="str">
        <f>IF($B$3="","",IF(C30&gt;Specifications!$E$5,"Resample","Pass"))</f>
        <v>Pass</v>
      </c>
      <c r="E30" s="106" t="str">
        <f>IF($J$3="","",IF($J$3="Visual Only Resample","NA",IF($J$3="Delam and Visual Resample","NA",IF($J$3="NA","NA",(COUNTIF('Resample Data Summary'!$C$8:$C$234,"Error 2096*")+COUNTIF('Resample Data Summary'!$C$8:$C$234,"Error 2097*")+COUNTIF('Resample Data Summary'!$C$2:$C$234,"Error 2125*"))))))</f>
        <v>NA</v>
      </c>
      <c r="F30" s="106" t="str">
        <f t="shared" si="0"/>
        <v>NA</v>
      </c>
      <c r="G30" s="106" t="str">
        <f>IF(J3="","",IF(E30="NA","NA",IF((C30+E30)&gt;Specifications!E6,"Fail","Pass")))</f>
        <v>NA</v>
      </c>
      <c r="I30" s="334" t="s">
        <v>272</v>
      </c>
      <c r="J30" s="334"/>
      <c r="K30" s="334"/>
      <c r="L30" s="96" t="s">
        <v>273</v>
      </c>
      <c r="M30" s="183" t="s">
        <v>275</v>
      </c>
    </row>
    <row r="31" spans="1:17" ht="14" x14ac:dyDescent="0.15">
      <c r="A31" s="336" t="s">
        <v>157</v>
      </c>
      <c r="B31" s="337"/>
      <c r="C31" s="106">
        <f>IF($B$3="","",COUNTIF('Data Summary'!$C2:$C234,"DELAMINATION"))</f>
        <v>0</v>
      </c>
      <c r="D31" s="106" t="str">
        <f>IF($B$3="","",IF(C31&gt;Specifications!$E$5,"Resample","Pass"))</f>
        <v>Pass</v>
      </c>
      <c r="E31" s="106" t="str">
        <f>IF($J$3="","",IF($J$3="Visual Only Resample","NA",IF($J$3="Delam and Visual Resample",K26,IF($J$3="NA","NA",(COUNTIF('Resample Data Summary'!$C$25:$C$234,"DELAMINATION"))))))</f>
        <v>NA</v>
      </c>
      <c r="F31" s="106" t="str">
        <f>IF($J$3="","",IF($J$3="Visual Only Resample","NA",IF($J$3="NA","NA",(SUM(E31+C31)))))</f>
        <v>NA</v>
      </c>
      <c r="G31" s="106" t="str">
        <f>IF(J3="","",IF(E31="NA","NA",IF((C31+E31)&gt;Specifications!E6,"Fail","Pass")))</f>
        <v>NA</v>
      </c>
      <c r="I31" s="336" t="s">
        <v>288</v>
      </c>
      <c r="J31" s="344"/>
      <c r="K31" s="337"/>
      <c r="L31" s="106">
        <f>IF($B$3="","",COUNTIF('Data Summary'!$B$130:$B$209,"MTB NOT DETECTED")+COUNTIF('Data Summary'!$B$130:$B$209,"MTB DETECTED *;Rif Resistance NOT DETECTED")+COUNTIF('Data Summary'!$B$215:$B$234,"MTB NOT DETECTED"))</f>
        <v>0</v>
      </c>
      <c r="M31" s="106" t="str">
        <f>IF($J$3="","",IF($J$3="Visual Only Resample","NA",IF($J$3="Delam and Visual Resample","NA",IF($J$3="NA","NA",COUNTIF('Resample Data Summary'!B130:B209,"MTB NOT DETECTED")+COUNTIF('Resample Data Summary'!B130:B209,"MTB DETECTED *;Rif Resistance NOT DETECTED")+COUNTIF('Resample Data Summary'!B215:B234,"MTB NOT DETECTED")))))</f>
        <v>NA</v>
      </c>
    </row>
    <row r="32" spans="1:17" ht="14" x14ac:dyDescent="0.15">
      <c r="A32" s="110"/>
      <c r="B32" s="110"/>
      <c r="C32" s="110"/>
      <c r="D32" s="110"/>
      <c r="E32" s="110"/>
      <c r="F32" s="110"/>
      <c r="G32" s="110"/>
      <c r="I32" s="336" t="s">
        <v>289</v>
      </c>
      <c r="J32" s="344"/>
      <c r="K32" s="337"/>
      <c r="L32" s="106">
        <f>IF($B$3="","",COUNTIF('Data Summary'!$B$10:$B$19,"MTB DETECTED *")+COUNTIF('Data Summary'!$B$25:$B$124,"MTB DETECTED *")+COUNTIF('Data Summary'!$B$215:$B$234,"MTB DETECTED *;Rif Resistance DETECTED"))</f>
        <v>1</v>
      </c>
      <c r="M32" s="106" t="str">
        <f>IF($J$3="","",IF($J$3="Visual Only Resample","NA",IF($J$3="Delam and Visual Resample","NA",IF($J$3="NA","NA",COUNTIF('Resample Data Summary'!B25:B124,"MTB DETECTED *")+COUNTIF('Resample Data Summary'!B215:B234,"MTB DETECTED *;Rif Resistance DETECTED")))))</f>
        <v>NA</v>
      </c>
    </row>
    <row r="33" spans="1:13" ht="14" x14ac:dyDescent="0.15">
      <c r="A33" s="110"/>
      <c r="B33" s="186"/>
      <c r="C33" s="110"/>
      <c r="D33" s="110"/>
      <c r="E33" s="110"/>
      <c r="F33" s="110"/>
      <c r="I33" s="336" t="s">
        <v>290</v>
      </c>
      <c r="J33" s="344"/>
      <c r="K33" s="337"/>
      <c r="L33" s="106">
        <f>IF($B$3="","",COUNTIF('Data Summary'!$C:$C,"MAJOR VISUAL"))</f>
        <v>0</v>
      </c>
      <c r="M33" s="106" t="str">
        <f>IF($J$3="","",IF($J$3="","0",IF($J$3="Visual Only Resample",K25,IF($J$3="Delam and Visual Resample",K25,IF($J$3="Full Resample ",COUNTIF('Resample Data Summary'!$C:$C,"MAJOR VISUAL"),IF($J$3="NA","NA",IF($J$3="Functional And Visual Resample",COUNTIF('Resample Data Summary'!$C:$C,"MAJOR VISUAL"))))))))</f>
        <v>NA</v>
      </c>
    </row>
    <row r="34" spans="1:13" ht="14" x14ac:dyDescent="0.15">
      <c r="A34" s="110"/>
      <c r="B34" s="187" t="s">
        <v>291</v>
      </c>
      <c r="C34" s="106">
        <f>IF($B$3="","",IF(COUNTBLANK(C24:C31)=8,"ND",MAX(C24:C31)))</f>
        <v>1</v>
      </c>
      <c r="D34" s="110"/>
      <c r="E34" s="110"/>
      <c r="F34" s="106" t="str">
        <f>IF(J3="","",IF(J3="NA","NA",IF(COUNTBLANK(E24:E31)+COUNTIF(E24:E31,"N*")=8,"ND",MAX(F24:F31))))</f>
        <v>NA</v>
      </c>
      <c r="I34" s="336" t="s">
        <v>292</v>
      </c>
      <c r="J34" s="344"/>
      <c r="K34" s="337"/>
      <c r="L34" s="106">
        <f>IF($B$3="","",COUNTIF('Data Summary'!$B$215:$B$234,"MTB Trace DETECTED;RIF Resistance INDETERMINATE")+COUNTIF('Data Summary'!$B$10:$B$19,"MTB Trace DETECTED;RIF Resistance INDETERMINATE")+COUNTIF('Data Summary'!$B$25:$B$124,"MTB Trace DETECTED;RIF Resistance INDETERMINATE")+COUNTIF('Data Summary'!$B$130:$B$209,"MTB Trace DETECTED;RIF Resistance INDETERMINATE"))</f>
        <v>1</v>
      </c>
      <c r="M34" s="106" t="str">
        <f>IF($J$3="","",IF($J$3="Visual Only Resample","NA",IF($J$3="Delam and Visual Resample","NA",IF($J$3="NA","NA",COUNTIF('Resample Data Summary'!$B$215:$B$234,"MTB Trace DETECTED;RIF Resistance INDETERMINATE")+COUNTIF('Resample Data Summary'!$B$10:$B$19,"MTB Trace DETECTED;RIF Resistance INDETERMINATE")+COUNTIF('Resample Data Summary'!$B$25:$B$124,"MTB Trace DETECTED;RIF Resistance INDETERMINATE")+COUNTIF('Resample Data Summary'!$B$130:$B$209,"MTB Trace DETECTED;RIF Resistance INDETERMINATE")))))</f>
        <v>NA</v>
      </c>
    </row>
    <row r="35" spans="1:13" ht="14" x14ac:dyDescent="0.15">
      <c r="A35" s="110"/>
      <c r="B35" s="110"/>
      <c r="C35" s="110"/>
      <c r="D35" s="110"/>
      <c r="E35" s="110"/>
      <c r="F35" s="110"/>
    </row>
    <row r="36" spans="1:13" ht="16" x14ac:dyDescent="0.2">
      <c r="A36" s="110"/>
      <c r="B36" s="187" t="s">
        <v>293</v>
      </c>
      <c r="C36" s="104">
        <f>Specifications!$E$5</f>
        <v>4</v>
      </c>
      <c r="D36" s="110"/>
      <c r="E36" s="110"/>
      <c r="F36" s="179">
        <f>Specifications!$E$6</f>
        <v>10</v>
      </c>
    </row>
    <row r="37" spans="1:13" ht="16" x14ac:dyDescent="0.2">
      <c r="A37" s="110"/>
      <c r="B37" s="105" t="s">
        <v>294</v>
      </c>
      <c r="C37" s="105" t="s">
        <v>295</v>
      </c>
      <c r="D37" s="110"/>
      <c r="E37" s="110"/>
      <c r="F37" s="105" t="s">
        <v>296</v>
      </c>
    </row>
    <row r="38" spans="1:13" ht="14" x14ac:dyDescent="0.15">
      <c r="A38" s="82"/>
      <c r="B38" s="99"/>
      <c r="C38" s="82"/>
      <c r="D38" s="82"/>
      <c r="E38" s="110"/>
    </row>
    <row r="39" spans="1:13" ht="16" x14ac:dyDescent="0.15">
      <c r="A39" s="83" t="s">
        <v>297</v>
      </c>
    </row>
    <row r="40" spans="1:13" ht="30" x14ac:dyDescent="0.15">
      <c r="A40" s="334" t="s">
        <v>272</v>
      </c>
      <c r="B40" s="334"/>
      <c r="C40" s="334"/>
      <c r="D40" s="96" t="s">
        <v>273</v>
      </c>
      <c r="E40" s="183" t="s">
        <v>298</v>
      </c>
      <c r="F40" s="334" t="s">
        <v>274</v>
      </c>
      <c r="G40" s="334"/>
      <c r="H40" s="183" t="s">
        <v>275</v>
      </c>
      <c r="I40" s="183" t="s">
        <v>298</v>
      </c>
      <c r="J40" s="183" t="s">
        <v>299</v>
      </c>
      <c r="K40" s="96" t="s">
        <v>274</v>
      </c>
    </row>
    <row r="41" spans="1:13" ht="14" x14ac:dyDescent="0.15">
      <c r="A41" s="307" t="s">
        <v>300</v>
      </c>
      <c r="B41" s="307"/>
      <c r="C41" s="307"/>
      <c r="D41" s="106">
        <f>IF($B$3="","",COUNTIF('Data - Replaced'!$A$2:$A$1048576,"&lt;&gt;")+'Data Summary'!$D$6+'Data Summary'!$D$21+'Data Summary'!$D$126+'Data Summary'!$D$211)</f>
        <v>217</v>
      </c>
      <c r="E41" s="96" t="s">
        <v>249</v>
      </c>
      <c r="F41" s="334" t="s">
        <v>249</v>
      </c>
      <c r="G41" s="334"/>
      <c r="H41" s="106" t="str">
        <f>IF($J$3="","",IF($J$3="Visual Only Resample","NA",IF($J$3="Delam and Visual Resample","NA",IF($J$3="NA","NA",IF($J$3="","",COUNTIF('Data - Resample Replaced'!$A$2:$A$1034,"&lt;&gt;")+'Resample Data Summary'!$D$21+'Resample Data Summary'!$D$126+'Resample Data Summary'!$D$211)))))</f>
        <v>NA</v>
      </c>
      <c r="I41" s="96" t="s">
        <v>249</v>
      </c>
      <c r="J41" s="96" t="s">
        <v>249</v>
      </c>
      <c r="K41" s="96" t="s">
        <v>249</v>
      </c>
    </row>
    <row r="42" spans="1:13" ht="14" x14ac:dyDescent="0.15">
      <c r="A42" s="307" t="s">
        <v>301</v>
      </c>
      <c r="B42" s="307"/>
      <c r="C42" s="307"/>
      <c r="D42" s="106">
        <f>IF($B$3="","",'Data Summary'!$D$6+'Data Summary'!$D$21+'Data Summary'!$D$126+'Data Summary'!D211)</f>
        <v>210</v>
      </c>
      <c r="E42" s="96" t="s">
        <v>249</v>
      </c>
      <c r="F42" s="334" t="s">
        <v>249</v>
      </c>
      <c r="G42" s="334"/>
      <c r="H42" s="106" t="str">
        <f>IF($J$3="","",IF($J$3="Visual Only Resample","NA",IF($J$3="Delam and Visual Resample","NA",IF($J$3="NA","NA",('Resample Data Summary'!$D$21+'Resample Data Summary'!$D$126+'Resample Data Summary'!D211)))))</f>
        <v>NA</v>
      </c>
      <c r="I42" s="96" t="s">
        <v>249</v>
      </c>
      <c r="J42" s="96" t="s">
        <v>249</v>
      </c>
      <c r="K42" s="96" t="s">
        <v>249</v>
      </c>
    </row>
    <row r="43" spans="1:13" ht="14" x14ac:dyDescent="0.15">
      <c r="A43" s="307" t="s">
        <v>302</v>
      </c>
      <c r="B43" s="307"/>
      <c r="C43" s="307"/>
      <c r="D43" s="106">
        <f>IF($B$3="","",
COUNTIFS('Data Summary'!D10:D19,"FAIL",'Data Summary'!C10:C19,"PASS")
+COUNTIFS('Data Summary'!D25:D124,"FAIL",'Data Summary'!C25:C124,"PASS")
+COUNTIFS('Data Summary'!D130:D209,"FAIL",'Data Summary'!C130:C209,"PASS")
+COUNTIFS('Data Summary'!D215:D234,"FAIL",'Data Summary'!C215:C234,"PASS")
+SUM(C24:C28,C30:C32)
+COUNTIFS('Data Summary'!D10:D19,"FAIL",'Data Summary'!C10:C19,"ERROR 2008*")
+COUNTIFS('Data Summary'!D25:D124,"FAIL",'Data Summary'!C25:C124,"ERROR 2008*")
+COUNTIFS('Data Summary'!D130:D209,"FAIL",'Data Summary'!C130:C209,"ERROR 2008*")
+COUNTIFS('Data Summary'!D215:D234,"FAIL",'Data Summary'!C215:C234,"ERROR 2008*")
+COUNTIF('Data Summary'!C9:C234,"BARCODE FAIL")
+COUNTIF('Data Summary'!C9:C234,"MINOR VISUAL")
+COUNTIF('Data Summary'!C9:C234,"Indeterminate")
+COUNTIFS('Data Summary'!D10:D19,"PASS",'Data Summary'!C10:C19,"ERROR 2008*")
+COUNTIFS('Data Summary'!D25:D124,"PASS",'Data Summary'!C25:C124,"ERROR 2008*")
+COUNTIFS('Data Summary'!D130:D209,"PASS",'Data Summary'!C130:C209,"ERROR 2008*")
+COUNTIFS('Data Summary'!D215:D234,"PASS",'Data Summary'!C215:C234,"ERROR 2008*"))</f>
        <v>7</v>
      </c>
      <c r="E43" s="96" t="s">
        <v>249</v>
      </c>
      <c r="F43" s="334" t="s">
        <v>249</v>
      </c>
      <c r="G43" s="334"/>
      <c r="H43" s="106" t="str">
        <f>IF($J$3="","",
IF($J$3="Visual Only Resample",$K$24,
IF($J$3="Delam and Visual Resample",$K$26+$K$24,
IF($J$3="NA","NA",
COUNTIFS('Resample Data Summary'!D10:D19,"FAIL",'Resample Data Summary'!C10:C19,"PASS")
+COUNTIFS('Resample Data Summary'!D25:D124,"FAIL",'Resample Data Summary'!C25:C124,"PASS")
+COUNTIFS('Resample Data Summary'!D130:D209,"FAIL",'Resample Data Summary'!C130:C209,"PASS")
+COUNTIFS('Resample Data Summary'!D215:D234,"FAIL",'Resample Data Summary'!C215:C234,"PASS")
+SUM(E24:E28,E30:E32)
+COUNTIFS('Resample Data Summary'!D10:D19,"FAIL",'Resample Data Summary'!C10:C19,"ERROR 2008*")
+COUNTIFS('Resample Data Summary'!D25:D124,"FAIL",'Resample Data Summary'!C25:C124,"ERROR 2008*")
+COUNTIFS('Resample Data Summary'!D130:D209,"FAIL",'Resample Data Summary'!C130:C209,"ERROR 2008*")
+COUNTIFS('Resample Data Summary'!D215:D234,"FAIL",'Resample Data Summary'!C215:C234,"ERROR 2008*")
+COUNTIF('Resample Data Summary'!C9:C234,"BARCODE FAIL")
+COUNTIF('Resample Data Summary'!C9:C234,"MINOR VISUAL")
+COUNTIF('Resample Data Summary'!C9:C234,"Indeterminate")
+COUNTIFS('Resample Data Summary'!D10:D19,"PASS",'Resample Data Summary'!C10:C19,"ERROR 2008*")
+COUNTIFS('Resample Data Summary'!D25:D124,"PASS",'Resample Data Summary'!C25:C124,"ERROR 2008*")
+COUNTIFS('Resample Data Summary'!D130:D209,"PASS",'Resample Data Summary'!C130:C209,"ERROR 2008*")
+COUNTIFS('Resample Data Summary'!D215:D234,"PASS",'Resample Data Summary'!C215:C234,"ERROR 2008*")))))</f>
        <v>NA</v>
      </c>
      <c r="I43" s="96" t="s">
        <v>249</v>
      </c>
      <c r="J43" s="96" t="s">
        <v>249</v>
      </c>
      <c r="K43" s="96" t="s">
        <v>249</v>
      </c>
    </row>
    <row r="44" spans="1:13" ht="14" x14ac:dyDescent="0.15">
      <c r="A44" s="336" t="s">
        <v>303</v>
      </c>
      <c r="B44" s="344"/>
      <c r="C44" s="337"/>
      <c r="D44" s="106">
        <f>IF($B$3="","",SUM('Vacuum Seal Data'!D2:D251))</f>
        <v>4</v>
      </c>
      <c r="E44" s="96" t="str">
        <f>_xlfn.CONCAT("≤",LOOKUP('Test Summary'!$B$3,Specifications!$A$11:$A$22,Specifications!$H$11:$H$22))</f>
        <v>≤9</v>
      </c>
      <c r="F44" s="341" t="str">
        <f>IF($B$3="","",IF($D$44&gt;LOOKUP($B$3,Specifications!$A$11:$A$22,Specifications!$H$11:$H$22),"Fail","Pass"))</f>
        <v>Pass</v>
      </c>
      <c r="G44" s="341"/>
      <c r="H44" s="96" t="s">
        <v>249</v>
      </c>
      <c r="I44" s="96" t="s">
        <v>249</v>
      </c>
      <c r="J44" s="96" t="s">
        <v>249</v>
      </c>
      <c r="K44" s="96" t="s">
        <v>249</v>
      </c>
    </row>
    <row r="45" spans="1:13" ht="14" x14ac:dyDescent="0.15">
      <c r="A45" s="307" t="s">
        <v>304</v>
      </c>
      <c r="B45" s="307"/>
      <c r="C45" s="307"/>
      <c r="D45" s="106">
        <f>IF($B$3="","",SUM($L$31:$L$34))</f>
        <v>2</v>
      </c>
      <c r="E45" s="96" t="s">
        <v>305</v>
      </c>
      <c r="F45" s="341" t="str">
        <f>IF($B$3="","",IF(D45&lt;=(IF('Test Summary'!$B$3="","",LOOKUP('Test Summary'!$B$3,Specifications!$A$11:$A$22,Specifications!$K$11:$K$22))),"Pass",IF(D45&lt;=(IF('Test Summary'!$B$3="","",LOOKUP('Test Summary'!$B$3,Specifications!$A$11:$A$22,Specifications!$L$11:$L$22))),"Resample","Fail")))</f>
        <v>Resample</v>
      </c>
      <c r="G45" s="341"/>
      <c r="H45" s="106" t="str">
        <f>IF($J$3="","",IF($J$3="NA","NA",SUM(M31:M34)))</f>
        <v>NA</v>
      </c>
      <c r="I45" s="96" t="s">
        <v>306</v>
      </c>
      <c r="J45" s="106" t="str">
        <f>IF($J$3="","",IF($J$3="NA","NA",SUM($D$45+$H$45)))</f>
        <v>NA</v>
      </c>
      <c r="K45" s="106" t="str">
        <f>IF($J$3="","",IF($J$3="NA","NA",IF(J45&lt;=(IF('Test Summary'!$B$3="","",LOOKUP('Test Summary'!$B$3,Specifications!$A$11:$A$22,Specifications!$S$11:$S$22))),"Pass","Fail")))</f>
        <v>NA</v>
      </c>
    </row>
    <row r="46" spans="1:13" ht="14" x14ac:dyDescent="0.15">
      <c r="A46" s="307" t="s">
        <v>307</v>
      </c>
      <c r="B46" s="307"/>
      <c r="C46" s="307"/>
      <c r="D46" s="106">
        <f>IF($B$3="","",SUM(D45,D43))</f>
        <v>9</v>
      </c>
      <c r="E46" s="96" t="s">
        <v>308</v>
      </c>
      <c r="F46" s="341" t="str">
        <f>IF($B$3="","",IF(D46&lt;=(IF('Test Summary'!$B$3="","",LOOKUP('Test Summary'!$B$3,Specifications!$A$11:$A$22,Specifications!$G$11:$G$22))),"Pass","Fail"))</f>
        <v>Pass</v>
      </c>
      <c r="G46" s="341"/>
      <c r="H46" s="106" t="str">
        <f>IF($J$3="","",IF($J$3="NA","NA",SUM(H45,H43)))</f>
        <v>NA</v>
      </c>
      <c r="I46" s="96" t="s">
        <v>309</v>
      </c>
      <c r="J46" s="96" t="s">
        <v>249</v>
      </c>
      <c r="K46" s="106" t="str">
        <f>IF($J$3="","",IF($J$3="NA","NA",IF(H46&lt;=(IF('Test Summary'!$B$3="","",LOOKUP('Test Summary'!$B$3,Specifications!$A$11:$A$22,Specifications!$P$11:$P$22))),"Pass","Fail")))</f>
        <v>NA</v>
      </c>
    </row>
    <row r="47" spans="1:13" ht="14" x14ac:dyDescent="0.15">
      <c r="A47" s="39"/>
      <c r="B47" s="110"/>
      <c r="C47" s="110"/>
      <c r="D47" s="110"/>
      <c r="E47" s="110"/>
      <c r="F47" s="110"/>
    </row>
    <row r="48" spans="1:13" x14ac:dyDescent="0.15">
      <c r="E48" s="329"/>
      <c r="F48" s="329"/>
    </row>
    <row r="49" spans="1:12" ht="29.25" customHeight="1" x14ac:dyDescent="0.15">
      <c r="C49" s="95" t="s">
        <v>310</v>
      </c>
      <c r="D49" s="342" t="str">
        <f>IF($B$3="","",
IF(F46="Fail","Fail",
IF(F44="Fail","Fail",
IF(F45="Fail","Fail",
IF(F45="Resample","Resample per D12547",
IF(D24="Resample","Resample per D12547",
IF(D25="Resample","Resample per D12547",
IF(D26="Resample","Resample per D12547",
IF(D27="Resample","Resample per D12547",
IF(D28="Resample","Resample per D12547",
IF(D29="Resample","Resample per D12547",
IF(D30="Resample","Resample per D12547",
IF(D31="Resample","Resample per D12547",
IF(D42&lt;Specifications!$D$1,"ND","Pass"
))))))))))))))</f>
        <v>Resample per D12547</v>
      </c>
      <c r="E49" s="343"/>
      <c r="G49" s="109" t="s">
        <v>311</v>
      </c>
      <c r="H49" s="339" t="s">
        <v>164</v>
      </c>
      <c r="I49" s="340"/>
    </row>
    <row r="50" spans="1:12" ht="29.25" customHeight="1" x14ac:dyDescent="0.15">
      <c r="C50" s="95" t="s">
        <v>312</v>
      </c>
      <c r="D50" s="342" t="str">
        <f>IFERROR(IF(B3="","",
IF(D49="Fail","Fail",
IF(K46="Fail","Fail",
IF(K45="Fail","Fail",
IF(F44="Fail","Fail",
IF(F45="Fail","Fail",
IF(F46="Fail","Fail",
IF(G24="Fail","Fail",
IF(G25="Fail","Fail",
IF(G26="Fail","Fail",
IF(G27="Fail","Fail",
IF(G28="Fail","Fail",
IF(G29="Fail","Fail",
IF(G30="Fail","Fail",
IF(G31="Fail","Fail",
IF(G32="Fail","Fail",
IF(D49="ND","ND",
IF(AND(D49="Resample per D12547",OR($J$3="NA",$J$3="")),"Choose correct resample type",
IF(AND(D49="Resample per D12547",OR($J$3="Visual Only Resample"),OR(K24="",K25="")),"ND",
IF(AND(D49="Resample per D12547",$J$3="Delam and Visual Resample",OR(K24="",K25="",K26="")),"ND",
IF(H42&lt;Specifications!$F$1,"ND","Pass"))))))))))))))))))))),"ND")</f>
        <v>Choose correct resample type</v>
      </c>
      <c r="E50" s="343"/>
      <c r="G50" s="109" t="s">
        <v>313</v>
      </c>
      <c r="H50" s="339" t="s">
        <v>164</v>
      </c>
      <c r="I50" s="340"/>
    </row>
    <row r="51" spans="1:12" ht="13.5" customHeight="1" x14ac:dyDescent="0.15"/>
    <row r="52" spans="1:12" ht="16" x14ac:dyDescent="0.15">
      <c r="B52" s="348" t="s">
        <v>314</v>
      </c>
      <c r="C52" s="348"/>
      <c r="L52" s="111" t="s">
        <v>315</v>
      </c>
    </row>
    <row r="53" spans="1:12" ht="64.5" customHeight="1" x14ac:dyDescent="0.15">
      <c r="B53" s="345" t="s">
        <v>1189</v>
      </c>
      <c r="C53" s="346"/>
      <c r="D53" s="346"/>
      <c r="E53" s="346"/>
      <c r="F53" s="346"/>
      <c r="G53" s="346"/>
      <c r="H53" s="346"/>
      <c r="I53" s="346"/>
      <c r="J53" s="346"/>
      <c r="K53" s="346"/>
      <c r="L53" s="347"/>
    </row>
    <row r="55" spans="1:12" ht="25.5" customHeight="1" x14ac:dyDescent="0.2">
      <c r="A55" s="61"/>
      <c r="B55" s="97" t="s">
        <v>316</v>
      </c>
      <c r="C55" s="331" t="s">
        <v>1191</v>
      </c>
      <c r="D55" s="331"/>
      <c r="E55" s="331"/>
      <c r="F55" s="331"/>
      <c r="G55" s="331"/>
      <c r="H55" s="61"/>
      <c r="I55" s="97" t="s">
        <v>317</v>
      </c>
      <c r="J55" s="338" t="s">
        <v>1187</v>
      </c>
      <c r="K55" s="331"/>
      <c r="L55" s="331"/>
    </row>
    <row r="57" spans="1:12" ht="29.25" customHeight="1" x14ac:dyDescent="0.2">
      <c r="B57" s="97" t="s">
        <v>318</v>
      </c>
      <c r="C57" s="331" t="s">
        <v>1192</v>
      </c>
      <c r="D57" s="331"/>
      <c r="E57" s="331"/>
      <c r="F57" s="331"/>
      <c r="G57" s="331"/>
      <c r="H57" s="61"/>
      <c r="I57" s="97" t="s">
        <v>317</v>
      </c>
      <c r="J57" s="338" t="s">
        <v>1190</v>
      </c>
      <c r="K57" s="331"/>
      <c r="L57" s="331"/>
    </row>
  </sheetData>
  <mergeCells count="96">
    <mergeCell ref="H16:I16"/>
    <mergeCell ref="J15:K15"/>
    <mergeCell ref="J16:K16"/>
    <mergeCell ref="L15:M15"/>
    <mergeCell ref="L16:M16"/>
    <mergeCell ref="H15:I15"/>
    <mergeCell ref="I30:K30"/>
    <mergeCell ref="I31:K31"/>
    <mergeCell ref="I32:K32"/>
    <mergeCell ref="H18:I18"/>
    <mergeCell ref="J18:K18"/>
    <mergeCell ref="H19:I19"/>
    <mergeCell ref="J19:K19"/>
    <mergeCell ref="H20:I20"/>
    <mergeCell ref="J20:K20"/>
    <mergeCell ref="H21:I21"/>
    <mergeCell ref="J21:K21"/>
    <mergeCell ref="I33:K33"/>
    <mergeCell ref="B53:L53"/>
    <mergeCell ref="B52:C52"/>
    <mergeCell ref="A45:C45"/>
    <mergeCell ref="F43:G43"/>
    <mergeCell ref="A42:C42"/>
    <mergeCell ref="A40:C40"/>
    <mergeCell ref="D50:E50"/>
    <mergeCell ref="I34:K34"/>
    <mergeCell ref="A44:C44"/>
    <mergeCell ref="F44:G44"/>
    <mergeCell ref="J57:L57"/>
    <mergeCell ref="F40:G40"/>
    <mergeCell ref="F41:G41"/>
    <mergeCell ref="A41:C41"/>
    <mergeCell ref="A43:C43"/>
    <mergeCell ref="H49:I49"/>
    <mergeCell ref="C55:G55"/>
    <mergeCell ref="J55:L55"/>
    <mergeCell ref="F42:G42"/>
    <mergeCell ref="E48:F48"/>
    <mergeCell ref="F46:G46"/>
    <mergeCell ref="H50:I50"/>
    <mergeCell ref="D49:E49"/>
    <mergeCell ref="F45:G45"/>
    <mergeCell ref="A46:C46"/>
    <mergeCell ref="E4:F4"/>
    <mergeCell ref="A13:C13"/>
    <mergeCell ref="A10:B10"/>
    <mergeCell ref="C57:G57"/>
    <mergeCell ref="F20:G20"/>
    <mergeCell ref="B20:C20"/>
    <mergeCell ref="B21:C21"/>
    <mergeCell ref="D21:E21"/>
    <mergeCell ref="D20:E20"/>
    <mergeCell ref="F21:G21"/>
    <mergeCell ref="A23:B23"/>
    <mergeCell ref="B19:C19"/>
    <mergeCell ref="D19:E19"/>
    <mergeCell ref="F19:G19"/>
    <mergeCell ref="A27:B27"/>
    <mergeCell ref="A31:B31"/>
    <mergeCell ref="A1:N2"/>
    <mergeCell ref="A6:D6"/>
    <mergeCell ref="B3:D3"/>
    <mergeCell ref="B4:D4"/>
    <mergeCell ref="B15:C15"/>
    <mergeCell ref="D15:E15"/>
    <mergeCell ref="G4:H4"/>
    <mergeCell ref="H3:I3"/>
    <mergeCell ref="H7:J7"/>
    <mergeCell ref="H10:J10"/>
    <mergeCell ref="J3:M3"/>
    <mergeCell ref="F15:G15"/>
    <mergeCell ref="E7:G7"/>
    <mergeCell ref="E10:G10"/>
    <mergeCell ref="A7:B7"/>
    <mergeCell ref="E3:F3"/>
    <mergeCell ref="A28:B28"/>
    <mergeCell ref="A30:B30"/>
    <mergeCell ref="A24:B24"/>
    <mergeCell ref="A29:B29"/>
    <mergeCell ref="A26:B26"/>
    <mergeCell ref="A25:B25"/>
    <mergeCell ref="D18:E18"/>
    <mergeCell ref="B18:C18"/>
    <mergeCell ref="B16:C16"/>
    <mergeCell ref="D16:E16"/>
    <mergeCell ref="F18:G18"/>
    <mergeCell ref="F16:G16"/>
    <mergeCell ref="P18:Q18"/>
    <mergeCell ref="I25:J25"/>
    <mergeCell ref="I26:J26"/>
    <mergeCell ref="I23:J23"/>
    <mergeCell ref="I24:J24"/>
    <mergeCell ref="L18:M18"/>
    <mergeCell ref="L19:M19"/>
    <mergeCell ref="L20:M20"/>
    <mergeCell ref="L21:M21"/>
  </mergeCells>
  <conditionalFormatting sqref="A3:A4">
    <cfRule type="cellIs" dxfId="752" priority="15" operator="equal">
      <formula>"BARCODE FAIL"</formula>
    </cfRule>
    <cfRule type="cellIs" dxfId="751" priority="16" operator="equal">
      <formula>"MINOR VISUAL"</formula>
    </cfRule>
    <cfRule type="containsText" dxfId="750" priority="18" operator="containsText" text="Error">
      <formula>NOT(ISERROR(SEARCH("Error",A3)))</formula>
    </cfRule>
    <cfRule type="cellIs" dxfId="749" priority="21" operator="equal">
      <formula>"SEAL TEST FAILURE"</formula>
    </cfRule>
    <cfRule type="cellIs" dxfId="748" priority="22" operator="equal">
      <formula>"E*"</formula>
    </cfRule>
    <cfRule type="cellIs" dxfId="747" priority="23" operator="equal">
      <formula>"SPC CT=0"</formula>
    </cfRule>
    <cfRule type="cellIs" dxfId="746" priority="24" operator="equal">
      <formula>"INVALID"</formula>
    </cfRule>
    <cfRule type="cellIs" dxfId="745" priority="25" operator="equal">
      <formula>"MAJOR VISUAL"</formula>
    </cfRule>
    <cfRule type="cellIs" dxfId="744" priority="26" operator="equal">
      <formula>"MAJOR FUNCTIONAL"</formula>
    </cfRule>
    <cfRule type="cellIs" dxfId="743" priority="27" operator="equal">
      <formula>"PASS"</formula>
    </cfRule>
  </conditionalFormatting>
  <conditionalFormatting sqref="B3:B4">
    <cfRule type="cellIs" dxfId="742" priority="17" operator="equal">
      <formula>"N/A"</formula>
    </cfRule>
    <cfRule type="cellIs" dxfId="741" priority="19" operator="equal">
      <formula>"Pass"</formula>
    </cfRule>
    <cfRule type="cellIs" dxfId="740" priority="20" operator="equal">
      <formula>"Fail"</formula>
    </cfRule>
  </conditionalFormatting>
  <conditionalFormatting sqref="H3">
    <cfRule type="cellIs" dxfId="739" priority="2" operator="equal">
      <formula>"BARCODE FAIL"</formula>
    </cfRule>
    <cfRule type="cellIs" dxfId="738" priority="3" operator="equal">
      <formula>"MINOR VISUAL"</formula>
    </cfRule>
    <cfRule type="containsText" dxfId="737" priority="4" operator="containsText" text="Error">
      <formula>NOT(ISERROR(SEARCH("Error",H3)))</formula>
    </cfRule>
    <cfRule type="cellIs" dxfId="736" priority="5" operator="equal">
      <formula>"SEAL TEST FAILURE"</formula>
    </cfRule>
    <cfRule type="cellIs" dxfId="735" priority="6" operator="equal">
      <formula>"E*"</formula>
    </cfRule>
    <cfRule type="cellIs" dxfId="734" priority="7" operator="equal">
      <formula>"SPC CT=0"</formula>
    </cfRule>
    <cfRule type="cellIs" dxfId="733" priority="8" operator="equal">
      <formula>"INVALID"</formula>
    </cfRule>
    <cfRule type="cellIs" dxfId="732" priority="9" operator="equal">
      <formula>"MAJOR VISUAL"</formula>
    </cfRule>
    <cfRule type="cellIs" dxfId="731" priority="10" operator="equal">
      <formula>"MAJOR FUNCTIONAL"</formula>
    </cfRule>
    <cfRule type="cellIs" dxfId="730" priority="11" operator="equal">
      <formula>"PASS"</formula>
    </cfRule>
  </conditionalFormatting>
  <dataValidations disablePrompts="1" count="1">
    <dataValidation allowBlank="1" showInputMessage="1" sqref="C32 E32" xr:uid="{00000000-0002-0000-0100-000000000000}"/>
  </dataValidations>
  <pageMargins left="0.51181102362204722" right="0.51181102362204722" top="0.98425196850393704" bottom="0.98425196850393704" header="0.23622047244094491" footer="0.23622047244094491"/>
  <pageSetup scale="27" fitToHeight="0" orientation="landscape" r:id="rId1"/>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rowBreaks count="1" manualBreakCount="1">
    <brk id="21" max="1048575" man="1"/>
  </rowBreaks>
  <drawing r:id="rId2"/>
  <extLst>
    <ext xmlns:x14="http://schemas.microsoft.com/office/spreadsheetml/2009/9/main" uri="{CCE6A557-97BC-4b89-ADB6-D9C93CAAB3DF}">
      <x14:dataValidations xmlns:xm="http://schemas.microsoft.com/office/excel/2006/main" disablePrompts="1" count="5">
        <x14:dataValidation type="list" allowBlank="1" showInputMessage="1" xr:uid="{00000000-0002-0000-0100-000001000000}">
          <x14:formula1>
            <xm:f>'For Reference Only'!$G$2:$G$4</xm:f>
          </x14:formula1>
          <xm:sqref>H49</xm:sqref>
        </x14:dataValidation>
        <x14:dataValidation type="list" allowBlank="1" showInputMessage="1" xr:uid="{00000000-0002-0000-0100-000002000000}">
          <x14:formula1>
            <xm:f>'For Reference Only'!$P$1:$P$3</xm:f>
          </x14:formula1>
          <xm:sqref>H50:I50</xm:sqref>
        </x14:dataValidation>
        <x14:dataValidation type="list" allowBlank="1" showInputMessage="1" showErrorMessage="1" xr:uid="{00000000-0002-0000-0100-000003000000}">
          <x14:formula1>
            <xm:f>Specifications!$A$11:$A$22</xm:f>
          </x14:formula1>
          <xm:sqref>B3:D3</xm:sqref>
        </x14:dataValidation>
        <x14:dataValidation type="list" allowBlank="1" showInputMessage="1" xr:uid="{00000000-0002-0000-0100-000005000000}">
          <x14:formula1>
            <xm:f>'For Reference Only'!$P$1:$P$2</xm:f>
          </x14:formula1>
          <xm:sqref>K24:K26</xm:sqref>
        </x14:dataValidation>
        <x14:dataValidation type="list" showInputMessage="1" showErrorMessage="1" xr:uid="{00000000-0002-0000-0100-000004000000}">
          <x14:formula1>
            <xm:f>'For Reference Only'!$T$2:$T$6</xm:f>
          </x14:formula1>
          <xm:sqref>J3:M3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6"/>
  <sheetViews>
    <sheetView topLeftCell="A144" zoomScaleNormal="100" zoomScaleSheetLayoutView="50" workbookViewId="0">
      <selection activeCell="C114" sqref="C114"/>
    </sheetView>
  </sheetViews>
  <sheetFormatPr baseColWidth="10" defaultColWidth="9.5" defaultRowHeight="13" x14ac:dyDescent="0.15"/>
  <cols>
    <col min="2" max="2" width="32.5" customWidth="1"/>
    <col min="3" max="4" width="10.5" customWidth="1"/>
  </cols>
  <sheetData>
    <row r="1" spans="1:4" s="35" customFormat="1" ht="33.5" customHeight="1" x14ac:dyDescent="0.15">
      <c r="A1" s="203"/>
      <c r="B1" s="204" t="s">
        <v>319</v>
      </c>
      <c r="C1" s="204" t="s">
        <v>320</v>
      </c>
      <c r="D1" s="205" t="s">
        <v>321</v>
      </c>
    </row>
    <row r="2" spans="1:4" x14ac:dyDescent="0.15">
      <c r="A2" s="198">
        <v>1</v>
      </c>
      <c r="B2" s="216" t="s">
        <v>322</v>
      </c>
      <c r="C2" s="200" t="s">
        <v>323</v>
      </c>
      <c r="D2" s="206">
        <f>IF(C2="","",IF(C2="N","N/A",IF(C2="P",0,IF(C2="F",1))))</f>
        <v>0</v>
      </c>
    </row>
    <row r="3" spans="1:4" x14ac:dyDescent="0.15">
      <c r="A3" s="198">
        <v>2</v>
      </c>
      <c r="B3" s="216" t="s">
        <v>324</v>
      </c>
      <c r="C3" s="200" t="s">
        <v>323</v>
      </c>
      <c r="D3" s="206">
        <f t="shared" ref="D3:D66" si="0">IF(C3="","",IF(C3="N","N/A",IF(C3="P",0,IF(C3="F",1))))</f>
        <v>0</v>
      </c>
    </row>
    <row r="4" spans="1:4" x14ac:dyDescent="0.15">
      <c r="A4" s="198">
        <v>3</v>
      </c>
      <c r="B4" s="216" t="s">
        <v>325</v>
      </c>
      <c r="C4" s="200" t="s">
        <v>323</v>
      </c>
      <c r="D4" s="206">
        <f t="shared" si="0"/>
        <v>0</v>
      </c>
    </row>
    <row r="5" spans="1:4" x14ac:dyDescent="0.15">
      <c r="A5" s="198">
        <v>4</v>
      </c>
      <c r="B5" s="216" t="s">
        <v>326</v>
      </c>
      <c r="C5" s="200" t="s">
        <v>323</v>
      </c>
      <c r="D5" s="206">
        <f t="shared" si="0"/>
        <v>0</v>
      </c>
    </row>
    <row r="6" spans="1:4" x14ac:dyDescent="0.15">
      <c r="A6" s="198">
        <v>5</v>
      </c>
      <c r="B6" s="216" t="s">
        <v>327</v>
      </c>
      <c r="C6" s="200" t="s">
        <v>323</v>
      </c>
      <c r="D6" s="206">
        <f t="shared" si="0"/>
        <v>0</v>
      </c>
    </row>
    <row r="7" spans="1:4" x14ac:dyDescent="0.15">
      <c r="A7" s="198">
        <v>6</v>
      </c>
      <c r="B7" s="216" t="s">
        <v>328</v>
      </c>
      <c r="C7" s="200" t="s">
        <v>323</v>
      </c>
      <c r="D7" s="206">
        <f t="shared" si="0"/>
        <v>0</v>
      </c>
    </row>
    <row r="8" spans="1:4" x14ac:dyDescent="0.15">
      <c r="A8" s="198">
        <v>7</v>
      </c>
      <c r="B8" s="216" t="s">
        <v>329</v>
      </c>
      <c r="C8" s="200" t="s">
        <v>323</v>
      </c>
      <c r="D8" s="206">
        <f t="shared" si="0"/>
        <v>0</v>
      </c>
    </row>
    <row r="9" spans="1:4" x14ac:dyDescent="0.15">
      <c r="A9" s="198">
        <v>8</v>
      </c>
      <c r="B9" s="216" t="s">
        <v>330</v>
      </c>
      <c r="C9" s="200" t="s">
        <v>834</v>
      </c>
      <c r="D9" s="287">
        <f t="shared" si="0"/>
        <v>1</v>
      </c>
    </row>
    <row r="10" spans="1:4" x14ac:dyDescent="0.15">
      <c r="A10" s="198">
        <v>9</v>
      </c>
      <c r="B10" s="216" t="s">
        <v>331</v>
      </c>
      <c r="C10" s="200" t="s">
        <v>323</v>
      </c>
      <c r="D10" s="206">
        <f t="shared" si="0"/>
        <v>0</v>
      </c>
    </row>
    <row r="11" spans="1:4" x14ac:dyDescent="0.15">
      <c r="A11" s="198">
        <v>10</v>
      </c>
      <c r="B11" s="216" t="s">
        <v>332</v>
      </c>
      <c r="C11" s="200" t="s">
        <v>323</v>
      </c>
      <c r="D11" s="206">
        <f t="shared" si="0"/>
        <v>0</v>
      </c>
    </row>
    <row r="12" spans="1:4" x14ac:dyDescent="0.15">
      <c r="A12" s="198">
        <v>11</v>
      </c>
      <c r="B12" s="216" t="s">
        <v>333</v>
      </c>
      <c r="C12" s="200" t="s">
        <v>323</v>
      </c>
      <c r="D12" s="206">
        <f t="shared" si="0"/>
        <v>0</v>
      </c>
    </row>
    <row r="13" spans="1:4" x14ac:dyDescent="0.15">
      <c r="A13" s="198">
        <v>12</v>
      </c>
      <c r="B13" s="216" t="s">
        <v>334</v>
      </c>
      <c r="C13" s="200" t="s">
        <v>323</v>
      </c>
      <c r="D13" s="206">
        <f t="shared" si="0"/>
        <v>0</v>
      </c>
    </row>
    <row r="14" spans="1:4" x14ac:dyDescent="0.15">
      <c r="A14" s="198">
        <v>13</v>
      </c>
      <c r="B14" s="216" t="s">
        <v>335</v>
      </c>
      <c r="C14" s="200" t="s">
        <v>323</v>
      </c>
      <c r="D14" s="206">
        <f t="shared" si="0"/>
        <v>0</v>
      </c>
    </row>
    <row r="15" spans="1:4" x14ac:dyDescent="0.15">
      <c r="A15" s="198">
        <v>14</v>
      </c>
      <c r="B15" s="216" t="s">
        <v>336</v>
      </c>
      <c r="C15" s="200" t="s">
        <v>323</v>
      </c>
      <c r="D15" s="206">
        <f t="shared" si="0"/>
        <v>0</v>
      </c>
    </row>
    <row r="16" spans="1:4" x14ac:dyDescent="0.15">
      <c r="A16" s="198">
        <v>15</v>
      </c>
      <c r="B16" s="216" t="s">
        <v>337</v>
      </c>
      <c r="C16" s="200" t="s">
        <v>323</v>
      </c>
      <c r="D16" s="206">
        <f t="shared" si="0"/>
        <v>0</v>
      </c>
    </row>
    <row r="17" spans="1:4" x14ac:dyDescent="0.15">
      <c r="A17" s="198">
        <v>16</v>
      </c>
      <c r="B17" s="216" t="s">
        <v>338</v>
      </c>
      <c r="C17" s="200" t="s">
        <v>323</v>
      </c>
      <c r="D17" s="206">
        <f t="shared" si="0"/>
        <v>0</v>
      </c>
    </row>
    <row r="18" spans="1:4" x14ac:dyDescent="0.15">
      <c r="A18" s="198">
        <v>17</v>
      </c>
      <c r="B18" s="216" t="s">
        <v>339</v>
      </c>
      <c r="C18" s="200" t="s">
        <v>323</v>
      </c>
      <c r="D18" s="206">
        <f t="shared" si="0"/>
        <v>0</v>
      </c>
    </row>
    <row r="19" spans="1:4" x14ac:dyDescent="0.15">
      <c r="A19" s="198">
        <v>18</v>
      </c>
      <c r="B19" s="216" t="s">
        <v>340</v>
      </c>
      <c r="C19" s="200" t="s">
        <v>323</v>
      </c>
      <c r="D19" s="206">
        <f t="shared" si="0"/>
        <v>0</v>
      </c>
    </row>
    <row r="20" spans="1:4" x14ac:dyDescent="0.15">
      <c r="A20" s="198">
        <v>19</v>
      </c>
      <c r="B20" s="216" t="s">
        <v>341</v>
      </c>
      <c r="C20" s="200" t="s">
        <v>323</v>
      </c>
      <c r="D20" s="206">
        <f t="shared" si="0"/>
        <v>0</v>
      </c>
    </row>
    <row r="21" spans="1:4" x14ac:dyDescent="0.15">
      <c r="A21" s="198">
        <v>20</v>
      </c>
      <c r="B21" s="216" t="s">
        <v>342</v>
      </c>
      <c r="C21" s="200" t="s">
        <v>323</v>
      </c>
      <c r="D21" s="206">
        <f t="shared" si="0"/>
        <v>0</v>
      </c>
    </row>
    <row r="22" spans="1:4" x14ac:dyDescent="0.15">
      <c r="A22" s="198">
        <v>21</v>
      </c>
      <c r="B22" s="216" t="s">
        <v>343</v>
      </c>
      <c r="C22" s="200" t="s">
        <v>323</v>
      </c>
      <c r="D22" s="206">
        <f t="shared" si="0"/>
        <v>0</v>
      </c>
    </row>
    <row r="23" spans="1:4" x14ac:dyDescent="0.15">
      <c r="A23" s="198">
        <v>22</v>
      </c>
      <c r="B23" s="216" t="s">
        <v>344</v>
      </c>
      <c r="C23" s="200" t="s">
        <v>323</v>
      </c>
      <c r="D23" s="206">
        <f t="shared" si="0"/>
        <v>0</v>
      </c>
    </row>
    <row r="24" spans="1:4" x14ac:dyDescent="0.15">
      <c r="A24" s="198">
        <v>23</v>
      </c>
      <c r="B24" s="216" t="s">
        <v>345</v>
      </c>
      <c r="C24" s="200" t="s">
        <v>323</v>
      </c>
      <c r="D24" s="206">
        <f t="shared" si="0"/>
        <v>0</v>
      </c>
    </row>
    <row r="25" spans="1:4" x14ac:dyDescent="0.15">
      <c r="A25" s="198">
        <v>24</v>
      </c>
      <c r="B25" s="216" t="s">
        <v>346</v>
      </c>
      <c r="C25" s="200" t="s">
        <v>323</v>
      </c>
      <c r="D25" s="206">
        <f t="shared" si="0"/>
        <v>0</v>
      </c>
    </row>
    <row r="26" spans="1:4" x14ac:dyDescent="0.15">
      <c r="A26" s="198">
        <v>25</v>
      </c>
      <c r="B26" s="216" t="s">
        <v>347</v>
      </c>
      <c r="C26" s="200" t="s">
        <v>323</v>
      </c>
      <c r="D26" s="206">
        <f t="shared" si="0"/>
        <v>0</v>
      </c>
    </row>
    <row r="27" spans="1:4" x14ac:dyDescent="0.15">
      <c r="A27" s="198">
        <v>26</v>
      </c>
      <c r="B27" s="216" t="s">
        <v>348</v>
      </c>
      <c r="C27" s="200" t="s">
        <v>323</v>
      </c>
      <c r="D27" s="206">
        <f t="shared" si="0"/>
        <v>0</v>
      </c>
    </row>
    <row r="28" spans="1:4" x14ac:dyDescent="0.15">
      <c r="A28" s="198">
        <v>27</v>
      </c>
      <c r="B28" s="216" t="s">
        <v>349</v>
      </c>
      <c r="C28" s="200" t="s">
        <v>323</v>
      </c>
      <c r="D28" s="206">
        <f t="shared" si="0"/>
        <v>0</v>
      </c>
    </row>
    <row r="29" spans="1:4" x14ac:dyDescent="0.15">
      <c r="A29" s="198">
        <v>28</v>
      </c>
      <c r="B29" s="216" t="s">
        <v>350</v>
      </c>
      <c r="C29" s="200" t="s">
        <v>323</v>
      </c>
      <c r="D29" s="206">
        <f t="shared" si="0"/>
        <v>0</v>
      </c>
    </row>
    <row r="30" spans="1:4" x14ac:dyDescent="0.15">
      <c r="A30" s="198">
        <v>29</v>
      </c>
      <c r="B30" s="216" t="s">
        <v>351</v>
      </c>
      <c r="C30" s="200" t="s">
        <v>323</v>
      </c>
      <c r="D30" s="206">
        <f t="shared" si="0"/>
        <v>0</v>
      </c>
    </row>
    <row r="31" spans="1:4" x14ac:dyDescent="0.15">
      <c r="A31" s="198">
        <v>30</v>
      </c>
      <c r="B31" s="216" t="s">
        <v>352</v>
      </c>
      <c r="C31" s="200" t="s">
        <v>323</v>
      </c>
      <c r="D31" s="206">
        <f t="shared" si="0"/>
        <v>0</v>
      </c>
    </row>
    <row r="32" spans="1:4" x14ac:dyDescent="0.15">
      <c r="A32" s="198">
        <v>31</v>
      </c>
      <c r="B32" s="216" t="s">
        <v>353</v>
      </c>
      <c r="C32" s="200" t="s">
        <v>323</v>
      </c>
      <c r="D32" s="206">
        <f t="shared" si="0"/>
        <v>0</v>
      </c>
    </row>
    <row r="33" spans="1:4" x14ac:dyDescent="0.15">
      <c r="A33" s="198">
        <v>32</v>
      </c>
      <c r="B33" s="216" t="s">
        <v>354</v>
      </c>
      <c r="C33" s="200" t="s">
        <v>323</v>
      </c>
      <c r="D33" s="206">
        <f t="shared" si="0"/>
        <v>0</v>
      </c>
    </row>
    <row r="34" spans="1:4" x14ac:dyDescent="0.15">
      <c r="A34" s="198">
        <v>33</v>
      </c>
      <c r="B34" s="216" t="s">
        <v>355</v>
      </c>
      <c r="C34" s="200" t="s">
        <v>323</v>
      </c>
      <c r="D34" s="206">
        <f t="shared" si="0"/>
        <v>0</v>
      </c>
    </row>
    <row r="35" spans="1:4" x14ac:dyDescent="0.15">
      <c r="A35" s="198">
        <v>34</v>
      </c>
      <c r="B35" s="216" t="s">
        <v>356</v>
      </c>
      <c r="C35" s="200" t="s">
        <v>323</v>
      </c>
      <c r="D35" s="206">
        <f t="shared" si="0"/>
        <v>0</v>
      </c>
    </row>
    <row r="36" spans="1:4" x14ac:dyDescent="0.15">
      <c r="A36" s="198">
        <v>35</v>
      </c>
      <c r="B36" s="216" t="s">
        <v>357</v>
      </c>
      <c r="C36" s="200" t="s">
        <v>323</v>
      </c>
      <c r="D36" s="206">
        <f t="shared" si="0"/>
        <v>0</v>
      </c>
    </row>
    <row r="37" spans="1:4" x14ac:dyDescent="0.15">
      <c r="A37" s="198">
        <v>36</v>
      </c>
      <c r="B37" s="216" t="s">
        <v>358</v>
      </c>
      <c r="C37" s="200" t="s">
        <v>323</v>
      </c>
      <c r="D37" s="206">
        <f t="shared" si="0"/>
        <v>0</v>
      </c>
    </row>
    <row r="38" spans="1:4" x14ac:dyDescent="0.15">
      <c r="A38" s="198">
        <v>37</v>
      </c>
      <c r="B38" s="216" t="s">
        <v>359</v>
      </c>
      <c r="C38" s="200" t="s">
        <v>323</v>
      </c>
      <c r="D38" s="206">
        <f t="shared" si="0"/>
        <v>0</v>
      </c>
    </row>
    <row r="39" spans="1:4" x14ac:dyDescent="0.15">
      <c r="A39" s="198">
        <v>38</v>
      </c>
      <c r="B39" s="216" t="s">
        <v>360</v>
      </c>
      <c r="C39" s="200" t="s">
        <v>323</v>
      </c>
      <c r="D39" s="206">
        <f t="shared" si="0"/>
        <v>0</v>
      </c>
    </row>
    <row r="40" spans="1:4" x14ac:dyDescent="0.15">
      <c r="A40" s="198">
        <v>39</v>
      </c>
      <c r="B40" s="216" t="s">
        <v>361</v>
      </c>
      <c r="C40" s="200" t="s">
        <v>323</v>
      </c>
      <c r="D40" s="206">
        <f t="shared" si="0"/>
        <v>0</v>
      </c>
    </row>
    <row r="41" spans="1:4" x14ac:dyDescent="0.15">
      <c r="A41" s="198">
        <v>40</v>
      </c>
      <c r="B41" s="216" t="s">
        <v>362</v>
      </c>
      <c r="C41" s="200" t="s">
        <v>323</v>
      </c>
      <c r="D41" s="206">
        <f t="shared" si="0"/>
        <v>0</v>
      </c>
    </row>
    <row r="42" spans="1:4" x14ac:dyDescent="0.15">
      <c r="A42" s="198">
        <v>41</v>
      </c>
      <c r="B42" s="216" t="s">
        <v>363</v>
      </c>
      <c r="C42" s="200" t="s">
        <v>323</v>
      </c>
      <c r="D42" s="206">
        <f t="shared" si="0"/>
        <v>0</v>
      </c>
    </row>
    <row r="43" spans="1:4" x14ac:dyDescent="0.15">
      <c r="A43" s="198">
        <v>42</v>
      </c>
      <c r="B43" s="216" t="s">
        <v>364</v>
      </c>
      <c r="C43" s="200" t="s">
        <v>323</v>
      </c>
      <c r="D43" s="206">
        <f t="shared" si="0"/>
        <v>0</v>
      </c>
    </row>
    <row r="44" spans="1:4" x14ac:dyDescent="0.15">
      <c r="A44" s="198">
        <v>43</v>
      </c>
      <c r="B44" s="216" t="s">
        <v>365</v>
      </c>
      <c r="C44" s="200" t="s">
        <v>323</v>
      </c>
      <c r="D44" s="206">
        <f t="shared" si="0"/>
        <v>0</v>
      </c>
    </row>
    <row r="45" spans="1:4" x14ac:dyDescent="0.15">
      <c r="A45" s="198">
        <v>44</v>
      </c>
      <c r="B45" s="216" t="s">
        <v>366</v>
      </c>
      <c r="C45" s="200" t="s">
        <v>323</v>
      </c>
      <c r="D45" s="206">
        <f t="shared" si="0"/>
        <v>0</v>
      </c>
    </row>
    <row r="46" spans="1:4" x14ac:dyDescent="0.15">
      <c r="A46" s="198">
        <v>45</v>
      </c>
      <c r="B46" s="216" t="s">
        <v>367</v>
      </c>
      <c r="C46" s="200" t="s">
        <v>323</v>
      </c>
      <c r="D46" s="206">
        <f t="shared" si="0"/>
        <v>0</v>
      </c>
    </row>
    <row r="47" spans="1:4" x14ac:dyDescent="0.15">
      <c r="A47" s="198">
        <v>46</v>
      </c>
      <c r="B47" s="216" t="s">
        <v>368</v>
      </c>
      <c r="C47" s="200" t="s">
        <v>323</v>
      </c>
      <c r="D47" s="206">
        <f t="shared" si="0"/>
        <v>0</v>
      </c>
    </row>
    <row r="48" spans="1:4" x14ac:dyDescent="0.15">
      <c r="A48" s="198">
        <v>47</v>
      </c>
      <c r="B48" s="216" t="s">
        <v>369</v>
      </c>
      <c r="C48" s="200" t="s">
        <v>323</v>
      </c>
      <c r="D48" s="206">
        <f t="shared" si="0"/>
        <v>0</v>
      </c>
    </row>
    <row r="49" spans="1:4" x14ac:dyDescent="0.15">
      <c r="A49" s="198">
        <v>48</v>
      </c>
      <c r="B49" s="216" t="s">
        <v>370</v>
      </c>
      <c r="C49" s="200" t="s">
        <v>323</v>
      </c>
      <c r="D49" s="206">
        <f t="shared" si="0"/>
        <v>0</v>
      </c>
    </row>
    <row r="50" spans="1:4" x14ac:dyDescent="0.15">
      <c r="A50" s="198">
        <v>49</v>
      </c>
      <c r="B50" s="216" t="s">
        <v>371</v>
      </c>
      <c r="C50" s="200" t="s">
        <v>323</v>
      </c>
      <c r="D50" s="206">
        <f t="shared" si="0"/>
        <v>0</v>
      </c>
    </row>
    <row r="51" spans="1:4" x14ac:dyDescent="0.15">
      <c r="A51" s="198">
        <v>50</v>
      </c>
      <c r="B51" s="216" t="s">
        <v>372</v>
      </c>
      <c r="C51" s="200" t="s">
        <v>323</v>
      </c>
      <c r="D51" s="206">
        <f t="shared" si="0"/>
        <v>0</v>
      </c>
    </row>
    <row r="52" spans="1:4" x14ac:dyDescent="0.15">
      <c r="A52" s="198">
        <v>51</v>
      </c>
      <c r="B52" s="216" t="s">
        <v>373</v>
      </c>
      <c r="C52" s="200" t="s">
        <v>323</v>
      </c>
      <c r="D52" s="206">
        <f t="shared" si="0"/>
        <v>0</v>
      </c>
    </row>
    <row r="53" spans="1:4" x14ac:dyDescent="0.15">
      <c r="A53" s="198">
        <v>52</v>
      </c>
      <c r="B53" s="216" t="s">
        <v>374</v>
      </c>
      <c r="C53" s="200" t="s">
        <v>323</v>
      </c>
      <c r="D53" s="206">
        <f t="shared" si="0"/>
        <v>0</v>
      </c>
    </row>
    <row r="54" spans="1:4" x14ac:dyDescent="0.15">
      <c r="A54" s="198">
        <v>53</v>
      </c>
      <c r="B54" s="216" t="s">
        <v>375</v>
      </c>
      <c r="C54" s="200" t="s">
        <v>323</v>
      </c>
      <c r="D54" s="206">
        <f t="shared" si="0"/>
        <v>0</v>
      </c>
    </row>
    <row r="55" spans="1:4" x14ac:dyDescent="0.15">
      <c r="A55" s="198">
        <v>54</v>
      </c>
      <c r="B55" s="216" t="s">
        <v>376</v>
      </c>
      <c r="C55" s="200" t="s">
        <v>323</v>
      </c>
      <c r="D55" s="206">
        <f t="shared" si="0"/>
        <v>0</v>
      </c>
    </row>
    <row r="56" spans="1:4" x14ac:dyDescent="0.15">
      <c r="A56" s="198">
        <v>55</v>
      </c>
      <c r="B56" s="216" t="s">
        <v>377</v>
      </c>
      <c r="C56" s="200" t="s">
        <v>323</v>
      </c>
      <c r="D56" s="206">
        <f t="shared" si="0"/>
        <v>0</v>
      </c>
    </row>
    <row r="57" spans="1:4" x14ac:dyDescent="0.15">
      <c r="A57" s="198">
        <v>56</v>
      </c>
      <c r="B57" s="216" t="s">
        <v>378</v>
      </c>
      <c r="C57" s="200" t="s">
        <v>323</v>
      </c>
      <c r="D57" s="206">
        <f t="shared" si="0"/>
        <v>0</v>
      </c>
    </row>
    <row r="58" spans="1:4" x14ac:dyDescent="0.15">
      <c r="A58" s="198">
        <v>57</v>
      </c>
      <c r="B58" s="216" t="s">
        <v>379</v>
      </c>
      <c r="C58" s="200" t="s">
        <v>323</v>
      </c>
      <c r="D58" s="206">
        <f t="shared" si="0"/>
        <v>0</v>
      </c>
    </row>
    <row r="59" spans="1:4" x14ac:dyDescent="0.15">
      <c r="A59" s="198">
        <v>58</v>
      </c>
      <c r="B59" s="216" t="s">
        <v>380</v>
      </c>
      <c r="C59" s="200" t="s">
        <v>323</v>
      </c>
      <c r="D59" s="206">
        <f t="shared" si="0"/>
        <v>0</v>
      </c>
    </row>
    <row r="60" spans="1:4" x14ac:dyDescent="0.15">
      <c r="A60" s="198">
        <v>59</v>
      </c>
      <c r="B60" s="216" t="s">
        <v>381</v>
      </c>
      <c r="C60" s="200" t="s">
        <v>323</v>
      </c>
      <c r="D60" s="206">
        <f t="shared" si="0"/>
        <v>0</v>
      </c>
    </row>
    <row r="61" spans="1:4" x14ac:dyDescent="0.15">
      <c r="A61" s="198">
        <v>60</v>
      </c>
      <c r="B61" s="216" t="s">
        <v>382</v>
      </c>
      <c r="C61" s="200" t="s">
        <v>323</v>
      </c>
      <c r="D61" s="206">
        <f t="shared" si="0"/>
        <v>0</v>
      </c>
    </row>
    <row r="62" spans="1:4" x14ac:dyDescent="0.15">
      <c r="A62" s="198">
        <v>61</v>
      </c>
      <c r="B62" s="216" t="s">
        <v>383</v>
      </c>
      <c r="C62" s="200" t="s">
        <v>323</v>
      </c>
      <c r="D62" s="206">
        <f t="shared" si="0"/>
        <v>0</v>
      </c>
    </row>
    <row r="63" spans="1:4" x14ac:dyDescent="0.15">
      <c r="A63" s="198">
        <v>62</v>
      </c>
      <c r="B63" s="216" t="s">
        <v>384</v>
      </c>
      <c r="C63" s="200" t="s">
        <v>323</v>
      </c>
      <c r="D63" s="206">
        <f t="shared" si="0"/>
        <v>0</v>
      </c>
    </row>
    <row r="64" spans="1:4" x14ac:dyDescent="0.15">
      <c r="A64" s="198">
        <v>63</v>
      </c>
      <c r="B64" s="216" t="s">
        <v>385</v>
      </c>
      <c r="C64" s="200" t="s">
        <v>323</v>
      </c>
      <c r="D64" s="206">
        <f t="shared" si="0"/>
        <v>0</v>
      </c>
    </row>
    <row r="65" spans="1:4" x14ac:dyDescent="0.15">
      <c r="A65" s="198">
        <v>64</v>
      </c>
      <c r="B65" s="216" t="s">
        <v>386</v>
      </c>
      <c r="C65" s="200" t="s">
        <v>323</v>
      </c>
      <c r="D65" s="206">
        <f t="shared" si="0"/>
        <v>0</v>
      </c>
    </row>
    <row r="66" spans="1:4" x14ac:dyDescent="0.15">
      <c r="A66" s="198">
        <v>65</v>
      </c>
      <c r="B66" s="216" t="s">
        <v>387</v>
      </c>
      <c r="C66" s="200" t="s">
        <v>323</v>
      </c>
      <c r="D66" s="206">
        <f t="shared" si="0"/>
        <v>0</v>
      </c>
    </row>
    <row r="67" spans="1:4" x14ac:dyDescent="0.15">
      <c r="A67" s="198">
        <v>66</v>
      </c>
      <c r="B67" s="216" t="s">
        <v>388</v>
      </c>
      <c r="C67" s="200" t="s">
        <v>323</v>
      </c>
      <c r="D67" s="206">
        <f t="shared" ref="D67:D130" si="1">IF(C67="","",IF(C67="N","N/A",IF(C67="P",0,IF(C67="F",1))))</f>
        <v>0</v>
      </c>
    </row>
    <row r="68" spans="1:4" x14ac:dyDescent="0.15">
      <c r="A68" s="198">
        <v>67</v>
      </c>
      <c r="B68" s="216" t="s">
        <v>389</v>
      </c>
      <c r="C68" s="200" t="s">
        <v>323</v>
      </c>
      <c r="D68" s="206">
        <f t="shared" si="1"/>
        <v>0</v>
      </c>
    </row>
    <row r="69" spans="1:4" x14ac:dyDescent="0.15">
      <c r="A69" s="198">
        <v>68</v>
      </c>
      <c r="B69" s="216" t="s">
        <v>390</v>
      </c>
      <c r="C69" s="200" t="s">
        <v>323</v>
      </c>
      <c r="D69" s="206">
        <f t="shared" si="1"/>
        <v>0</v>
      </c>
    </row>
    <row r="70" spans="1:4" x14ac:dyDescent="0.15">
      <c r="A70" s="198">
        <v>69</v>
      </c>
      <c r="B70" s="216" t="s">
        <v>391</v>
      </c>
      <c r="C70" s="200" t="s">
        <v>323</v>
      </c>
      <c r="D70" s="206">
        <f t="shared" si="1"/>
        <v>0</v>
      </c>
    </row>
    <row r="71" spans="1:4" x14ac:dyDescent="0.15">
      <c r="A71" s="198">
        <v>70</v>
      </c>
      <c r="B71" s="216" t="s">
        <v>392</v>
      </c>
      <c r="C71" s="200" t="s">
        <v>323</v>
      </c>
      <c r="D71" s="206">
        <f t="shared" si="1"/>
        <v>0</v>
      </c>
    </row>
    <row r="72" spans="1:4" x14ac:dyDescent="0.15">
      <c r="A72" s="198">
        <v>71</v>
      </c>
      <c r="B72" s="216" t="s">
        <v>393</v>
      </c>
      <c r="C72" s="200" t="s">
        <v>323</v>
      </c>
      <c r="D72" s="206">
        <f t="shared" si="1"/>
        <v>0</v>
      </c>
    </row>
    <row r="73" spans="1:4" x14ac:dyDescent="0.15">
      <c r="A73" s="198">
        <v>72</v>
      </c>
      <c r="B73" s="216" t="s">
        <v>394</v>
      </c>
      <c r="C73" s="200" t="s">
        <v>323</v>
      </c>
      <c r="D73" s="206">
        <f t="shared" si="1"/>
        <v>0</v>
      </c>
    </row>
    <row r="74" spans="1:4" x14ac:dyDescent="0.15">
      <c r="A74" s="198">
        <v>73</v>
      </c>
      <c r="B74" s="216" t="s">
        <v>395</v>
      </c>
      <c r="C74" s="200" t="s">
        <v>323</v>
      </c>
      <c r="D74" s="206">
        <f t="shared" si="1"/>
        <v>0</v>
      </c>
    </row>
    <row r="75" spans="1:4" x14ac:dyDescent="0.15">
      <c r="A75" s="198">
        <v>74</v>
      </c>
      <c r="B75" s="216" t="s">
        <v>396</v>
      </c>
      <c r="C75" s="200" t="s">
        <v>834</v>
      </c>
      <c r="D75" s="287">
        <v>1</v>
      </c>
    </row>
    <row r="76" spans="1:4" x14ac:dyDescent="0.15">
      <c r="A76" s="198">
        <v>75</v>
      </c>
      <c r="B76" s="216" t="s">
        <v>397</v>
      </c>
      <c r="C76" s="200" t="s">
        <v>323</v>
      </c>
      <c r="D76" s="206">
        <f t="shared" si="1"/>
        <v>0</v>
      </c>
    </row>
    <row r="77" spans="1:4" x14ac:dyDescent="0.15">
      <c r="A77" s="198">
        <v>76</v>
      </c>
      <c r="B77" s="216" t="s">
        <v>398</v>
      </c>
      <c r="C77" s="200" t="s">
        <v>323</v>
      </c>
      <c r="D77" s="206">
        <f t="shared" si="1"/>
        <v>0</v>
      </c>
    </row>
    <row r="78" spans="1:4" x14ac:dyDescent="0.15">
      <c r="A78" s="198">
        <v>77</v>
      </c>
      <c r="B78" s="216" t="s">
        <v>399</v>
      </c>
      <c r="C78" s="200" t="s">
        <v>323</v>
      </c>
      <c r="D78" s="206">
        <f t="shared" si="1"/>
        <v>0</v>
      </c>
    </row>
    <row r="79" spans="1:4" x14ac:dyDescent="0.15">
      <c r="A79" s="198">
        <v>78</v>
      </c>
      <c r="B79" s="216" t="s">
        <v>400</v>
      </c>
      <c r="C79" s="200" t="s">
        <v>323</v>
      </c>
      <c r="D79" s="206">
        <f t="shared" si="1"/>
        <v>0</v>
      </c>
    </row>
    <row r="80" spans="1:4" x14ac:dyDescent="0.15">
      <c r="A80" s="198">
        <v>79</v>
      </c>
      <c r="B80" s="216" t="s">
        <v>401</v>
      </c>
      <c r="C80" s="200" t="s">
        <v>323</v>
      </c>
      <c r="D80" s="206">
        <f t="shared" si="1"/>
        <v>0</v>
      </c>
    </row>
    <row r="81" spans="1:4" x14ac:dyDescent="0.15">
      <c r="A81" s="198">
        <v>80</v>
      </c>
      <c r="B81" s="216" t="s">
        <v>402</v>
      </c>
      <c r="C81" s="200" t="s">
        <v>323</v>
      </c>
      <c r="D81" s="206">
        <f t="shared" si="1"/>
        <v>0</v>
      </c>
    </row>
    <row r="82" spans="1:4" x14ac:dyDescent="0.15">
      <c r="A82" s="198">
        <v>81</v>
      </c>
      <c r="B82" s="216" t="s">
        <v>403</v>
      </c>
      <c r="C82" s="200" t="s">
        <v>323</v>
      </c>
      <c r="D82" s="206">
        <f t="shared" si="1"/>
        <v>0</v>
      </c>
    </row>
    <row r="83" spans="1:4" x14ac:dyDescent="0.15">
      <c r="A83" s="198">
        <v>82</v>
      </c>
      <c r="B83" s="216" t="s">
        <v>404</v>
      </c>
      <c r="C83" s="200" t="s">
        <v>323</v>
      </c>
      <c r="D83" s="206">
        <f t="shared" si="1"/>
        <v>0</v>
      </c>
    </row>
    <row r="84" spans="1:4" x14ac:dyDescent="0.15">
      <c r="A84" s="198">
        <v>83</v>
      </c>
      <c r="B84" s="216" t="s">
        <v>405</v>
      </c>
      <c r="C84" s="200" t="s">
        <v>323</v>
      </c>
      <c r="D84" s="206">
        <f t="shared" si="1"/>
        <v>0</v>
      </c>
    </row>
    <row r="85" spans="1:4" x14ac:dyDescent="0.15">
      <c r="A85" s="198">
        <v>84</v>
      </c>
      <c r="B85" s="216" t="s">
        <v>406</v>
      </c>
      <c r="C85" s="200" t="s">
        <v>323</v>
      </c>
      <c r="D85" s="206">
        <f t="shared" si="1"/>
        <v>0</v>
      </c>
    </row>
    <row r="86" spans="1:4" x14ac:dyDescent="0.15">
      <c r="A86" s="198">
        <v>85</v>
      </c>
      <c r="B86" s="216" t="s">
        <v>407</v>
      </c>
      <c r="C86" s="200" t="s">
        <v>323</v>
      </c>
      <c r="D86" s="206">
        <f t="shared" si="1"/>
        <v>0</v>
      </c>
    </row>
    <row r="87" spans="1:4" x14ac:dyDescent="0.15">
      <c r="A87" s="198">
        <v>86</v>
      </c>
      <c r="B87" s="216" t="s">
        <v>408</v>
      </c>
      <c r="C87" s="200" t="s">
        <v>323</v>
      </c>
      <c r="D87" s="206">
        <f t="shared" si="1"/>
        <v>0</v>
      </c>
    </row>
    <row r="88" spans="1:4" x14ac:dyDescent="0.15">
      <c r="A88" s="198">
        <v>87</v>
      </c>
      <c r="B88" s="216" t="s">
        <v>409</v>
      </c>
      <c r="C88" s="200" t="s">
        <v>323</v>
      </c>
      <c r="D88" s="206">
        <f t="shared" si="1"/>
        <v>0</v>
      </c>
    </row>
    <row r="89" spans="1:4" x14ac:dyDescent="0.15">
      <c r="A89" s="198">
        <v>88</v>
      </c>
      <c r="B89" s="216" t="s">
        <v>410</v>
      </c>
      <c r="C89" s="200" t="s">
        <v>323</v>
      </c>
      <c r="D89" s="206">
        <f t="shared" si="1"/>
        <v>0</v>
      </c>
    </row>
    <row r="90" spans="1:4" x14ac:dyDescent="0.15">
      <c r="A90" s="198">
        <v>89</v>
      </c>
      <c r="B90" s="216" t="s">
        <v>411</v>
      </c>
      <c r="C90" s="200" t="s">
        <v>323</v>
      </c>
      <c r="D90" s="206">
        <f t="shared" si="1"/>
        <v>0</v>
      </c>
    </row>
    <row r="91" spans="1:4" x14ac:dyDescent="0.15">
      <c r="A91" s="198">
        <v>90</v>
      </c>
      <c r="B91" s="216" t="s">
        <v>412</v>
      </c>
      <c r="C91" s="200" t="s">
        <v>323</v>
      </c>
      <c r="D91" s="206">
        <f t="shared" si="1"/>
        <v>0</v>
      </c>
    </row>
    <row r="92" spans="1:4" x14ac:dyDescent="0.15">
      <c r="A92" s="198">
        <v>91</v>
      </c>
      <c r="B92" s="216" t="s">
        <v>413</v>
      </c>
      <c r="C92" s="200" t="s">
        <v>323</v>
      </c>
      <c r="D92" s="206">
        <f t="shared" si="1"/>
        <v>0</v>
      </c>
    </row>
    <row r="93" spans="1:4" x14ac:dyDescent="0.15">
      <c r="A93" s="198">
        <v>92</v>
      </c>
      <c r="B93" s="216" t="s">
        <v>414</v>
      </c>
      <c r="C93" s="200" t="s">
        <v>323</v>
      </c>
      <c r="D93" s="206">
        <f t="shared" si="1"/>
        <v>0</v>
      </c>
    </row>
    <row r="94" spans="1:4" x14ac:dyDescent="0.15">
      <c r="A94" s="198">
        <v>93</v>
      </c>
      <c r="B94" s="216" t="s">
        <v>415</v>
      </c>
      <c r="C94" s="200" t="s">
        <v>323</v>
      </c>
      <c r="D94" s="206">
        <f t="shared" si="1"/>
        <v>0</v>
      </c>
    </row>
    <row r="95" spans="1:4" x14ac:dyDescent="0.15">
      <c r="A95" s="198">
        <v>94</v>
      </c>
      <c r="B95" s="216" t="s">
        <v>416</v>
      </c>
      <c r="C95" s="200" t="s">
        <v>323</v>
      </c>
      <c r="D95" s="206">
        <f t="shared" si="1"/>
        <v>0</v>
      </c>
    </row>
    <row r="96" spans="1:4" x14ac:dyDescent="0.15">
      <c r="A96" s="198">
        <v>95</v>
      </c>
      <c r="B96" s="216" t="s">
        <v>417</v>
      </c>
      <c r="C96" s="200" t="s">
        <v>323</v>
      </c>
      <c r="D96" s="206">
        <f t="shared" si="1"/>
        <v>0</v>
      </c>
    </row>
    <row r="97" spans="1:4" x14ac:dyDescent="0.15">
      <c r="A97" s="198">
        <v>96</v>
      </c>
      <c r="B97" s="216" t="s">
        <v>418</v>
      </c>
      <c r="C97" s="200" t="s">
        <v>323</v>
      </c>
      <c r="D97" s="206">
        <f t="shared" si="1"/>
        <v>0</v>
      </c>
    </row>
    <row r="98" spans="1:4" x14ac:dyDescent="0.15">
      <c r="A98" s="198">
        <v>97</v>
      </c>
      <c r="B98" s="216" t="s">
        <v>419</v>
      </c>
      <c r="C98" s="200" t="s">
        <v>323</v>
      </c>
      <c r="D98" s="206">
        <f t="shared" si="1"/>
        <v>0</v>
      </c>
    </row>
    <row r="99" spans="1:4" x14ac:dyDescent="0.15">
      <c r="A99" s="198">
        <v>98</v>
      </c>
      <c r="B99" s="216" t="s">
        <v>420</v>
      </c>
      <c r="C99" s="200" t="s">
        <v>323</v>
      </c>
      <c r="D99" s="206">
        <f t="shared" si="1"/>
        <v>0</v>
      </c>
    </row>
    <row r="100" spans="1:4" x14ac:dyDescent="0.15">
      <c r="A100" s="198">
        <v>99</v>
      </c>
      <c r="B100" s="216" t="s">
        <v>421</v>
      </c>
      <c r="C100" s="200" t="s">
        <v>323</v>
      </c>
      <c r="D100" s="206">
        <f t="shared" si="1"/>
        <v>0</v>
      </c>
    </row>
    <row r="101" spans="1:4" x14ac:dyDescent="0.15">
      <c r="A101" s="198">
        <v>100</v>
      </c>
      <c r="B101" s="216" t="s">
        <v>422</v>
      </c>
      <c r="C101" s="200" t="s">
        <v>323</v>
      </c>
      <c r="D101" s="206">
        <f t="shared" si="1"/>
        <v>0</v>
      </c>
    </row>
    <row r="102" spans="1:4" x14ac:dyDescent="0.15">
      <c r="A102" s="198">
        <v>101</v>
      </c>
      <c r="B102" s="216" t="s">
        <v>423</v>
      </c>
      <c r="C102" s="200" t="s">
        <v>323</v>
      </c>
      <c r="D102" s="206">
        <f t="shared" si="1"/>
        <v>0</v>
      </c>
    </row>
    <row r="103" spans="1:4" x14ac:dyDescent="0.15">
      <c r="A103" s="198">
        <v>102</v>
      </c>
      <c r="B103" s="216" t="s">
        <v>424</v>
      </c>
      <c r="C103" s="200" t="s">
        <v>323</v>
      </c>
      <c r="D103" s="206">
        <f t="shared" si="1"/>
        <v>0</v>
      </c>
    </row>
    <row r="104" spans="1:4" x14ac:dyDescent="0.15">
      <c r="A104" s="198">
        <v>103</v>
      </c>
      <c r="B104" s="216" t="s">
        <v>425</v>
      </c>
      <c r="C104" s="200" t="s">
        <v>323</v>
      </c>
      <c r="D104" s="206">
        <f t="shared" si="1"/>
        <v>0</v>
      </c>
    </row>
    <row r="105" spans="1:4" x14ac:dyDescent="0.15">
      <c r="A105" s="198">
        <v>104</v>
      </c>
      <c r="B105" s="216" t="s">
        <v>426</v>
      </c>
      <c r="C105" s="200" t="s">
        <v>323</v>
      </c>
      <c r="D105" s="206">
        <f t="shared" si="1"/>
        <v>0</v>
      </c>
    </row>
    <row r="106" spans="1:4" x14ac:dyDescent="0.15">
      <c r="A106" s="198">
        <v>105</v>
      </c>
      <c r="B106" s="216" t="s">
        <v>427</v>
      </c>
      <c r="C106" s="200" t="s">
        <v>323</v>
      </c>
      <c r="D106" s="206">
        <f t="shared" si="1"/>
        <v>0</v>
      </c>
    </row>
    <row r="107" spans="1:4" x14ac:dyDescent="0.15">
      <c r="A107" s="198">
        <v>106</v>
      </c>
      <c r="B107" s="216" t="s">
        <v>428</v>
      </c>
      <c r="C107" s="200" t="s">
        <v>323</v>
      </c>
      <c r="D107" s="206">
        <f t="shared" si="1"/>
        <v>0</v>
      </c>
    </row>
    <row r="108" spans="1:4" x14ac:dyDescent="0.15">
      <c r="A108" s="198">
        <v>107</v>
      </c>
      <c r="B108" s="216" t="s">
        <v>429</v>
      </c>
      <c r="C108" s="200" t="s">
        <v>323</v>
      </c>
      <c r="D108" s="206">
        <f t="shared" si="1"/>
        <v>0</v>
      </c>
    </row>
    <row r="109" spans="1:4" x14ac:dyDescent="0.15">
      <c r="A109" s="198">
        <v>108</v>
      </c>
      <c r="B109" s="216" t="s">
        <v>430</v>
      </c>
      <c r="C109" s="200" t="s">
        <v>323</v>
      </c>
      <c r="D109" s="206">
        <f t="shared" si="1"/>
        <v>0</v>
      </c>
    </row>
    <row r="110" spans="1:4" x14ac:dyDescent="0.15">
      <c r="A110" s="198">
        <v>109</v>
      </c>
      <c r="B110" s="216" t="s">
        <v>431</v>
      </c>
      <c r="C110" s="200" t="s">
        <v>323</v>
      </c>
      <c r="D110" s="206">
        <f t="shared" si="1"/>
        <v>0</v>
      </c>
    </row>
    <row r="111" spans="1:4" x14ac:dyDescent="0.15">
      <c r="A111" s="198">
        <v>110</v>
      </c>
      <c r="B111" s="216" t="s">
        <v>432</v>
      </c>
      <c r="C111" s="200" t="s">
        <v>323</v>
      </c>
      <c r="D111" s="206">
        <f t="shared" si="1"/>
        <v>0</v>
      </c>
    </row>
    <row r="112" spans="1:4" x14ac:dyDescent="0.15">
      <c r="A112" s="198">
        <v>111</v>
      </c>
      <c r="B112" s="216" t="s">
        <v>433</v>
      </c>
      <c r="C112" s="200" t="s">
        <v>323</v>
      </c>
      <c r="D112" s="206">
        <f t="shared" si="1"/>
        <v>0</v>
      </c>
    </row>
    <row r="113" spans="1:4" x14ac:dyDescent="0.15">
      <c r="A113" s="198">
        <v>112</v>
      </c>
      <c r="B113" s="216" t="s">
        <v>434</v>
      </c>
      <c r="C113" s="200" t="s">
        <v>323</v>
      </c>
      <c r="D113" s="206">
        <f t="shared" si="1"/>
        <v>0</v>
      </c>
    </row>
    <row r="114" spans="1:4" x14ac:dyDescent="0.15">
      <c r="A114" s="198">
        <v>113</v>
      </c>
      <c r="B114" s="216" t="s">
        <v>435</v>
      </c>
      <c r="C114" s="448" t="s">
        <v>834</v>
      </c>
      <c r="D114" s="206">
        <f t="shared" si="1"/>
        <v>1</v>
      </c>
    </row>
    <row r="115" spans="1:4" x14ac:dyDescent="0.15">
      <c r="A115" s="198">
        <v>114</v>
      </c>
      <c r="B115" s="216" t="s">
        <v>436</v>
      </c>
      <c r="C115" s="200" t="s">
        <v>323</v>
      </c>
      <c r="D115" s="206">
        <f t="shared" si="1"/>
        <v>0</v>
      </c>
    </row>
    <row r="116" spans="1:4" x14ac:dyDescent="0.15">
      <c r="A116" s="198">
        <v>115</v>
      </c>
      <c r="B116" s="216" t="s">
        <v>437</v>
      </c>
      <c r="C116" s="200" t="s">
        <v>323</v>
      </c>
      <c r="D116" s="206">
        <f t="shared" si="1"/>
        <v>0</v>
      </c>
    </row>
    <row r="117" spans="1:4" x14ac:dyDescent="0.15">
      <c r="A117" s="198">
        <v>116</v>
      </c>
      <c r="B117" s="216" t="s">
        <v>438</v>
      </c>
      <c r="C117" s="448" t="s">
        <v>834</v>
      </c>
      <c r="D117" s="206">
        <f t="shared" si="1"/>
        <v>1</v>
      </c>
    </row>
    <row r="118" spans="1:4" x14ac:dyDescent="0.15">
      <c r="A118" s="198">
        <v>117</v>
      </c>
      <c r="B118" s="216" t="s">
        <v>439</v>
      </c>
      <c r="C118" s="200" t="s">
        <v>323</v>
      </c>
      <c r="D118" s="206">
        <f t="shared" si="1"/>
        <v>0</v>
      </c>
    </row>
    <row r="119" spans="1:4" x14ac:dyDescent="0.15">
      <c r="A119" s="198">
        <v>118</v>
      </c>
      <c r="B119" s="216" t="s">
        <v>440</v>
      </c>
      <c r="C119" s="200" t="s">
        <v>323</v>
      </c>
      <c r="D119" s="206">
        <f t="shared" si="1"/>
        <v>0</v>
      </c>
    </row>
    <row r="120" spans="1:4" x14ac:dyDescent="0.15">
      <c r="A120" s="198">
        <v>119</v>
      </c>
      <c r="B120" s="216" t="s">
        <v>441</v>
      </c>
      <c r="C120" s="200" t="s">
        <v>323</v>
      </c>
      <c r="D120" s="206">
        <f t="shared" si="1"/>
        <v>0</v>
      </c>
    </row>
    <row r="121" spans="1:4" x14ac:dyDescent="0.15">
      <c r="A121" s="198">
        <v>120</v>
      </c>
      <c r="B121" s="216" t="s">
        <v>442</v>
      </c>
      <c r="C121" s="200" t="s">
        <v>323</v>
      </c>
      <c r="D121" s="206">
        <f t="shared" si="1"/>
        <v>0</v>
      </c>
    </row>
    <row r="122" spans="1:4" x14ac:dyDescent="0.15">
      <c r="A122" s="198">
        <v>121</v>
      </c>
      <c r="B122" s="216" t="s">
        <v>443</v>
      </c>
      <c r="C122" s="200" t="s">
        <v>323</v>
      </c>
      <c r="D122" s="206">
        <f t="shared" si="1"/>
        <v>0</v>
      </c>
    </row>
    <row r="123" spans="1:4" x14ac:dyDescent="0.15">
      <c r="A123" s="198">
        <v>122</v>
      </c>
      <c r="B123" s="216" t="s">
        <v>444</v>
      </c>
      <c r="C123" s="200" t="s">
        <v>323</v>
      </c>
      <c r="D123" s="206">
        <f t="shared" si="1"/>
        <v>0</v>
      </c>
    </row>
    <row r="124" spans="1:4" x14ac:dyDescent="0.15">
      <c r="A124" s="198">
        <v>123</v>
      </c>
      <c r="B124" s="216" t="s">
        <v>445</v>
      </c>
      <c r="C124" s="200" t="s">
        <v>323</v>
      </c>
      <c r="D124" s="206">
        <f t="shared" si="1"/>
        <v>0</v>
      </c>
    </row>
    <row r="125" spans="1:4" x14ac:dyDescent="0.15">
      <c r="A125" s="198">
        <v>124</v>
      </c>
      <c r="B125" s="216" t="s">
        <v>446</v>
      </c>
      <c r="C125" s="200" t="s">
        <v>323</v>
      </c>
      <c r="D125" s="206">
        <f t="shared" si="1"/>
        <v>0</v>
      </c>
    </row>
    <row r="126" spans="1:4" x14ac:dyDescent="0.15">
      <c r="A126" s="198">
        <v>125</v>
      </c>
      <c r="B126" s="216" t="s">
        <v>447</v>
      </c>
      <c r="C126" s="200" t="s">
        <v>323</v>
      </c>
      <c r="D126" s="206">
        <f t="shared" si="1"/>
        <v>0</v>
      </c>
    </row>
    <row r="127" spans="1:4" x14ac:dyDescent="0.15">
      <c r="A127" s="198">
        <v>126</v>
      </c>
      <c r="B127" s="216" t="s">
        <v>448</v>
      </c>
      <c r="C127" s="200" t="s">
        <v>323</v>
      </c>
      <c r="D127" s="206">
        <f t="shared" si="1"/>
        <v>0</v>
      </c>
    </row>
    <row r="128" spans="1:4" x14ac:dyDescent="0.15">
      <c r="A128" s="198">
        <v>127</v>
      </c>
      <c r="B128" s="216" t="s">
        <v>449</v>
      </c>
      <c r="C128" s="200" t="s">
        <v>323</v>
      </c>
      <c r="D128" s="206">
        <f t="shared" si="1"/>
        <v>0</v>
      </c>
    </row>
    <row r="129" spans="1:4" x14ac:dyDescent="0.15">
      <c r="A129" s="198">
        <v>128</v>
      </c>
      <c r="B129" s="216" t="s">
        <v>450</v>
      </c>
      <c r="C129" s="200" t="s">
        <v>323</v>
      </c>
      <c r="D129" s="206">
        <f t="shared" si="1"/>
        <v>0</v>
      </c>
    </row>
    <row r="130" spans="1:4" x14ac:dyDescent="0.15">
      <c r="A130" s="198">
        <v>129</v>
      </c>
      <c r="B130" s="216" t="s">
        <v>451</v>
      </c>
      <c r="C130" s="200" t="s">
        <v>323</v>
      </c>
      <c r="D130" s="206">
        <f t="shared" si="1"/>
        <v>0</v>
      </c>
    </row>
    <row r="131" spans="1:4" x14ac:dyDescent="0.15">
      <c r="A131" s="198">
        <v>130</v>
      </c>
      <c r="B131" s="216" t="s">
        <v>452</v>
      </c>
      <c r="C131" s="200" t="s">
        <v>323</v>
      </c>
      <c r="D131" s="206">
        <f t="shared" ref="D131:D194" si="2">IF(C131="","",IF(C131="N","N/A",IF(C131="P",0,IF(C131="F",1))))</f>
        <v>0</v>
      </c>
    </row>
    <row r="132" spans="1:4" x14ac:dyDescent="0.15">
      <c r="A132" s="198">
        <v>131</v>
      </c>
      <c r="B132" s="216" t="s">
        <v>453</v>
      </c>
      <c r="C132" s="200" t="s">
        <v>323</v>
      </c>
      <c r="D132" s="206">
        <f t="shared" si="2"/>
        <v>0</v>
      </c>
    </row>
    <row r="133" spans="1:4" x14ac:dyDescent="0.15">
      <c r="A133" s="198">
        <v>132</v>
      </c>
      <c r="B133" s="216" t="s">
        <v>454</v>
      </c>
      <c r="C133" s="200" t="s">
        <v>323</v>
      </c>
      <c r="D133" s="206">
        <f t="shared" si="2"/>
        <v>0</v>
      </c>
    </row>
    <row r="134" spans="1:4" x14ac:dyDescent="0.15">
      <c r="A134" s="198">
        <v>133</v>
      </c>
      <c r="B134" s="216" t="s">
        <v>455</v>
      </c>
      <c r="C134" s="200" t="s">
        <v>323</v>
      </c>
      <c r="D134" s="206">
        <f t="shared" si="2"/>
        <v>0</v>
      </c>
    </row>
    <row r="135" spans="1:4" x14ac:dyDescent="0.15">
      <c r="A135" s="198">
        <v>134</v>
      </c>
      <c r="B135" s="216" t="s">
        <v>456</v>
      </c>
      <c r="C135" s="200" t="s">
        <v>323</v>
      </c>
      <c r="D135" s="206">
        <f t="shared" si="2"/>
        <v>0</v>
      </c>
    </row>
    <row r="136" spans="1:4" x14ac:dyDescent="0.15">
      <c r="A136" s="198">
        <v>135</v>
      </c>
      <c r="B136" s="216" t="s">
        <v>457</v>
      </c>
      <c r="C136" s="200" t="s">
        <v>323</v>
      </c>
      <c r="D136" s="206">
        <f t="shared" si="2"/>
        <v>0</v>
      </c>
    </row>
    <row r="137" spans="1:4" x14ac:dyDescent="0.15">
      <c r="A137" s="198">
        <v>136</v>
      </c>
      <c r="B137" s="216" t="s">
        <v>458</v>
      </c>
      <c r="C137" s="200" t="s">
        <v>323</v>
      </c>
      <c r="D137" s="206">
        <f t="shared" si="2"/>
        <v>0</v>
      </c>
    </row>
    <row r="138" spans="1:4" x14ac:dyDescent="0.15">
      <c r="A138" s="198">
        <v>137</v>
      </c>
      <c r="B138" s="216" t="s">
        <v>459</v>
      </c>
      <c r="C138" s="200" t="s">
        <v>323</v>
      </c>
      <c r="D138" s="206">
        <f t="shared" si="2"/>
        <v>0</v>
      </c>
    </row>
    <row r="139" spans="1:4" x14ac:dyDescent="0.15">
      <c r="A139" s="198">
        <v>138</v>
      </c>
      <c r="B139" s="216" t="s">
        <v>460</v>
      </c>
      <c r="C139" s="200" t="s">
        <v>323</v>
      </c>
      <c r="D139" s="206">
        <f t="shared" si="2"/>
        <v>0</v>
      </c>
    </row>
    <row r="140" spans="1:4" x14ac:dyDescent="0.15">
      <c r="A140" s="198">
        <v>139</v>
      </c>
      <c r="B140" s="216" t="s">
        <v>461</v>
      </c>
      <c r="C140" s="200" t="s">
        <v>323</v>
      </c>
      <c r="D140" s="206">
        <f t="shared" si="2"/>
        <v>0</v>
      </c>
    </row>
    <row r="141" spans="1:4" x14ac:dyDescent="0.15">
      <c r="A141" s="198">
        <v>140</v>
      </c>
      <c r="B141" s="216" t="s">
        <v>462</v>
      </c>
      <c r="C141" s="200" t="s">
        <v>323</v>
      </c>
      <c r="D141" s="206">
        <f t="shared" si="2"/>
        <v>0</v>
      </c>
    </row>
    <row r="142" spans="1:4" x14ac:dyDescent="0.15">
      <c r="A142" s="198">
        <v>141</v>
      </c>
      <c r="B142" s="216" t="s">
        <v>463</v>
      </c>
      <c r="C142" s="200" t="s">
        <v>323</v>
      </c>
      <c r="D142" s="206">
        <f t="shared" si="2"/>
        <v>0</v>
      </c>
    </row>
    <row r="143" spans="1:4" x14ac:dyDescent="0.15">
      <c r="A143" s="198">
        <v>142</v>
      </c>
      <c r="B143" s="216" t="s">
        <v>464</v>
      </c>
      <c r="C143" s="200" t="s">
        <v>323</v>
      </c>
      <c r="D143" s="206">
        <f t="shared" si="2"/>
        <v>0</v>
      </c>
    </row>
    <row r="144" spans="1:4" x14ac:dyDescent="0.15">
      <c r="A144" s="198">
        <v>143</v>
      </c>
      <c r="B144" s="216" t="s">
        <v>465</v>
      </c>
      <c r="C144" s="200" t="s">
        <v>323</v>
      </c>
      <c r="D144" s="206">
        <f t="shared" si="2"/>
        <v>0</v>
      </c>
    </row>
    <row r="145" spans="1:4" x14ac:dyDescent="0.15">
      <c r="A145" s="198">
        <v>144</v>
      </c>
      <c r="B145" s="216" t="s">
        <v>466</v>
      </c>
      <c r="C145" s="200" t="s">
        <v>323</v>
      </c>
      <c r="D145" s="206">
        <f t="shared" si="2"/>
        <v>0</v>
      </c>
    </row>
    <row r="146" spans="1:4" x14ac:dyDescent="0.15">
      <c r="A146" s="198">
        <v>145</v>
      </c>
      <c r="B146" s="216" t="s">
        <v>467</v>
      </c>
      <c r="C146" s="200" t="s">
        <v>323</v>
      </c>
      <c r="D146" s="206">
        <f t="shared" si="2"/>
        <v>0</v>
      </c>
    </row>
    <row r="147" spans="1:4" x14ac:dyDescent="0.15">
      <c r="A147" s="198">
        <v>146</v>
      </c>
      <c r="B147" s="216" t="s">
        <v>468</v>
      </c>
      <c r="C147" s="200" t="s">
        <v>323</v>
      </c>
      <c r="D147" s="206">
        <f t="shared" si="2"/>
        <v>0</v>
      </c>
    </row>
    <row r="148" spans="1:4" x14ac:dyDescent="0.15">
      <c r="A148" s="198">
        <v>147</v>
      </c>
      <c r="B148" s="216" t="s">
        <v>469</v>
      </c>
      <c r="C148" s="200" t="s">
        <v>323</v>
      </c>
      <c r="D148" s="206">
        <f t="shared" si="2"/>
        <v>0</v>
      </c>
    </row>
    <row r="149" spans="1:4" x14ac:dyDescent="0.15">
      <c r="A149" s="198">
        <v>148</v>
      </c>
      <c r="B149" s="216" t="s">
        <v>470</v>
      </c>
      <c r="C149" s="200" t="s">
        <v>323</v>
      </c>
      <c r="D149" s="206">
        <f t="shared" si="2"/>
        <v>0</v>
      </c>
    </row>
    <row r="150" spans="1:4" x14ac:dyDescent="0.15">
      <c r="A150" s="198">
        <v>149</v>
      </c>
      <c r="B150" s="216" t="s">
        <v>471</v>
      </c>
      <c r="C150" s="200" t="s">
        <v>323</v>
      </c>
      <c r="D150" s="206">
        <f t="shared" si="2"/>
        <v>0</v>
      </c>
    </row>
    <row r="151" spans="1:4" x14ac:dyDescent="0.15">
      <c r="A151" s="198">
        <v>150</v>
      </c>
      <c r="B151" s="216" t="s">
        <v>472</v>
      </c>
      <c r="C151" s="200" t="s">
        <v>323</v>
      </c>
      <c r="D151" s="206">
        <f t="shared" si="2"/>
        <v>0</v>
      </c>
    </row>
    <row r="152" spans="1:4" x14ac:dyDescent="0.15">
      <c r="A152" s="198">
        <v>151</v>
      </c>
      <c r="B152" s="216" t="s">
        <v>473</v>
      </c>
      <c r="C152" s="200" t="s">
        <v>323</v>
      </c>
      <c r="D152" s="206">
        <f t="shared" si="2"/>
        <v>0</v>
      </c>
    </row>
    <row r="153" spans="1:4" x14ac:dyDescent="0.15">
      <c r="A153" s="198">
        <v>152</v>
      </c>
      <c r="B153" s="216" t="s">
        <v>474</v>
      </c>
      <c r="C153" s="200" t="s">
        <v>323</v>
      </c>
      <c r="D153" s="206">
        <f t="shared" si="2"/>
        <v>0</v>
      </c>
    </row>
    <row r="154" spans="1:4" x14ac:dyDescent="0.15">
      <c r="A154" s="198">
        <v>153</v>
      </c>
      <c r="B154" s="216" t="s">
        <v>475</v>
      </c>
      <c r="C154" s="200" t="s">
        <v>323</v>
      </c>
      <c r="D154" s="206">
        <f t="shared" si="2"/>
        <v>0</v>
      </c>
    </row>
    <row r="155" spans="1:4" x14ac:dyDescent="0.15">
      <c r="A155" s="198">
        <v>154</v>
      </c>
      <c r="B155" s="216" t="s">
        <v>476</v>
      </c>
      <c r="C155" s="200" t="s">
        <v>323</v>
      </c>
      <c r="D155" s="206">
        <f t="shared" si="2"/>
        <v>0</v>
      </c>
    </row>
    <row r="156" spans="1:4" x14ac:dyDescent="0.15">
      <c r="A156" s="198">
        <v>155</v>
      </c>
      <c r="B156" s="216" t="s">
        <v>477</v>
      </c>
      <c r="C156" s="200" t="s">
        <v>323</v>
      </c>
      <c r="D156" s="206">
        <f t="shared" si="2"/>
        <v>0</v>
      </c>
    </row>
    <row r="157" spans="1:4" x14ac:dyDescent="0.15">
      <c r="A157" s="198">
        <v>156</v>
      </c>
      <c r="B157" s="216" t="s">
        <v>478</v>
      </c>
      <c r="C157" s="200" t="s">
        <v>323</v>
      </c>
      <c r="D157" s="206">
        <f t="shared" si="2"/>
        <v>0</v>
      </c>
    </row>
    <row r="158" spans="1:4" x14ac:dyDescent="0.15">
      <c r="A158" s="198">
        <v>157</v>
      </c>
      <c r="B158" s="216" t="s">
        <v>479</v>
      </c>
      <c r="C158" s="200" t="s">
        <v>323</v>
      </c>
      <c r="D158" s="206">
        <f t="shared" si="2"/>
        <v>0</v>
      </c>
    </row>
    <row r="159" spans="1:4" x14ac:dyDescent="0.15">
      <c r="A159" s="198">
        <v>158</v>
      </c>
      <c r="B159" s="216" t="s">
        <v>480</v>
      </c>
      <c r="C159" s="200" t="s">
        <v>323</v>
      </c>
      <c r="D159" s="206">
        <f t="shared" si="2"/>
        <v>0</v>
      </c>
    </row>
    <row r="160" spans="1:4" x14ac:dyDescent="0.15">
      <c r="A160" s="198">
        <v>159</v>
      </c>
      <c r="B160" s="216" t="s">
        <v>481</v>
      </c>
      <c r="C160" s="200" t="s">
        <v>323</v>
      </c>
      <c r="D160" s="206">
        <f t="shared" si="2"/>
        <v>0</v>
      </c>
    </row>
    <row r="161" spans="1:4" x14ac:dyDescent="0.15">
      <c r="A161" s="198">
        <v>160</v>
      </c>
      <c r="B161" s="216" t="s">
        <v>482</v>
      </c>
      <c r="C161" s="200" t="s">
        <v>323</v>
      </c>
      <c r="D161" s="206">
        <f t="shared" si="2"/>
        <v>0</v>
      </c>
    </row>
    <row r="162" spans="1:4" x14ac:dyDescent="0.15">
      <c r="A162" s="198">
        <v>161</v>
      </c>
      <c r="B162" s="216" t="s">
        <v>483</v>
      </c>
      <c r="C162" s="200" t="s">
        <v>323</v>
      </c>
      <c r="D162" s="206">
        <f t="shared" si="2"/>
        <v>0</v>
      </c>
    </row>
    <row r="163" spans="1:4" x14ac:dyDescent="0.15">
      <c r="A163" s="198">
        <v>162</v>
      </c>
      <c r="B163" s="216" t="s">
        <v>484</v>
      </c>
      <c r="C163" s="200" t="s">
        <v>323</v>
      </c>
      <c r="D163" s="206">
        <f t="shared" si="2"/>
        <v>0</v>
      </c>
    </row>
    <row r="164" spans="1:4" x14ac:dyDescent="0.15">
      <c r="A164" s="198">
        <v>163</v>
      </c>
      <c r="B164" s="216" t="s">
        <v>485</v>
      </c>
      <c r="C164" s="200" t="s">
        <v>323</v>
      </c>
      <c r="D164" s="206">
        <f t="shared" si="2"/>
        <v>0</v>
      </c>
    </row>
    <row r="165" spans="1:4" x14ac:dyDescent="0.15">
      <c r="A165" s="198">
        <v>164</v>
      </c>
      <c r="B165" s="216" t="s">
        <v>486</v>
      </c>
      <c r="C165" s="200" t="s">
        <v>323</v>
      </c>
      <c r="D165" s="206">
        <f t="shared" si="2"/>
        <v>0</v>
      </c>
    </row>
    <row r="166" spans="1:4" x14ac:dyDescent="0.15">
      <c r="A166" s="198">
        <v>165</v>
      </c>
      <c r="B166" s="216" t="s">
        <v>487</v>
      </c>
      <c r="C166" s="200" t="s">
        <v>323</v>
      </c>
      <c r="D166" s="206">
        <f t="shared" si="2"/>
        <v>0</v>
      </c>
    </row>
    <row r="167" spans="1:4" x14ac:dyDescent="0.15">
      <c r="A167" s="198">
        <v>166</v>
      </c>
      <c r="B167" s="216" t="s">
        <v>488</v>
      </c>
      <c r="C167" s="200" t="s">
        <v>323</v>
      </c>
      <c r="D167" s="206">
        <f t="shared" si="2"/>
        <v>0</v>
      </c>
    </row>
    <row r="168" spans="1:4" x14ac:dyDescent="0.15">
      <c r="A168" s="198">
        <v>167</v>
      </c>
      <c r="B168" s="216" t="s">
        <v>489</v>
      </c>
      <c r="C168" s="200" t="s">
        <v>323</v>
      </c>
      <c r="D168" s="206">
        <f t="shared" si="2"/>
        <v>0</v>
      </c>
    </row>
    <row r="169" spans="1:4" x14ac:dyDescent="0.15">
      <c r="A169" s="198">
        <v>168</v>
      </c>
      <c r="B169" s="216" t="s">
        <v>490</v>
      </c>
      <c r="C169" s="200" t="s">
        <v>323</v>
      </c>
      <c r="D169" s="206">
        <f t="shared" si="2"/>
        <v>0</v>
      </c>
    </row>
    <row r="170" spans="1:4" x14ac:dyDescent="0.15">
      <c r="A170" s="198">
        <v>169</v>
      </c>
      <c r="B170" s="216" t="s">
        <v>491</v>
      </c>
      <c r="C170" s="200" t="s">
        <v>323</v>
      </c>
      <c r="D170" s="206">
        <f t="shared" si="2"/>
        <v>0</v>
      </c>
    </row>
    <row r="171" spans="1:4" x14ac:dyDescent="0.15">
      <c r="A171" s="198">
        <v>170</v>
      </c>
      <c r="B171" s="216" t="s">
        <v>492</v>
      </c>
      <c r="C171" s="200" t="s">
        <v>323</v>
      </c>
      <c r="D171" s="206">
        <f t="shared" si="2"/>
        <v>0</v>
      </c>
    </row>
    <row r="172" spans="1:4" x14ac:dyDescent="0.15">
      <c r="A172" s="198">
        <v>171</v>
      </c>
      <c r="B172" s="216" t="s">
        <v>493</v>
      </c>
      <c r="C172" s="200" t="s">
        <v>323</v>
      </c>
      <c r="D172" s="206">
        <f t="shared" si="2"/>
        <v>0</v>
      </c>
    </row>
    <row r="173" spans="1:4" x14ac:dyDescent="0.15">
      <c r="A173" s="198">
        <v>172</v>
      </c>
      <c r="B173" s="216" t="s">
        <v>494</v>
      </c>
      <c r="C173" s="200" t="s">
        <v>323</v>
      </c>
      <c r="D173" s="206">
        <f t="shared" si="2"/>
        <v>0</v>
      </c>
    </row>
    <row r="174" spans="1:4" x14ac:dyDescent="0.15">
      <c r="A174" s="198">
        <v>173</v>
      </c>
      <c r="B174" s="216" t="s">
        <v>495</v>
      </c>
      <c r="C174" s="200" t="s">
        <v>323</v>
      </c>
      <c r="D174" s="206">
        <f t="shared" si="2"/>
        <v>0</v>
      </c>
    </row>
    <row r="175" spans="1:4" x14ac:dyDescent="0.15">
      <c r="A175" s="198">
        <v>174</v>
      </c>
      <c r="B175" s="216" t="s">
        <v>496</v>
      </c>
      <c r="C175" s="200" t="s">
        <v>323</v>
      </c>
      <c r="D175" s="206">
        <f t="shared" si="2"/>
        <v>0</v>
      </c>
    </row>
    <row r="176" spans="1:4" x14ac:dyDescent="0.15">
      <c r="A176" s="198">
        <v>175</v>
      </c>
      <c r="B176" s="216" t="s">
        <v>497</v>
      </c>
      <c r="C176" s="200" t="s">
        <v>323</v>
      </c>
      <c r="D176" s="206">
        <f t="shared" si="2"/>
        <v>0</v>
      </c>
    </row>
    <row r="177" spans="1:4" x14ac:dyDescent="0.15">
      <c r="A177" s="198">
        <v>176</v>
      </c>
      <c r="B177" s="216" t="s">
        <v>498</v>
      </c>
      <c r="C177" s="200" t="s">
        <v>323</v>
      </c>
      <c r="D177" s="206">
        <f t="shared" si="2"/>
        <v>0</v>
      </c>
    </row>
    <row r="178" spans="1:4" x14ac:dyDescent="0.15">
      <c r="A178" s="198">
        <v>177</v>
      </c>
      <c r="B178" s="216" t="s">
        <v>499</v>
      </c>
      <c r="C178" s="200" t="s">
        <v>323</v>
      </c>
      <c r="D178" s="206">
        <f t="shared" si="2"/>
        <v>0</v>
      </c>
    </row>
    <row r="179" spans="1:4" x14ac:dyDescent="0.15">
      <c r="A179" s="198">
        <v>178</v>
      </c>
      <c r="B179" s="216" t="s">
        <v>500</v>
      </c>
      <c r="C179" s="200" t="s">
        <v>323</v>
      </c>
      <c r="D179" s="206">
        <f t="shared" si="2"/>
        <v>0</v>
      </c>
    </row>
    <row r="180" spans="1:4" x14ac:dyDescent="0.15">
      <c r="A180" s="198">
        <v>179</v>
      </c>
      <c r="B180" s="216" t="s">
        <v>501</v>
      </c>
      <c r="C180" s="200" t="s">
        <v>323</v>
      </c>
      <c r="D180" s="206">
        <f t="shared" si="2"/>
        <v>0</v>
      </c>
    </row>
    <row r="181" spans="1:4" x14ac:dyDescent="0.15">
      <c r="A181" s="198">
        <v>180</v>
      </c>
      <c r="B181" s="216" t="s">
        <v>502</v>
      </c>
      <c r="C181" s="200" t="s">
        <v>323</v>
      </c>
      <c r="D181" s="206">
        <f t="shared" si="2"/>
        <v>0</v>
      </c>
    </row>
    <row r="182" spans="1:4" x14ac:dyDescent="0.15">
      <c r="A182" s="198">
        <v>181</v>
      </c>
      <c r="B182" s="216" t="s">
        <v>503</v>
      </c>
      <c r="C182" s="200" t="s">
        <v>323</v>
      </c>
      <c r="D182" s="206">
        <f t="shared" si="2"/>
        <v>0</v>
      </c>
    </row>
    <row r="183" spans="1:4" x14ac:dyDescent="0.15">
      <c r="A183" s="198">
        <v>182</v>
      </c>
      <c r="B183" s="216" t="s">
        <v>504</v>
      </c>
      <c r="C183" s="200" t="s">
        <v>323</v>
      </c>
      <c r="D183" s="206">
        <f t="shared" si="2"/>
        <v>0</v>
      </c>
    </row>
    <row r="184" spans="1:4" x14ac:dyDescent="0.15">
      <c r="A184" s="198">
        <v>183</v>
      </c>
      <c r="B184" s="216" t="s">
        <v>505</v>
      </c>
      <c r="C184" s="200" t="s">
        <v>323</v>
      </c>
      <c r="D184" s="206">
        <f t="shared" si="2"/>
        <v>0</v>
      </c>
    </row>
    <row r="185" spans="1:4" x14ac:dyDescent="0.15">
      <c r="A185" s="198">
        <v>184</v>
      </c>
      <c r="B185" s="216" t="s">
        <v>506</v>
      </c>
      <c r="C185" s="200" t="s">
        <v>323</v>
      </c>
      <c r="D185" s="206">
        <f t="shared" si="2"/>
        <v>0</v>
      </c>
    </row>
    <row r="186" spans="1:4" x14ac:dyDescent="0.15">
      <c r="A186" s="198">
        <v>185</v>
      </c>
      <c r="B186" s="216" t="s">
        <v>507</v>
      </c>
      <c r="C186" s="200" t="s">
        <v>323</v>
      </c>
      <c r="D186" s="206">
        <f t="shared" si="2"/>
        <v>0</v>
      </c>
    </row>
    <row r="187" spans="1:4" x14ac:dyDescent="0.15">
      <c r="A187" s="198">
        <v>186</v>
      </c>
      <c r="B187" s="216" t="s">
        <v>508</v>
      </c>
      <c r="C187" s="200" t="s">
        <v>323</v>
      </c>
      <c r="D187" s="206">
        <f t="shared" si="2"/>
        <v>0</v>
      </c>
    </row>
    <row r="188" spans="1:4" x14ac:dyDescent="0.15">
      <c r="A188" s="198">
        <v>187</v>
      </c>
      <c r="B188" s="216" t="s">
        <v>509</v>
      </c>
      <c r="C188" s="200" t="s">
        <v>323</v>
      </c>
      <c r="D188" s="206">
        <f t="shared" si="2"/>
        <v>0</v>
      </c>
    </row>
    <row r="189" spans="1:4" x14ac:dyDescent="0.15">
      <c r="A189" s="198">
        <v>188</v>
      </c>
      <c r="B189" s="216" t="s">
        <v>510</v>
      </c>
      <c r="C189" s="200" t="s">
        <v>323</v>
      </c>
      <c r="D189" s="206">
        <f t="shared" si="2"/>
        <v>0</v>
      </c>
    </row>
    <row r="190" spans="1:4" x14ac:dyDescent="0.15">
      <c r="A190" s="198">
        <v>189</v>
      </c>
      <c r="B190" s="216" t="s">
        <v>511</v>
      </c>
      <c r="C190" s="200" t="s">
        <v>323</v>
      </c>
      <c r="D190" s="206">
        <f t="shared" si="2"/>
        <v>0</v>
      </c>
    </row>
    <row r="191" spans="1:4" x14ac:dyDescent="0.15">
      <c r="A191" s="198">
        <v>190</v>
      </c>
      <c r="B191" s="216" t="s">
        <v>512</v>
      </c>
      <c r="C191" s="200" t="s">
        <v>323</v>
      </c>
      <c r="D191" s="206">
        <f t="shared" si="2"/>
        <v>0</v>
      </c>
    </row>
    <row r="192" spans="1:4" x14ac:dyDescent="0.15">
      <c r="A192" s="198">
        <v>191</v>
      </c>
      <c r="B192" s="216" t="s">
        <v>513</v>
      </c>
      <c r="C192" s="200" t="s">
        <v>323</v>
      </c>
      <c r="D192" s="206">
        <f t="shared" si="2"/>
        <v>0</v>
      </c>
    </row>
    <row r="193" spans="1:4" x14ac:dyDescent="0.15">
      <c r="A193" s="198">
        <v>192</v>
      </c>
      <c r="B193" s="216" t="s">
        <v>514</v>
      </c>
      <c r="C193" s="200" t="s">
        <v>323</v>
      </c>
      <c r="D193" s="206">
        <f t="shared" si="2"/>
        <v>0</v>
      </c>
    </row>
    <row r="194" spans="1:4" x14ac:dyDescent="0.15">
      <c r="A194" s="198">
        <v>193</v>
      </c>
      <c r="B194" s="216" t="s">
        <v>515</v>
      </c>
      <c r="C194" s="200" t="s">
        <v>323</v>
      </c>
      <c r="D194" s="206">
        <f t="shared" si="2"/>
        <v>0</v>
      </c>
    </row>
    <row r="195" spans="1:4" x14ac:dyDescent="0.15">
      <c r="A195" s="198">
        <v>194</v>
      </c>
      <c r="B195" s="216" t="s">
        <v>516</v>
      </c>
      <c r="C195" s="200" t="s">
        <v>323</v>
      </c>
      <c r="D195" s="206">
        <f t="shared" ref="D195:D251" si="3">IF(C195="","",IF(C195="N","N/A",IF(C195="P",0,IF(C195="F",1))))</f>
        <v>0</v>
      </c>
    </row>
    <row r="196" spans="1:4" x14ac:dyDescent="0.15">
      <c r="A196" s="198">
        <v>195</v>
      </c>
      <c r="B196" s="216" t="s">
        <v>517</v>
      </c>
      <c r="C196" s="200" t="s">
        <v>323</v>
      </c>
      <c r="D196" s="206">
        <f t="shared" si="3"/>
        <v>0</v>
      </c>
    </row>
    <row r="197" spans="1:4" x14ac:dyDescent="0.15">
      <c r="A197" s="198">
        <v>196</v>
      </c>
      <c r="B197" s="216" t="s">
        <v>518</v>
      </c>
      <c r="C197" s="200" t="s">
        <v>323</v>
      </c>
      <c r="D197" s="206">
        <f t="shared" si="3"/>
        <v>0</v>
      </c>
    </row>
    <row r="198" spans="1:4" x14ac:dyDescent="0.15">
      <c r="A198" s="198">
        <v>197</v>
      </c>
      <c r="B198" s="216" t="s">
        <v>519</v>
      </c>
      <c r="C198" s="200" t="s">
        <v>323</v>
      </c>
      <c r="D198" s="206">
        <f t="shared" si="3"/>
        <v>0</v>
      </c>
    </row>
    <row r="199" spans="1:4" x14ac:dyDescent="0.15">
      <c r="A199" s="198">
        <v>198</v>
      </c>
      <c r="B199" s="216" t="s">
        <v>520</v>
      </c>
      <c r="C199" s="200" t="s">
        <v>323</v>
      </c>
      <c r="D199" s="206">
        <f t="shared" si="3"/>
        <v>0</v>
      </c>
    </row>
    <row r="200" spans="1:4" x14ac:dyDescent="0.15">
      <c r="A200" s="198">
        <v>199</v>
      </c>
      <c r="B200" s="216" t="s">
        <v>521</v>
      </c>
      <c r="C200" s="200" t="s">
        <v>323</v>
      </c>
      <c r="D200" s="206">
        <f t="shared" si="3"/>
        <v>0</v>
      </c>
    </row>
    <row r="201" spans="1:4" x14ac:dyDescent="0.15">
      <c r="A201" s="198">
        <v>200</v>
      </c>
      <c r="B201" s="216" t="s">
        <v>522</v>
      </c>
      <c r="C201" s="200" t="s">
        <v>323</v>
      </c>
      <c r="D201" s="206">
        <f t="shared" si="3"/>
        <v>0</v>
      </c>
    </row>
    <row r="202" spans="1:4" x14ac:dyDescent="0.15">
      <c r="A202" s="198">
        <v>201</v>
      </c>
      <c r="B202" s="199" t="s">
        <v>164</v>
      </c>
      <c r="C202" s="200" t="s">
        <v>523</v>
      </c>
      <c r="D202" s="206" t="str">
        <f t="shared" si="3"/>
        <v>N/A</v>
      </c>
    </row>
    <row r="203" spans="1:4" x14ac:dyDescent="0.15">
      <c r="A203" s="198">
        <v>202</v>
      </c>
      <c r="B203" s="199" t="s">
        <v>164</v>
      </c>
      <c r="C203" s="200" t="s">
        <v>523</v>
      </c>
      <c r="D203" s="206" t="str">
        <f t="shared" si="3"/>
        <v>N/A</v>
      </c>
    </row>
    <row r="204" spans="1:4" x14ac:dyDescent="0.15">
      <c r="A204" s="198">
        <v>203</v>
      </c>
      <c r="B204" s="199" t="s">
        <v>164</v>
      </c>
      <c r="C204" s="200" t="s">
        <v>523</v>
      </c>
      <c r="D204" s="206" t="str">
        <f t="shared" si="3"/>
        <v>N/A</v>
      </c>
    </row>
    <row r="205" spans="1:4" x14ac:dyDescent="0.15">
      <c r="A205" s="198">
        <v>204</v>
      </c>
      <c r="B205" s="199" t="s">
        <v>164</v>
      </c>
      <c r="C205" s="200" t="s">
        <v>523</v>
      </c>
      <c r="D205" s="206" t="str">
        <f t="shared" si="3"/>
        <v>N/A</v>
      </c>
    </row>
    <row r="206" spans="1:4" x14ac:dyDescent="0.15">
      <c r="A206" s="198">
        <v>205</v>
      </c>
      <c r="B206" s="199" t="s">
        <v>164</v>
      </c>
      <c r="C206" s="200" t="s">
        <v>523</v>
      </c>
      <c r="D206" s="206" t="str">
        <f t="shared" si="3"/>
        <v>N/A</v>
      </c>
    </row>
    <row r="207" spans="1:4" x14ac:dyDescent="0.15">
      <c r="A207" s="198">
        <v>206</v>
      </c>
      <c r="B207" s="199" t="s">
        <v>164</v>
      </c>
      <c r="C207" s="200" t="s">
        <v>523</v>
      </c>
      <c r="D207" s="206" t="str">
        <f t="shared" si="3"/>
        <v>N/A</v>
      </c>
    </row>
    <row r="208" spans="1:4" x14ac:dyDescent="0.15">
      <c r="A208" s="198">
        <v>207</v>
      </c>
      <c r="B208" s="199" t="s">
        <v>164</v>
      </c>
      <c r="C208" s="200" t="s">
        <v>523</v>
      </c>
      <c r="D208" s="206" t="str">
        <f t="shared" si="3"/>
        <v>N/A</v>
      </c>
    </row>
    <row r="209" spans="1:4" x14ac:dyDescent="0.15">
      <c r="A209" s="198">
        <v>208</v>
      </c>
      <c r="B209" s="199" t="s">
        <v>164</v>
      </c>
      <c r="C209" s="200" t="s">
        <v>523</v>
      </c>
      <c r="D209" s="206" t="str">
        <f t="shared" si="3"/>
        <v>N/A</v>
      </c>
    </row>
    <row r="210" spans="1:4" x14ac:dyDescent="0.15">
      <c r="A210" s="198">
        <v>209</v>
      </c>
      <c r="B210" s="199" t="s">
        <v>164</v>
      </c>
      <c r="C210" s="200" t="s">
        <v>523</v>
      </c>
      <c r="D210" s="206" t="str">
        <f t="shared" si="3"/>
        <v>N/A</v>
      </c>
    </row>
    <row r="211" spans="1:4" x14ac:dyDescent="0.15">
      <c r="A211" s="198">
        <v>210</v>
      </c>
      <c r="B211" s="199" t="s">
        <v>164</v>
      </c>
      <c r="C211" s="200" t="s">
        <v>523</v>
      </c>
      <c r="D211" s="206" t="str">
        <f t="shared" si="3"/>
        <v>N/A</v>
      </c>
    </row>
    <row r="212" spans="1:4" x14ac:dyDescent="0.15">
      <c r="A212" s="198">
        <v>211</v>
      </c>
      <c r="B212" s="199" t="s">
        <v>164</v>
      </c>
      <c r="C212" s="200" t="s">
        <v>523</v>
      </c>
      <c r="D212" s="206" t="str">
        <f t="shared" si="3"/>
        <v>N/A</v>
      </c>
    </row>
    <row r="213" spans="1:4" x14ac:dyDescent="0.15">
      <c r="A213" s="198">
        <v>212</v>
      </c>
      <c r="B213" s="199" t="s">
        <v>164</v>
      </c>
      <c r="C213" s="200" t="s">
        <v>523</v>
      </c>
      <c r="D213" s="206" t="str">
        <f t="shared" si="3"/>
        <v>N/A</v>
      </c>
    </row>
    <row r="214" spans="1:4" x14ac:dyDescent="0.15">
      <c r="A214" s="198">
        <v>213</v>
      </c>
      <c r="B214" s="199" t="s">
        <v>164</v>
      </c>
      <c r="C214" s="200" t="s">
        <v>523</v>
      </c>
      <c r="D214" s="206" t="str">
        <f t="shared" si="3"/>
        <v>N/A</v>
      </c>
    </row>
    <row r="215" spans="1:4" x14ac:dyDescent="0.15">
      <c r="A215" s="198">
        <v>214</v>
      </c>
      <c r="B215" s="199" t="s">
        <v>164</v>
      </c>
      <c r="C215" s="200" t="s">
        <v>523</v>
      </c>
      <c r="D215" s="206" t="str">
        <f t="shared" si="3"/>
        <v>N/A</v>
      </c>
    </row>
    <row r="216" spans="1:4" x14ac:dyDescent="0.15">
      <c r="A216" s="198">
        <v>215</v>
      </c>
      <c r="B216" s="199" t="s">
        <v>164</v>
      </c>
      <c r="C216" s="200" t="s">
        <v>523</v>
      </c>
      <c r="D216" s="206" t="str">
        <f t="shared" si="3"/>
        <v>N/A</v>
      </c>
    </row>
    <row r="217" spans="1:4" x14ac:dyDescent="0.15">
      <c r="A217" s="198">
        <v>216</v>
      </c>
      <c r="B217" s="199" t="s">
        <v>164</v>
      </c>
      <c r="C217" s="200" t="s">
        <v>523</v>
      </c>
      <c r="D217" s="206" t="str">
        <f t="shared" si="3"/>
        <v>N/A</v>
      </c>
    </row>
    <row r="218" spans="1:4" x14ac:dyDescent="0.15">
      <c r="A218" s="198">
        <v>217</v>
      </c>
      <c r="B218" s="199" t="s">
        <v>164</v>
      </c>
      <c r="C218" s="200" t="s">
        <v>523</v>
      </c>
      <c r="D218" s="206" t="str">
        <f t="shared" si="3"/>
        <v>N/A</v>
      </c>
    </row>
    <row r="219" spans="1:4" x14ac:dyDescent="0.15">
      <c r="A219" s="198">
        <v>218</v>
      </c>
      <c r="B219" s="199" t="s">
        <v>164</v>
      </c>
      <c r="C219" s="200" t="s">
        <v>523</v>
      </c>
      <c r="D219" s="206" t="str">
        <f t="shared" si="3"/>
        <v>N/A</v>
      </c>
    </row>
    <row r="220" spans="1:4" x14ac:dyDescent="0.15">
      <c r="A220" s="198">
        <v>219</v>
      </c>
      <c r="B220" s="199" t="s">
        <v>164</v>
      </c>
      <c r="C220" s="200" t="s">
        <v>523</v>
      </c>
      <c r="D220" s="206" t="str">
        <f t="shared" si="3"/>
        <v>N/A</v>
      </c>
    </row>
    <row r="221" spans="1:4" x14ac:dyDescent="0.15">
      <c r="A221" s="198">
        <v>220</v>
      </c>
      <c r="B221" s="199" t="s">
        <v>164</v>
      </c>
      <c r="C221" s="200" t="s">
        <v>523</v>
      </c>
      <c r="D221" s="206" t="str">
        <f t="shared" si="3"/>
        <v>N/A</v>
      </c>
    </row>
    <row r="222" spans="1:4" x14ac:dyDescent="0.15">
      <c r="A222" s="198">
        <v>221</v>
      </c>
      <c r="B222" s="199" t="s">
        <v>164</v>
      </c>
      <c r="C222" s="200" t="s">
        <v>523</v>
      </c>
      <c r="D222" s="206" t="str">
        <f t="shared" si="3"/>
        <v>N/A</v>
      </c>
    </row>
    <row r="223" spans="1:4" x14ac:dyDescent="0.15">
      <c r="A223" s="198">
        <v>222</v>
      </c>
      <c r="B223" s="199" t="s">
        <v>164</v>
      </c>
      <c r="C223" s="200" t="s">
        <v>523</v>
      </c>
      <c r="D223" s="206" t="str">
        <f t="shared" si="3"/>
        <v>N/A</v>
      </c>
    </row>
    <row r="224" spans="1:4" x14ac:dyDescent="0.15">
      <c r="A224" s="198">
        <v>223</v>
      </c>
      <c r="B224" s="199" t="s">
        <v>164</v>
      </c>
      <c r="C224" s="200" t="s">
        <v>523</v>
      </c>
      <c r="D224" s="206" t="str">
        <f t="shared" si="3"/>
        <v>N/A</v>
      </c>
    </row>
    <row r="225" spans="1:4" x14ac:dyDescent="0.15">
      <c r="A225" s="198">
        <v>224</v>
      </c>
      <c r="B225" s="199" t="s">
        <v>164</v>
      </c>
      <c r="C225" s="200" t="s">
        <v>523</v>
      </c>
      <c r="D225" s="206" t="str">
        <f t="shared" si="3"/>
        <v>N/A</v>
      </c>
    </row>
    <row r="226" spans="1:4" x14ac:dyDescent="0.15">
      <c r="A226" s="198">
        <v>225</v>
      </c>
      <c r="B226" s="199" t="s">
        <v>164</v>
      </c>
      <c r="C226" s="200" t="s">
        <v>523</v>
      </c>
      <c r="D226" s="206" t="str">
        <f t="shared" si="3"/>
        <v>N/A</v>
      </c>
    </row>
    <row r="227" spans="1:4" x14ac:dyDescent="0.15">
      <c r="A227" s="198">
        <v>226</v>
      </c>
      <c r="B227" s="199" t="s">
        <v>164</v>
      </c>
      <c r="C227" s="200" t="s">
        <v>523</v>
      </c>
      <c r="D227" s="206" t="str">
        <f t="shared" si="3"/>
        <v>N/A</v>
      </c>
    </row>
    <row r="228" spans="1:4" x14ac:dyDescent="0.15">
      <c r="A228" s="198">
        <v>227</v>
      </c>
      <c r="B228" s="199" t="s">
        <v>164</v>
      </c>
      <c r="C228" s="200" t="s">
        <v>523</v>
      </c>
      <c r="D228" s="206" t="str">
        <f t="shared" si="3"/>
        <v>N/A</v>
      </c>
    </row>
    <row r="229" spans="1:4" x14ac:dyDescent="0.15">
      <c r="A229" s="198">
        <v>228</v>
      </c>
      <c r="B229" s="199" t="s">
        <v>164</v>
      </c>
      <c r="C229" s="200" t="s">
        <v>523</v>
      </c>
      <c r="D229" s="206" t="str">
        <f t="shared" si="3"/>
        <v>N/A</v>
      </c>
    </row>
    <row r="230" spans="1:4" x14ac:dyDescent="0.15">
      <c r="A230" s="198">
        <v>229</v>
      </c>
      <c r="B230" s="199" t="s">
        <v>164</v>
      </c>
      <c r="C230" s="200" t="s">
        <v>523</v>
      </c>
      <c r="D230" s="206" t="str">
        <f t="shared" si="3"/>
        <v>N/A</v>
      </c>
    </row>
    <row r="231" spans="1:4" x14ac:dyDescent="0.15">
      <c r="A231" s="198">
        <v>230</v>
      </c>
      <c r="B231" s="199" t="s">
        <v>164</v>
      </c>
      <c r="C231" s="200" t="s">
        <v>523</v>
      </c>
      <c r="D231" s="206" t="str">
        <f t="shared" si="3"/>
        <v>N/A</v>
      </c>
    </row>
    <row r="232" spans="1:4" x14ac:dyDescent="0.15">
      <c r="A232" s="198">
        <v>231</v>
      </c>
      <c r="B232" s="199" t="s">
        <v>164</v>
      </c>
      <c r="C232" s="200" t="s">
        <v>523</v>
      </c>
      <c r="D232" s="206" t="str">
        <f t="shared" si="3"/>
        <v>N/A</v>
      </c>
    </row>
    <row r="233" spans="1:4" x14ac:dyDescent="0.15">
      <c r="A233" s="198">
        <v>232</v>
      </c>
      <c r="B233" s="199" t="s">
        <v>164</v>
      </c>
      <c r="C233" s="200" t="s">
        <v>523</v>
      </c>
      <c r="D233" s="206" t="str">
        <f t="shared" si="3"/>
        <v>N/A</v>
      </c>
    </row>
    <row r="234" spans="1:4" x14ac:dyDescent="0.15">
      <c r="A234" s="198">
        <v>233</v>
      </c>
      <c r="B234" s="199" t="s">
        <v>164</v>
      </c>
      <c r="C234" s="200" t="s">
        <v>523</v>
      </c>
      <c r="D234" s="206" t="str">
        <f t="shared" si="3"/>
        <v>N/A</v>
      </c>
    </row>
    <row r="235" spans="1:4" x14ac:dyDescent="0.15">
      <c r="A235" s="198">
        <v>234</v>
      </c>
      <c r="B235" s="199" t="s">
        <v>164</v>
      </c>
      <c r="C235" s="200" t="s">
        <v>523</v>
      </c>
      <c r="D235" s="206" t="str">
        <f t="shared" si="3"/>
        <v>N/A</v>
      </c>
    </row>
    <row r="236" spans="1:4" x14ac:dyDescent="0.15">
      <c r="A236" s="198">
        <v>235</v>
      </c>
      <c r="B236" s="199" t="s">
        <v>164</v>
      </c>
      <c r="C236" s="200" t="s">
        <v>523</v>
      </c>
      <c r="D236" s="206" t="str">
        <f t="shared" si="3"/>
        <v>N/A</v>
      </c>
    </row>
    <row r="237" spans="1:4" x14ac:dyDescent="0.15">
      <c r="A237" s="198">
        <v>236</v>
      </c>
      <c r="B237" s="199" t="s">
        <v>164</v>
      </c>
      <c r="C237" s="200" t="s">
        <v>523</v>
      </c>
      <c r="D237" s="206" t="str">
        <f t="shared" si="3"/>
        <v>N/A</v>
      </c>
    </row>
    <row r="238" spans="1:4" x14ac:dyDescent="0.15">
      <c r="A238" s="198">
        <v>237</v>
      </c>
      <c r="B238" s="199" t="s">
        <v>164</v>
      </c>
      <c r="C238" s="200" t="s">
        <v>523</v>
      </c>
      <c r="D238" s="206" t="str">
        <f t="shared" si="3"/>
        <v>N/A</v>
      </c>
    </row>
    <row r="239" spans="1:4" x14ac:dyDescent="0.15">
      <c r="A239" s="198">
        <v>238</v>
      </c>
      <c r="B239" s="199" t="s">
        <v>164</v>
      </c>
      <c r="C239" s="200" t="s">
        <v>523</v>
      </c>
      <c r="D239" s="206" t="str">
        <f t="shared" si="3"/>
        <v>N/A</v>
      </c>
    </row>
    <row r="240" spans="1:4" x14ac:dyDescent="0.15">
      <c r="A240" s="198">
        <v>239</v>
      </c>
      <c r="B240" s="199" t="s">
        <v>164</v>
      </c>
      <c r="C240" s="200" t="s">
        <v>523</v>
      </c>
      <c r="D240" s="206" t="str">
        <f t="shared" si="3"/>
        <v>N/A</v>
      </c>
    </row>
    <row r="241" spans="1:7" x14ac:dyDescent="0.15">
      <c r="A241" s="198">
        <v>240</v>
      </c>
      <c r="B241" s="199" t="s">
        <v>164</v>
      </c>
      <c r="C241" s="200" t="s">
        <v>523</v>
      </c>
      <c r="D241" s="206" t="str">
        <f t="shared" si="3"/>
        <v>N/A</v>
      </c>
    </row>
    <row r="242" spans="1:7" x14ac:dyDescent="0.15">
      <c r="A242" s="198">
        <v>241</v>
      </c>
      <c r="B242" s="199" t="s">
        <v>164</v>
      </c>
      <c r="C242" s="200" t="s">
        <v>523</v>
      </c>
      <c r="D242" s="206" t="str">
        <f t="shared" si="3"/>
        <v>N/A</v>
      </c>
    </row>
    <row r="243" spans="1:7" x14ac:dyDescent="0.15">
      <c r="A243" s="198">
        <v>242</v>
      </c>
      <c r="B243" s="199" t="s">
        <v>164</v>
      </c>
      <c r="C243" s="200" t="s">
        <v>523</v>
      </c>
      <c r="D243" s="206" t="str">
        <f t="shared" si="3"/>
        <v>N/A</v>
      </c>
    </row>
    <row r="244" spans="1:7" x14ac:dyDescent="0.15">
      <c r="A244" s="198">
        <v>243</v>
      </c>
      <c r="B244" s="199" t="s">
        <v>164</v>
      </c>
      <c r="C244" s="200" t="s">
        <v>523</v>
      </c>
      <c r="D244" s="206" t="str">
        <f t="shared" si="3"/>
        <v>N/A</v>
      </c>
    </row>
    <row r="245" spans="1:7" x14ac:dyDescent="0.15">
      <c r="A245" s="198">
        <v>244</v>
      </c>
      <c r="B245" s="199" t="s">
        <v>164</v>
      </c>
      <c r="C245" s="200" t="s">
        <v>523</v>
      </c>
      <c r="D245" s="206" t="str">
        <f t="shared" si="3"/>
        <v>N/A</v>
      </c>
    </row>
    <row r="246" spans="1:7" x14ac:dyDescent="0.15">
      <c r="A246" s="198">
        <v>245</v>
      </c>
      <c r="B246" s="199" t="s">
        <v>164</v>
      </c>
      <c r="C246" s="200" t="s">
        <v>523</v>
      </c>
      <c r="D246" s="206" t="str">
        <f t="shared" si="3"/>
        <v>N/A</v>
      </c>
    </row>
    <row r="247" spans="1:7" x14ac:dyDescent="0.15">
      <c r="A247" s="198">
        <v>246</v>
      </c>
      <c r="B247" s="199" t="s">
        <v>164</v>
      </c>
      <c r="C247" s="200" t="s">
        <v>523</v>
      </c>
      <c r="D247" s="206" t="str">
        <f t="shared" si="3"/>
        <v>N/A</v>
      </c>
    </row>
    <row r="248" spans="1:7" x14ac:dyDescent="0.15">
      <c r="A248" s="198">
        <v>247</v>
      </c>
      <c r="B248" s="199" t="s">
        <v>164</v>
      </c>
      <c r="C248" s="200" t="s">
        <v>523</v>
      </c>
      <c r="D248" s="206" t="str">
        <f t="shared" si="3"/>
        <v>N/A</v>
      </c>
    </row>
    <row r="249" spans="1:7" x14ac:dyDescent="0.15">
      <c r="A249" s="198">
        <v>248</v>
      </c>
      <c r="B249" s="199" t="s">
        <v>164</v>
      </c>
      <c r="C249" s="200" t="s">
        <v>523</v>
      </c>
      <c r="D249" s="206" t="str">
        <f t="shared" si="3"/>
        <v>N/A</v>
      </c>
    </row>
    <row r="250" spans="1:7" x14ac:dyDescent="0.15">
      <c r="A250" s="198">
        <v>249</v>
      </c>
      <c r="B250" s="199" t="s">
        <v>164</v>
      </c>
      <c r="C250" s="200" t="s">
        <v>523</v>
      </c>
      <c r="D250" s="206" t="str">
        <f t="shared" si="3"/>
        <v>N/A</v>
      </c>
    </row>
    <row r="251" spans="1:7" x14ac:dyDescent="0.15">
      <c r="A251" s="201">
        <v>250</v>
      </c>
      <c r="B251" s="207" t="s">
        <v>164</v>
      </c>
      <c r="C251" s="208" t="s">
        <v>523</v>
      </c>
      <c r="D251" s="206" t="str">
        <f t="shared" si="3"/>
        <v>N/A</v>
      </c>
    </row>
    <row r="254" spans="1:7" ht="27" customHeight="1" x14ac:dyDescent="0.15">
      <c r="B254" s="202" t="s">
        <v>316</v>
      </c>
      <c r="C254" s="355" t="s">
        <v>1191</v>
      </c>
      <c r="D254" s="355"/>
      <c r="E254" s="202" t="s">
        <v>317</v>
      </c>
      <c r="F254" s="356" t="s">
        <v>1187</v>
      </c>
      <c r="G254" s="355"/>
    </row>
    <row r="257" spans="1:4" x14ac:dyDescent="0.15">
      <c r="A257" t="s">
        <v>524</v>
      </c>
    </row>
    <row r="258" spans="1:4" x14ac:dyDescent="0.15">
      <c r="A258" s="357" t="s">
        <v>164</v>
      </c>
      <c r="B258" s="358"/>
      <c r="C258" s="358"/>
      <c r="D258" s="359"/>
    </row>
    <row r="259" spans="1:4" x14ac:dyDescent="0.15">
      <c r="A259" s="360"/>
      <c r="B259" s="361"/>
      <c r="C259" s="361"/>
      <c r="D259" s="362"/>
    </row>
    <row r="260" spans="1:4" x14ac:dyDescent="0.15">
      <c r="A260" s="360"/>
      <c r="B260" s="361"/>
      <c r="C260" s="361"/>
      <c r="D260" s="362"/>
    </row>
    <row r="261" spans="1:4" x14ac:dyDescent="0.15">
      <c r="A261" s="360"/>
      <c r="B261" s="361"/>
      <c r="C261" s="361"/>
      <c r="D261" s="362"/>
    </row>
    <row r="262" spans="1:4" x14ac:dyDescent="0.15">
      <c r="A262" s="360"/>
      <c r="B262" s="361"/>
      <c r="C262" s="361"/>
      <c r="D262" s="362"/>
    </row>
    <row r="263" spans="1:4" x14ac:dyDescent="0.15">
      <c r="A263" s="360"/>
      <c r="B263" s="361"/>
      <c r="C263" s="361"/>
      <c r="D263" s="362"/>
    </row>
    <row r="264" spans="1:4" x14ac:dyDescent="0.15">
      <c r="A264" s="360"/>
      <c r="B264" s="361"/>
      <c r="C264" s="361"/>
      <c r="D264" s="362"/>
    </row>
    <row r="265" spans="1:4" x14ac:dyDescent="0.15">
      <c r="A265" s="360"/>
      <c r="B265" s="361"/>
      <c r="C265" s="361"/>
      <c r="D265" s="362"/>
    </row>
    <row r="266" spans="1:4" x14ac:dyDescent="0.15">
      <c r="A266" s="363"/>
      <c r="B266" s="364"/>
      <c r="C266" s="364"/>
      <c r="D266" s="365"/>
    </row>
  </sheetData>
  <mergeCells count="3">
    <mergeCell ref="C254:D254"/>
    <mergeCell ref="F254:G254"/>
    <mergeCell ref="A258:D266"/>
  </mergeCells>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rowBreaks count="2" manualBreakCount="2">
    <brk id="53" max="1048575" man="1"/>
    <brk id="106" max="104857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9"/>
  <sheetViews>
    <sheetView topLeftCell="A223" zoomScale="85" zoomScaleNormal="85" zoomScaleSheetLayoutView="40" workbookViewId="0">
      <selection activeCell="E240" sqref="E240"/>
    </sheetView>
  </sheetViews>
  <sheetFormatPr baseColWidth="10" defaultColWidth="9.5" defaultRowHeight="13" x14ac:dyDescent="0.15"/>
  <cols>
    <col min="1" max="1" width="30.33203125" style="58" bestFit="1" customWidth="1"/>
    <col min="2" max="2" width="56.5" style="68" customWidth="1"/>
    <col min="3" max="3" width="47.5" style="67" customWidth="1"/>
    <col min="4" max="4" width="18.5" style="58" customWidth="1"/>
    <col min="5" max="5" width="63.5" style="64" customWidth="1"/>
    <col min="6" max="11" width="9.5" style="58" customWidth="1"/>
    <col min="12" max="16384" width="9.5" style="58"/>
  </cols>
  <sheetData>
    <row r="1" spans="1:5" ht="21" customHeight="1" x14ac:dyDescent="0.15">
      <c r="A1" s="366" t="s">
        <v>19</v>
      </c>
      <c r="B1" s="366"/>
      <c r="C1" s="366"/>
      <c r="D1" s="366"/>
      <c r="E1" s="366"/>
    </row>
    <row r="2" spans="1:5" s="87" customFormat="1" ht="17" x14ac:dyDescent="0.15">
      <c r="A2" s="328" t="s">
        <v>525</v>
      </c>
      <c r="B2" s="328"/>
      <c r="C2" s="91" t="str">
        <f>'Test Summary'!B3</f>
        <v>GXMTBRIFULTRA50</v>
      </c>
      <c r="D2" s="81"/>
      <c r="E2" s="81"/>
    </row>
    <row r="3" spans="1:5" s="87" customFormat="1" ht="16" x14ac:dyDescent="0.15">
      <c r="A3" s="328" t="s">
        <v>526</v>
      </c>
      <c r="B3" s="328"/>
      <c r="C3" s="91">
        <f>IF('Test Summary'!$B$4="","",'Test Summary'!$B$4)</f>
        <v>92303</v>
      </c>
      <c r="D3" s="94"/>
      <c r="E3" s="86"/>
    </row>
    <row r="4" spans="1:5" s="87" customFormat="1" ht="17" x14ac:dyDescent="0.15">
      <c r="A4" s="328" t="s">
        <v>527</v>
      </c>
      <c r="B4" s="328"/>
      <c r="C4" s="91" t="str">
        <f>IF('Test Summary'!$B$3="","",LOOKUP('Test Summary'!$B$3,Specifications!$A$11:$A$22,Specifications!$B$11:$B$22))</f>
        <v>Xpert MTB-RIF Ultra</v>
      </c>
      <c r="D4" s="94"/>
      <c r="E4" s="86"/>
    </row>
    <row r="5" spans="1:5" x14ac:dyDescent="0.15">
      <c r="A5" s="69"/>
      <c r="B5" s="70"/>
    </row>
    <row r="6" spans="1:5" s="87" customFormat="1" ht="34" x14ac:dyDescent="0.15">
      <c r="A6" s="90" t="s">
        <v>528</v>
      </c>
      <c r="B6" s="93">
        <v>0</v>
      </c>
      <c r="C6" s="92" t="s">
        <v>529</v>
      </c>
      <c r="D6" s="372">
        <f>COUNTIF('Data - First 10'!A2:A11,"&lt;&gt;"&amp;"")</f>
        <v>10</v>
      </c>
      <c r="E6" s="372"/>
    </row>
    <row r="7" spans="1:5" s="87" customFormat="1" ht="19.25" customHeight="1" x14ac:dyDescent="0.15">
      <c r="A7" s="88" t="s">
        <v>530</v>
      </c>
      <c r="B7" s="91" t="str">
        <f>IF($C$3="","",IF($D$6=0,"NO DATA",IF(COUNTIF('Data - First 10'!$E:$E,$C$3)=$D$6,"VALID","")))</f>
        <v>VALID</v>
      </c>
      <c r="C7" s="92" t="s">
        <v>531</v>
      </c>
      <c r="D7" s="372" t="str">
        <f>IF($C$4="","",IF(D6=0,"NO DATA",IF(COUNTIF('Data - First 10'!$A:$A,$C$4)=D6,"VALID","")))</f>
        <v>VALID</v>
      </c>
      <c r="E7" s="372"/>
    </row>
    <row r="8" spans="1:5" s="87" customFormat="1" ht="34" x14ac:dyDescent="0.15">
      <c r="A8" s="92" t="s">
        <v>532</v>
      </c>
      <c r="B8" s="176" t="str">
        <f>IF(Specifications!$B$8=$D$6,"PASS","FAIL")</f>
        <v>PASS</v>
      </c>
      <c r="C8" s="101" t="s">
        <v>533</v>
      </c>
      <c r="D8" s="367" t="str">
        <f>LOOKUP($C$2,Specifications!$A$11:$A$22,Specifications!$D$11:D$22)</f>
        <v>MTB NOT DETECTED</v>
      </c>
      <c r="E8" s="368"/>
    </row>
    <row r="9" spans="1:5" ht="14" x14ac:dyDescent="0.15">
      <c r="A9" s="71" t="s">
        <v>319</v>
      </c>
      <c r="B9" s="72" t="s">
        <v>274</v>
      </c>
      <c r="C9" s="73" t="s">
        <v>534</v>
      </c>
      <c r="D9" s="71" t="s">
        <v>535</v>
      </c>
      <c r="E9" s="74" t="s">
        <v>536</v>
      </c>
    </row>
    <row r="10" spans="1:5" ht="14" x14ac:dyDescent="0.15">
      <c r="A10" s="75" t="str">
        <f>IF('Data - First 10'!C2="","",'Data - First 10'!C2)</f>
        <v>NEG_00_0_01X</v>
      </c>
      <c r="B10" s="76" t="str">
        <f>IF('Data - First 10'!L2="","",'Data - First 10'!L2)</f>
        <v>MTB NOT DETECTED</v>
      </c>
      <c r="C10" s="77" t="str">
        <f>IF(B10="","",IF(B10="INVALID",IF('Data - First 10'!GA2="","INVALID",'Data - First 10'!GA2),IF(B10="ERROR",'Data - First 10'!GA2,IF(B10="NO RESULT",'Data - First 10'!GA2,IF(B10="V","MINOR VISUAL",IF(B10="M","MAJOR VISUAL",IF(B10="B","BARCODE FAIL",IF(B10="D","DELAMINATION",IF('Data - First 10'!Q2="","DATA ENTRY ERROR",IF(B10=$D$8,"PASS","MAJOR FUNCTIONAL"))))))))))</f>
        <v>PASS</v>
      </c>
      <c r="D10" s="78" t="str">
        <f>IF(C10="","",IF('Data - First 10'!FY2="","N/A",IF('Data - First 10'!FY2&lt;Specifications!$D$3,"PASS","FAIL")))</f>
        <v>PASS</v>
      </c>
      <c r="E10" s="195" t="s">
        <v>164</v>
      </c>
    </row>
    <row r="11" spans="1:5" ht="14" x14ac:dyDescent="0.15">
      <c r="A11" s="75" t="str">
        <f>IF('Data - First 10'!C3="","",'Data - First 10'!C3)</f>
        <v>NEG_00_0_02X</v>
      </c>
      <c r="B11" s="76" t="str">
        <f>IF('Data - First 10'!L3="","",'Data - First 10'!L3)</f>
        <v>MTB NOT DETECTED</v>
      </c>
      <c r="C11" s="77" t="str">
        <f>IF(B11="","",IF(B11="INVALID",IF('Data - First 10'!GA3="","INVALID",'Data - First 10'!GA3),IF(B11="ERROR",'Data - First 10'!GA3,IF(B11="NO RESULT",'Data - First 10'!GA3,IF(B11="V","MINOR VISUAL",IF(B11="M","MAJOR VISUAL",IF(B11="B","BARCODE FAIL",IF(B11="D","DELAMINATION",IF('Data - First 10'!Q3="","DATA ENTRY ERROR",IF(B11=$D$8,"PASS","MAJOR FUNCTIONAL"))))))))))</f>
        <v>PASS</v>
      </c>
      <c r="D11" s="78" t="str">
        <f>IF(C11="","",IF('Data - First 10'!FY3="","N/A",IF('Data - First 10'!FY3&lt;Specifications!$D$3,"PASS","FAIL")))</f>
        <v>PASS</v>
      </c>
      <c r="E11" s="195" t="s">
        <v>164</v>
      </c>
    </row>
    <row r="12" spans="1:5" ht="14" x14ac:dyDescent="0.15">
      <c r="A12" s="75" t="str">
        <f>IF('Data - First 10'!C4="","",'Data - First 10'!C4)</f>
        <v>NEG_00_0_03X</v>
      </c>
      <c r="B12" s="76" t="str">
        <f>IF('Data - First 10'!L4="","",'Data - First 10'!L4)</f>
        <v>MTB NOT DETECTED</v>
      </c>
      <c r="C12" s="77" t="str">
        <f>IF(B12="","",IF(B12="INVALID",IF('Data - First 10'!GA4="","INVALID",'Data - First 10'!GA4),IF(B12="ERROR",'Data - First 10'!GA4,IF(B12="NO RESULT",'Data - First 10'!GA4,IF(B12="V","MINOR VISUAL",IF(B12="M","MAJOR VISUAL",IF(B12="B","BARCODE FAIL",IF(B12="D","DELAMINATION",IF('Data - First 10'!Q4="","DATA ENTRY ERROR",IF(B12=$D$8,"PASS","MAJOR FUNCTIONAL"))))))))))</f>
        <v>PASS</v>
      </c>
      <c r="D12" s="78" t="str">
        <f>IF(C12="","",IF('Data - First 10'!FY4="","N/A",IF('Data - First 10'!FY4&lt;Specifications!$D$3,"PASS","FAIL")))</f>
        <v>PASS</v>
      </c>
      <c r="E12" s="195" t="s">
        <v>164</v>
      </c>
    </row>
    <row r="13" spans="1:5" ht="14" x14ac:dyDescent="0.15">
      <c r="A13" s="75" t="str">
        <f>IF('Data - First 10'!C5="","",'Data - First 10'!C5)</f>
        <v>NEG_00_0_04X</v>
      </c>
      <c r="B13" s="76" t="str">
        <f>IF('Data - First 10'!L5="","",'Data - First 10'!L5)</f>
        <v>MTB NOT DETECTED</v>
      </c>
      <c r="C13" s="77" t="str">
        <f>IF(B13="","",IF(B13="INVALID",IF('Data - First 10'!GA5="","INVALID",'Data - First 10'!GA5),IF(B13="ERROR",'Data - First 10'!GA5,IF(B13="NO RESULT",'Data - First 10'!GA5,IF(B13="V","MINOR VISUAL",IF(B13="M","MAJOR VISUAL",IF(B13="B","BARCODE FAIL",IF(B13="D","DELAMINATION",IF('Data - First 10'!Q5="","DATA ENTRY ERROR",IF(B13=$D$8,"PASS","MAJOR FUNCTIONAL"))))))))))</f>
        <v>PASS</v>
      </c>
      <c r="D13" s="78" t="str">
        <f>IF(C13="","",IF('Data - First 10'!FY5="","N/A",IF('Data - First 10'!FY5&lt;Specifications!$D$3,"PASS","FAIL")))</f>
        <v>PASS</v>
      </c>
      <c r="E13" s="195" t="s">
        <v>164</v>
      </c>
    </row>
    <row r="14" spans="1:5" ht="14" x14ac:dyDescent="0.15">
      <c r="A14" s="75" t="str">
        <f>IF('Data - First 10'!C6="","",'Data - First 10'!C6)</f>
        <v>NEG_00_0_05X</v>
      </c>
      <c r="B14" s="76" t="str">
        <f>IF('Data - First 10'!L6="","",'Data - First 10'!L6)</f>
        <v>MTB NOT DETECTED</v>
      </c>
      <c r="C14" s="77" t="str">
        <f>IF(B14="","",IF(B14="INVALID",IF('Data - First 10'!GA6="","INVALID",'Data - First 10'!GA6),IF(B14="ERROR",'Data - First 10'!GA6,IF(B14="NO RESULT",'Data - First 10'!GA6,IF(B14="V","MINOR VISUAL",IF(B14="M","MAJOR VISUAL",IF(B14="B","BARCODE FAIL",IF(B14="D","DELAMINATION",IF('Data - First 10'!Q6="","DATA ENTRY ERROR",IF(B14=$D$8,"PASS","MAJOR FUNCTIONAL"))))))))))</f>
        <v>PASS</v>
      </c>
      <c r="D14" s="78" t="str">
        <f>IF(C14="","",IF('Data - First 10'!FY6="","N/A",IF('Data - First 10'!FY6&lt;Specifications!$D$3,"PASS","FAIL")))</f>
        <v>PASS</v>
      </c>
      <c r="E14" s="195" t="s">
        <v>164</v>
      </c>
    </row>
    <row r="15" spans="1:5" ht="14" x14ac:dyDescent="0.15">
      <c r="A15" s="75" t="str">
        <f>IF('Data - First 10'!C7="","",'Data - First 10'!C7)</f>
        <v>NEG_00_0_06+</v>
      </c>
      <c r="B15" s="76" t="str">
        <f>IF('Data - First 10'!L7="","",'Data - First 10'!L7)</f>
        <v>MTB NOT DETECTED</v>
      </c>
      <c r="C15" s="77" t="str">
        <f>IF(B15="","",IF(B15="INVALID",IF('Data - First 10'!GA7="","INVALID",'Data - First 10'!GA7),IF(B15="ERROR",'Data - First 10'!GA7,IF(B15="NO RESULT",'Data - First 10'!GA7,IF(B15="V","MINOR VISUAL",IF(B15="M","MAJOR VISUAL",IF(B15="B","BARCODE FAIL",IF(B15="D","DELAMINATION",IF('Data - First 10'!Q7="","DATA ENTRY ERROR",IF(B15=$D$8,"PASS","MAJOR FUNCTIONAL"))))))))))</f>
        <v>PASS</v>
      </c>
      <c r="D15" s="78" t="str">
        <f>IF(C15="","",IF('Data - First 10'!FY7="","N/A",IF('Data - First 10'!FY7&lt;Specifications!$D$3,"PASS","FAIL")))</f>
        <v>PASS</v>
      </c>
      <c r="E15" s="195" t="s">
        <v>164</v>
      </c>
    </row>
    <row r="16" spans="1:5" ht="14" x14ac:dyDescent="0.15">
      <c r="A16" s="75" t="str">
        <f>IF('Data - First 10'!C8="","",'Data - First 10'!C8)</f>
        <v>NEG_00_0_07+</v>
      </c>
      <c r="B16" s="76" t="str">
        <f>IF('Data - First 10'!L8="","",'Data - First 10'!L8)</f>
        <v>MTB NOT DETECTED</v>
      </c>
      <c r="C16" s="77" t="str">
        <f>IF(B16="","",IF(B16="INVALID",IF('Data - First 10'!GA8="","INVALID",'Data - First 10'!GA8),IF(B16="ERROR",'Data - First 10'!GA8,IF(B16="NO RESULT",'Data - First 10'!GA8,IF(B16="V","MINOR VISUAL",IF(B16="M","MAJOR VISUAL",IF(B16="B","BARCODE FAIL",IF(B16="D","DELAMINATION",IF('Data - First 10'!Q8="","DATA ENTRY ERROR",IF(B16=$D$8,"PASS","MAJOR FUNCTIONAL"))))))))))</f>
        <v>PASS</v>
      </c>
      <c r="D16" s="78" t="str">
        <f>IF(C16="","",IF('Data - First 10'!FY8="","N/A",IF('Data - First 10'!FY8&lt;Specifications!$D$3,"PASS","FAIL")))</f>
        <v>PASS</v>
      </c>
      <c r="E16" s="195" t="s">
        <v>164</v>
      </c>
    </row>
    <row r="17" spans="1:5" ht="14" x14ac:dyDescent="0.15">
      <c r="A17" s="75" t="str">
        <f>IF('Data - First 10'!C9="","",'Data - First 10'!C9)</f>
        <v>NEG_00_0_08+</v>
      </c>
      <c r="B17" s="76" t="str">
        <f>IF('Data - First 10'!L9="","",'Data - First 10'!L9)</f>
        <v>MTB NOT DETECTED</v>
      </c>
      <c r="C17" s="77" t="str">
        <f>IF(B17="","",IF(B17="INVALID",IF('Data - First 10'!GA9="","INVALID",'Data - First 10'!GA9),IF(B17="ERROR",'Data - First 10'!GA9,IF(B17="NO RESULT",'Data - First 10'!GA9,IF(B17="V","MINOR VISUAL",IF(B17="M","MAJOR VISUAL",IF(B17="B","BARCODE FAIL",IF(B17="D","DELAMINATION",IF('Data - First 10'!Q9="","DATA ENTRY ERROR",IF(B17=$D$8,"PASS","MAJOR FUNCTIONAL"))))))))))</f>
        <v>PASS</v>
      </c>
      <c r="D17" s="78" t="str">
        <f>IF(C17="","",IF('Data - First 10'!FY9="","N/A",IF('Data - First 10'!FY9&lt;Specifications!$D$3,"PASS","FAIL")))</f>
        <v>PASS</v>
      </c>
      <c r="E17" s="195" t="s">
        <v>164</v>
      </c>
    </row>
    <row r="18" spans="1:5" ht="14" x14ac:dyDescent="0.15">
      <c r="A18" s="75" t="str">
        <f>IF('Data - First 10'!C10="","",'Data - First 10'!C10)</f>
        <v>NEG_00_0_09+</v>
      </c>
      <c r="B18" s="76" t="str">
        <f>IF('Data - First 10'!L10="","",'Data - First 10'!L10)</f>
        <v>MTB NOT DETECTED</v>
      </c>
      <c r="C18" s="77" t="str">
        <f>IF(B18="","",IF(B18="INVALID",IF('Data - First 10'!GA10="","INVALID",'Data - First 10'!GA10),IF(B18="ERROR",'Data - First 10'!GA10,IF(B18="NO RESULT",'Data - First 10'!GA10,IF(B18="V","MINOR VISUAL",IF(B18="M","MAJOR VISUAL",IF(B18="B","BARCODE FAIL",IF(B18="D","DELAMINATION",IF('Data - First 10'!Q10="","DATA ENTRY ERROR",IF(B18=$D$8,"PASS","MAJOR FUNCTIONAL"))))))))))</f>
        <v>PASS</v>
      </c>
      <c r="D18" s="78" t="str">
        <f>IF(C18="","",IF('Data - First 10'!FY10="","N/A",IF('Data - First 10'!FY10&lt;Specifications!$D$3,"PASS","FAIL")))</f>
        <v>PASS</v>
      </c>
      <c r="E18" s="195" t="s">
        <v>164</v>
      </c>
    </row>
    <row r="19" spans="1:5" ht="14" x14ac:dyDescent="0.15">
      <c r="A19" s="75" t="str">
        <f>IF('Data - First 10'!C11="","",'Data - First 10'!C11)</f>
        <v>NEG_00_0_10+</v>
      </c>
      <c r="B19" s="76" t="str">
        <f>IF('Data - First 10'!L11="","",'Data - First 10'!L11)</f>
        <v>MTB NOT DETECTED</v>
      </c>
      <c r="C19" s="77" t="str">
        <f>IF(B19="","",IF(B19="INVALID",IF('Data - First 10'!GA11="","INVALID",'Data - First 10'!GA11),IF(B19="ERROR",'Data - First 10'!GA11,IF(B19="NO RESULT",'Data - First 10'!GA11,IF(B19="V","MINOR VISUAL",IF(B19="M","MAJOR VISUAL",IF(B19="B","BARCODE FAIL",IF(B19="D","DELAMINATION",IF('Data - First 10'!Q11="","DATA ENTRY ERROR",IF(B19=$D$8,"PASS","MAJOR FUNCTIONAL"))))))))))</f>
        <v>PASS</v>
      </c>
      <c r="D19" s="78" t="str">
        <f>IF(C19="","",IF('Data - First 10'!FY11="","N/A",IF('Data - First 10'!FY11&lt;Specifications!$D$3,"PASS","FAIL")))</f>
        <v>PASS</v>
      </c>
      <c r="E19" s="195" t="s">
        <v>164</v>
      </c>
    </row>
    <row r="21" spans="1:5" s="87" customFormat="1" ht="17" x14ac:dyDescent="0.15">
      <c r="A21" s="88" t="s">
        <v>537</v>
      </c>
      <c r="B21" s="89">
        <v>0</v>
      </c>
      <c r="C21" s="92" t="s">
        <v>529</v>
      </c>
      <c r="D21" s="372">
        <f>COUNTIF('Data - Sample Type 0'!A2:A101,"&lt;&gt;"&amp;"")</f>
        <v>100</v>
      </c>
      <c r="E21" s="372"/>
    </row>
    <row r="22" spans="1:5" s="87" customFormat="1" ht="17" x14ac:dyDescent="0.15">
      <c r="A22" s="88" t="s">
        <v>530</v>
      </c>
      <c r="B22" s="91" t="str">
        <f>IF($C$3="","",IF(D21=0,"NO DATA",IF(COUNTIF('Data - Sample Type 0'!$E$2:$E$101,$C$3)=D21,"VALID","")))</f>
        <v>VALID</v>
      </c>
      <c r="C22" s="92" t="s">
        <v>531</v>
      </c>
      <c r="D22" s="372" t="str">
        <f>IF($C$4="","",IF(D21=0,"NO DATA",IF(COUNTIF('Data - Sample Type 0'!$A$2:$A$101,$C$4)=D21,"VALID","")))</f>
        <v>VALID</v>
      </c>
      <c r="E22" s="372"/>
    </row>
    <row r="23" spans="1:5" s="87" customFormat="1" ht="34" x14ac:dyDescent="0.15">
      <c r="A23" s="92" t="s">
        <v>532</v>
      </c>
      <c r="B23" s="176" t="str">
        <f>IF(Specifications!$B$6=$D$21,"PASS","FAIL")</f>
        <v>PASS</v>
      </c>
      <c r="C23" s="101" t="s">
        <v>533</v>
      </c>
      <c r="D23" s="369" t="str">
        <f>LOOKUP($C$2,Specifications!$A$11:$A$22,Specifications!$D$11:D$22)</f>
        <v>MTB NOT DETECTED</v>
      </c>
      <c r="E23" s="369"/>
    </row>
    <row r="24" spans="1:5" ht="14" x14ac:dyDescent="0.15">
      <c r="A24" s="71" t="s">
        <v>319</v>
      </c>
      <c r="B24" s="72" t="s">
        <v>274</v>
      </c>
      <c r="C24" s="73" t="s">
        <v>534</v>
      </c>
      <c r="D24" s="71" t="s">
        <v>535</v>
      </c>
      <c r="E24" s="74" t="s">
        <v>536</v>
      </c>
    </row>
    <row r="25" spans="1:5" ht="14" x14ac:dyDescent="0.15">
      <c r="A25" s="75" t="str">
        <f>IF('Data - Sample Type 0'!C2="","",'Data - Sample Type 0'!C2)</f>
        <v>NEG_01_0_01X</v>
      </c>
      <c r="B25" s="76" t="str">
        <f>IF('Data - Sample Type 0'!L2="","",'Data - Sample Type 0'!L2)</f>
        <v>MTB NOT DETECTED</v>
      </c>
      <c r="C25" s="77" t="str">
        <f>IF(B25="","",IF(B25="INVALID",IF('Data - Sample Type 0'!GA2="","INVALID",'Data - Sample Type 0'!GA2),IF(B25="ERROR",'Data - Sample Type 0'!GA2,IF(B25="NO RESULT",'Data - Sample Type 0'!GA2,IF(B25="V","MINOR VISUAL",IF(B25="M","MAJOR VISUAL",IF(B25="B","BARCODE FAIL",IF(B25="D","DELAMINATION",IF('Data - Sample Type 0'!Q2="","DATA ENTRY ERROR",IF(B25=$D$23,"PASS","MAJOR FUNCTIONAL"))))))))))</f>
        <v>PASS</v>
      </c>
      <c r="D25" s="79" t="str">
        <f>IF(C25="","",IF('Data - Sample Type 0'!FY2="","N/A",IF('Data - Sample Type 0'!FY2&lt;Specifications!$D$3,"PASS","FAIL")))</f>
        <v>PASS</v>
      </c>
      <c r="E25" s="195" t="s">
        <v>164</v>
      </c>
    </row>
    <row r="26" spans="1:5" ht="14" x14ac:dyDescent="0.15">
      <c r="A26" s="75" t="str">
        <f>IF('Data - Sample Type 0'!C3="","",'Data - Sample Type 0'!C3)</f>
        <v>NEG_01_0_02X</v>
      </c>
      <c r="B26" s="76" t="str">
        <f>IF('Data - Sample Type 0'!L3="","",'Data - Sample Type 0'!L3)</f>
        <v>MTB NOT DETECTED</v>
      </c>
      <c r="C26" s="77" t="str">
        <f>IF(B26="","",IF(B26="INVALID",IF('Data - Sample Type 0'!GA3="","INVALID",'Data - Sample Type 0'!GA3),IF(B26="ERROR",'Data - Sample Type 0'!GA3,IF(B26="NO RESULT",'Data - Sample Type 0'!GA3,IF(B26="V","MINOR VISUAL",IF(B26="M","MAJOR VISUAL",IF(B26="B","BARCODE FAIL",IF(B26="D","DELAMINATION",IF('Data - Sample Type 0'!Q3="","DATA ENTRY ERROR",IF(B26=$D$23,"PASS","MAJOR FUNCTIONAL"))))))))))</f>
        <v>PASS</v>
      </c>
      <c r="D26" s="79" t="str">
        <f>IF(C26="","",IF('Data - Sample Type 0'!FY3="","N/A",IF('Data - Sample Type 0'!FY3&lt;Specifications!$D$3,"PASS","FAIL")))</f>
        <v>PASS</v>
      </c>
      <c r="E26" s="195" t="s">
        <v>164</v>
      </c>
    </row>
    <row r="27" spans="1:5" ht="14" x14ac:dyDescent="0.15">
      <c r="A27" s="75" t="str">
        <f>IF('Data - Sample Type 0'!C4="","",'Data - Sample Type 0'!C4)</f>
        <v>NEG_01_0_03X</v>
      </c>
      <c r="B27" s="76" t="str">
        <f>IF('Data - Sample Type 0'!L4="","",'Data - Sample Type 0'!L4)</f>
        <v>MTB NOT DETECTED</v>
      </c>
      <c r="C27" s="77" t="str">
        <f>IF(B27="","",IF(B27="INVALID",IF('Data - Sample Type 0'!GA4="","INVALID",'Data - Sample Type 0'!GA4),IF(B27="ERROR",'Data - Sample Type 0'!GA4,IF(B27="NO RESULT",'Data - Sample Type 0'!GA4,IF(B27="V","MINOR VISUAL",IF(B27="M","MAJOR VISUAL",IF(B27="B","BARCODE FAIL",IF(B27="D","DELAMINATION",IF('Data - Sample Type 0'!Q4="","DATA ENTRY ERROR",IF(B27=$D$23,"PASS","MAJOR FUNCTIONAL"))))))))))</f>
        <v>PASS</v>
      </c>
      <c r="D27" s="79" t="str">
        <f>IF(C27="","",IF('Data - Sample Type 0'!FY4="","N/A",IF('Data - Sample Type 0'!FY4&lt;Specifications!$D$3,"PASS","FAIL")))</f>
        <v>PASS</v>
      </c>
      <c r="E27" s="195" t="s">
        <v>164</v>
      </c>
    </row>
    <row r="28" spans="1:5" ht="14" x14ac:dyDescent="0.15">
      <c r="A28" s="75" t="str">
        <f>IF('Data - Sample Type 0'!C5="","",'Data - Sample Type 0'!C5)</f>
        <v>NEG_01_0_04X</v>
      </c>
      <c r="B28" s="76" t="str">
        <f>IF('Data - Sample Type 0'!L5="","",'Data - Sample Type 0'!L5)</f>
        <v>MTB NOT DETECTED</v>
      </c>
      <c r="C28" s="77" t="str">
        <f>IF(B28="","",IF(B28="INVALID",IF('Data - Sample Type 0'!GA5="","INVALID",'Data - Sample Type 0'!GA5),IF(B28="ERROR",'Data - Sample Type 0'!GA5,IF(B28="NO RESULT",'Data - Sample Type 0'!GA5,IF(B28="V","MINOR VISUAL",IF(B28="M","MAJOR VISUAL",IF(B28="B","BARCODE FAIL",IF(B28="D","DELAMINATION",IF('Data - Sample Type 0'!Q5="","DATA ENTRY ERROR",IF(B28=$D$23,"PASS","MAJOR FUNCTIONAL"))))))))))</f>
        <v>PASS</v>
      </c>
      <c r="D28" s="79" t="str">
        <f>IF(C28="","",IF('Data - Sample Type 0'!FY5="","N/A",IF('Data - Sample Type 0'!FY5&lt;Specifications!$D$3,"PASS","FAIL")))</f>
        <v>PASS</v>
      </c>
      <c r="E28" s="195" t="s">
        <v>164</v>
      </c>
    </row>
    <row r="29" spans="1:5" ht="14" x14ac:dyDescent="0.15">
      <c r="A29" s="75" t="str">
        <f>IF('Data - Sample Type 0'!C6="","",'Data - Sample Type 0'!C6)</f>
        <v>NEG_01_0_05X</v>
      </c>
      <c r="B29" s="76" t="str">
        <f>IF('Data - Sample Type 0'!L6="","",'Data - Sample Type 0'!L6)</f>
        <v>MTB NOT DETECTED</v>
      </c>
      <c r="C29" s="77" t="str">
        <f>IF(B29="","",IF(B29="INVALID",IF('Data - Sample Type 0'!GA6="","INVALID",'Data - Sample Type 0'!GA6),IF(B29="ERROR",'Data - Sample Type 0'!GA6,IF(B29="NO RESULT",'Data - Sample Type 0'!GA6,IF(B29="V","MINOR VISUAL",IF(B29="M","MAJOR VISUAL",IF(B29="B","BARCODE FAIL",IF(B29="D","DELAMINATION",IF('Data - Sample Type 0'!Q6="","DATA ENTRY ERROR",IF(B29=$D$23,"PASS","MAJOR FUNCTIONAL"))))))))))</f>
        <v>PASS</v>
      </c>
      <c r="D29" s="79" t="str">
        <f>IF(C29="","",IF('Data - Sample Type 0'!FY6="","N/A",IF('Data - Sample Type 0'!FY6&lt;Specifications!$D$3,"PASS","FAIL")))</f>
        <v>PASS</v>
      </c>
      <c r="E29" s="195" t="s">
        <v>164</v>
      </c>
    </row>
    <row r="30" spans="1:5" ht="14" x14ac:dyDescent="0.15">
      <c r="A30" s="75" t="str">
        <f>IF('Data - Sample Type 0'!C7="","",'Data - Sample Type 0'!C7)</f>
        <v>NEG_01_0_06+</v>
      </c>
      <c r="B30" s="76" t="str">
        <f>IF('Data - Sample Type 0'!L7="","",'Data - Sample Type 0'!L7)</f>
        <v>MTB NOT DETECTED</v>
      </c>
      <c r="C30" s="77" t="str">
        <f>IF(B30="","",IF(B30="INVALID",IF('Data - Sample Type 0'!GA7="","INVALID",'Data - Sample Type 0'!GA7),IF(B30="ERROR",'Data - Sample Type 0'!GA7,IF(B30="NO RESULT",'Data - Sample Type 0'!GA7,IF(B30="V","MINOR VISUAL",IF(B30="M","MAJOR VISUAL",IF(B30="B","BARCODE FAIL",IF(B30="D","DELAMINATION",IF('Data - Sample Type 0'!Q7="","DATA ENTRY ERROR",IF(B30=$D$23,"PASS","MAJOR FUNCTIONAL"))))))))))</f>
        <v>PASS</v>
      </c>
      <c r="D30" s="79" t="str">
        <f>IF(C30="","",IF('Data - Sample Type 0'!FY7="","N/A",IF('Data - Sample Type 0'!FY7&lt;Specifications!$D$3,"PASS","FAIL")))</f>
        <v>PASS</v>
      </c>
      <c r="E30" s="195" t="s">
        <v>164</v>
      </c>
    </row>
    <row r="31" spans="1:5" ht="14" x14ac:dyDescent="0.15">
      <c r="A31" s="75" t="str">
        <f>IF('Data - Sample Type 0'!C8="","",'Data - Sample Type 0'!C8)</f>
        <v>NEG_01_0_07+</v>
      </c>
      <c r="B31" s="76" t="str">
        <f>IF('Data - Sample Type 0'!L8="","",'Data - Sample Type 0'!L8)</f>
        <v>MTB NOT DETECTED</v>
      </c>
      <c r="C31" s="77" t="str">
        <f>IF(B31="","",IF(B31="INVALID",IF('Data - Sample Type 0'!GA8="","INVALID",'Data - Sample Type 0'!GA8),IF(B31="ERROR",'Data - Sample Type 0'!GA8,IF(B31="NO RESULT",'Data - Sample Type 0'!GA8,IF(B31="V","MINOR VISUAL",IF(B31="M","MAJOR VISUAL",IF(B31="B","BARCODE FAIL",IF(B31="D","DELAMINATION",IF('Data - Sample Type 0'!Q8="","DATA ENTRY ERROR",IF(B31=$D$23,"PASS","MAJOR FUNCTIONAL"))))))))))</f>
        <v>PASS</v>
      </c>
      <c r="D31" s="79" t="str">
        <f>IF(C31="","",IF('Data - Sample Type 0'!FY8="","N/A",IF('Data - Sample Type 0'!FY8&lt;Specifications!$D$3,"PASS","FAIL")))</f>
        <v>PASS</v>
      </c>
      <c r="E31" s="195" t="s">
        <v>164</v>
      </c>
    </row>
    <row r="32" spans="1:5" ht="14" x14ac:dyDescent="0.15">
      <c r="A32" s="75" t="str">
        <f>IF('Data - Sample Type 0'!C9="","",'Data - Sample Type 0'!C9)</f>
        <v>NEG_01_0_08A+</v>
      </c>
      <c r="B32" s="76" t="str">
        <f>IF('Data - Sample Type 0'!L9="","",'Data - Sample Type 0'!L9)</f>
        <v>MTB NOT DETECTED</v>
      </c>
      <c r="C32" s="77" t="str">
        <f>IF(B32="","",IF(B32="INVALID",IF('Data - Sample Type 0'!GA9="","INVALID",'Data - Sample Type 0'!GA9),IF(B32="ERROR",'Data - Sample Type 0'!GA9,IF(B32="NO RESULT",'Data - Sample Type 0'!GA9,IF(B32="V","MINOR VISUAL",IF(B32="M","MAJOR VISUAL",IF(B32="B","BARCODE FAIL",IF(B32="D","DELAMINATION",IF('Data - Sample Type 0'!Q9="","DATA ENTRY ERROR",IF(B32=$D$23,"PASS","MAJOR FUNCTIONAL"))))))))))</f>
        <v>PASS</v>
      </c>
      <c r="D32" s="79" t="str">
        <f>IF(C32="","",IF('Data - Sample Type 0'!FY9="","N/A",IF('Data - Sample Type 0'!FY9&lt;Specifications!$D$3,"PASS","FAIL")))</f>
        <v>PASS</v>
      </c>
      <c r="E32" s="195" t="s">
        <v>694</v>
      </c>
    </row>
    <row r="33" spans="1:5" ht="14" x14ac:dyDescent="0.15">
      <c r="A33" s="75" t="str">
        <f>IF('Data - Sample Type 0'!C10="","",'Data - Sample Type 0'!C10)</f>
        <v>NEG_01_0_09+</v>
      </c>
      <c r="B33" s="76" t="str">
        <f>IF('Data - Sample Type 0'!L10="","",'Data - Sample Type 0'!L10)</f>
        <v>MTB NOT DETECTED</v>
      </c>
      <c r="C33" s="77" t="str">
        <f>IF(B33="","",IF(B33="INVALID",IF('Data - Sample Type 0'!GA10="","INVALID",'Data - Sample Type 0'!GA10),IF(B33="ERROR",'Data - Sample Type 0'!GA10,IF(B33="NO RESULT",'Data - Sample Type 0'!GA10,IF(B33="V","MINOR VISUAL",IF(B33="M","MAJOR VISUAL",IF(B33="B","BARCODE FAIL",IF(B33="D","DELAMINATION",IF('Data - Sample Type 0'!Q10="","DATA ENTRY ERROR",IF(B33=$D$23,"PASS","MAJOR FUNCTIONAL"))))))))))</f>
        <v>PASS</v>
      </c>
      <c r="D33" s="79" t="str">
        <f>IF(C33="","",IF('Data - Sample Type 0'!FY10="","N/A",IF('Data - Sample Type 0'!FY10&lt;Specifications!$D$3,"PASS","FAIL")))</f>
        <v>PASS</v>
      </c>
      <c r="E33" s="195" t="s">
        <v>164</v>
      </c>
    </row>
    <row r="34" spans="1:5" ht="14" x14ac:dyDescent="0.15">
      <c r="A34" s="75" t="str">
        <f>IF('Data - Sample Type 0'!C11="","",'Data - Sample Type 0'!C11)</f>
        <v>NEG_01_0_10+</v>
      </c>
      <c r="B34" s="76" t="str">
        <f>IF('Data - Sample Type 0'!L11="","",'Data - Sample Type 0'!L11)</f>
        <v>MTB NOT DETECTED</v>
      </c>
      <c r="C34" s="77" t="str">
        <f>IF(B34="","",IF(B34="INVALID",IF('Data - Sample Type 0'!GA11="","INVALID",'Data - Sample Type 0'!GA11),IF(B34="ERROR",'Data - Sample Type 0'!GA11,IF(B34="NO RESULT",'Data - Sample Type 0'!GA11,IF(B34="V","MINOR VISUAL",IF(B34="M","MAJOR VISUAL",IF(B34="B","BARCODE FAIL",IF(B34="D","DELAMINATION",IF('Data - Sample Type 0'!Q11="","DATA ENTRY ERROR",IF(B34=$D$23,"PASS","MAJOR FUNCTIONAL"))))))))))</f>
        <v>PASS</v>
      </c>
      <c r="D34" s="79" t="str">
        <f>IF(C34="","",IF('Data - Sample Type 0'!FY11="","N/A",IF('Data - Sample Type 0'!FY11&lt;Specifications!$D$3,"PASS","FAIL")))</f>
        <v>PASS</v>
      </c>
      <c r="E34" s="195" t="s">
        <v>164</v>
      </c>
    </row>
    <row r="35" spans="1:5" ht="14" x14ac:dyDescent="0.15">
      <c r="A35" s="75" t="str">
        <f>IF('Data - Sample Type 0'!C12="","",'Data - Sample Type 0'!C12)</f>
        <v>NEG_02_0_01X</v>
      </c>
      <c r="B35" s="76" t="str">
        <f>IF('Data - Sample Type 0'!L12="","",'Data - Sample Type 0'!L12)</f>
        <v>MTB NOT DETECTED</v>
      </c>
      <c r="C35" s="77" t="str">
        <f>IF(B35="","",IF(B35="INVALID",IF('Data - Sample Type 0'!GA12="","INVALID",'Data - Sample Type 0'!GA12),IF(B35="ERROR",'Data - Sample Type 0'!GA12,IF(B35="NO RESULT",'Data - Sample Type 0'!GA12,IF(B35="V","MINOR VISUAL",IF(B35="M","MAJOR VISUAL",IF(B35="B","BARCODE FAIL",IF(B35="D","DELAMINATION",IF('Data - Sample Type 0'!Q12="","DATA ENTRY ERROR",IF(B35=$D$23,"PASS","MAJOR FUNCTIONAL"))))))))))</f>
        <v>PASS</v>
      </c>
      <c r="D35" s="79" t="str">
        <f>IF(C35="","",IF('Data - Sample Type 0'!FY12="","N/A",IF('Data - Sample Type 0'!FY12&lt;Specifications!$D$3,"PASS","FAIL")))</f>
        <v>PASS</v>
      </c>
      <c r="E35" s="195" t="s">
        <v>164</v>
      </c>
    </row>
    <row r="36" spans="1:5" ht="14" x14ac:dyDescent="0.15">
      <c r="A36" s="75" t="str">
        <f>IF('Data - Sample Type 0'!C13="","",'Data - Sample Type 0'!C13)</f>
        <v>NEG_02_0_02X</v>
      </c>
      <c r="B36" s="76" t="str">
        <f>IF('Data - Sample Type 0'!L13="","",'Data - Sample Type 0'!L13)</f>
        <v>MTB NOT DETECTED</v>
      </c>
      <c r="C36" s="77" t="str">
        <f>IF(B36="","",IF(B36="INVALID",IF('Data - Sample Type 0'!GA13="","INVALID",'Data - Sample Type 0'!GA13),IF(B36="ERROR",'Data - Sample Type 0'!GA13,IF(B36="NO RESULT",'Data - Sample Type 0'!GA13,IF(B36="V","MINOR VISUAL",IF(B36="M","MAJOR VISUAL",IF(B36="B","BARCODE FAIL",IF(B36="D","DELAMINATION",IF('Data - Sample Type 0'!Q13="","DATA ENTRY ERROR",IF(B36=$D$23,"PASS","MAJOR FUNCTIONAL"))))))))))</f>
        <v>PASS</v>
      </c>
      <c r="D36" s="79" t="str">
        <f>IF(C36="","",IF('Data - Sample Type 0'!FY13="","N/A",IF('Data - Sample Type 0'!FY13&lt;Specifications!$D$3,"PASS","FAIL")))</f>
        <v>PASS</v>
      </c>
      <c r="E36" s="195" t="s">
        <v>164</v>
      </c>
    </row>
    <row r="37" spans="1:5" ht="14" x14ac:dyDescent="0.15">
      <c r="A37" s="75" t="str">
        <f>IF('Data - Sample Type 0'!C14="","",'Data - Sample Type 0'!C14)</f>
        <v>NEG_02_0_03X</v>
      </c>
      <c r="B37" s="76" t="str">
        <f>IF('Data - Sample Type 0'!L14="","",'Data - Sample Type 0'!L14)</f>
        <v>MTB NOT DETECTED</v>
      </c>
      <c r="C37" s="77" t="str">
        <f>IF(B37="","",IF(B37="INVALID",IF('Data - Sample Type 0'!GA14="","INVALID",'Data - Sample Type 0'!GA14),IF(B37="ERROR",'Data - Sample Type 0'!GA14,IF(B37="NO RESULT",'Data - Sample Type 0'!GA14,IF(B37="V","MINOR VISUAL",IF(B37="M","MAJOR VISUAL",IF(B37="B","BARCODE FAIL",IF(B37="D","DELAMINATION",IF('Data - Sample Type 0'!Q14="","DATA ENTRY ERROR",IF(B37=$D$23,"PASS","MAJOR FUNCTIONAL"))))))))))</f>
        <v>PASS</v>
      </c>
      <c r="D37" s="79" t="str">
        <f>IF(C37="","",IF('Data - Sample Type 0'!FY14="","N/A",IF('Data - Sample Type 0'!FY14&lt;Specifications!$D$3,"PASS","FAIL")))</f>
        <v>PASS</v>
      </c>
      <c r="E37" s="195" t="s">
        <v>164</v>
      </c>
    </row>
    <row r="38" spans="1:5" ht="14" x14ac:dyDescent="0.15">
      <c r="A38" s="75" t="str">
        <f>IF('Data - Sample Type 0'!C15="","",'Data - Sample Type 0'!C15)</f>
        <v>NEG_02_0_04X</v>
      </c>
      <c r="B38" s="76" t="str">
        <f>IF('Data - Sample Type 0'!L15="","",'Data - Sample Type 0'!L15)</f>
        <v>MTB NOT DETECTED</v>
      </c>
      <c r="C38" s="77" t="str">
        <f>IF(B38="","",IF(B38="INVALID",IF('Data - Sample Type 0'!GA15="","INVALID",'Data - Sample Type 0'!GA15),IF(B38="ERROR",'Data - Sample Type 0'!GA15,IF(B38="NO RESULT",'Data - Sample Type 0'!GA15,IF(B38="V","MINOR VISUAL",IF(B38="M","MAJOR VISUAL",IF(B38="B","BARCODE FAIL",IF(B38="D","DELAMINATION",IF('Data - Sample Type 0'!Q15="","DATA ENTRY ERROR",IF(B38=$D$23,"PASS","MAJOR FUNCTIONAL"))))))))))</f>
        <v>PASS</v>
      </c>
      <c r="D38" s="79" t="str">
        <f>IF(C38="","",IF('Data - Sample Type 0'!FY15="","N/A",IF('Data - Sample Type 0'!FY15&lt;Specifications!$D$3,"PASS","FAIL")))</f>
        <v>PASS</v>
      </c>
      <c r="E38" s="195" t="s">
        <v>164</v>
      </c>
    </row>
    <row r="39" spans="1:5" ht="14" x14ac:dyDescent="0.15">
      <c r="A39" s="75" t="str">
        <f>IF('Data - Sample Type 0'!C16="","",'Data - Sample Type 0'!C16)</f>
        <v>NEG_02_0_05X</v>
      </c>
      <c r="B39" s="76" t="str">
        <f>IF('Data - Sample Type 0'!L16="","",'Data - Sample Type 0'!L16)</f>
        <v>MTB NOT DETECTED</v>
      </c>
      <c r="C39" s="77" t="str">
        <f>IF(B39="","",IF(B39="INVALID",IF('Data - Sample Type 0'!GA16="","INVALID",'Data - Sample Type 0'!GA16),IF(B39="ERROR",'Data - Sample Type 0'!GA16,IF(B39="NO RESULT",'Data - Sample Type 0'!GA16,IF(B39="V","MINOR VISUAL",IF(B39="M","MAJOR VISUAL",IF(B39="B","BARCODE FAIL",IF(B39="D","DELAMINATION",IF('Data - Sample Type 0'!Q16="","DATA ENTRY ERROR",IF(B39=$D$23,"PASS","MAJOR FUNCTIONAL"))))))))))</f>
        <v>PASS</v>
      </c>
      <c r="D39" s="79" t="str">
        <f>IF(C39="","",IF('Data - Sample Type 0'!FY16="","N/A",IF('Data - Sample Type 0'!FY16&lt;Specifications!$D$3,"PASS","FAIL")))</f>
        <v>PASS</v>
      </c>
      <c r="E39" s="195" t="s">
        <v>164</v>
      </c>
    </row>
    <row r="40" spans="1:5" ht="14" x14ac:dyDescent="0.15">
      <c r="A40" s="75" t="str">
        <f>IF('Data - Sample Type 0'!C17="","",'Data - Sample Type 0'!C17)</f>
        <v>NEG_02_0_06+</v>
      </c>
      <c r="B40" s="76" t="str">
        <f>IF('Data - Sample Type 0'!L17="","",'Data - Sample Type 0'!L17)</f>
        <v>MTB NOT DETECTED</v>
      </c>
      <c r="C40" s="77" t="str">
        <f>IF(B40="","",IF(B40="INVALID",IF('Data - Sample Type 0'!GA17="","INVALID",'Data - Sample Type 0'!GA17),IF(B40="ERROR",'Data - Sample Type 0'!GA17,IF(B40="NO RESULT",'Data - Sample Type 0'!GA17,IF(B40="V","MINOR VISUAL",IF(B40="M","MAJOR VISUAL",IF(B40="B","BARCODE FAIL",IF(B40="D","DELAMINATION",IF('Data - Sample Type 0'!Q17="","DATA ENTRY ERROR",IF(B40=$D$23,"PASS","MAJOR FUNCTIONAL"))))))))))</f>
        <v>PASS</v>
      </c>
      <c r="D40" s="79" t="str">
        <f>IF(C40="","",IF('Data - Sample Type 0'!FY17="","N/A",IF('Data - Sample Type 0'!FY17&lt;Specifications!$D$3,"PASS","FAIL")))</f>
        <v>PASS</v>
      </c>
      <c r="E40" s="195" t="s">
        <v>164</v>
      </c>
    </row>
    <row r="41" spans="1:5" ht="14" x14ac:dyDescent="0.15">
      <c r="A41" s="75" t="str">
        <f>IF('Data - Sample Type 0'!C18="","",'Data - Sample Type 0'!C18)</f>
        <v>NEG_02_0_07+</v>
      </c>
      <c r="B41" s="76" t="str">
        <f>IF('Data - Sample Type 0'!L18="","",'Data - Sample Type 0'!L18)</f>
        <v>MTB NOT DETECTED</v>
      </c>
      <c r="C41" s="77" t="str">
        <f>IF(B41="","",IF(B41="INVALID",IF('Data - Sample Type 0'!GA18="","INVALID",'Data - Sample Type 0'!GA18),IF(B41="ERROR",'Data - Sample Type 0'!GA18,IF(B41="NO RESULT",'Data - Sample Type 0'!GA18,IF(B41="V","MINOR VISUAL",IF(B41="M","MAJOR VISUAL",IF(B41="B","BARCODE FAIL",IF(B41="D","DELAMINATION",IF('Data - Sample Type 0'!Q18="","DATA ENTRY ERROR",IF(B41=$D$23,"PASS","MAJOR FUNCTIONAL"))))))))))</f>
        <v>PASS</v>
      </c>
      <c r="D41" s="79" t="str">
        <f>IF(C41="","",IF('Data - Sample Type 0'!FY18="","N/A",IF('Data - Sample Type 0'!FY18&lt;Specifications!$D$3,"PASS","FAIL")))</f>
        <v>PASS</v>
      </c>
      <c r="E41" s="195" t="s">
        <v>164</v>
      </c>
    </row>
    <row r="42" spans="1:5" ht="14" x14ac:dyDescent="0.15">
      <c r="A42" s="75" t="str">
        <f>IF('Data - Sample Type 0'!C19="","",'Data - Sample Type 0'!C19)</f>
        <v>NEG_02_0_08+</v>
      </c>
      <c r="B42" s="76" t="str">
        <f>IF('Data - Sample Type 0'!L19="","",'Data - Sample Type 0'!L19)</f>
        <v>MTB NOT DETECTED</v>
      </c>
      <c r="C42" s="77" t="str">
        <f>IF(B42="","",IF(B42="INVALID",IF('Data - Sample Type 0'!GA19="","INVALID",'Data - Sample Type 0'!GA19),IF(B42="ERROR",'Data - Sample Type 0'!GA19,IF(B42="NO RESULT",'Data - Sample Type 0'!GA19,IF(B42="V","MINOR VISUAL",IF(B42="M","MAJOR VISUAL",IF(B42="B","BARCODE FAIL",IF(B42="D","DELAMINATION",IF('Data - Sample Type 0'!Q19="","DATA ENTRY ERROR",IF(B42=$D$23,"PASS","MAJOR FUNCTIONAL"))))))))))</f>
        <v>PASS</v>
      </c>
      <c r="D42" s="79" t="str">
        <f>IF(C42="","",IF('Data - Sample Type 0'!FY19="","N/A",IF('Data - Sample Type 0'!FY19&lt;Specifications!$D$3,"PASS","FAIL")))</f>
        <v>PASS</v>
      </c>
      <c r="E42" s="195" t="s">
        <v>164</v>
      </c>
    </row>
    <row r="43" spans="1:5" ht="14" x14ac:dyDescent="0.15">
      <c r="A43" s="75" t="str">
        <f>IF('Data - Sample Type 0'!C20="","",'Data - Sample Type 0'!C20)</f>
        <v>NEG_02_0_09+</v>
      </c>
      <c r="B43" s="76" t="str">
        <f>IF('Data - Sample Type 0'!L20="","",'Data - Sample Type 0'!L20)</f>
        <v>MTB NOT DETECTED</v>
      </c>
      <c r="C43" s="77" t="str">
        <f>IF(B43="","",IF(B43="INVALID",IF('Data - Sample Type 0'!GA20="","INVALID",'Data - Sample Type 0'!GA20),IF(B43="ERROR",'Data - Sample Type 0'!GA20,IF(B43="NO RESULT",'Data - Sample Type 0'!GA20,IF(B43="V","MINOR VISUAL",IF(B43="M","MAJOR VISUAL",IF(B43="B","BARCODE FAIL",IF(B43="D","DELAMINATION",IF('Data - Sample Type 0'!Q20="","DATA ENTRY ERROR",IF(B43=$D$23,"PASS","MAJOR FUNCTIONAL"))))))))))</f>
        <v>PASS</v>
      </c>
      <c r="D43" s="79" t="str">
        <f>IF(C43="","",IF('Data - Sample Type 0'!FY20="","N/A",IF('Data - Sample Type 0'!FY20&lt;Specifications!$D$3,"PASS","FAIL")))</f>
        <v>PASS</v>
      </c>
      <c r="E43" s="195" t="s">
        <v>164</v>
      </c>
    </row>
    <row r="44" spans="1:5" ht="14" x14ac:dyDescent="0.15">
      <c r="A44" s="75" t="str">
        <f>IF('Data - Sample Type 0'!C21="","",'Data - Sample Type 0'!C21)</f>
        <v>NEG_02_0_10+</v>
      </c>
      <c r="B44" s="76" t="str">
        <f>IF('Data - Sample Type 0'!L21="","",'Data - Sample Type 0'!L21)</f>
        <v>MTB NOT DETECTED</v>
      </c>
      <c r="C44" s="77" t="str">
        <f>IF(B44="","",IF(B44="INVALID",IF('Data - Sample Type 0'!GA21="","INVALID",'Data - Sample Type 0'!GA21),IF(B44="ERROR",'Data - Sample Type 0'!GA21,IF(B44="NO RESULT",'Data - Sample Type 0'!GA21,IF(B44="V","MINOR VISUAL",IF(B44="M","MAJOR VISUAL",IF(B44="B","BARCODE FAIL",IF(B44="D","DELAMINATION",IF('Data - Sample Type 0'!Q21="","DATA ENTRY ERROR",IF(B44=$D$23,"PASS","MAJOR FUNCTIONAL"))))))))))</f>
        <v>PASS</v>
      </c>
      <c r="D44" s="79" t="str">
        <f>IF(C44="","",IF('Data - Sample Type 0'!FY21="","N/A",IF('Data - Sample Type 0'!FY21&lt;Specifications!$D$3,"PASS","FAIL")))</f>
        <v>PASS</v>
      </c>
      <c r="E44" s="195" t="s">
        <v>164</v>
      </c>
    </row>
    <row r="45" spans="1:5" ht="14" x14ac:dyDescent="0.15">
      <c r="A45" s="75" t="str">
        <f>IF('Data - Sample Type 0'!C22="","",'Data - Sample Type 0'!C22)</f>
        <v>NEG_03_0_01X</v>
      </c>
      <c r="B45" s="76" t="str">
        <f>IF('Data - Sample Type 0'!L22="","",'Data - Sample Type 0'!L22)</f>
        <v>MTB NOT DETECTED</v>
      </c>
      <c r="C45" s="77" t="str">
        <f>IF(B45="","",IF(B45="INVALID",IF('Data - Sample Type 0'!GA22="","INVALID",'Data - Sample Type 0'!GA22),IF(B45="ERROR",'Data - Sample Type 0'!GA22,IF(B45="NO RESULT",'Data - Sample Type 0'!GA22,IF(B45="V","MINOR VISUAL",IF(B45="M","MAJOR VISUAL",IF(B45="B","BARCODE FAIL",IF(B45="D","DELAMINATION",IF('Data - Sample Type 0'!Q22="","DATA ENTRY ERROR",IF(B45=$D$23,"PASS","MAJOR FUNCTIONAL"))))))))))</f>
        <v>PASS</v>
      </c>
      <c r="D45" s="79" t="str">
        <f>IF(C45="","",IF('Data - Sample Type 0'!FY22="","N/A",IF('Data - Sample Type 0'!FY22&lt;Specifications!$D$3,"PASS","FAIL")))</f>
        <v>PASS</v>
      </c>
      <c r="E45" s="195" t="s">
        <v>164</v>
      </c>
    </row>
    <row r="46" spans="1:5" ht="14" x14ac:dyDescent="0.15">
      <c r="A46" s="75" t="str">
        <f>IF('Data - Sample Type 0'!C23="","",'Data - Sample Type 0'!C23)</f>
        <v>NEG_03_0_02X</v>
      </c>
      <c r="B46" s="76" t="str">
        <f>IF('Data - Sample Type 0'!L23="","",'Data - Sample Type 0'!L23)</f>
        <v>MTB NOT DETECTED</v>
      </c>
      <c r="C46" s="77" t="str">
        <f>IF(B46="","",IF(B46="INVALID",IF('Data - Sample Type 0'!GA23="","INVALID",'Data - Sample Type 0'!GA23),IF(B46="ERROR",'Data - Sample Type 0'!GA23,IF(B46="NO RESULT",'Data - Sample Type 0'!GA23,IF(B46="V","MINOR VISUAL",IF(B46="M","MAJOR VISUAL",IF(B46="B","BARCODE FAIL",IF(B46="D","DELAMINATION",IF('Data - Sample Type 0'!Q23="","DATA ENTRY ERROR",IF(B46=$D$23,"PASS","MAJOR FUNCTIONAL"))))))))))</f>
        <v>PASS</v>
      </c>
      <c r="D46" s="79" t="str">
        <f>IF(C46="","",IF('Data - Sample Type 0'!FY23="","N/A",IF('Data - Sample Type 0'!FY23&lt;Specifications!$D$3,"PASS","FAIL")))</f>
        <v>PASS</v>
      </c>
      <c r="E46" s="195" t="s">
        <v>164</v>
      </c>
    </row>
    <row r="47" spans="1:5" ht="14" x14ac:dyDescent="0.15">
      <c r="A47" s="75" t="str">
        <f>IF('Data - Sample Type 0'!C24="","",'Data - Sample Type 0'!C24)</f>
        <v>NEG_03_0_03X</v>
      </c>
      <c r="B47" s="76" t="str">
        <f>IF('Data - Sample Type 0'!L24="","",'Data - Sample Type 0'!L24)</f>
        <v>MTB NOT DETECTED</v>
      </c>
      <c r="C47" s="77" t="str">
        <f>IF(B47="","",IF(B47="INVALID",IF('Data - Sample Type 0'!GA24="","INVALID",'Data - Sample Type 0'!GA24),IF(B47="ERROR",'Data - Sample Type 0'!GA24,IF(B47="NO RESULT",'Data - Sample Type 0'!GA24,IF(B47="V","MINOR VISUAL",IF(B47="M","MAJOR VISUAL",IF(B47="B","BARCODE FAIL",IF(B47="D","DELAMINATION",IF('Data - Sample Type 0'!Q24="","DATA ENTRY ERROR",IF(B47=$D$23,"PASS","MAJOR FUNCTIONAL"))))))))))</f>
        <v>PASS</v>
      </c>
      <c r="D47" s="79" t="str">
        <f>IF(C47="","",IF('Data - Sample Type 0'!FY24="","N/A",IF('Data - Sample Type 0'!FY24&lt;Specifications!$D$3,"PASS","FAIL")))</f>
        <v>PASS</v>
      </c>
      <c r="E47" s="195" t="s">
        <v>164</v>
      </c>
    </row>
    <row r="48" spans="1:5" ht="14" x14ac:dyDescent="0.15">
      <c r="A48" s="75" t="str">
        <f>IF('Data - Sample Type 0'!C25="","",'Data - Sample Type 0'!C25)</f>
        <v>NEG_03_0_04X</v>
      </c>
      <c r="B48" s="76" t="str">
        <f>IF('Data - Sample Type 0'!L25="","",'Data - Sample Type 0'!L25)</f>
        <v>MTB NOT DETECTED</v>
      </c>
      <c r="C48" s="77" t="str">
        <f>IF(B48="","",IF(B48="INVALID",IF('Data - Sample Type 0'!GA25="","INVALID",'Data - Sample Type 0'!GA25),IF(B48="ERROR",'Data - Sample Type 0'!GA25,IF(B48="NO RESULT",'Data - Sample Type 0'!GA25,IF(B48="V","MINOR VISUAL",IF(B48="M","MAJOR VISUAL",IF(B48="B","BARCODE FAIL",IF(B48="D","DELAMINATION",IF('Data - Sample Type 0'!Q25="","DATA ENTRY ERROR",IF(B48=$D$23,"PASS","MAJOR FUNCTIONAL"))))))))))</f>
        <v>PASS</v>
      </c>
      <c r="D48" s="79" t="str">
        <f>IF(C48="","",IF('Data - Sample Type 0'!FY25="","N/A",IF('Data - Sample Type 0'!FY25&lt;Specifications!$D$3,"PASS","FAIL")))</f>
        <v>PASS</v>
      </c>
      <c r="E48" s="195" t="s">
        <v>164</v>
      </c>
    </row>
    <row r="49" spans="1:5" ht="14" x14ac:dyDescent="0.15">
      <c r="A49" s="75" t="str">
        <f>IF('Data - Sample Type 0'!C26="","",'Data - Sample Type 0'!C26)</f>
        <v>NEG_03_0_05X</v>
      </c>
      <c r="B49" s="76" t="str">
        <f>IF('Data - Sample Type 0'!L26="","",'Data - Sample Type 0'!L26)</f>
        <v>MTB NOT DETECTED</v>
      </c>
      <c r="C49" s="77" t="str">
        <f>IF(B49="","",IF(B49="INVALID",IF('Data - Sample Type 0'!GA26="","INVALID",'Data - Sample Type 0'!GA26),IF(B49="ERROR",'Data - Sample Type 0'!GA26,IF(B49="NO RESULT",'Data - Sample Type 0'!GA26,IF(B49="V","MINOR VISUAL",IF(B49="M","MAJOR VISUAL",IF(B49="B","BARCODE FAIL",IF(B49="D","DELAMINATION",IF('Data - Sample Type 0'!Q26="","DATA ENTRY ERROR",IF(B49=$D$23,"PASS","MAJOR FUNCTIONAL"))))))))))</f>
        <v>PASS</v>
      </c>
      <c r="D49" s="79" t="str">
        <f>IF(C49="","",IF('Data - Sample Type 0'!FY26="","N/A",IF('Data - Sample Type 0'!FY26&lt;Specifications!$D$3,"PASS","FAIL")))</f>
        <v>PASS</v>
      </c>
      <c r="E49" s="195" t="s">
        <v>164</v>
      </c>
    </row>
    <row r="50" spans="1:5" ht="14" x14ac:dyDescent="0.15">
      <c r="A50" s="75" t="str">
        <f>IF('Data - Sample Type 0'!C27="","",'Data - Sample Type 0'!C27)</f>
        <v>NEG_03_0_06+</v>
      </c>
      <c r="B50" s="76" t="str">
        <f>IF('Data - Sample Type 0'!L27="","",'Data - Sample Type 0'!L27)</f>
        <v>MTB Trace DETECTED;RIF Resistance INDETERMINATE</v>
      </c>
      <c r="C50" s="77" t="str">
        <f>IF(B50="","",IF(B50="INVALID",IF('Data - Sample Type 0'!GA27="","INVALID",'Data - Sample Type 0'!GA27),IF(B50="ERROR",'Data - Sample Type 0'!GA27,IF(B50="NO RESULT",'Data - Sample Type 0'!GA27,IF(B50="V","MINOR VISUAL",IF(B50="M","MAJOR VISUAL",IF(B50="B","BARCODE FAIL",IF(B50="D","DELAMINATION",IF('Data - Sample Type 0'!Q27="","DATA ENTRY ERROR",IF(B50=$D$23,"PASS","MAJOR FUNCTIONAL"))))))))))</f>
        <v>MAJOR FUNCTIONAL</v>
      </c>
      <c r="D50" s="79" t="str">
        <f>IF(C50="","",IF('Data - Sample Type 0'!FY27="","N/A",IF('Data - Sample Type 0'!FY27&lt;Specifications!$D$3,"PASS","FAIL")))</f>
        <v>PASS</v>
      </c>
      <c r="E50" s="195" t="s">
        <v>164</v>
      </c>
    </row>
    <row r="51" spans="1:5" ht="14" x14ac:dyDescent="0.15">
      <c r="A51" s="75" t="str">
        <f>IF('Data - Sample Type 0'!C28="","",'Data - Sample Type 0'!C28)</f>
        <v>NEG_03_0_07+</v>
      </c>
      <c r="B51" s="76" t="str">
        <f>IF('Data - Sample Type 0'!L28="","",'Data - Sample Type 0'!L28)</f>
        <v>MTB DETECTED LOW;RIF Resistance DETECTED</v>
      </c>
      <c r="C51" s="77" t="str">
        <f>IF(B51="","",IF(B51="INVALID",IF('Data - Sample Type 0'!GA28="","INVALID",'Data - Sample Type 0'!GA28),IF(B51="ERROR",'Data - Sample Type 0'!GA28,IF(B51="NO RESULT",'Data - Sample Type 0'!GA28,IF(B51="V","MINOR VISUAL",IF(B51="M","MAJOR VISUAL",IF(B51="B","BARCODE FAIL",IF(B51="D","DELAMINATION",IF('Data - Sample Type 0'!Q28="","DATA ENTRY ERROR",IF(B51=$D$23,"PASS","MAJOR FUNCTIONAL"))))))))))</f>
        <v>MAJOR FUNCTIONAL</v>
      </c>
      <c r="D51" s="79" t="str">
        <f>IF(C51="","",IF('Data - Sample Type 0'!FY28="","N/A",IF('Data - Sample Type 0'!FY28&lt;Specifications!$D$3,"PASS","FAIL")))</f>
        <v>PASS</v>
      </c>
      <c r="E51" s="195" t="s">
        <v>164</v>
      </c>
    </row>
    <row r="52" spans="1:5" ht="14" x14ac:dyDescent="0.15">
      <c r="A52" s="75" t="str">
        <f>IF('Data - Sample Type 0'!C29="","",'Data - Sample Type 0'!C29)</f>
        <v>NEG_03_0_08+</v>
      </c>
      <c r="B52" s="76" t="str">
        <f>IF('Data - Sample Type 0'!L29="","",'Data - Sample Type 0'!L29)</f>
        <v>MTB NOT DETECTED</v>
      </c>
      <c r="C52" s="77" t="str">
        <f>IF(B52="","",IF(B52="INVALID",IF('Data - Sample Type 0'!GA29="","INVALID",'Data - Sample Type 0'!GA29),IF(B52="ERROR",'Data - Sample Type 0'!GA29,IF(B52="NO RESULT",'Data - Sample Type 0'!GA29,IF(B52="V","MINOR VISUAL",IF(B52="M","MAJOR VISUAL",IF(B52="B","BARCODE FAIL",IF(B52="D","DELAMINATION",IF('Data - Sample Type 0'!Q29="","DATA ENTRY ERROR",IF(B52=$D$23,"PASS","MAJOR FUNCTIONAL"))))))))))</f>
        <v>PASS</v>
      </c>
      <c r="D52" s="79" t="str">
        <f>IF(C52="","",IF('Data - Sample Type 0'!FY29="","N/A",IF('Data - Sample Type 0'!FY29&lt;Specifications!$D$3,"PASS","FAIL")))</f>
        <v>PASS</v>
      </c>
      <c r="E52" s="195" t="s">
        <v>164</v>
      </c>
    </row>
    <row r="53" spans="1:5" ht="14" x14ac:dyDescent="0.15">
      <c r="A53" s="75" t="str">
        <f>IF('Data - Sample Type 0'!C30="","",'Data - Sample Type 0'!C30)</f>
        <v>NEG_03_0_09+</v>
      </c>
      <c r="B53" s="76" t="str">
        <f>IF('Data - Sample Type 0'!L30="","",'Data - Sample Type 0'!L30)</f>
        <v>MTB NOT DETECTED</v>
      </c>
      <c r="C53" s="77" t="str">
        <f>IF(B53="","",IF(B53="INVALID",IF('Data - Sample Type 0'!GA30="","INVALID",'Data - Sample Type 0'!GA30),IF(B53="ERROR",'Data - Sample Type 0'!GA30,IF(B53="NO RESULT",'Data - Sample Type 0'!GA30,IF(B53="V","MINOR VISUAL",IF(B53="M","MAJOR VISUAL",IF(B53="B","BARCODE FAIL",IF(B53="D","DELAMINATION",IF('Data - Sample Type 0'!Q30="","DATA ENTRY ERROR",IF(B53=$D$23,"PASS","MAJOR FUNCTIONAL"))))))))))</f>
        <v>PASS</v>
      </c>
      <c r="D53" s="79" t="str">
        <f>IF(C53="","",IF('Data - Sample Type 0'!FY30="","N/A",IF('Data - Sample Type 0'!FY30&lt;Specifications!$D$3,"PASS","FAIL")))</f>
        <v>PASS</v>
      </c>
      <c r="E53" s="195" t="s">
        <v>164</v>
      </c>
    </row>
    <row r="54" spans="1:5" ht="14" x14ac:dyDescent="0.15">
      <c r="A54" s="75" t="str">
        <f>IF('Data - Sample Type 0'!C31="","",'Data - Sample Type 0'!C31)</f>
        <v>NEG_03_0_10+</v>
      </c>
      <c r="B54" s="76" t="str">
        <f>IF('Data - Sample Type 0'!L31="","",'Data - Sample Type 0'!L31)</f>
        <v>MTB NOT DETECTED</v>
      </c>
      <c r="C54" s="77" t="str">
        <f>IF(B54="","",IF(B54="INVALID",IF('Data - Sample Type 0'!GA31="","INVALID",'Data - Sample Type 0'!GA31),IF(B54="ERROR",'Data - Sample Type 0'!GA31,IF(B54="NO RESULT",'Data - Sample Type 0'!GA31,IF(B54="V","MINOR VISUAL",IF(B54="M","MAJOR VISUAL",IF(B54="B","BARCODE FAIL",IF(B54="D","DELAMINATION",IF('Data - Sample Type 0'!Q31="","DATA ENTRY ERROR",IF(B54=$D$23,"PASS","MAJOR FUNCTIONAL"))))))))))</f>
        <v>PASS</v>
      </c>
      <c r="D54" s="79" t="str">
        <f>IF(C54="","",IF('Data - Sample Type 0'!FY31="","N/A",IF('Data - Sample Type 0'!FY31&lt;Specifications!$D$3,"PASS","FAIL")))</f>
        <v>PASS</v>
      </c>
      <c r="E54" s="195" t="s">
        <v>164</v>
      </c>
    </row>
    <row r="55" spans="1:5" ht="14" x14ac:dyDescent="0.15">
      <c r="A55" s="75" t="str">
        <f>IF('Data - Sample Type 0'!C32="","",'Data - Sample Type 0'!C32)</f>
        <v>NEG_04_0_01X</v>
      </c>
      <c r="B55" s="76" t="str">
        <f>IF('Data - Sample Type 0'!L32="","",'Data - Sample Type 0'!L32)</f>
        <v>MTB NOT DETECTED</v>
      </c>
      <c r="C55" s="77" t="str">
        <f>IF(B55="","",IF(B55="INVALID",IF('Data - Sample Type 0'!GA32="","INVALID",'Data - Sample Type 0'!GA32),IF(B55="ERROR",'Data - Sample Type 0'!GA32,IF(B55="NO RESULT",'Data - Sample Type 0'!GA32,IF(B55="V","MINOR VISUAL",IF(B55="M","MAJOR VISUAL",IF(B55="B","BARCODE FAIL",IF(B55="D","DELAMINATION",IF('Data - Sample Type 0'!Q32="","DATA ENTRY ERROR",IF(B55=$D$23,"PASS","MAJOR FUNCTIONAL"))))))))))</f>
        <v>PASS</v>
      </c>
      <c r="D55" s="79" t="str">
        <f>IF(C55="","",IF('Data - Sample Type 0'!FY32="","N/A",IF('Data - Sample Type 0'!FY32&lt;Specifications!$D$3,"PASS","FAIL")))</f>
        <v>PASS</v>
      </c>
      <c r="E55" s="195" t="s">
        <v>164</v>
      </c>
    </row>
    <row r="56" spans="1:5" ht="14" x14ac:dyDescent="0.15">
      <c r="A56" s="75" t="str">
        <f>IF('Data - Sample Type 0'!C33="","",'Data - Sample Type 0'!C33)</f>
        <v>NEG_04_0_02X</v>
      </c>
      <c r="B56" s="76" t="str">
        <f>IF('Data - Sample Type 0'!L33="","",'Data - Sample Type 0'!L33)</f>
        <v>MTB NOT DETECTED</v>
      </c>
      <c r="C56" s="77" t="str">
        <f>IF(B56="","",IF(B56="INVALID",IF('Data - Sample Type 0'!GA33="","INVALID",'Data - Sample Type 0'!GA33),IF(B56="ERROR",'Data - Sample Type 0'!GA33,IF(B56="NO RESULT",'Data - Sample Type 0'!GA33,IF(B56="V","MINOR VISUAL",IF(B56="M","MAJOR VISUAL",IF(B56="B","BARCODE FAIL",IF(B56="D","DELAMINATION",IF('Data - Sample Type 0'!Q33="","DATA ENTRY ERROR",IF(B56=$D$23,"PASS","MAJOR FUNCTIONAL"))))))))))</f>
        <v>PASS</v>
      </c>
      <c r="D56" s="79" t="str">
        <f>IF(C56="","",IF('Data - Sample Type 0'!FY33="","N/A",IF('Data - Sample Type 0'!FY33&lt;Specifications!$D$3,"PASS","FAIL")))</f>
        <v>PASS</v>
      </c>
      <c r="E56" s="195" t="s">
        <v>164</v>
      </c>
    </row>
    <row r="57" spans="1:5" ht="14" x14ac:dyDescent="0.15">
      <c r="A57" s="75" t="str">
        <f>IF('Data - Sample Type 0'!C34="","",'Data - Sample Type 0'!C34)</f>
        <v>NEG_04_0_03X</v>
      </c>
      <c r="B57" s="76" t="str">
        <f>IF('Data - Sample Type 0'!L34="","",'Data - Sample Type 0'!L34)</f>
        <v>MTB NOT DETECTED</v>
      </c>
      <c r="C57" s="77" t="str">
        <f>IF(B57="","",IF(B57="INVALID",IF('Data - Sample Type 0'!GA34="","INVALID",'Data - Sample Type 0'!GA34),IF(B57="ERROR",'Data - Sample Type 0'!GA34,IF(B57="NO RESULT",'Data - Sample Type 0'!GA34,IF(B57="V","MINOR VISUAL",IF(B57="M","MAJOR VISUAL",IF(B57="B","BARCODE FAIL",IF(B57="D","DELAMINATION",IF('Data - Sample Type 0'!Q34="","DATA ENTRY ERROR",IF(B57=$D$23,"PASS","MAJOR FUNCTIONAL"))))))))))</f>
        <v>PASS</v>
      </c>
      <c r="D57" s="79" t="str">
        <f>IF(C57="","",IF('Data - Sample Type 0'!FY34="","N/A",IF('Data - Sample Type 0'!FY34&lt;Specifications!$D$3,"PASS","FAIL")))</f>
        <v>PASS</v>
      </c>
      <c r="E57" s="195" t="s">
        <v>164</v>
      </c>
    </row>
    <row r="58" spans="1:5" ht="14" x14ac:dyDescent="0.15">
      <c r="A58" s="75" t="str">
        <f>IF('Data - Sample Type 0'!C35="","",'Data - Sample Type 0'!C35)</f>
        <v>NEG_04_0_04X</v>
      </c>
      <c r="B58" s="76" t="str">
        <f>IF('Data - Sample Type 0'!L35="","",'Data - Sample Type 0'!L35)</f>
        <v>MTB NOT DETECTED</v>
      </c>
      <c r="C58" s="77" t="str">
        <f>IF(B58="","",IF(B58="INVALID",IF('Data - Sample Type 0'!GA35="","INVALID",'Data - Sample Type 0'!GA35),IF(B58="ERROR",'Data - Sample Type 0'!GA35,IF(B58="NO RESULT",'Data - Sample Type 0'!GA35,IF(B58="V","MINOR VISUAL",IF(B58="M","MAJOR VISUAL",IF(B58="B","BARCODE FAIL",IF(B58="D","DELAMINATION",IF('Data - Sample Type 0'!Q35="","DATA ENTRY ERROR",IF(B58=$D$23,"PASS","MAJOR FUNCTIONAL"))))))))))</f>
        <v>PASS</v>
      </c>
      <c r="D58" s="79" t="str">
        <f>IF(C58="","",IF('Data - Sample Type 0'!FY35="","N/A",IF('Data - Sample Type 0'!FY35&lt;Specifications!$D$3,"PASS","FAIL")))</f>
        <v>PASS</v>
      </c>
      <c r="E58" s="195" t="s">
        <v>164</v>
      </c>
    </row>
    <row r="59" spans="1:5" ht="14" x14ac:dyDescent="0.15">
      <c r="A59" s="75" t="str">
        <f>IF('Data - Sample Type 0'!C36="","",'Data - Sample Type 0'!C36)</f>
        <v>NEG_04_0_05X</v>
      </c>
      <c r="B59" s="76" t="str">
        <f>IF('Data - Sample Type 0'!L36="","",'Data - Sample Type 0'!L36)</f>
        <v>MTB NOT DETECTED</v>
      </c>
      <c r="C59" s="77" t="str">
        <f>IF(B59="","",IF(B59="INVALID",IF('Data - Sample Type 0'!GA36="","INVALID",'Data - Sample Type 0'!GA36),IF(B59="ERROR",'Data - Sample Type 0'!GA36,IF(B59="NO RESULT",'Data - Sample Type 0'!GA36,IF(B59="V","MINOR VISUAL",IF(B59="M","MAJOR VISUAL",IF(B59="B","BARCODE FAIL",IF(B59="D","DELAMINATION",IF('Data - Sample Type 0'!Q36="","DATA ENTRY ERROR",IF(B59=$D$23,"PASS","MAJOR FUNCTIONAL"))))))))))</f>
        <v>PASS</v>
      </c>
      <c r="D59" s="79" t="str">
        <f>IF(C59="","",IF('Data - Sample Type 0'!FY36="","N/A",IF('Data - Sample Type 0'!FY36&lt;Specifications!$D$3,"PASS","FAIL")))</f>
        <v>PASS</v>
      </c>
      <c r="E59" s="195" t="s">
        <v>164</v>
      </c>
    </row>
    <row r="60" spans="1:5" ht="14" x14ac:dyDescent="0.15">
      <c r="A60" s="75" t="str">
        <f>IF('Data - Sample Type 0'!C37="","",'Data - Sample Type 0'!C37)</f>
        <v>NEG_04_0_06+</v>
      </c>
      <c r="B60" s="76" t="str">
        <f>IF('Data - Sample Type 0'!L37="","",'Data - Sample Type 0'!L37)</f>
        <v>MTB NOT DETECTED</v>
      </c>
      <c r="C60" s="77" t="str">
        <f>IF(B60="","",IF(B60="INVALID",IF('Data - Sample Type 0'!GA37="","INVALID",'Data - Sample Type 0'!GA37),IF(B60="ERROR",'Data - Sample Type 0'!GA37,IF(B60="NO RESULT",'Data - Sample Type 0'!GA37,IF(B60="V","MINOR VISUAL",IF(B60="M","MAJOR VISUAL",IF(B60="B","BARCODE FAIL",IF(B60="D","DELAMINATION",IF('Data - Sample Type 0'!Q37="","DATA ENTRY ERROR",IF(B60=$D$23,"PASS","MAJOR FUNCTIONAL"))))))))))</f>
        <v>PASS</v>
      </c>
      <c r="D60" s="79" t="str">
        <f>IF(C60="","",IF('Data - Sample Type 0'!FY37="","N/A",IF('Data - Sample Type 0'!FY37&lt;Specifications!$D$3,"PASS","FAIL")))</f>
        <v>PASS</v>
      </c>
      <c r="E60" s="195" t="s">
        <v>164</v>
      </c>
    </row>
    <row r="61" spans="1:5" ht="14" x14ac:dyDescent="0.15">
      <c r="A61" s="75" t="str">
        <f>IF('Data - Sample Type 0'!C38="","",'Data - Sample Type 0'!C38)</f>
        <v>NEG_04_0_07+</v>
      </c>
      <c r="B61" s="76" t="str">
        <f>IF('Data - Sample Type 0'!L38="","",'Data - Sample Type 0'!L38)</f>
        <v>MTB NOT DETECTED</v>
      </c>
      <c r="C61" s="77" t="str">
        <f>IF(B61="","",IF(B61="INVALID",IF('Data - Sample Type 0'!GA38="","INVALID",'Data - Sample Type 0'!GA38),IF(B61="ERROR",'Data - Sample Type 0'!GA38,IF(B61="NO RESULT",'Data - Sample Type 0'!GA38,IF(B61="V","MINOR VISUAL",IF(B61="M","MAJOR VISUAL",IF(B61="B","BARCODE FAIL",IF(B61="D","DELAMINATION",IF('Data - Sample Type 0'!Q38="","DATA ENTRY ERROR",IF(B61=$D$23,"PASS","MAJOR FUNCTIONAL"))))))))))</f>
        <v>PASS</v>
      </c>
      <c r="D61" s="79" t="str">
        <f>IF(C61="","",IF('Data - Sample Type 0'!FY38="","N/A",IF('Data - Sample Type 0'!FY38&lt;Specifications!$D$3,"PASS","FAIL")))</f>
        <v>PASS</v>
      </c>
      <c r="E61" s="195" t="s">
        <v>164</v>
      </c>
    </row>
    <row r="62" spans="1:5" ht="14" x14ac:dyDescent="0.15">
      <c r="A62" s="75" t="str">
        <f>IF('Data - Sample Type 0'!C39="","",'Data - Sample Type 0'!C39)</f>
        <v>NEG_04_0_08+</v>
      </c>
      <c r="B62" s="76" t="str">
        <f>IF('Data - Sample Type 0'!L39="","",'Data - Sample Type 0'!L39)</f>
        <v>MTB NOT DETECTED</v>
      </c>
      <c r="C62" s="77" t="str">
        <f>IF(B62="","",IF(B62="INVALID",IF('Data - Sample Type 0'!GA39="","INVALID",'Data - Sample Type 0'!GA39),IF(B62="ERROR",'Data - Sample Type 0'!GA39,IF(B62="NO RESULT",'Data - Sample Type 0'!GA39,IF(B62="V","MINOR VISUAL",IF(B62="M","MAJOR VISUAL",IF(B62="B","BARCODE FAIL",IF(B62="D","DELAMINATION",IF('Data - Sample Type 0'!Q39="","DATA ENTRY ERROR",IF(B62=$D$23,"PASS","MAJOR FUNCTIONAL"))))))))))</f>
        <v>PASS</v>
      </c>
      <c r="D62" s="79" t="str">
        <f>IF(C62="","",IF('Data - Sample Type 0'!FY39="","N/A",IF('Data - Sample Type 0'!FY39&lt;Specifications!$D$3,"PASS","FAIL")))</f>
        <v>PASS</v>
      </c>
      <c r="E62" s="195" t="s">
        <v>164</v>
      </c>
    </row>
    <row r="63" spans="1:5" ht="14" x14ac:dyDescent="0.15">
      <c r="A63" s="75" t="str">
        <f>IF('Data - Sample Type 0'!C40="","",'Data - Sample Type 0'!C40)</f>
        <v>NEG_04_0_09+</v>
      </c>
      <c r="B63" s="76" t="str">
        <f>IF('Data - Sample Type 0'!L40="","",'Data - Sample Type 0'!L40)</f>
        <v>MTB NOT DETECTED</v>
      </c>
      <c r="C63" s="77" t="str">
        <f>IF(B63="","",IF(B63="INVALID",IF('Data - Sample Type 0'!GA40="","INVALID",'Data - Sample Type 0'!GA40),IF(B63="ERROR",'Data - Sample Type 0'!GA40,IF(B63="NO RESULT",'Data - Sample Type 0'!GA40,IF(B63="V","MINOR VISUAL",IF(B63="M","MAJOR VISUAL",IF(B63="B","BARCODE FAIL",IF(B63="D","DELAMINATION",IF('Data - Sample Type 0'!Q40="","DATA ENTRY ERROR",IF(B63=$D$23,"PASS","MAJOR FUNCTIONAL"))))))))))</f>
        <v>PASS</v>
      </c>
      <c r="D63" s="79" t="str">
        <f>IF(C63="","",IF('Data - Sample Type 0'!FY40="","N/A",IF('Data - Sample Type 0'!FY40&lt;Specifications!$D$3,"PASS","FAIL")))</f>
        <v>PASS</v>
      </c>
      <c r="E63" s="195" t="s">
        <v>164</v>
      </c>
    </row>
    <row r="64" spans="1:5" ht="14" x14ac:dyDescent="0.15">
      <c r="A64" s="75" t="str">
        <f>IF('Data - Sample Type 0'!C41="","",'Data - Sample Type 0'!C41)</f>
        <v>NEG_04_0_10+</v>
      </c>
      <c r="B64" s="76" t="str">
        <f>IF('Data - Sample Type 0'!L41="","",'Data - Sample Type 0'!L41)</f>
        <v>MTB NOT DETECTED</v>
      </c>
      <c r="C64" s="77" t="str">
        <f>IF(B64="","",IF(B64="INVALID",IF('Data - Sample Type 0'!GA41="","INVALID",'Data - Sample Type 0'!GA41),IF(B64="ERROR",'Data - Sample Type 0'!GA41,IF(B64="NO RESULT",'Data - Sample Type 0'!GA41,IF(B64="V","MINOR VISUAL",IF(B64="M","MAJOR VISUAL",IF(B64="B","BARCODE FAIL",IF(B64="D","DELAMINATION",IF('Data - Sample Type 0'!Q41="","DATA ENTRY ERROR",IF(B64=$D$23,"PASS","MAJOR FUNCTIONAL"))))))))))</f>
        <v>PASS</v>
      </c>
      <c r="D64" s="79" t="str">
        <f>IF(C64="","",IF('Data - Sample Type 0'!FY41="","N/A",IF('Data - Sample Type 0'!FY41&lt;Specifications!$D$3,"PASS","FAIL")))</f>
        <v>PASS</v>
      </c>
      <c r="E64" s="195" t="s">
        <v>164</v>
      </c>
    </row>
    <row r="65" spans="1:5" ht="14" x14ac:dyDescent="0.15">
      <c r="A65" s="75" t="str">
        <f>IF('Data - Sample Type 0'!C42="","",'Data - Sample Type 0'!C42)</f>
        <v>NEG_05_0_01X</v>
      </c>
      <c r="B65" s="76" t="str">
        <f>IF('Data - Sample Type 0'!L42="","",'Data - Sample Type 0'!L42)</f>
        <v>MTB NOT DETECTED</v>
      </c>
      <c r="C65" s="77" t="str">
        <f>IF(B65="","",IF(B65="INVALID",IF('Data - Sample Type 0'!GA42="","INVALID",'Data - Sample Type 0'!GA42),IF(B65="ERROR",'Data - Sample Type 0'!GA42,IF(B65="NO RESULT",'Data - Sample Type 0'!GA42,IF(B65="V","MINOR VISUAL",IF(B65="M","MAJOR VISUAL",IF(B65="B","BARCODE FAIL",IF(B65="D","DELAMINATION",IF('Data - Sample Type 0'!Q42="","DATA ENTRY ERROR",IF(B65=$D$23,"PASS","MAJOR FUNCTIONAL"))))))))))</f>
        <v>PASS</v>
      </c>
      <c r="D65" s="79" t="str">
        <f>IF(C65="","",IF('Data - Sample Type 0'!FY42="","N/A",IF('Data - Sample Type 0'!FY42&lt;Specifications!$D$3,"PASS","FAIL")))</f>
        <v>PASS</v>
      </c>
      <c r="E65" s="195" t="s">
        <v>164</v>
      </c>
    </row>
    <row r="66" spans="1:5" ht="14" x14ac:dyDescent="0.15">
      <c r="A66" s="75" t="str">
        <f>IF('Data - Sample Type 0'!C43="","",'Data - Sample Type 0'!C43)</f>
        <v>NEG_05_0_02X</v>
      </c>
      <c r="B66" s="76" t="str">
        <f>IF('Data - Sample Type 0'!L43="","",'Data - Sample Type 0'!L43)</f>
        <v>MTB NOT DETECTED</v>
      </c>
      <c r="C66" s="77" t="str">
        <f>IF(B66="","",IF(B66="INVALID",IF('Data - Sample Type 0'!GA43="","INVALID",'Data - Sample Type 0'!GA43),IF(B66="ERROR",'Data - Sample Type 0'!GA43,IF(B66="NO RESULT",'Data - Sample Type 0'!GA43,IF(B66="V","MINOR VISUAL",IF(B66="M","MAJOR VISUAL",IF(B66="B","BARCODE FAIL",IF(B66="D","DELAMINATION",IF('Data - Sample Type 0'!Q43="","DATA ENTRY ERROR",IF(B66=$D$23,"PASS","MAJOR FUNCTIONAL"))))))))))</f>
        <v>PASS</v>
      </c>
      <c r="D66" s="79" t="str">
        <f>IF(C66="","",IF('Data - Sample Type 0'!FY43="","N/A",IF('Data - Sample Type 0'!FY43&lt;Specifications!$D$3,"PASS","FAIL")))</f>
        <v>PASS</v>
      </c>
      <c r="E66" s="195" t="s">
        <v>164</v>
      </c>
    </row>
    <row r="67" spans="1:5" ht="14" x14ac:dyDescent="0.15">
      <c r="A67" s="75" t="str">
        <f>IF('Data - Sample Type 0'!C44="","",'Data - Sample Type 0'!C44)</f>
        <v>NEG_05_0_03X</v>
      </c>
      <c r="B67" s="76" t="str">
        <f>IF('Data - Sample Type 0'!L44="","",'Data - Sample Type 0'!L44)</f>
        <v>MTB NOT DETECTED</v>
      </c>
      <c r="C67" s="77" t="str">
        <f>IF(B67="","",IF(B67="INVALID",IF('Data - Sample Type 0'!GA44="","INVALID",'Data - Sample Type 0'!GA44),IF(B67="ERROR",'Data - Sample Type 0'!GA44,IF(B67="NO RESULT",'Data - Sample Type 0'!GA44,IF(B67="V","MINOR VISUAL",IF(B67="M","MAJOR VISUAL",IF(B67="B","BARCODE FAIL",IF(B67="D","DELAMINATION",IF('Data - Sample Type 0'!Q44="","DATA ENTRY ERROR",IF(B67=$D$23,"PASS","MAJOR FUNCTIONAL"))))))))))</f>
        <v>PASS</v>
      </c>
      <c r="D67" s="79" t="str">
        <f>IF(C67="","",IF('Data - Sample Type 0'!FY44="","N/A",IF('Data - Sample Type 0'!FY44&lt;Specifications!$D$3,"PASS","FAIL")))</f>
        <v>PASS</v>
      </c>
      <c r="E67" s="195" t="s">
        <v>164</v>
      </c>
    </row>
    <row r="68" spans="1:5" ht="14" x14ac:dyDescent="0.15">
      <c r="A68" s="75" t="str">
        <f>IF('Data - Sample Type 0'!C45="","",'Data - Sample Type 0'!C45)</f>
        <v>NEG_05_0_04X</v>
      </c>
      <c r="B68" s="76" t="str">
        <f>IF('Data - Sample Type 0'!L45="","",'Data - Sample Type 0'!L45)</f>
        <v>MTB NOT DETECTED</v>
      </c>
      <c r="C68" s="77" t="str">
        <f>IF(B68="","",IF(B68="INVALID",IF('Data - Sample Type 0'!GA45="","INVALID",'Data - Sample Type 0'!GA45),IF(B68="ERROR",'Data - Sample Type 0'!GA45,IF(B68="NO RESULT",'Data - Sample Type 0'!GA45,IF(B68="V","MINOR VISUAL",IF(B68="M","MAJOR VISUAL",IF(B68="B","BARCODE FAIL",IF(B68="D","DELAMINATION",IF('Data - Sample Type 0'!Q45="","DATA ENTRY ERROR",IF(B68=$D$23,"PASS","MAJOR FUNCTIONAL"))))))))))</f>
        <v>PASS</v>
      </c>
      <c r="D68" s="79" t="str">
        <f>IF(C68="","",IF('Data - Sample Type 0'!FY45="","N/A",IF('Data - Sample Type 0'!FY45&lt;Specifications!$D$3,"PASS","FAIL")))</f>
        <v>PASS</v>
      </c>
      <c r="E68" s="195" t="s">
        <v>164</v>
      </c>
    </row>
    <row r="69" spans="1:5" ht="14" x14ac:dyDescent="0.15">
      <c r="A69" s="75" t="str">
        <f>IF('Data - Sample Type 0'!C46="","",'Data - Sample Type 0'!C46)</f>
        <v>NEG_05_0_05X</v>
      </c>
      <c r="B69" s="76" t="str">
        <f>IF('Data - Sample Type 0'!L46="","",'Data - Sample Type 0'!L46)</f>
        <v>MTB NOT DETECTED</v>
      </c>
      <c r="C69" s="77" t="str">
        <f>IF(B69="","",IF(B69="INVALID",IF('Data - Sample Type 0'!GA46="","INVALID",'Data - Sample Type 0'!GA46),IF(B69="ERROR",'Data - Sample Type 0'!GA46,IF(B69="NO RESULT",'Data - Sample Type 0'!GA46,IF(B69="V","MINOR VISUAL",IF(B69="M","MAJOR VISUAL",IF(B69="B","BARCODE FAIL",IF(B69="D","DELAMINATION",IF('Data - Sample Type 0'!Q46="","DATA ENTRY ERROR",IF(B69=$D$23,"PASS","MAJOR FUNCTIONAL"))))))))))</f>
        <v>PASS</v>
      </c>
      <c r="D69" s="79" t="str">
        <f>IF(C69="","",IF('Data - Sample Type 0'!FY46="","N/A",IF('Data - Sample Type 0'!FY46&lt;Specifications!$D$3,"PASS","FAIL")))</f>
        <v>PASS</v>
      </c>
      <c r="E69" s="195" t="s">
        <v>164</v>
      </c>
    </row>
    <row r="70" spans="1:5" ht="14" x14ac:dyDescent="0.15">
      <c r="A70" s="75" t="str">
        <f>IF('Data - Sample Type 0'!C47="","",'Data - Sample Type 0'!C47)</f>
        <v>NEG_05_0_06+</v>
      </c>
      <c r="B70" s="76" t="str">
        <f>IF('Data - Sample Type 0'!L47="","",'Data - Sample Type 0'!L47)</f>
        <v>MTB NOT DETECTED</v>
      </c>
      <c r="C70" s="77" t="str">
        <f>IF(B70="","",IF(B70="INVALID",IF('Data - Sample Type 0'!GA47="","INVALID",'Data - Sample Type 0'!GA47),IF(B70="ERROR",'Data - Sample Type 0'!GA47,IF(B70="NO RESULT",'Data - Sample Type 0'!GA47,IF(B70="V","MINOR VISUAL",IF(B70="M","MAJOR VISUAL",IF(B70="B","BARCODE FAIL",IF(B70="D","DELAMINATION",IF('Data - Sample Type 0'!Q47="","DATA ENTRY ERROR",IF(B70=$D$23,"PASS","MAJOR FUNCTIONAL"))))))))))</f>
        <v>PASS</v>
      </c>
      <c r="D70" s="79" t="str">
        <f>IF(C70="","",IF('Data - Sample Type 0'!FY47="","N/A",IF('Data - Sample Type 0'!FY47&lt;Specifications!$D$3,"PASS","FAIL")))</f>
        <v>PASS</v>
      </c>
      <c r="E70" s="195" t="s">
        <v>164</v>
      </c>
    </row>
    <row r="71" spans="1:5" ht="14" x14ac:dyDescent="0.15">
      <c r="A71" s="75" t="str">
        <f>IF('Data - Sample Type 0'!C48="","",'Data - Sample Type 0'!C48)</f>
        <v>NEG_05_0_07+</v>
      </c>
      <c r="B71" s="76" t="str">
        <f>IF('Data - Sample Type 0'!L48="","",'Data - Sample Type 0'!L48)</f>
        <v>MTB NOT DETECTED</v>
      </c>
      <c r="C71" s="77" t="str">
        <f>IF(B71="","",IF(B71="INVALID",IF('Data - Sample Type 0'!GA48="","INVALID",'Data - Sample Type 0'!GA48),IF(B71="ERROR",'Data - Sample Type 0'!GA48,IF(B71="NO RESULT",'Data - Sample Type 0'!GA48,IF(B71="V","MINOR VISUAL",IF(B71="M","MAJOR VISUAL",IF(B71="B","BARCODE FAIL",IF(B71="D","DELAMINATION",IF('Data - Sample Type 0'!Q48="","DATA ENTRY ERROR",IF(B71=$D$23,"PASS","MAJOR FUNCTIONAL"))))))))))</f>
        <v>PASS</v>
      </c>
      <c r="D71" s="79" t="str">
        <f>IF(C71="","",IF('Data - Sample Type 0'!FY48="","N/A",IF('Data - Sample Type 0'!FY48&lt;Specifications!$D$3,"PASS","FAIL")))</f>
        <v>PASS</v>
      </c>
      <c r="E71" s="195" t="s">
        <v>164</v>
      </c>
    </row>
    <row r="72" spans="1:5" ht="14" x14ac:dyDescent="0.15">
      <c r="A72" s="75" t="str">
        <f>IF('Data - Sample Type 0'!C49="","",'Data - Sample Type 0'!C49)</f>
        <v>NEG_05_0_08+</v>
      </c>
      <c r="B72" s="76" t="str">
        <f>IF('Data - Sample Type 0'!L49="","",'Data - Sample Type 0'!L49)</f>
        <v>MTB NOT DETECTED</v>
      </c>
      <c r="C72" s="77" t="str">
        <f>IF(B72="","",IF(B72="INVALID",IF('Data - Sample Type 0'!GA49="","INVALID",'Data - Sample Type 0'!GA49),IF(B72="ERROR",'Data - Sample Type 0'!GA49,IF(B72="NO RESULT",'Data - Sample Type 0'!GA49,IF(B72="V","MINOR VISUAL",IF(B72="M","MAJOR VISUAL",IF(B72="B","BARCODE FAIL",IF(B72="D","DELAMINATION",IF('Data - Sample Type 0'!Q49="","DATA ENTRY ERROR",IF(B72=$D$23,"PASS","MAJOR FUNCTIONAL"))))))))))</f>
        <v>PASS</v>
      </c>
      <c r="D72" s="79" t="str">
        <f>IF(C72="","",IF('Data - Sample Type 0'!FY49="","N/A",IF('Data - Sample Type 0'!FY49&lt;Specifications!$D$3,"PASS","FAIL")))</f>
        <v>PASS</v>
      </c>
      <c r="E72" s="195" t="s">
        <v>164</v>
      </c>
    </row>
    <row r="73" spans="1:5" ht="14" x14ac:dyDescent="0.15">
      <c r="A73" s="75" t="str">
        <f>IF('Data - Sample Type 0'!C50="","",'Data - Sample Type 0'!C50)</f>
        <v>NEG_05_0_09+</v>
      </c>
      <c r="B73" s="76" t="str">
        <f>IF('Data - Sample Type 0'!L50="","",'Data - Sample Type 0'!L50)</f>
        <v>MTB NOT DETECTED</v>
      </c>
      <c r="C73" s="77" t="str">
        <f>IF(B73="","",IF(B73="INVALID",IF('Data - Sample Type 0'!GA50="","INVALID",'Data - Sample Type 0'!GA50),IF(B73="ERROR",'Data - Sample Type 0'!GA50,IF(B73="NO RESULT",'Data - Sample Type 0'!GA50,IF(B73="V","MINOR VISUAL",IF(B73="M","MAJOR VISUAL",IF(B73="B","BARCODE FAIL",IF(B73="D","DELAMINATION",IF('Data - Sample Type 0'!Q50="","DATA ENTRY ERROR",IF(B73=$D$23,"PASS","MAJOR FUNCTIONAL"))))))))))</f>
        <v>PASS</v>
      </c>
      <c r="D73" s="79" t="str">
        <f>IF(C73="","",IF('Data - Sample Type 0'!FY50="","N/A",IF('Data - Sample Type 0'!FY50&lt;Specifications!$D$3,"PASS","FAIL")))</f>
        <v>PASS</v>
      </c>
      <c r="E73" s="195" t="s">
        <v>164</v>
      </c>
    </row>
    <row r="74" spans="1:5" ht="14" x14ac:dyDescent="0.15">
      <c r="A74" s="75" t="str">
        <f>IF('Data - Sample Type 0'!C51="","",'Data - Sample Type 0'!C51)</f>
        <v>NEG_05_0_10+</v>
      </c>
      <c r="B74" s="76" t="str">
        <f>IF('Data - Sample Type 0'!L51="","",'Data - Sample Type 0'!L51)</f>
        <v>MTB NOT DETECTED</v>
      </c>
      <c r="C74" s="77" t="str">
        <f>IF(B74="","",IF(B74="INVALID",IF('Data - Sample Type 0'!GA51="","INVALID",'Data - Sample Type 0'!GA51),IF(B74="ERROR",'Data - Sample Type 0'!GA51,IF(B74="NO RESULT",'Data - Sample Type 0'!GA51,IF(B74="V","MINOR VISUAL",IF(B74="M","MAJOR VISUAL",IF(B74="B","BARCODE FAIL",IF(B74="D","DELAMINATION",IF('Data - Sample Type 0'!Q51="","DATA ENTRY ERROR",IF(B74=$D$23,"PASS","MAJOR FUNCTIONAL"))))))))))</f>
        <v>PASS</v>
      </c>
      <c r="D74" s="79" t="str">
        <f>IF(C74="","",IF('Data - Sample Type 0'!FY51="","N/A",IF('Data - Sample Type 0'!FY51&lt;Specifications!$D$3,"PASS","FAIL")))</f>
        <v>PASS</v>
      </c>
      <c r="E74" s="195" t="s">
        <v>164</v>
      </c>
    </row>
    <row r="75" spans="1:5" ht="14" x14ac:dyDescent="0.15">
      <c r="A75" s="75" t="str">
        <f>IF('Data - Sample Type 0'!C52="","",'Data - Sample Type 0'!C52)</f>
        <v>NEG_06_0_01X</v>
      </c>
      <c r="B75" s="76" t="str">
        <f>IF('Data - Sample Type 0'!L52="","",'Data - Sample Type 0'!L52)</f>
        <v>MTB NOT DETECTED</v>
      </c>
      <c r="C75" s="77" t="str">
        <f>IF(B75="","",IF(B75="INVALID",IF('Data - Sample Type 0'!GA52="","INVALID",'Data - Sample Type 0'!GA52),IF(B75="ERROR",'Data - Sample Type 0'!GA52,IF(B75="NO RESULT",'Data - Sample Type 0'!GA52,IF(B75="V","MINOR VISUAL",IF(B75="M","MAJOR VISUAL",IF(B75="B","BARCODE FAIL",IF(B75="D","DELAMINATION",IF('Data - Sample Type 0'!Q52="","DATA ENTRY ERROR",IF(B75=$D$23,"PASS","MAJOR FUNCTIONAL"))))))))))</f>
        <v>PASS</v>
      </c>
      <c r="D75" s="79" t="str">
        <f>IF(C75="","",IF('Data - Sample Type 0'!FY52="","N/A",IF('Data - Sample Type 0'!FY52&lt;Specifications!$D$3,"PASS","FAIL")))</f>
        <v>PASS</v>
      </c>
      <c r="E75" s="195" t="s">
        <v>164</v>
      </c>
    </row>
    <row r="76" spans="1:5" ht="14" x14ac:dyDescent="0.15">
      <c r="A76" s="75" t="str">
        <f>IF('Data - Sample Type 0'!C53="","",'Data - Sample Type 0'!C53)</f>
        <v>NEG_06_0_02X</v>
      </c>
      <c r="B76" s="76" t="str">
        <f>IF('Data - Sample Type 0'!L53="","",'Data - Sample Type 0'!L53)</f>
        <v>MTB NOT DETECTED</v>
      </c>
      <c r="C76" s="77" t="str">
        <f>IF(B76="","",IF(B76="INVALID",IF('Data - Sample Type 0'!GA53="","INVALID",'Data - Sample Type 0'!GA53),IF(B76="ERROR",'Data - Sample Type 0'!GA53,IF(B76="NO RESULT",'Data - Sample Type 0'!GA53,IF(B76="V","MINOR VISUAL",IF(B76="M","MAJOR VISUAL",IF(B76="B","BARCODE FAIL",IF(B76="D","DELAMINATION",IF('Data - Sample Type 0'!Q53="","DATA ENTRY ERROR",IF(B76=$D$23,"PASS","MAJOR FUNCTIONAL"))))))))))</f>
        <v>PASS</v>
      </c>
      <c r="D76" s="79" t="str">
        <f>IF(C76="","",IF('Data - Sample Type 0'!FY53="","N/A",IF('Data - Sample Type 0'!FY53&lt;Specifications!$D$3,"PASS","FAIL")))</f>
        <v>PASS</v>
      </c>
      <c r="E76" s="195" t="s">
        <v>164</v>
      </c>
    </row>
    <row r="77" spans="1:5" ht="14" x14ac:dyDescent="0.15">
      <c r="A77" s="75" t="str">
        <f>IF('Data - Sample Type 0'!C54="","",'Data - Sample Type 0'!C54)</f>
        <v>NEG_06_0_03X</v>
      </c>
      <c r="B77" s="76" t="str">
        <f>IF('Data - Sample Type 0'!L54="","",'Data - Sample Type 0'!L54)</f>
        <v>MTB NOT DETECTED</v>
      </c>
      <c r="C77" s="77" t="str">
        <f>IF(B77="","",IF(B77="INVALID",IF('Data - Sample Type 0'!GA54="","INVALID",'Data - Sample Type 0'!GA54),IF(B77="ERROR",'Data - Sample Type 0'!GA54,IF(B77="NO RESULT",'Data - Sample Type 0'!GA54,IF(B77="V","MINOR VISUAL",IF(B77="M","MAJOR VISUAL",IF(B77="B","BARCODE FAIL",IF(B77="D","DELAMINATION",IF('Data - Sample Type 0'!Q54="","DATA ENTRY ERROR",IF(B77=$D$23,"PASS","MAJOR FUNCTIONAL"))))))))))</f>
        <v>PASS</v>
      </c>
      <c r="D77" s="79" t="str">
        <f>IF(C77="","",IF('Data - Sample Type 0'!FY54="","N/A",IF('Data - Sample Type 0'!FY54&lt;Specifications!$D$3,"PASS","FAIL")))</f>
        <v>PASS</v>
      </c>
      <c r="E77" s="195" t="s">
        <v>164</v>
      </c>
    </row>
    <row r="78" spans="1:5" ht="14" x14ac:dyDescent="0.15">
      <c r="A78" s="75" t="str">
        <f>IF('Data - Sample Type 0'!C55="","",'Data - Sample Type 0'!C55)</f>
        <v>NEG_06_0_04X</v>
      </c>
      <c r="B78" s="76" t="str">
        <f>IF('Data - Sample Type 0'!L55="","",'Data - Sample Type 0'!L55)</f>
        <v>MTB NOT DETECTED</v>
      </c>
      <c r="C78" s="77" t="str">
        <f>IF(B78="","",IF(B78="INVALID",IF('Data - Sample Type 0'!GA55="","INVALID",'Data - Sample Type 0'!GA55),IF(B78="ERROR",'Data - Sample Type 0'!GA55,IF(B78="NO RESULT",'Data - Sample Type 0'!GA55,IF(B78="V","MINOR VISUAL",IF(B78="M","MAJOR VISUAL",IF(B78="B","BARCODE FAIL",IF(B78="D","DELAMINATION",IF('Data - Sample Type 0'!Q55="","DATA ENTRY ERROR",IF(B78=$D$23,"PASS","MAJOR FUNCTIONAL"))))))))))</f>
        <v>PASS</v>
      </c>
      <c r="D78" s="79" t="str">
        <f>IF(C78="","",IF('Data - Sample Type 0'!FY55="","N/A",IF('Data - Sample Type 0'!FY55&lt;Specifications!$D$3,"PASS","FAIL")))</f>
        <v>PASS</v>
      </c>
      <c r="E78" s="195" t="s">
        <v>164</v>
      </c>
    </row>
    <row r="79" spans="1:5" ht="14" x14ac:dyDescent="0.15">
      <c r="A79" s="75" t="str">
        <f>IF('Data - Sample Type 0'!C56="","",'Data - Sample Type 0'!C56)</f>
        <v>NEG_06_0_05X</v>
      </c>
      <c r="B79" s="76" t="str">
        <f>IF('Data - Sample Type 0'!L56="","",'Data - Sample Type 0'!L56)</f>
        <v>MTB NOT DETECTED</v>
      </c>
      <c r="C79" s="77" t="str">
        <f>IF(B79="","",IF(B79="INVALID",IF('Data - Sample Type 0'!GA56="","INVALID",'Data - Sample Type 0'!GA56),IF(B79="ERROR",'Data - Sample Type 0'!GA56,IF(B79="NO RESULT",'Data - Sample Type 0'!GA56,IF(B79="V","MINOR VISUAL",IF(B79="M","MAJOR VISUAL",IF(B79="B","BARCODE FAIL",IF(B79="D","DELAMINATION",IF('Data - Sample Type 0'!Q56="","DATA ENTRY ERROR",IF(B79=$D$23,"PASS","MAJOR FUNCTIONAL"))))))))))</f>
        <v>PASS</v>
      </c>
      <c r="D79" s="79" t="str">
        <f>IF(C79="","",IF('Data - Sample Type 0'!FY56="","N/A",IF('Data - Sample Type 0'!FY56&lt;Specifications!$D$3,"PASS","FAIL")))</f>
        <v>PASS</v>
      </c>
      <c r="E79" s="195" t="s">
        <v>164</v>
      </c>
    </row>
    <row r="80" spans="1:5" ht="14" x14ac:dyDescent="0.15">
      <c r="A80" s="75" t="str">
        <f>IF('Data - Sample Type 0'!C57="","",'Data - Sample Type 0'!C57)</f>
        <v>NEG_06_0_06+</v>
      </c>
      <c r="B80" s="76" t="str">
        <f>IF('Data - Sample Type 0'!L57="","",'Data - Sample Type 0'!L57)</f>
        <v>MTB NOT DETECTED</v>
      </c>
      <c r="C80" s="77" t="str">
        <f>IF(B80="","",IF(B80="INVALID",IF('Data - Sample Type 0'!GA57="","INVALID",'Data - Sample Type 0'!GA57),IF(B80="ERROR",'Data - Sample Type 0'!GA57,IF(B80="NO RESULT",'Data - Sample Type 0'!GA57,IF(B80="V","MINOR VISUAL",IF(B80="M","MAJOR VISUAL",IF(B80="B","BARCODE FAIL",IF(B80="D","DELAMINATION",IF('Data - Sample Type 0'!Q57="","DATA ENTRY ERROR",IF(B80=$D$23,"PASS","MAJOR FUNCTIONAL"))))))))))</f>
        <v>PASS</v>
      </c>
      <c r="D80" s="79" t="str">
        <f>IF(C80="","",IF('Data - Sample Type 0'!FY57="","N/A",IF('Data - Sample Type 0'!FY57&lt;Specifications!$D$3,"PASS","FAIL")))</f>
        <v>PASS</v>
      </c>
      <c r="E80" s="195" t="s">
        <v>164</v>
      </c>
    </row>
    <row r="81" spans="1:5" ht="14" x14ac:dyDescent="0.15">
      <c r="A81" s="75" t="str">
        <f>IF('Data - Sample Type 0'!C58="","",'Data - Sample Type 0'!C58)</f>
        <v>NEG_06_0_07+</v>
      </c>
      <c r="B81" s="76" t="str">
        <f>IF('Data - Sample Type 0'!L58="","",'Data - Sample Type 0'!L58)</f>
        <v>MTB NOT DETECTED</v>
      </c>
      <c r="C81" s="77" t="str">
        <f>IF(B81="","",IF(B81="INVALID",IF('Data - Sample Type 0'!GA58="","INVALID",'Data - Sample Type 0'!GA58),IF(B81="ERROR",'Data - Sample Type 0'!GA58,IF(B81="NO RESULT",'Data - Sample Type 0'!GA58,IF(B81="V","MINOR VISUAL",IF(B81="M","MAJOR VISUAL",IF(B81="B","BARCODE FAIL",IF(B81="D","DELAMINATION",IF('Data - Sample Type 0'!Q58="","DATA ENTRY ERROR",IF(B81=$D$23,"PASS","MAJOR FUNCTIONAL"))))))))))</f>
        <v>PASS</v>
      </c>
      <c r="D81" s="79" t="str">
        <f>IF(C81="","",IF('Data - Sample Type 0'!FY58="","N/A",IF('Data - Sample Type 0'!FY58&lt;Specifications!$D$3,"PASS","FAIL")))</f>
        <v>PASS</v>
      </c>
      <c r="E81" s="195" t="s">
        <v>164</v>
      </c>
    </row>
    <row r="82" spans="1:5" ht="14" x14ac:dyDescent="0.15">
      <c r="A82" s="75" t="str">
        <f>IF('Data - Sample Type 0'!C59="","",'Data - Sample Type 0'!C59)</f>
        <v>NEG_06_0_08+</v>
      </c>
      <c r="B82" s="76" t="str">
        <f>IF('Data - Sample Type 0'!L59="","",'Data - Sample Type 0'!L59)</f>
        <v>MTB NOT DETECTED</v>
      </c>
      <c r="C82" s="77" t="str">
        <f>IF(B82="","",IF(B82="INVALID",IF('Data - Sample Type 0'!GA59="","INVALID",'Data - Sample Type 0'!GA59),IF(B82="ERROR",'Data - Sample Type 0'!GA59,IF(B82="NO RESULT",'Data - Sample Type 0'!GA59,IF(B82="V","MINOR VISUAL",IF(B82="M","MAJOR VISUAL",IF(B82="B","BARCODE FAIL",IF(B82="D","DELAMINATION",IF('Data - Sample Type 0'!Q59="","DATA ENTRY ERROR",IF(B82=$D$23,"PASS","MAJOR FUNCTIONAL"))))))))))</f>
        <v>PASS</v>
      </c>
      <c r="D82" s="79" t="str">
        <f>IF(C82="","",IF('Data - Sample Type 0'!FY59="","N/A",IF('Data - Sample Type 0'!FY59&lt;Specifications!$D$3,"PASS","FAIL")))</f>
        <v>PASS</v>
      </c>
      <c r="E82" s="195" t="s">
        <v>164</v>
      </c>
    </row>
    <row r="83" spans="1:5" ht="14" x14ac:dyDescent="0.15">
      <c r="A83" s="75" t="str">
        <f>IF('Data - Sample Type 0'!C60="","",'Data - Sample Type 0'!C60)</f>
        <v>NEG_06_0_09+</v>
      </c>
      <c r="B83" s="76" t="str">
        <f>IF('Data - Sample Type 0'!L60="","",'Data - Sample Type 0'!L60)</f>
        <v>MTB NOT DETECTED</v>
      </c>
      <c r="C83" s="77" t="str">
        <f>IF(B83="","",IF(B83="INVALID",IF('Data - Sample Type 0'!GA60="","INVALID",'Data - Sample Type 0'!GA60),IF(B83="ERROR",'Data - Sample Type 0'!GA60,IF(B83="NO RESULT",'Data - Sample Type 0'!GA60,IF(B83="V","MINOR VISUAL",IF(B83="M","MAJOR VISUAL",IF(B83="B","BARCODE FAIL",IF(B83="D","DELAMINATION",IF('Data - Sample Type 0'!Q60="","DATA ENTRY ERROR",IF(B83=$D$23,"PASS","MAJOR FUNCTIONAL"))))))))))</f>
        <v>PASS</v>
      </c>
      <c r="D83" s="79" t="str">
        <f>IF(C83="","",IF('Data - Sample Type 0'!FY60="","N/A",IF('Data - Sample Type 0'!FY60&lt;Specifications!$D$3,"PASS","FAIL")))</f>
        <v>PASS</v>
      </c>
      <c r="E83" s="195" t="s">
        <v>164</v>
      </c>
    </row>
    <row r="84" spans="1:5" ht="14" x14ac:dyDescent="0.15">
      <c r="A84" s="75" t="str">
        <f>IF('Data - Sample Type 0'!C61="","",'Data - Sample Type 0'!C61)</f>
        <v>NEG_06_0_10+</v>
      </c>
      <c r="B84" s="76" t="str">
        <f>IF('Data - Sample Type 0'!L61="","",'Data - Sample Type 0'!L61)</f>
        <v>MTB NOT DETECTED</v>
      </c>
      <c r="C84" s="77" t="str">
        <f>IF(B84="","",IF(B84="INVALID",IF('Data - Sample Type 0'!GA61="","INVALID",'Data - Sample Type 0'!GA61),IF(B84="ERROR",'Data - Sample Type 0'!GA61,IF(B84="NO RESULT",'Data - Sample Type 0'!GA61,IF(B84="V","MINOR VISUAL",IF(B84="M","MAJOR VISUAL",IF(B84="B","BARCODE FAIL",IF(B84="D","DELAMINATION",IF('Data - Sample Type 0'!Q61="","DATA ENTRY ERROR",IF(B84=$D$23,"PASS","MAJOR FUNCTIONAL"))))))))))</f>
        <v>PASS</v>
      </c>
      <c r="D84" s="79" t="str">
        <f>IF(C84="","",IF('Data - Sample Type 0'!FY61="","N/A",IF('Data - Sample Type 0'!FY61&lt;Specifications!$D$3,"PASS","FAIL")))</f>
        <v>PASS</v>
      </c>
      <c r="E84" s="195" t="s">
        <v>164</v>
      </c>
    </row>
    <row r="85" spans="1:5" ht="14" x14ac:dyDescent="0.15">
      <c r="A85" s="75" t="str">
        <f>IF('Data - Sample Type 0'!C62="","",'Data - Sample Type 0'!C62)</f>
        <v>NEG_07_0_01X</v>
      </c>
      <c r="B85" s="76" t="str">
        <f>IF('Data - Sample Type 0'!L62="","",'Data - Sample Type 0'!L62)</f>
        <v>MTB NOT DETECTED</v>
      </c>
      <c r="C85" s="77" t="str">
        <f>IF(B85="","",IF(B85="INVALID",IF('Data - Sample Type 0'!GA62="","INVALID",'Data - Sample Type 0'!GA62),IF(B85="ERROR",'Data - Sample Type 0'!GA62,IF(B85="NO RESULT",'Data - Sample Type 0'!GA62,IF(B85="V","MINOR VISUAL",IF(B85="M","MAJOR VISUAL",IF(B85="B","BARCODE FAIL",IF(B85="D","DELAMINATION",IF('Data - Sample Type 0'!Q62="","DATA ENTRY ERROR",IF(B85=$D$23,"PASS","MAJOR FUNCTIONAL"))))))))))</f>
        <v>PASS</v>
      </c>
      <c r="D85" s="79" t="str">
        <f>IF(C85="","",IF('Data - Sample Type 0'!FY62="","N/A",IF('Data - Sample Type 0'!FY62&lt;Specifications!$D$3,"PASS","FAIL")))</f>
        <v>PASS</v>
      </c>
      <c r="E85" s="195" t="s">
        <v>164</v>
      </c>
    </row>
    <row r="86" spans="1:5" ht="14" x14ac:dyDescent="0.15">
      <c r="A86" s="75" t="str">
        <f>IF('Data - Sample Type 0'!C63="","",'Data - Sample Type 0'!C63)</f>
        <v>NEG_07_0_02X</v>
      </c>
      <c r="B86" s="76" t="str">
        <f>IF('Data - Sample Type 0'!L63="","",'Data - Sample Type 0'!L63)</f>
        <v>MTB NOT DETECTED</v>
      </c>
      <c r="C86" s="77" t="str">
        <f>IF(B86="","",IF(B86="INVALID",IF('Data - Sample Type 0'!GA63="","INVALID",'Data - Sample Type 0'!GA63),IF(B86="ERROR",'Data - Sample Type 0'!GA63,IF(B86="NO RESULT",'Data - Sample Type 0'!GA63,IF(B86="V","MINOR VISUAL",IF(B86="M","MAJOR VISUAL",IF(B86="B","BARCODE FAIL",IF(B86="D","DELAMINATION",IF('Data - Sample Type 0'!Q63="","DATA ENTRY ERROR",IF(B86=$D$23,"PASS","MAJOR FUNCTIONAL"))))))))))</f>
        <v>PASS</v>
      </c>
      <c r="D86" s="79" t="str">
        <f>IF(C86="","",IF('Data - Sample Type 0'!FY63="","N/A",IF('Data - Sample Type 0'!FY63&lt;Specifications!$D$3,"PASS","FAIL")))</f>
        <v>PASS</v>
      </c>
      <c r="E86" s="195" t="s">
        <v>164</v>
      </c>
    </row>
    <row r="87" spans="1:5" ht="14" x14ac:dyDescent="0.15">
      <c r="A87" s="75" t="str">
        <f>IF('Data - Sample Type 0'!C64="","",'Data - Sample Type 0'!C64)</f>
        <v>NEG_07_0_03X</v>
      </c>
      <c r="B87" s="76" t="str">
        <f>IF('Data - Sample Type 0'!L64="","",'Data - Sample Type 0'!L64)</f>
        <v>MTB NOT DETECTED</v>
      </c>
      <c r="C87" s="77" t="str">
        <f>IF(B87="","",IF(B87="INVALID",IF('Data - Sample Type 0'!GA64="","INVALID",'Data - Sample Type 0'!GA64),IF(B87="ERROR",'Data - Sample Type 0'!GA64,IF(B87="NO RESULT",'Data - Sample Type 0'!GA64,IF(B87="V","MINOR VISUAL",IF(B87="M","MAJOR VISUAL",IF(B87="B","BARCODE FAIL",IF(B87="D","DELAMINATION",IF('Data - Sample Type 0'!Q64="","DATA ENTRY ERROR",IF(B87=$D$23,"PASS","MAJOR FUNCTIONAL"))))))))))</f>
        <v>PASS</v>
      </c>
      <c r="D87" s="79" t="str">
        <f>IF(C87="","",IF('Data - Sample Type 0'!FY64="","N/A",IF('Data - Sample Type 0'!FY64&lt;Specifications!$D$3,"PASS","FAIL")))</f>
        <v>PASS</v>
      </c>
      <c r="E87" s="195" t="s">
        <v>164</v>
      </c>
    </row>
    <row r="88" spans="1:5" ht="14" x14ac:dyDescent="0.15">
      <c r="A88" s="75" t="str">
        <f>IF('Data - Sample Type 0'!C65="","",'Data - Sample Type 0'!C65)</f>
        <v>NEG_07_0_04X</v>
      </c>
      <c r="B88" s="76" t="str">
        <f>IF('Data - Sample Type 0'!L65="","",'Data - Sample Type 0'!L65)</f>
        <v>MTB NOT DETECTED</v>
      </c>
      <c r="C88" s="77" t="str">
        <f>IF(B88="","",IF(B88="INVALID",IF('Data - Sample Type 0'!GA65="","INVALID",'Data - Sample Type 0'!GA65),IF(B88="ERROR",'Data - Sample Type 0'!GA65,IF(B88="NO RESULT",'Data - Sample Type 0'!GA65,IF(B88="V","MINOR VISUAL",IF(B88="M","MAJOR VISUAL",IF(B88="B","BARCODE FAIL",IF(B88="D","DELAMINATION",IF('Data - Sample Type 0'!Q65="","DATA ENTRY ERROR",IF(B88=$D$23,"PASS","MAJOR FUNCTIONAL"))))))))))</f>
        <v>PASS</v>
      </c>
      <c r="D88" s="79" t="str">
        <f>IF(C88="","",IF('Data - Sample Type 0'!FY65="","N/A",IF('Data - Sample Type 0'!FY65&lt;Specifications!$D$3,"PASS","FAIL")))</f>
        <v>PASS</v>
      </c>
      <c r="E88" s="195" t="s">
        <v>164</v>
      </c>
    </row>
    <row r="89" spans="1:5" ht="14" x14ac:dyDescent="0.15">
      <c r="A89" s="75" t="str">
        <f>IF('Data - Sample Type 0'!C66="","",'Data - Sample Type 0'!C66)</f>
        <v>NEG_07_0_05X</v>
      </c>
      <c r="B89" s="76" t="str">
        <f>IF('Data - Sample Type 0'!L66="","",'Data - Sample Type 0'!L66)</f>
        <v>MTB NOT DETECTED</v>
      </c>
      <c r="C89" s="77" t="str">
        <f>IF(B89="","",IF(B89="INVALID",IF('Data - Sample Type 0'!GA66="","INVALID",'Data - Sample Type 0'!GA66),IF(B89="ERROR",'Data - Sample Type 0'!GA66,IF(B89="NO RESULT",'Data - Sample Type 0'!GA66,IF(B89="V","MINOR VISUAL",IF(B89="M","MAJOR VISUAL",IF(B89="B","BARCODE FAIL",IF(B89="D","DELAMINATION",IF('Data - Sample Type 0'!Q66="","DATA ENTRY ERROR",IF(B89=$D$23,"PASS","MAJOR FUNCTIONAL"))))))))))</f>
        <v>PASS</v>
      </c>
      <c r="D89" s="79" t="str">
        <f>IF(C89="","",IF('Data - Sample Type 0'!FY66="","N/A",IF('Data - Sample Type 0'!FY66&lt;Specifications!$D$3,"PASS","FAIL")))</f>
        <v>PASS</v>
      </c>
      <c r="E89" s="195" t="s">
        <v>164</v>
      </c>
    </row>
    <row r="90" spans="1:5" ht="14" x14ac:dyDescent="0.15">
      <c r="A90" s="75" t="str">
        <f>IF('Data - Sample Type 0'!C67="","",'Data - Sample Type 0'!C67)</f>
        <v>NEG_07_0_06+</v>
      </c>
      <c r="B90" s="76" t="str">
        <f>IF('Data - Sample Type 0'!L67="","",'Data - Sample Type 0'!L67)</f>
        <v>MTB NOT DETECTED</v>
      </c>
      <c r="C90" s="77" t="str">
        <f>IF(B90="","",IF(B90="INVALID",IF('Data - Sample Type 0'!GA67="","INVALID",'Data - Sample Type 0'!GA67),IF(B90="ERROR",'Data - Sample Type 0'!GA67,IF(B90="NO RESULT",'Data - Sample Type 0'!GA67,IF(B90="V","MINOR VISUAL",IF(B90="M","MAJOR VISUAL",IF(B90="B","BARCODE FAIL",IF(B90="D","DELAMINATION",IF('Data - Sample Type 0'!Q67="","DATA ENTRY ERROR",IF(B90=$D$23,"PASS","MAJOR FUNCTIONAL"))))))))))</f>
        <v>PASS</v>
      </c>
      <c r="D90" s="79" t="str">
        <f>IF(C90="","",IF('Data - Sample Type 0'!FY67="","N/A",IF('Data - Sample Type 0'!FY67&lt;Specifications!$D$3,"PASS","FAIL")))</f>
        <v>PASS</v>
      </c>
      <c r="E90" s="195" t="s">
        <v>164</v>
      </c>
    </row>
    <row r="91" spans="1:5" ht="14" x14ac:dyDescent="0.15">
      <c r="A91" s="75" t="str">
        <f>IF('Data - Sample Type 0'!C68="","",'Data - Sample Type 0'!C68)</f>
        <v>NEG_07_0_07+</v>
      </c>
      <c r="B91" s="76" t="str">
        <f>IF('Data - Sample Type 0'!L68="","",'Data - Sample Type 0'!L68)</f>
        <v>MTB NOT DETECTED</v>
      </c>
      <c r="C91" s="77" t="str">
        <f>IF(B91="","",IF(B91="INVALID",IF('Data - Sample Type 0'!GA68="","INVALID",'Data - Sample Type 0'!GA68),IF(B91="ERROR",'Data - Sample Type 0'!GA68,IF(B91="NO RESULT",'Data - Sample Type 0'!GA68,IF(B91="V","MINOR VISUAL",IF(B91="M","MAJOR VISUAL",IF(B91="B","BARCODE FAIL",IF(B91="D","DELAMINATION",IF('Data - Sample Type 0'!Q68="","DATA ENTRY ERROR",IF(B91=$D$23,"PASS","MAJOR FUNCTIONAL"))))))))))</f>
        <v>PASS</v>
      </c>
      <c r="D91" s="79" t="str">
        <f>IF(C91="","",IF('Data - Sample Type 0'!FY68="","N/A",IF('Data - Sample Type 0'!FY68&lt;Specifications!$D$3,"PASS","FAIL")))</f>
        <v>PASS</v>
      </c>
      <c r="E91" s="195" t="s">
        <v>164</v>
      </c>
    </row>
    <row r="92" spans="1:5" ht="14" x14ac:dyDescent="0.15">
      <c r="A92" s="75" t="str">
        <f>IF('Data - Sample Type 0'!C69="","",'Data - Sample Type 0'!C69)</f>
        <v>NEG_07_0_08+</v>
      </c>
      <c r="B92" s="76" t="str">
        <f>IF('Data - Sample Type 0'!L69="","",'Data - Sample Type 0'!L69)</f>
        <v>MTB NOT DETECTED</v>
      </c>
      <c r="C92" s="77" t="str">
        <f>IF(B92="","",IF(B92="INVALID",IF('Data - Sample Type 0'!GA69="","INVALID",'Data - Sample Type 0'!GA69),IF(B92="ERROR",'Data - Sample Type 0'!GA69,IF(B92="NO RESULT",'Data - Sample Type 0'!GA69,IF(B92="V","MINOR VISUAL",IF(B92="M","MAJOR VISUAL",IF(B92="B","BARCODE FAIL",IF(B92="D","DELAMINATION",IF('Data - Sample Type 0'!Q69="","DATA ENTRY ERROR",IF(B92=$D$23,"PASS","MAJOR FUNCTIONAL"))))))))))</f>
        <v>PASS</v>
      </c>
      <c r="D92" s="79" t="str">
        <f>IF(C92="","",IF('Data - Sample Type 0'!FY69="","N/A",IF('Data - Sample Type 0'!FY69&lt;Specifications!$D$3,"PASS","FAIL")))</f>
        <v>PASS</v>
      </c>
      <c r="E92" s="195" t="s">
        <v>164</v>
      </c>
    </row>
    <row r="93" spans="1:5" ht="14" x14ac:dyDescent="0.15">
      <c r="A93" s="75" t="str">
        <f>IF('Data - Sample Type 0'!C70="","",'Data - Sample Type 0'!C70)</f>
        <v>NEG_07_0_09+</v>
      </c>
      <c r="B93" s="76" t="str">
        <f>IF('Data - Sample Type 0'!L70="","",'Data - Sample Type 0'!L70)</f>
        <v>MTB NOT DETECTED</v>
      </c>
      <c r="C93" s="77" t="str">
        <f>IF(B93="","",IF(B93="INVALID",IF('Data - Sample Type 0'!GA70="","INVALID",'Data - Sample Type 0'!GA70),IF(B93="ERROR",'Data - Sample Type 0'!GA70,IF(B93="NO RESULT",'Data - Sample Type 0'!GA70,IF(B93="V","MINOR VISUAL",IF(B93="M","MAJOR VISUAL",IF(B93="B","BARCODE FAIL",IF(B93="D","DELAMINATION",IF('Data - Sample Type 0'!Q70="","DATA ENTRY ERROR",IF(B93=$D$23,"PASS","MAJOR FUNCTIONAL"))))))))))</f>
        <v>PASS</v>
      </c>
      <c r="D93" s="79" t="str">
        <f>IF(C93="","",IF('Data - Sample Type 0'!FY70="","N/A",IF('Data - Sample Type 0'!FY70&lt;Specifications!$D$3,"PASS","FAIL")))</f>
        <v>PASS</v>
      </c>
      <c r="E93" s="195" t="s">
        <v>164</v>
      </c>
    </row>
    <row r="94" spans="1:5" ht="14" x14ac:dyDescent="0.15">
      <c r="A94" s="75" t="str">
        <f>IF('Data - Sample Type 0'!C71="","",'Data - Sample Type 0'!C71)</f>
        <v>NEG_07_0_10+</v>
      </c>
      <c r="B94" s="76" t="str">
        <f>IF('Data - Sample Type 0'!L71="","",'Data - Sample Type 0'!L71)</f>
        <v>MTB NOT DETECTED</v>
      </c>
      <c r="C94" s="77" t="str">
        <f>IF(B94="","",IF(B94="INVALID",IF('Data - Sample Type 0'!GA71="","INVALID",'Data - Sample Type 0'!GA71),IF(B94="ERROR",'Data - Sample Type 0'!GA71,IF(B94="NO RESULT",'Data - Sample Type 0'!GA71,IF(B94="V","MINOR VISUAL",IF(B94="M","MAJOR VISUAL",IF(B94="B","BARCODE FAIL",IF(B94="D","DELAMINATION",IF('Data - Sample Type 0'!Q71="","DATA ENTRY ERROR",IF(B94=$D$23,"PASS","MAJOR FUNCTIONAL"))))))))))</f>
        <v>PASS</v>
      </c>
      <c r="D94" s="79" t="str">
        <f>IF(C94="","",IF('Data - Sample Type 0'!FY71="","N/A",IF('Data - Sample Type 0'!FY71&lt;Specifications!$D$3,"PASS","FAIL")))</f>
        <v>PASS</v>
      </c>
      <c r="E94" s="195" t="s">
        <v>164</v>
      </c>
    </row>
    <row r="95" spans="1:5" ht="14" x14ac:dyDescent="0.15">
      <c r="A95" s="75" t="str">
        <f>IF('Data - Sample Type 0'!C72="","",'Data - Sample Type 0'!C72)</f>
        <v>NEG_08_0_01X</v>
      </c>
      <c r="B95" s="76" t="str">
        <f>IF('Data - Sample Type 0'!L72="","",'Data - Sample Type 0'!L72)</f>
        <v>MTB NOT DETECTED</v>
      </c>
      <c r="C95" s="77" t="str">
        <f>IF(B95="","",IF(B95="INVALID",IF('Data - Sample Type 0'!GA72="","INVALID",'Data - Sample Type 0'!GA72),IF(B95="ERROR",'Data - Sample Type 0'!GA72,IF(B95="NO RESULT",'Data - Sample Type 0'!GA72,IF(B95="V","MINOR VISUAL",IF(B95="M","MAJOR VISUAL",IF(B95="B","BARCODE FAIL",IF(B95="D","DELAMINATION",IF('Data - Sample Type 0'!Q72="","DATA ENTRY ERROR",IF(B95=$D$23,"PASS","MAJOR FUNCTIONAL"))))))))))</f>
        <v>PASS</v>
      </c>
      <c r="D95" s="79" t="str">
        <f>IF(C95="","",IF('Data - Sample Type 0'!FY72="","N/A",IF('Data - Sample Type 0'!FY72&lt;Specifications!$D$3,"PASS","FAIL")))</f>
        <v>PASS</v>
      </c>
      <c r="E95" s="195" t="s">
        <v>164</v>
      </c>
    </row>
    <row r="96" spans="1:5" ht="14" x14ac:dyDescent="0.15">
      <c r="A96" s="75" t="str">
        <f>IF('Data - Sample Type 0'!C73="","",'Data - Sample Type 0'!C73)</f>
        <v>NEG_08_0_02X</v>
      </c>
      <c r="B96" s="76" t="str">
        <f>IF('Data - Sample Type 0'!L73="","",'Data - Sample Type 0'!L73)</f>
        <v>MTB NOT DETECTED</v>
      </c>
      <c r="C96" s="77" t="str">
        <f>IF(B96="","",IF(B96="INVALID",IF('Data - Sample Type 0'!GA73="","INVALID",'Data - Sample Type 0'!GA73),IF(B96="ERROR",'Data - Sample Type 0'!GA73,IF(B96="NO RESULT",'Data - Sample Type 0'!GA73,IF(B96="V","MINOR VISUAL",IF(B96="M","MAJOR VISUAL",IF(B96="B","BARCODE FAIL",IF(B96="D","DELAMINATION",IF('Data - Sample Type 0'!Q73="","DATA ENTRY ERROR",IF(B96=$D$23,"PASS","MAJOR FUNCTIONAL"))))))))))</f>
        <v>PASS</v>
      </c>
      <c r="D96" s="79" t="str">
        <f>IF(C96="","",IF('Data - Sample Type 0'!FY73="","N/A",IF('Data - Sample Type 0'!FY73&lt;Specifications!$D$3,"PASS","FAIL")))</f>
        <v>PASS</v>
      </c>
      <c r="E96" s="195" t="s">
        <v>164</v>
      </c>
    </row>
    <row r="97" spans="1:5" ht="14" x14ac:dyDescent="0.15">
      <c r="A97" s="75" t="str">
        <f>IF('Data - Sample Type 0'!C74="","",'Data - Sample Type 0'!C74)</f>
        <v>NEG_08_0_03X</v>
      </c>
      <c r="B97" s="76" t="str">
        <f>IF('Data - Sample Type 0'!L74="","",'Data - Sample Type 0'!L74)</f>
        <v>MTB NOT DETECTED</v>
      </c>
      <c r="C97" s="77" t="str">
        <f>IF(B97="","",IF(B97="INVALID",IF('Data - Sample Type 0'!GA74="","INVALID",'Data - Sample Type 0'!GA74),IF(B97="ERROR",'Data - Sample Type 0'!GA74,IF(B97="NO RESULT",'Data - Sample Type 0'!GA74,IF(B97="V","MINOR VISUAL",IF(B97="M","MAJOR VISUAL",IF(B97="B","BARCODE FAIL",IF(B97="D","DELAMINATION",IF('Data - Sample Type 0'!Q74="","DATA ENTRY ERROR",IF(B97=$D$23,"PASS","MAJOR FUNCTIONAL"))))))))))</f>
        <v>PASS</v>
      </c>
      <c r="D97" s="79" t="str">
        <f>IF(C97="","",IF('Data - Sample Type 0'!FY74="","N/A",IF('Data - Sample Type 0'!FY74&lt;Specifications!$D$3,"PASS","FAIL")))</f>
        <v>PASS</v>
      </c>
      <c r="E97" s="195" t="s">
        <v>164</v>
      </c>
    </row>
    <row r="98" spans="1:5" ht="14" x14ac:dyDescent="0.15">
      <c r="A98" s="75" t="str">
        <f>IF('Data - Sample Type 0'!C75="","",'Data - Sample Type 0'!C75)</f>
        <v>NEG_08_0_04X</v>
      </c>
      <c r="B98" s="76" t="str">
        <f>IF('Data - Sample Type 0'!L75="","",'Data - Sample Type 0'!L75)</f>
        <v>MTB NOT DETECTED</v>
      </c>
      <c r="C98" s="77" t="str">
        <f>IF(B98="","",IF(B98="INVALID",IF('Data - Sample Type 0'!GA75="","INVALID",'Data - Sample Type 0'!GA75),IF(B98="ERROR",'Data - Sample Type 0'!GA75,IF(B98="NO RESULT",'Data - Sample Type 0'!GA75,IF(B98="V","MINOR VISUAL",IF(B98="M","MAJOR VISUAL",IF(B98="B","BARCODE FAIL",IF(B98="D","DELAMINATION",IF('Data - Sample Type 0'!Q75="","DATA ENTRY ERROR",IF(B98=$D$23,"PASS","MAJOR FUNCTIONAL"))))))))))</f>
        <v>PASS</v>
      </c>
      <c r="D98" s="79" t="str">
        <f>IF(C98="","",IF('Data - Sample Type 0'!FY75="","N/A",IF('Data - Sample Type 0'!FY75&lt;Specifications!$D$3,"PASS","FAIL")))</f>
        <v>PASS</v>
      </c>
      <c r="E98" s="195" t="s">
        <v>164</v>
      </c>
    </row>
    <row r="99" spans="1:5" ht="14" x14ac:dyDescent="0.15">
      <c r="A99" s="75" t="str">
        <f>IF('Data - Sample Type 0'!C76="","",'Data - Sample Type 0'!C76)</f>
        <v>NEG_08_0_05X</v>
      </c>
      <c r="B99" s="76" t="str">
        <f>IF('Data - Sample Type 0'!L76="","",'Data - Sample Type 0'!L76)</f>
        <v>MTB NOT DETECTED</v>
      </c>
      <c r="C99" s="77" t="str">
        <f>IF(B99="","",IF(B99="INVALID",IF('Data - Sample Type 0'!GA76="","INVALID",'Data - Sample Type 0'!GA76),IF(B99="ERROR",'Data - Sample Type 0'!GA76,IF(B99="NO RESULT",'Data - Sample Type 0'!GA76,IF(B99="V","MINOR VISUAL",IF(B99="M","MAJOR VISUAL",IF(B99="B","BARCODE FAIL",IF(B99="D","DELAMINATION",IF('Data - Sample Type 0'!Q76="","DATA ENTRY ERROR",IF(B99=$D$23,"PASS","MAJOR FUNCTIONAL"))))))))))</f>
        <v>PASS</v>
      </c>
      <c r="D99" s="79" t="str">
        <f>IF(C99="","",IF('Data - Sample Type 0'!FY76="","N/A",IF('Data - Sample Type 0'!FY76&lt;Specifications!$D$3,"PASS","FAIL")))</f>
        <v>PASS</v>
      </c>
      <c r="E99" s="195" t="s">
        <v>164</v>
      </c>
    </row>
    <row r="100" spans="1:5" ht="14" x14ac:dyDescent="0.15">
      <c r="A100" s="75" t="str">
        <f>IF('Data - Sample Type 0'!C77="","",'Data - Sample Type 0'!C77)</f>
        <v>NEG_08_0_06+</v>
      </c>
      <c r="B100" s="76" t="str">
        <f>IF('Data - Sample Type 0'!L77="","",'Data - Sample Type 0'!L77)</f>
        <v>MTB NOT DETECTED</v>
      </c>
      <c r="C100" s="77" t="str">
        <f>IF(B100="","",IF(B100="INVALID",IF('Data - Sample Type 0'!GA77="","INVALID",'Data - Sample Type 0'!GA77),IF(B100="ERROR",'Data - Sample Type 0'!GA77,IF(B100="NO RESULT",'Data - Sample Type 0'!GA77,IF(B100="V","MINOR VISUAL",IF(B100="M","MAJOR VISUAL",IF(B100="B","BARCODE FAIL",IF(B100="D","DELAMINATION",IF('Data - Sample Type 0'!Q77="","DATA ENTRY ERROR",IF(B100=$D$23,"PASS","MAJOR FUNCTIONAL"))))))))))</f>
        <v>PASS</v>
      </c>
      <c r="D100" s="79" t="str">
        <f>IF(C100="","",IF('Data - Sample Type 0'!FY77="","N/A",IF('Data - Sample Type 0'!FY77&lt;Specifications!$D$3,"PASS","FAIL")))</f>
        <v>PASS</v>
      </c>
      <c r="E100" s="195" t="s">
        <v>164</v>
      </c>
    </row>
    <row r="101" spans="1:5" ht="14" x14ac:dyDescent="0.15">
      <c r="A101" s="75" t="str">
        <f>IF('Data - Sample Type 0'!C78="","",'Data - Sample Type 0'!C78)</f>
        <v>NEG_08_0_07+</v>
      </c>
      <c r="B101" s="76" t="str">
        <f>IF('Data - Sample Type 0'!L78="","",'Data - Sample Type 0'!L78)</f>
        <v>MTB NOT DETECTED</v>
      </c>
      <c r="C101" s="77" t="str">
        <f>IF(B101="","",IF(B101="INVALID",IF('Data - Sample Type 0'!GA78="","INVALID",'Data - Sample Type 0'!GA78),IF(B101="ERROR",'Data - Sample Type 0'!GA78,IF(B101="NO RESULT",'Data - Sample Type 0'!GA78,IF(B101="V","MINOR VISUAL",IF(B101="M","MAJOR VISUAL",IF(B101="B","BARCODE FAIL",IF(B101="D","DELAMINATION",IF('Data - Sample Type 0'!Q78="","DATA ENTRY ERROR",IF(B101=$D$23,"PASS","MAJOR FUNCTIONAL"))))))))))</f>
        <v>PASS</v>
      </c>
      <c r="D101" s="79" t="str">
        <f>IF(C101="","",IF('Data - Sample Type 0'!FY78="","N/A",IF('Data - Sample Type 0'!FY78&lt;Specifications!$D$3,"PASS","FAIL")))</f>
        <v>PASS</v>
      </c>
      <c r="E101" s="195" t="s">
        <v>164</v>
      </c>
    </row>
    <row r="102" spans="1:5" ht="14" x14ac:dyDescent="0.15">
      <c r="A102" s="75" t="str">
        <f>IF('Data - Sample Type 0'!C79="","",'Data - Sample Type 0'!C79)</f>
        <v>NEG_08_0_08+</v>
      </c>
      <c r="B102" s="76" t="str">
        <f>IF('Data - Sample Type 0'!L79="","",'Data - Sample Type 0'!L79)</f>
        <v>MTB NOT DETECTED</v>
      </c>
      <c r="C102" s="77" t="str">
        <f>IF(B102="","",IF(B102="INVALID",IF('Data - Sample Type 0'!GA79="","INVALID",'Data - Sample Type 0'!GA79),IF(B102="ERROR",'Data - Sample Type 0'!GA79,IF(B102="NO RESULT",'Data - Sample Type 0'!GA79,IF(B102="V","MINOR VISUAL",IF(B102="M","MAJOR VISUAL",IF(B102="B","BARCODE FAIL",IF(B102="D","DELAMINATION",IF('Data - Sample Type 0'!Q79="","DATA ENTRY ERROR",IF(B102=$D$23,"PASS","MAJOR FUNCTIONAL"))))))))))</f>
        <v>PASS</v>
      </c>
      <c r="D102" s="79" t="str">
        <f>IF(C102="","",IF('Data - Sample Type 0'!FY79="","N/A",IF('Data - Sample Type 0'!FY79&lt;Specifications!$D$3,"PASS","FAIL")))</f>
        <v>PASS</v>
      </c>
      <c r="E102" s="195" t="s">
        <v>164</v>
      </c>
    </row>
    <row r="103" spans="1:5" ht="14" x14ac:dyDescent="0.15">
      <c r="A103" s="75" t="str">
        <f>IF('Data - Sample Type 0'!C80="","",'Data - Sample Type 0'!C80)</f>
        <v>NEG_08_0_09+</v>
      </c>
      <c r="B103" s="76" t="str">
        <f>IF('Data - Sample Type 0'!L80="","",'Data - Sample Type 0'!L80)</f>
        <v>MTB NOT DETECTED</v>
      </c>
      <c r="C103" s="77" t="str">
        <f>IF(B103="","",IF(B103="INVALID",IF('Data - Sample Type 0'!GA80="","INVALID",'Data - Sample Type 0'!GA80),IF(B103="ERROR",'Data - Sample Type 0'!GA80,IF(B103="NO RESULT",'Data - Sample Type 0'!GA80,IF(B103="V","MINOR VISUAL",IF(B103="M","MAJOR VISUAL",IF(B103="B","BARCODE FAIL",IF(B103="D","DELAMINATION",IF('Data - Sample Type 0'!Q80="","DATA ENTRY ERROR",IF(B103=$D$23,"PASS","MAJOR FUNCTIONAL"))))))))))</f>
        <v>PASS</v>
      </c>
      <c r="D103" s="79" t="str">
        <f>IF(C103="","",IF('Data - Sample Type 0'!FY80="","N/A",IF('Data - Sample Type 0'!FY80&lt;Specifications!$D$3,"PASS","FAIL")))</f>
        <v>PASS</v>
      </c>
      <c r="E103" s="195" t="s">
        <v>164</v>
      </c>
    </row>
    <row r="104" spans="1:5" ht="14" x14ac:dyDescent="0.15">
      <c r="A104" s="75" t="str">
        <f>IF('Data - Sample Type 0'!C81="","",'Data - Sample Type 0'!C81)</f>
        <v>NEG_08_0_10+</v>
      </c>
      <c r="B104" s="76" t="str">
        <f>IF('Data - Sample Type 0'!L81="","",'Data - Sample Type 0'!L81)</f>
        <v>MTB NOT DETECTED</v>
      </c>
      <c r="C104" s="77" t="str">
        <f>IF(B104="","",IF(B104="INVALID",IF('Data - Sample Type 0'!GA81="","INVALID",'Data - Sample Type 0'!GA81),IF(B104="ERROR",'Data - Sample Type 0'!GA81,IF(B104="NO RESULT",'Data - Sample Type 0'!GA81,IF(B104="V","MINOR VISUAL",IF(B104="M","MAJOR VISUAL",IF(B104="B","BARCODE FAIL",IF(B104="D","DELAMINATION",IF('Data - Sample Type 0'!Q81="","DATA ENTRY ERROR",IF(B104=$D$23,"PASS","MAJOR FUNCTIONAL"))))))))))</f>
        <v>PASS</v>
      </c>
      <c r="D104" s="79" t="str">
        <f>IF(C104="","",IF('Data - Sample Type 0'!FY81="","N/A",IF('Data - Sample Type 0'!FY81&lt;Specifications!$D$3,"PASS","FAIL")))</f>
        <v>PASS</v>
      </c>
      <c r="E104" s="195" t="s">
        <v>164</v>
      </c>
    </row>
    <row r="105" spans="1:5" ht="14" x14ac:dyDescent="0.15">
      <c r="A105" s="75" t="str">
        <f>IF('Data - Sample Type 0'!C82="","",'Data - Sample Type 0'!C82)</f>
        <v>NEG_09_0_01X</v>
      </c>
      <c r="B105" s="76" t="str">
        <f>IF('Data - Sample Type 0'!L82="","",'Data - Sample Type 0'!L82)</f>
        <v>MTB NOT DETECTED</v>
      </c>
      <c r="C105" s="77" t="str">
        <f>IF(B105="","",IF(B105="INVALID",IF('Data - Sample Type 0'!GA82="","INVALID",'Data - Sample Type 0'!GA82),IF(B105="ERROR",'Data - Sample Type 0'!GA82,IF(B105="NO RESULT",'Data - Sample Type 0'!GA82,IF(B105="V","MINOR VISUAL",IF(B105="M","MAJOR VISUAL",IF(B105="B","BARCODE FAIL",IF(B105="D","DELAMINATION",IF('Data - Sample Type 0'!Q82="","DATA ENTRY ERROR",IF(B105=$D$23,"PASS","MAJOR FUNCTIONAL"))))))))))</f>
        <v>PASS</v>
      </c>
      <c r="D105" s="79" t="str">
        <f>IF(C105="","",IF('Data - Sample Type 0'!FY82="","N/A",IF('Data - Sample Type 0'!FY82&lt;Specifications!$D$3,"PASS","FAIL")))</f>
        <v>PASS</v>
      </c>
      <c r="E105" s="195" t="s">
        <v>164</v>
      </c>
    </row>
    <row r="106" spans="1:5" ht="14" x14ac:dyDescent="0.15">
      <c r="A106" s="75" t="str">
        <f>IF('Data - Sample Type 0'!C83="","",'Data - Sample Type 0'!C83)</f>
        <v>NEG_09_0_02X</v>
      </c>
      <c r="B106" s="76" t="str">
        <f>IF('Data - Sample Type 0'!L83="","",'Data - Sample Type 0'!L83)</f>
        <v>MTB NOT DETECTED</v>
      </c>
      <c r="C106" s="77" t="str">
        <f>IF(B106="","",IF(B106="INVALID",IF('Data - Sample Type 0'!GA83="","INVALID",'Data - Sample Type 0'!GA83),IF(B106="ERROR",'Data - Sample Type 0'!GA83,IF(B106="NO RESULT",'Data - Sample Type 0'!GA83,IF(B106="V","MINOR VISUAL",IF(B106="M","MAJOR VISUAL",IF(B106="B","BARCODE FAIL",IF(B106="D","DELAMINATION",IF('Data - Sample Type 0'!Q83="","DATA ENTRY ERROR",IF(B106=$D$23,"PASS","MAJOR FUNCTIONAL"))))))))))</f>
        <v>PASS</v>
      </c>
      <c r="D106" s="79" t="str">
        <f>IF(C106="","",IF('Data - Sample Type 0'!FY83="","N/A",IF('Data - Sample Type 0'!FY83&lt;Specifications!$D$3,"PASS","FAIL")))</f>
        <v>PASS</v>
      </c>
      <c r="E106" s="195" t="s">
        <v>164</v>
      </c>
    </row>
    <row r="107" spans="1:5" ht="14" x14ac:dyDescent="0.15">
      <c r="A107" s="75" t="str">
        <f>IF('Data - Sample Type 0'!C84="","",'Data - Sample Type 0'!C84)</f>
        <v>NEG_09_0_03X</v>
      </c>
      <c r="B107" s="76" t="str">
        <f>IF('Data - Sample Type 0'!L84="","",'Data - Sample Type 0'!L84)</f>
        <v>MTB NOT DETECTED</v>
      </c>
      <c r="C107" s="77" t="str">
        <f>IF(B107="","",IF(B107="INVALID",IF('Data - Sample Type 0'!GA84="","INVALID",'Data - Sample Type 0'!GA84),IF(B107="ERROR",'Data - Sample Type 0'!GA84,IF(B107="NO RESULT",'Data - Sample Type 0'!GA84,IF(B107="V","MINOR VISUAL",IF(B107="M","MAJOR VISUAL",IF(B107="B","BARCODE FAIL",IF(B107="D","DELAMINATION",IF('Data - Sample Type 0'!Q84="","DATA ENTRY ERROR",IF(B107=$D$23,"PASS","MAJOR FUNCTIONAL"))))))))))</f>
        <v>PASS</v>
      </c>
      <c r="D107" s="79" t="str">
        <f>IF(C107="","",IF('Data - Sample Type 0'!FY84="","N/A",IF('Data - Sample Type 0'!FY84&lt;Specifications!$D$3,"PASS","FAIL")))</f>
        <v>PASS</v>
      </c>
      <c r="E107" s="195" t="s">
        <v>164</v>
      </c>
    </row>
    <row r="108" spans="1:5" ht="14" x14ac:dyDescent="0.15">
      <c r="A108" s="75" t="str">
        <f>IF('Data - Sample Type 0'!C85="","",'Data - Sample Type 0'!C85)</f>
        <v>NEG_09_0_04X</v>
      </c>
      <c r="B108" s="76" t="str">
        <f>IF('Data - Sample Type 0'!L85="","",'Data - Sample Type 0'!L85)</f>
        <v>MTB NOT DETECTED</v>
      </c>
      <c r="C108" s="77" t="str">
        <f>IF(B108="","",IF(B108="INVALID",IF('Data - Sample Type 0'!GA85="","INVALID",'Data - Sample Type 0'!GA85),IF(B108="ERROR",'Data - Sample Type 0'!GA85,IF(B108="NO RESULT",'Data - Sample Type 0'!GA85,IF(B108="V","MINOR VISUAL",IF(B108="M","MAJOR VISUAL",IF(B108="B","BARCODE FAIL",IF(B108="D","DELAMINATION",IF('Data - Sample Type 0'!Q85="","DATA ENTRY ERROR",IF(B108=$D$23,"PASS","MAJOR FUNCTIONAL"))))))))))</f>
        <v>PASS</v>
      </c>
      <c r="D108" s="79" t="str">
        <f>IF(C108="","",IF('Data - Sample Type 0'!FY85="","N/A",IF('Data - Sample Type 0'!FY85&lt;Specifications!$D$3,"PASS","FAIL")))</f>
        <v>PASS</v>
      </c>
      <c r="E108" s="195" t="s">
        <v>164</v>
      </c>
    </row>
    <row r="109" spans="1:5" ht="14" x14ac:dyDescent="0.15">
      <c r="A109" s="75" t="str">
        <f>IF('Data - Sample Type 0'!C86="","",'Data - Sample Type 0'!C86)</f>
        <v>NEG_09_0_05X</v>
      </c>
      <c r="B109" s="76" t="str">
        <f>IF('Data - Sample Type 0'!L86="","",'Data - Sample Type 0'!L86)</f>
        <v>MTB NOT DETECTED</v>
      </c>
      <c r="C109" s="77" t="str">
        <f>IF(B109="","",IF(B109="INVALID",IF('Data - Sample Type 0'!GA86="","INVALID",'Data - Sample Type 0'!GA86),IF(B109="ERROR",'Data - Sample Type 0'!GA86,IF(B109="NO RESULT",'Data - Sample Type 0'!GA86,IF(B109="V","MINOR VISUAL",IF(B109="M","MAJOR VISUAL",IF(B109="B","BARCODE FAIL",IF(B109="D","DELAMINATION",IF('Data - Sample Type 0'!Q86="","DATA ENTRY ERROR",IF(B109=$D$23,"PASS","MAJOR FUNCTIONAL"))))))))))</f>
        <v>PASS</v>
      </c>
      <c r="D109" s="79" t="str">
        <f>IF(C109="","",IF('Data - Sample Type 0'!FY86="","N/A",IF('Data - Sample Type 0'!FY86&lt;Specifications!$D$3,"PASS","FAIL")))</f>
        <v>PASS</v>
      </c>
      <c r="E109" s="195" t="s">
        <v>164</v>
      </c>
    </row>
    <row r="110" spans="1:5" ht="14" x14ac:dyDescent="0.15">
      <c r="A110" s="75" t="str">
        <f>IF('Data - Sample Type 0'!C87="","",'Data - Sample Type 0'!C87)</f>
        <v>NEG_09_0_06+</v>
      </c>
      <c r="B110" s="76" t="str">
        <f>IF('Data - Sample Type 0'!L87="","",'Data - Sample Type 0'!L87)</f>
        <v>MTB NOT DETECTED</v>
      </c>
      <c r="C110" s="77" t="str">
        <f>IF(B110="","",IF(B110="INVALID",IF('Data - Sample Type 0'!GA87="","INVALID",'Data - Sample Type 0'!GA87),IF(B110="ERROR",'Data - Sample Type 0'!GA87,IF(B110="NO RESULT",'Data - Sample Type 0'!GA87,IF(B110="V","MINOR VISUAL",IF(B110="M","MAJOR VISUAL",IF(B110="B","BARCODE FAIL",IF(B110="D","DELAMINATION",IF('Data - Sample Type 0'!Q87="","DATA ENTRY ERROR",IF(B110=$D$23,"PASS","MAJOR FUNCTIONAL"))))))))))</f>
        <v>PASS</v>
      </c>
      <c r="D110" s="79" t="str">
        <f>IF(C110="","",IF('Data - Sample Type 0'!FY87="","N/A",IF('Data - Sample Type 0'!FY87&lt;Specifications!$D$3,"PASS","FAIL")))</f>
        <v>PASS</v>
      </c>
      <c r="E110" s="195" t="s">
        <v>164</v>
      </c>
    </row>
    <row r="111" spans="1:5" ht="14" x14ac:dyDescent="0.15">
      <c r="A111" s="75" t="str">
        <f>IF('Data - Sample Type 0'!C88="","",'Data - Sample Type 0'!C88)</f>
        <v>NEG_09_0_07+</v>
      </c>
      <c r="B111" s="76" t="str">
        <f>IF('Data - Sample Type 0'!L88="","",'Data - Sample Type 0'!L88)</f>
        <v>MTB NOT DETECTED</v>
      </c>
      <c r="C111" s="77" t="str">
        <f>IF(B111="","",IF(B111="INVALID",IF('Data - Sample Type 0'!GA88="","INVALID",'Data - Sample Type 0'!GA88),IF(B111="ERROR",'Data - Sample Type 0'!GA88,IF(B111="NO RESULT",'Data - Sample Type 0'!GA88,IF(B111="V","MINOR VISUAL",IF(B111="M","MAJOR VISUAL",IF(B111="B","BARCODE FAIL",IF(B111="D","DELAMINATION",IF('Data - Sample Type 0'!Q88="","DATA ENTRY ERROR",IF(B111=$D$23,"PASS","MAJOR FUNCTIONAL"))))))))))</f>
        <v>PASS</v>
      </c>
      <c r="D111" s="79" t="str">
        <f>IF(C111="","",IF('Data - Sample Type 0'!FY88="","N/A",IF('Data - Sample Type 0'!FY88&lt;Specifications!$D$3,"PASS","FAIL")))</f>
        <v>PASS</v>
      </c>
      <c r="E111" s="195" t="s">
        <v>164</v>
      </c>
    </row>
    <row r="112" spans="1:5" ht="14" x14ac:dyDescent="0.15">
      <c r="A112" s="75" t="str">
        <f>IF('Data - Sample Type 0'!C89="","",'Data - Sample Type 0'!C89)</f>
        <v>NEG_09_0_08+</v>
      </c>
      <c r="B112" s="76" t="str">
        <f>IF('Data - Sample Type 0'!L89="","",'Data - Sample Type 0'!L89)</f>
        <v>MTB NOT DETECTED</v>
      </c>
      <c r="C112" s="77" t="str">
        <f>IF(B112="","",IF(B112="INVALID",IF('Data - Sample Type 0'!GA89="","INVALID",'Data - Sample Type 0'!GA89),IF(B112="ERROR",'Data - Sample Type 0'!GA89,IF(B112="NO RESULT",'Data - Sample Type 0'!GA89,IF(B112="V","MINOR VISUAL",IF(B112="M","MAJOR VISUAL",IF(B112="B","BARCODE FAIL",IF(B112="D","DELAMINATION",IF('Data - Sample Type 0'!Q89="","DATA ENTRY ERROR",IF(B112=$D$23,"PASS","MAJOR FUNCTIONAL"))))))))))</f>
        <v>PASS</v>
      </c>
      <c r="D112" s="79" t="str">
        <f>IF(C112="","",IF('Data - Sample Type 0'!FY89="","N/A",IF('Data - Sample Type 0'!FY89&lt;Specifications!$D$3,"PASS","FAIL")))</f>
        <v>PASS</v>
      </c>
      <c r="E112" s="195" t="s">
        <v>164</v>
      </c>
    </row>
    <row r="113" spans="1:5" ht="14" x14ac:dyDescent="0.15">
      <c r="A113" s="75" t="str">
        <f>IF('Data - Sample Type 0'!C90="","",'Data - Sample Type 0'!C90)</f>
        <v>NEG_09_0_09+</v>
      </c>
      <c r="B113" s="76" t="str">
        <f>IF('Data - Sample Type 0'!L90="","",'Data - Sample Type 0'!L90)</f>
        <v>MTB NOT DETECTED</v>
      </c>
      <c r="C113" s="77" t="str">
        <f>IF(B113="","",IF(B113="INVALID",IF('Data - Sample Type 0'!GA90="","INVALID",'Data - Sample Type 0'!GA90),IF(B113="ERROR",'Data - Sample Type 0'!GA90,IF(B113="NO RESULT",'Data - Sample Type 0'!GA90,IF(B113="V","MINOR VISUAL",IF(B113="M","MAJOR VISUAL",IF(B113="B","BARCODE FAIL",IF(B113="D","DELAMINATION",IF('Data - Sample Type 0'!Q90="","DATA ENTRY ERROR",IF(B113=$D$23,"PASS","MAJOR FUNCTIONAL"))))))))))</f>
        <v>PASS</v>
      </c>
      <c r="D113" s="79" t="str">
        <f>IF(C113="","",IF('Data - Sample Type 0'!FY90="","N/A",IF('Data - Sample Type 0'!FY90&lt;Specifications!$D$3,"PASS","FAIL")))</f>
        <v>PASS</v>
      </c>
      <c r="E113" s="195" t="s">
        <v>164</v>
      </c>
    </row>
    <row r="114" spans="1:5" ht="14" x14ac:dyDescent="0.15">
      <c r="A114" s="75" t="str">
        <f>IF('Data - Sample Type 0'!C91="","",'Data - Sample Type 0'!C91)</f>
        <v>NEG_09_0_10+</v>
      </c>
      <c r="B114" s="76" t="str">
        <f>IF('Data - Sample Type 0'!L91="","",'Data - Sample Type 0'!L91)</f>
        <v>MTB NOT DETECTED</v>
      </c>
      <c r="C114" s="77" t="str">
        <f>IF(B114="","",IF(B114="INVALID",IF('Data - Sample Type 0'!GA91="","INVALID",'Data - Sample Type 0'!GA91),IF(B114="ERROR",'Data - Sample Type 0'!GA91,IF(B114="NO RESULT",'Data - Sample Type 0'!GA91,IF(B114="V","MINOR VISUAL",IF(B114="M","MAJOR VISUAL",IF(B114="B","BARCODE FAIL",IF(B114="D","DELAMINATION",IF('Data - Sample Type 0'!Q91="","DATA ENTRY ERROR",IF(B114=$D$23,"PASS","MAJOR FUNCTIONAL"))))))))))</f>
        <v>PASS</v>
      </c>
      <c r="D114" s="79" t="str">
        <f>IF(C114="","",IF('Data - Sample Type 0'!FY91="","N/A",IF('Data - Sample Type 0'!FY91&lt;Specifications!$D$3,"PASS","FAIL")))</f>
        <v>PASS</v>
      </c>
      <c r="E114" s="195" t="s">
        <v>164</v>
      </c>
    </row>
    <row r="115" spans="1:5" ht="14" x14ac:dyDescent="0.15">
      <c r="A115" s="75" t="str">
        <f>IF('Data - Sample Type 0'!C92="","",'Data - Sample Type 0'!C92)</f>
        <v>NEG_10_0_01X</v>
      </c>
      <c r="B115" s="76" t="str">
        <f>IF('Data - Sample Type 0'!L92="","",'Data - Sample Type 0'!L92)</f>
        <v>MTB NOT DETECTED</v>
      </c>
      <c r="C115" s="77" t="str">
        <f>IF(B115="","",IF(B115="INVALID",IF('Data - Sample Type 0'!GA92="","INVALID",'Data - Sample Type 0'!GA92),IF(B115="ERROR",'Data - Sample Type 0'!GA92,IF(B115="NO RESULT",'Data - Sample Type 0'!GA92,IF(B115="V","MINOR VISUAL",IF(B115="M","MAJOR VISUAL",IF(B115="B","BARCODE FAIL",IF(B115="D","DELAMINATION",IF('Data - Sample Type 0'!Q92="","DATA ENTRY ERROR",IF(B115=$D$23,"PASS","MAJOR FUNCTIONAL"))))))))))</f>
        <v>PASS</v>
      </c>
      <c r="D115" s="79" t="str">
        <f>IF(C115="","",IF('Data - Sample Type 0'!FY92="","N/A",IF('Data - Sample Type 0'!FY92&lt;Specifications!$D$3,"PASS","FAIL")))</f>
        <v>PASS</v>
      </c>
      <c r="E115" s="195" t="s">
        <v>164</v>
      </c>
    </row>
    <row r="116" spans="1:5" ht="14" x14ac:dyDescent="0.15">
      <c r="A116" s="75" t="str">
        <f>IF('Data - Sample Type 0'!C93="","",'Data - Sample Type 0'!C93)</f>
        <v>NEG_10_0_02X</v>
      </c>
      <c r="B116" s="76" t="str">
        <f>IF('Data - Sample Type 0'!L93="","",'Data - Sample Type 0'!L93)</f>
        <v>MTB NOT DETECTED</v>
      </c>
      <c r="C116" s="77" t="str">
        <f>IF(B116="","",IF(B116="INVALID",IF('Data - Sample Type 0'!GA93="","INVALID",'Data - Sample Type 0'!GA93),IF(B116="ERROR",'Data - Sample Type 0'!GA93,IF(B116="NO RESULT",'Data - Sample Type 0'!GA93,IF(B116="V","MINOR VISUAL",IF(B116="M","MAJOR VISUAL",IF(B116="B","BARCODE FAIL",IF(B116="D","DELAMINATION",IF('Data - Sample Type 0'!Q93="","DATA ENTRY ERROR",IF(B116=$D$23,"PASS","MAJOR FUNCTIONAL"))))))))))</f>
        <v>PASS</v>
      </c>
      <c r="D116" s="79" t="str">
        <f>IF(C116="","",IF('Data - Sample Type 0'!FY93="","N/A",IF('Data - Sample Type 0'!FY93&lt;Specifications!$D$3,"PASS","FAIL")))</f>
        <v>PASS</v>
      </c>
      <c r="E116" s="195" t="s">
        <v>164</v>
      </c>
    </row>
    <row r="117" spans="1:5" ht="14" x14ac:dyDescent="0.15">
      <c r="A117" s="75" t="str">
        <f>IF('Data - Sample Type 0'!C94="","",'Data - Sample Type 0'!C94)</f>
        <v>NEG_10_0_03X</v>
      </c>
      <c r="B117" s="76" t="str">
        <f>IF('Data - Sample Type 0'!L94="","",'Data - Sample Type 0'!L94)</f>
        <v>MTB NOT DETECTED</v>
      </c>
      <c r="C117" s="77" t="str">
        <f>IF(B117="","",IF(B117="INVALID",IF('Data - Sample Type 0'!GA94="","INVALID",'Data - Sample Type 0'!GA94),IF(B117="ERROR",'Data - Sample Type 0'!GA94,IF(B117="NO RESULT",'Data - Sample Type 0'!GA94,IF(B117="V","MINOR VISUAL",IF(B117="M","MAJOR VISUAL",IF(B117="B","BARCODE FAIL",IF(B117="D","DELAMINATION",IF('Data - Sample Type 0'!Q94="","DATA ENTRY ERROR",IF(B117=$D$23,"PASS","MAJOR FUNCTIONAL"))))))))))</f>
        <v>PASS</v>
      </c>
      <c r="D117" s="79" t="str">
        <f>IF(C117="","",IF('Data - Sample Type 0'!FY94="","N/A",IF('Data - Sample Type 0'!FY94&lt;Specifications!$D$3,"PASS","FAIL")))</f>
        <v>PASS</v>
      </c>
      <c r="E117" s="195" t="s">
        <v>164</v>
      </c>
    </row>
    <row r="118" spans="1:5" ht="14" x14ac:dyDescent="0.15">
      <c r="A118" s="75" t="str">
        <f>IF('Data - Sample Type 0'!C95="","",'Data - Sample Type 0'!C95)</f>
        <v>NEG_10_0_04X</v>
      </c>
      <c r="B118" s="76" t="str">
        <f>IF('Data - Sample Type 0'!L95="","",'Data - Sample Type 0'!L95)</f>
        <v>MTB NOT DETECTED</v>
      </c>
      <c r="C118" s="77" t="str">
        <f>IF(B118="","",IF(B118="INVALID",IF('Data - Sample Type 0'!GA95="","INVALID",'Data - Sample Type 0'!GA95),IF(B118="ERROR",'Data - Sample Type 0'!GA95,IF(B118="NO RESULT",'Data - Sample Type 0'!GA95,IF(B118="V","MINOR VISUAL",IF(B118="M","MAJOR VISUAL",IF(B118="B","BARCODE FAIL",IF(B118="D","DELAMINATION",IF('Data - Sample Type 0'!Q95="","DATA ENTRY ERROR",IF(B118=$D$23,"PASS","MAJOR FUNCTIONAL"))))))))))</f>
        <v>PASS</v>
      </c>
      <c r="D118" s="79" t="str">
        <f>IF(C118="","",IF('Data - Sample Type 0'!FY95="","N/A",IF('Data - Sample Type 0'!FY95&lt;Specifications!$D$3,"PASS","FAIL")))</f>
        <v>PASS</v>
      </c>
      <c r="E118" s="195" t="s">
        <v>164</v>
      </c>
    </row>
    <row r="119" spans="1:5" ht="14" x14ac:dyDescent="0.15">
      <c r="A119" s="75" t="str">
        <f>IF('Data - Sample Type 0'!C96="","",'Data - Sample Type 0'!C96)</f>
        <v>NEG_10_0_05X</v>
      </c>
      <c r="B119" s="76" t="str">
        <f>IF('Data - Sample Type 0'!L96="","",'Data - Sample Type 0'!L96)</f>
        <v>MTB NOT DETECTED</v>
      </c>
      <c r="C119" s="77" t="str">
        <f>IF(B119="","",IF(B119="INVALID",IF('Data - Sample Type 0'!GA96="","INVALID",'Data - Sample Type 0'!GA96),IF(B119="ERROR",'Data - Sample Type 0'!GA96,IF(B119="NO RESULT",'Data - Sample Type 0'!GA96,IF(B119="V","MINOR VISUAL",IF(B119="M","MAJOR VISUAL",IF(B119="B","BARCODE FAIL",IF(B119="D","DELAMINATION",IF('Data - Sample Type 0'!Q96="","DATA ENTRY ERROR",IF(B119=$D$23,"PASS","MAJOR FUNCTIONAL"))))))))))</f>
        <v>PASS</v>
      </c>
      <c r="D119" s="79" t="str">
        <f>IF(C119="","",IF('Data - Sample Type 0'!FY96="","N/A",IF('Data - Sample Type 0'!FY96&lt;Specifications!$D$3,"PASS","FAIL")))</f>
        <v>PASS</v>
      </c>
      <c r="E119" s="195" t="s">
        <v>164</v>
      </c>
    </row>
    <row r="120" spans="1:5" ht="28" x14ac:dyDescent="0.15">
      <c r="A120" s="75" t="str">
        <f>IF('Data - Sample Type 0'!C97="","",'Data - Sample Type 0'!C97)</f>
        <v>NEG_10_0_06+</v>
      </c>
      <c r="B120" s="76" t="str">
        <f>IF('Data - Sample Type 0'!L97="","",'Data - Sample Type 0'!L97)</f>
        <v>ERROR</v>
      </c>
      <c r="C120" s="77" t="str">
        <f>IF(B120="","",IF(B120="INVALID",IF('Data - Sample Type 0'!GA97="","INVALID",'Data - Sample Type 0'!GA97),IF(B120="ERROR",'Data - Sample Type 0'!GA97,IF(B120="NO RESULT",'Data - Sample Type 0'!GA97,IF(B120="V","MINOR VISUAL",IF(B120="M","MAJOR VISUAL",IF(B120="B","BARCODE FAIL",IF(B120="D","DELAMINATION",IF('Data - Sample Type 0'!Q97="","DATA ENTRY ERROR",IF(B120=$D$23,"PASS","MAJOR FUNCTIONAL"))))))))))</f>
        <v>Error 2008: Syringe pressure reading of 100.1 PSI exceeds the protocol limit of 100.0 PSI</v>
      </c>
      <c r="D120" s="79" t="str">
        <f>IF(C120="","",IF('Data - Sample Type 0'!FY97="","N/A",IF('Data - Sample Type 0'!FY97&lt;Specifications!$D$3,"PASS","FAIL")))</f>
        <v>FAIL</v>
      </c>
      <c r="E120" s="195" t="s">
        <v>164</v>
      </c>
    </row>
    <row r="121" spans="1:5" ht="14" x14ac:dyDescent="0.15">
      <c r="A121" s="75" t="str">
        <f>IF('Data - Sample Type 0'!C98="","",'Data - Sample Type 0'!C98)</f>
        <v>NEG_10_0_07+</v>
      </c>
      <c r="B121" s="76" t="str">
        <f>IF('Data - Sample Type 0'!L98="","",'Data - Sample Type 0'!L98)</f>
        <v>MTB NOT DETECTED</v>
      </c>
      <c r="C121" s="77" t="str">
        <f>IF(B121="","",IF(B121="INVALID",IF('Data - Sample Type 0'!GA98="","INVALID",'Data - Sample Type 0'!GA98),IF(B121="ERROR",'Data - Sample Type 0'!GA98,IF(B121="NO RESULT",'Data - Sample Type 0'!GA98,IF(B121="V","MINOR VISUAL",IF(B121="M","MAJOR VISUAL",IF(B121="B","BARCODE FAIL",IF(B121="D","DELAMINATION",IF('Data - Sample Type 0'!Q98="","DATA ENTRY ERROR",IF(B121=$D$23,"PASS","MAJOR FUNCTIONAL"))))))))))</f>
        <v>PASS</v>
      </c>
      <c r="D121" s="79" t="str">
        <f>IF(C121="","",IF('Data - Sample Type 0'!FY98="","N/A",IF('Data - Sample Type 0'!FY98&lt;Specifications!$D$3,"PASS","FAIL")))</f>
        <v>PASS</v>
      </c>
      <c r="E121" s="195" t="s">
        <v>164</v>
      </c>
    </row>
    <row r="122" spans="1:5" ht="14" x14ac:dyDescent="0.15">
      <c r="A122" s="75" t="str">
        <f>IF('Data - Sample Type 0'!C99="","",'Data - Sample Type 0'!C99)</f>
        <v>NEG_10_0_08+</v>
      </c>
      <c r="B122" s="76" t="str">
        <f>IF('Data - Sample Type 0'!L99="","",'Data - Sample Type 0'!L99)</f>
        <v>MTB NOT DETECTED</v>
      </c>
      <c r="C122" s="77" t="str">
        <f>IF(B122="","",IF(B122="INVALID",IF('Data - Sample Type 0'!GA99="","INVALID",'Data - Sample Type 0'!GA99),IF(B122="ERROR",'Data - Sample Type 0'!GA99,IF(B122="NO RESULT",'Data - Sample Type 0'!GA99,IF(B122="V","MINOR VISUAL",IF(B122="M","MAJOR VISUAL",IF(B122="B","BARCODE FAIL",IF(B122="D","DELAMINATION",IF('Data - Sample Type 0'!Q99="","DATA ENTRY ERROR",IF(B122=$D$23,"PASS","MAJOR FUNCTIONAL"))))))))))</f>
        <v>PASS</v>
      </c>
      <c r="D122" s="79" t="str">
        <f>IF(C122="","",IF('Data - Sample Type 0'!FY99="","N/A",IF('Data - Sample Type 0'!FY99&lt;Specifications!$D$3,"PASS","FAIL")))</f>
        <v>PASS</v>
      </c>
      <c r="E122" s="195" t="s">
        <v>164</v>
      </c>
    </row>
    <row r="123" spans="1:5" ht="14" x14ac:dyDescent="0.15">
      <c r="A123" s="75" t="str">
        <f>IF('Data - Sample Type 0'!C100="","",'Data - Sample Type 0'!C100)</f>
        <v>NEG_10_0_09+</v>
      </c>
      <c r="B123" s="76" t="str">
        <f>IF('Data - Sample Type 0'!L100="","",'Data - Sample Type 0'!L100)</f>
        <v>MTB NOT DETECTED</v>
      </c>
      <c r="C123" s="77" t="str">
        <f>IF(B123="","",IF(B123="INVALID",IF('Data - Sample Type 0'!GA100="","INVALID",'Data - Sample Type 0'!GA100),IF(B123="ERROR",'Data - Sample Type 0'!GA100,IF(B123="NO RESULT",'Data - Sample Type 0'!GA100,IF(B123="V","MINOR VISUAL",IF(B123="M","MAJOR VISUAL",IF(B123="B","BARCODE FAIL",IF(B123="D","DELAMINATION",IF('Data - Sample Type 0'!Q100="","DATA ENTRY ERROR",IF(B123=$D$23,"PASS","MAJOR FUNCTIONAL"))))))))))</f>
        <v>PASS</v>
      </c>
      <c r="D123" s="79" t="str">
        <f>IF(C123="","",IF('Data - Sample Type 0'!FY100="","N/A",IF('Data - Sample Type 0'!FY100&lt;Specifications!$D$3,"PASS","FAIL")))</f>
        <v>PASS</v>
      </c>
      <c r="E123" s="195" t="s">
        <v>164</v>
      </c>
    </row>
    <row r="124" spans="1:5" ht="14" x14ac:dyDescent="0.15">
      <c r="A124" s="75" t="str">
        <f>IF('Data - Sample Type 0'!C101="","",'Data - Sample Type 0'!C101)</f>
        <v>NEG_10_0_10+</v>
      </c>
      <c r="B124" s="76" t="str">
        <f>IF('Data - Sample Type 0'!L101="","",'Data - Sample Type 0'!L101)</f>
        <v>MTB NOT DETECTED</v>
      </c>
      <c r="C124" s="77" t="str">
        <f>IF(B124="","",IF(B124="INVALID",IF('Data - Sample Type 0'!GA101="","INVALID",'Data - Sample Type 0'!GA101),IF(B124="ERROR",'Data - Sample Type 0'!GA101,IF(B124="NO RESULT",'Data - Sample Type 0'!GA101,IF(B124="V","MINOR VISUAL",IF(B124="M","MAJOR VISUAL",IF(B124="B","BARCODE FAIL",IF(B124="D","DELAMINATION",IF('Data - Sample Type 0'!Q101="","DATA ENTRY ERROR",IF(B124=$D$23,"PASS","MAJOR FUNCTIONAL"))))))))))</f>
        <v>PASS</v>
      </c>
      <c r="D124" s="79" t="str">
        <f>IF(C124="","",IF('Data - Sample Type 0'!FY101="","N/A",IF('Data - Sample Type 0'!FY101&lt;Specifications!$D$3,"PASS","FAIL")))</f>
        <v>PASS</v>
      </c>
      <c r="E124" s="195" t="s">
        <v>164</v>
      </c>
    </row>
    <row r="125" spans="1:5" x14ac:dyDescent="0.15">
      <c r="C125" s="160"/>
      <c r="D125" s="64"/>
      <c r="E125" s="159"/>
    </row>
    <row r="126" spans="1:5" s="87" customFormat="1" ht="17" x14ac:dyDescent="0.15">
      <c r="A126" s="88" t="s">
        <v>537</v>
      </c>
      <c r="B126" s="89">
        <v>1</v>
      </c>
      <c r="C126" s="90" t="s">
        <v>529</v>
      </c>
      <c r="D126" s="370">
        <f>COUNTIF('Data - Sample Type 1'!A2:A81,"&lt;&gt;"&amp;"")</f>
        <v>80</v>
      </c>
      <c r="E126" s="371"/>
    </row>
    <row r="127" spans="1:5" s="87" customFormat="1" ht="17" x14ac:dyDescent="0.15">
      <c r="A127" s="88" t="s">
        <v>530</v>
      </c>
      <c r="B127" s="91" t="str">
        <f>IF($C$3="","",IF(D126=0,"NO DATA",IF(COUNTIF('Data - Sample Type 1'!$E$2:$E$81,$C$3)=D126,"VALID","")))</f>
        <v>VALID</v>
      </c>
      <c r="C127" s="92" t="s">
        <v>531</v>
      </c>
      <c r="D127" s="370" t="str">
        <f>IF($C$4="","",IF(D126=0,"NO DATA",IF(COUNTIF('Data - Sample Type 1'!$A$2:$A$81,$C$4)=D126,"VALID","")))</f>
        <v>VALID</v>
      </c>
      <c r="E127" s="371"/>
    </row>
    <row r="128" spans="1:5" s="87" customFormat="1" ht="34" x14ac:dyDescent="0.15">
      <c r="A128" s="92" t="s">
        <v>532</v>
      </c>
      <c r="B128" s="91" t="str">
        <f>IF(Specifications!$B$7=D126,"PASS","FAIL")</f>
        <v>PASS</v>
      </c>
      <c r="C128" s="101" t="s">
        <v>533</v>
      </c>
      <c r="D128" s="367" t="str">
        <f>LOOKUP($C$2,Specifications!$A$11:$A$22,Specifications!$E$11:E$22)</f>
        <v>MTB DETECTED *;Rif Resistance DETECTED</v>
      </c>
      <c r="E128" s="368"/>
    </row>
    <row r="129" spans="1:5" ht="14" x14ac:dyDescent="0.15">
      <c r="A129" s="71" t="s">
        <v>319</v>
      </c>
      <c r="B129" s="72" t="s">
        <v>274</v>
      </c>
      <c r="C129" s="73" t="s">
        <v>534</v>
      </c>
      <c r="D129" s="71" t="s">
        <v>535</v>
      </c>
      <c r="E129" s="74" t="s">
        <v>536</v>
      </c>
    </row>
    <row r="130" spans="1:5" ht="14" x14ac:dyDescent="0.15">
      <c r="A130" s="75" t="str">
        <f>IF('Data - Sample Type 1'!C2="","",'Data - Sample Type 1'!C2)</f>
        <v>C15NOV23D_01_1_11X</v>
      </c>
      <c r="B130" s="76" t="str">
        <f>IF('Data - Sample Type 1'!L2="","",'Data - Sample Type 1'!L2)</f>
        <v>MTB DETECTED LOW;RIF Resistance DETECTED</v>
      </c>
      <c r="C130" s="77" t="str">
        <f>IF(B130="","",IF(B130="INVALID",IF('Data - Sample Type 1'!GA2="","INVALID",'Data - Sample Type 1'!GA2),IF(B130="ERROR",'Data - Sample Type 1'!GA2,IF(B130="NO RESULT",'Data - Sample Type 1'!GA2,IF(B130="V","MINOR VISUAL",IF(B130="M","MAJOR VISUAL",IF(B130="B","BARCODE FAIL",IF(B130="D","DELAMINATION",IF(COUNTIF(B130,Specifications!$K$4)=1,"INDETERMINATE",IF(COUNTIF(B130,$D$128)&lt;&gt;1,"MAJOR FUNCTIONAL",IF('Data - Sample Type 1'!Q2="","DATA ENTRY ERROR",IF('Data - Sample Type 1'!Q2=0,"SPC CT=0","PASS"))))))))))))</f>
        <v>PASS</v>
      </c>
      <c r="D130" s="79" t="str">
        <f>IF(C130="","",IF('Data - Sample Type 1'!FY2="","N/A",IF('Data - Sample Type 1'!FY2&lt;Specifications!$D$3,"PASS","FAIL")))</f>
        <v>PASS</v>
      </c>
      <c r="E130" s="195" t="s">
        <v>164</v>
      </c>
    </row>
    <row r="131" spans="1:5" ht="14" x14ac:dyDescent="0.15">
      <c r="A131" s="75" t="str">
        <f>IF('Data - Sample Type 1'!C3="","",'Data - Sample Type 1'!C3)</f>
        <v>C15NOV23D_01_1_12X</v>
      </c>
      <c r="B131" s="76" t="str">
        <f>IF('Data - Sample Type 1'!L3="","",'Data - Sample Type 1'!L3)</f>
        <v>MTB DETECTED LOW;RIF Resistance DETECTED</v>
      </c>
      <c r="C131" s="77" t="str">
        <f>IF(B131="","",IF(B131="INVALID",IF('Data - Sample Type 1'!GA3="","INVALID",'Data - Sample Type 1'!GA3),IF(B131="ERROR",'Data - Sample Type 1'!GA3,IF(B131="NO RESULT",'Data - Sample Type 1'!GA3,IF(B131="V","MINOR VISUAL",IF(B131="M","MAJOR VISUAL",IF(B131="B","BARCODE FAIL",IF(B131="D","DELAMINATION",IF(COUNTIF(B131,Specifications!$K$4)=1,"INDETERMINATE",IF(COUNTIF(B131,$D$128)&lt;&gt;1,"MAJOR FUNCTIONAL",IF('Data - Sample Type 1'!Q3="","DATA ENTRY ERROR",IF('Data - Sample Type 1'!Q3=0,"SPC CT=0","PASS"))))))))))))</f>
        <v>PASS</v>
      </c>
      <c r="D131" s="79" t="str">
        <f>IF(C131="","",IF('Data - Sample Type 1'!FY3="","N/A",IF('Data - Sample Type 1'!FY3&lt;Specifications!$D$3,"PASS","FAIL")))</f>
        <v>PASS</v>
      </c>
      <c r="E131" s="195" t="s">
        <v>164</v>
      </c>
    </row>
    <row r="132" spans="1:5" ht="14" x14ac:dyDescent="0.15">
      <c r="A132" s="75" t="str">
        <f>IF('Data - Sample Type 1'!C4="","",'Data - Sample Type 1'!C4)</f>
        <v>C15NOV23D_01_1_13X</v>
      </c>
      <c r="B132" s="76" t="str">
        <f>IF('Data - Sample Type 1'!L4="","",'Data - Sample Type 1'!L4)</f>
        <v>MTB DETECTED LOW;RIF Resistance DETECTED</v>
      </c>
      <c r="C132" s="77" t="str">
        <f>IF(B132="","",IF(B132="INVALID",IF('Data - Sample Type 1'!GA4="","INVALID",'Data - Sample Type 1'!GA4),IF(B132="ERROR",'Data - Sample Type 1'!GA4,IF(B132="NO RESULT",'Data - Sample Type 1'!GA4,IF(B132="V","MINOR VISUAL",IF(B132="M","MAJOR VISUAL",IF(B132="B","BARCODE FAIL",IF(B132="D","DELAMINATION",IF(COUNTIF(B132,Specifications!$K$4)=1,"INDETERMINATE",IF(COUNTIF(B132,$D$128)&lt;&gt;1,"MAJOR FUNCTIONAL",IF('Data - Sample Type 1'!Q4="","DATA ENTRY ERROR",IF('Data - Sample Type 1'!Q4=0,"SPC CT=0","PASS"))))))))))))</f>
        <v>PASS</v>
      </c>
      <c r="D132" s="79" t="str">
        <f>IF(C132="","",IF('Data - Sample Type 1'!FY4="","N/A",IF('Data - Sample Type 1'!FY4&lt;Specifications!$D$3,"PASS","FAIL")))</f>
        <v>PASS</v>
      </c>
      <c r="E132" s="195" t="s">
        <v>164</v>
      </c>
    </row>
    <row r="133" spans="1:5" ht="14" x14ac:dyDescent="0.15">
      <c r="A133" s="75" t="str">
        <f>IF('Data - Sample Type 1'!C5="","",'Data - Sample Type 1'!C5)</f>
        <v>C15NOV23D_01_1_14X</v>
      </c>
      <c r="B133" s="76" t="str">
        <f>IF('Data - Sample Type 1'!L5="","",'Data - Sample Type 1'!L5)</f>
        <v>MTB DETECTED LOW;RIF Resistance DETECTED</v>
      </c>
      <c r="C133" s="77" t="str">
        <f>IF(B133="","",IF(B133="INVALID",IF('Data - Sample Type 1'!GA5="","INVALID",'Data - Sample Type 1'!GA5),IF(B133="ERROR",'Data - Sample Type 1'!GA5,IF(B133="NO RESULT",'Data - Sample Type 1'!GA5,IF(B133="V","MINOR VISUAL",IF(B133="M","MAJOR VISUAL",IF(B133="B","BARCODE FAIL",IF(B133="D","DELAMINATION",IF(COUNTIF(B133,Specifications!$K$4)=1,"INDETERMINATE",IF(COUNTIF(B133,$D$128)&lt;&gt;1,"MAJOR FUNCTIONAL",IF('Data - Sample Type 1'!Q5="","DATA ENTRY ERROR",IF('Data - Sample Type 1'!Q5=0,"SPC CT=0","PASS"))))))))))))</f>
        <v>PASS</v>
      </c>
      <c r="D133" s="79" t="str">
        <f>IF(C133="","",IF('Data - Sample Type 1'!FY5="","N/A",IF('Data - Sample Type 1'!FY5&lt;Specifications!$D$3,"PASS","FAIL")))</f>
        <v>PASS</v>
      </c>
      <c r="E133" s="195" t="s">
        <v>164</v>
      </c>
    </row>
    <row r="134" spans="1:5" ht="14" x14ac:dyDescent="0.15">
      <c r="A134" s="75" t="str">
        <f>IF('Data - Sample Type 1'!C6="","",'Data - Sample Type 1'!C6)</f>
        <v>C15NOV23D_01_1_15+</v>
      </c>
      <c r="B134" s="76" t="str">
        <f>IF('Data - Sample Type 1'!L6="","",'Data - Sample Type 1'!L6)</f>
        <v>MTB DETECTED LOW;RIF Resistance DETECTED</v>
      </c>
      <c r="C134" s="77" t="str">
        <f>IF(B134="","",IF(B134="INVALID",IF('Data - Sample Type 1'!GA6="","INVALID",'Data - Sample Type 1'!GA6),IF(B134="ERROR",'Data - Sample Type 1'!GA6,IF(B134="NO RESULT",'Data - Sample Type 1'!GA6,IF(B134="V","MINOR VISUAL",IF(B134="M","MAJOR VISUAL",IF(B134="B","BARCODE FAIL",IF(B134="D","DELAMINATION",IF(COUNTIF(B134,Specifications!$K$4)=1,"INDETERMINATE",IF(COUNTIF(B134,$D$128)&lt;&gt;1,"MAJOR FUNCTIONAL",IF('Data - Sample Type 1'!Q6="","DATA ENTRY ERROR",IF('Data - Sample Type 1'!Q6=0,"SPC CT=0","PASS"))))))))))))</f>
        <v>PASS</v>
      </c>
      <c r="D134" s="79" t="str">
        <f>IF(C134="","",IF('Data - Sample Type 1'!FY6="","N/A",IF('Data - Sample Type 1'!FY6&lt;Specifications!$D$3,"PASS","FAIL")))</f>
        <v>PASS</v>
      </c>
      <c r="E134" s="195" t="s">
        <v>164</v>
      </c>
    </row>
    <row r="135" spans="1:5" ht="14" x14ac:dyDescent="0.15">
      <c r="A135" s="75" t="str">
        <f>IF('Data - Sample Type 1'!C7="","",'Data - Sample Type 1'!C7)</f>
        <v>C15NOV23D_01_1_16+</v>
      </c>
      <c r="B135" s="76" t="str">
        <f>IF('Data - Sample Type 1'!L7="","",'Data - Sample Type 1'!L7)</f>
        <v>MTB DETECTED LOW;RIF Resistance DETECTED</v>
      </c>
      <c r="C135" s="77" t="str">
        <f>IF(B135="","",IF(B135="INVALID",IF('Data - Sample Type 1'!GA7="","INVALID",'Data - Sample Type 1'!GA7),IF(B135="ERROR",'Data - Sample Type 1'!GA7,IF(B135="NO RESULT",'Data - Sample Type 1'!GA7,IF(B135="V","MINOR VISUAL",IF(B135="M","MAJOR VISUAL",IF(B135="B","BARCODE FAIL",IF(B135="D","DELAMINATION",IF(COUNTIF(B135,Specifications!$K$4)=1,"INDETERMINATE",IF(COUNTIF(B135,$D$128)&lt;&gt;1,"MAJOR FUNCTIONAL",IF('Data - Sample Type 1'!Q7="","DATA ENTRY ERROR",IF('Data - Sample Type 1'!Q7=0,"SPC CT=0","PASS"))))))))))))</f>
        <v>PASS</v>
      </c>
      <c r="D135" s="79" t="str">
        <f>IF(C135="","",IF('Data - Sample Type 1'!FY7="","N/A",IF('Data - Sample Type 1'!FY7&lt;Specifications!$D$3,"PASS","FAIL")))</f>
        <v>PASS</v>
      </c>
      <c r="E135" s="195" t="s">
        <v>164</v>
      </c>
    </row>
    <row r="136" spans="1:5" ht="14" x14ac:dyDescent="0.15">
      <c r="A136" s="75" t="str">
        <f>IF('Data - Sample Type 1'!C8="","",'Data - Sample Type 1'!C8)</f>
        <v>C15NOV23D_01_1_17+</v>
      </c>
      <c r="B136" s="76" t="str">
        <f>IF('Data - Sample Type 1'!L8="","",'Data - Sample Type 1'!L8)</f>
        <v>MTB DETECTED LOW;RIF Resistance DETECTED</v>
      </c>
      <c r="C136" s="77" t="str">
        <f>IF(B136="","",IF(B136="INVALID",IF('Data - Sample Type 1'!GA8="","INVALID",'Data - Sample Type 1'!GA8),IF(B136="ERROR",'Data - Sample Type 1'!GA8,IF(B136="NO RESULT",'Data - Sample Type 1'!GA8,IF(B136="V","MINOR VISUAL",IF(B136="M","MAJOR VISUAL",IF(B136="B","BARCODE FAIL",IF(B136="D","DELAMINATION",IF(COUNTIF(B136,Specifications!$K$4)=1,"INDETERMINATE",IF(COUNTIF(B136,$D$128)&lt;&gt;1,"MAJOR FUNCTIONAL",IF('Data - Sample Type 1'!Q8="","DATA ENTRY ERROR",IF('Data - Sample Type 1'!Q8=0,"SPC CT=0","PASS"))))))))))))</f>
        <v>PASS</v>
      </c>
      <c r="D136" s="79" t="str">
        <f>IF(C136="","",IF('Data - Sample Type 1'!FY8="","N/A",IF('Data - Sample Type 1'!FY8&lt;Specifications!$D$3,"PASS","FAIL")))</f>
        <v>PASS</v>
      </c>
      <c r="E136" s="195" t="s">
        <v>164</v>
      </c>
    </row>
    <row r="137" spans="1:5" ht="14" x14ac:dyDescent="0.15">
      <c r="A137" s="75" t="str">
        <f>IF('Data - Sample Type 1'!C9="","",'Data - Sample Type 1'!C9)</f>
        <v>C15NOV23D_01_1_18+</v>
      </c>
      <c r="B137" s="76" t="str">
        <f>IF('Data - Sample Type 1'!L9="","",'Data - Sample Type 1'!L9)</f>
        <v>MTB DETECTED LOW;RIF Resistance DETECTED</v>
      </c>
      <c r="C137" s="77" t="str">
        <f>IF(B137="","",IF(B137="INVALID",IF('Data - Sample Type 1'!GA9="","INVALID",'Data - Sample Type 1'!GA9),IF(B137="ERROR",'Data - Sample Type 1'!GA9,IF(B137="NO RESULT",'Data - Sample Type 1'!GA9,IF(B137="V","MINOR VISUAL",IF(B137="M","MAJOR VISUAL",IF(B137="B","BARCODE FAIL",IF(B137="D","DELAMINATION",IF(COUNTIF(B137,Specifications!$K$4)=1,"INDETERMINATE",IF(COUNTIF(B137,$D$128)&lt;&gt;1,"MAJOR FUNCTIONAL",IF('Data - Sample Type 1'!Q9="","DATA ENTRY ERROR",IF('Data - Sample Type 1'!Q9=0,"SPC CT=0","PASS"))))))))))))</f>
        <v>PASS</v>
      </c>
      <c r="D137" s="79" t="str">
        <f>IF(C137="","",IF('Data - Sample Type 1'!FY9="","N/A",IF('Data - Sample Type 1'!FY9&lt;Specifications!$D$3,"PASS","FAIL")))</f>
        <v>PASS</v>
      </c>
      <c r="E137" s="195" t="s">
        <v>164</v>
      </c>
    </row>
    <row r="138" spans="1:5" ht="14" x14ac:dyDescent="0.15">
      <c r="A138" s="75" t="str">
        <f>IF('Data - Sample Type 1'!C10="","",'Data - Sample Type 1'!C10)</f>
        <v>C15NOV23D_02_1_11X</v>
      </c>
      <c r="B138" s="76" t="str">
        <f>IF('Data - Sample Type 1'!L10="","",'Data - Sample Type 1'!L10)</f>
        <v>MTB DETECTED LOW;RIF Resistance DETECTED</v>
      </c>
      <c r="C138" s="77" t="str">
        <f>IF(B138="","",IF(B138="INVALID",IF('Data - Sample Type 1'!GA10="","INVALID",'Data - Sample Type 1'!GA10),IF(B138="ERROR",'Data - Sample Type 1'!GA10,IF(B138="NO RESULT",'Data - Sample Type 1'!GA10,IF(B138="V","MINOR VISUAL",IF(B138="M","MAJOR VISUAL",IF(B138="B","BARCODE FAIL",IF(B138="D","DELAMINATION",IF(COUNTIF(B138,Specifications!$K$4)=1,"INDETERMINATE",IF(COUNTIF(B138,$D$128)&lt;&gt;1,"MAJOR FUNCTIONAL",IF('Data - Sample Type 1'!Q10="","DATA ENTRY ERROR",IF('Data - Sample Type 1'!Q10=0,"SPC CT=0","PASS"))))))))))))</f>
        <v>PASS</v>
      </c>
      <c r="D138" s="79" t="str">
        <f>IF(C138="","",IF('Data - Sample Type 1'!FY10="","N/A",IF('Data - Sample Type 1'!FY10&lt;Specifications!$D$3,"PASS","FAIL")))</f>
        <v>PASS</v>
      </c>
      <c r="E138" s="195" t="s">
        <v>164</v>
      </c>
    </row>
    <row r="139" spans="1:5" ht="70" x14ac:dyDescent="0.15">
      <c r="A139" s="75" t="str">
        <f>IF('Data - Sample Type 1'!C11="","",'Data - Sample Type 1'!C11)</f>
        <v>C15NOV23D_02_1_12X</v>
      </c>
      <c r="B139" s="76" t="str">
        <f>IF('Data - Sample Type 1'!L11="","",'Data - Sample Type 1'!L11)</f>
        <v>ERROR</v>
      </c>
      <c r="C139" s="77" t="str">
        <f>IF(B139="","",IF(B139="INVALID",IF('Data - Sample Type 1'!GA11="","INVALID",'Data - Sample Type 1'!GA11),IF(B139="ERROR",'Data - Sample Type 1'!GA11,IF(B139="NO RESULT",'Data - Sample Type 1'!GA11,IF(B139="V","MINOR VISUAL",IF(B139="M","MAJOR VISUAL",IF(B139="B","BARCODE FAIL",IF(B139="D","DELAMINATION",IF(COUNTIF(B139,Specifications!$K$4)=1,"INDETERMINATE",IF(COUNTIF(B139,$D$128)&lt;&gt;1,"MAJOR FUNCTIONAL",IF('Data - Sample Type 1'!Q11="","DATA ENTRY ERROR",IF('Data - Sample Type 1'!Q11=0,"SPC CT=0","PASS"))))))))))))</f>
        <v>Error 5007: [CT1] probe check failed. Probe check value of 17 for reading number 2 was below the minimum of 110|Error 5007: [SPC] probe check failed. Probe check value of 19 for reading number 2 was below the minimum of 119</v>
      </c>
      <c r="D139" s="79" t="str">
        <f>IF(C139="","",IF('Data - Sample Type 1'!FY11="","N/A",IF('Data - Sample Type 1'!FY11&lt;Specifications!$D$3,"PASS","FAIL")))</f>
        <v>PASS</v>
      </c>
      <c r="E139" s="195" t="s">
        <v>164</v>
      </c>
    </row>
    <row r="140" spans="1:5" ht="14" x14ac:dyDescent="0.15">
      <c r="A140" s="75" t="str">
        <f>IF('Data - Sample Type 1'!C12="","",'Data - Sample Type 1'!C12)</f>
        <v>C15NOV23D_02_1_13X</v>
      </c>
      <c r="B140" s="76" t="str">
        <f>IF('Data - Sample Type 1'!L12="","",'Data - Sample Type 1'!L12)</f>
        <v>MTB DETECTED LOW;RIF Resistance DETECTED</v>
      </c>
      <c r="C140" s="77" t="str">
        <f>IF(B140="","",IF(B140="INVALID",IF('Data - Sample Type 1'!GA12="","INVALID",'Data - Sample Type 1'!GA12),IF(B140="ERROR",'Data - Sample Type 1'!GA12,IF(B140="NO RESULT",'Data - Sample Type 1'!GA12,IF(B140="V","MINOR VISUAL",IF(B140="M","MAJOR VISUAL",IF(B140="B","BARCODE FAIL",IF(B140="D","DELAMINATION",IF(COUNTIF(B140,Specifications!$K$4)=1,"INDETERMINATE",IF(COUNTIF(B140,$D$128)&lt;&gt;1,"MAJOR FUNCTIONAL",IF('Data - Sample Type 1'!Q12="","DATA ENTRY ERROR",IF('Data - Sample Type 1'!Q12=0,"SPC CT=0","PASS"))))))))))))</f>
        <v>PASS</v>
      </c>
      <c r="D140" s="79" t="str">
        <f>IF(C140="","",IF('Data - Sample Type 1'!FY12="","N/A",IF('Data - Sample Type 1'!FY12&lt;Specifications!$D$3,"PASS","FAIL")))</f>
        <v>PASS</v>
      </c>
      <c r="E140" s="195" t="s">
        <v>164</v>
      </c>
    </row>
    <row r="141" spans="1:5" ht="14" x14ac:dyDescent="0.15">
      <c r="A141" s="75" t="str">
        <f>IF('Data - Sample Type 1'!C13="","",'Data - Sample Type 1'!C13)</f>
        <v>C15NOV23D_02_1_14X</v>
      </c>
      <c r="B141" s="76" t="str">
        <f>IF('Data - Sample Type 1'!L13="","",'Data - Sample Type 1'!L13)</f>
        <v>MTB DETECTED LOW;RIF Resistance DETECTED</v>
      </c>
      <c r="C141" s="77" t="str">
        <f>IF(B141="","",IF(B141="INVALID",IF('Data - Sample Type 1'!GA13="","INVALID",'Data - Sample Type 1'!GA13),IF(B141="ERROR",'Data - Sample Type 1'!GA13,IF(B141="NO RESULT",'Data - Sample Type 1'!GA13,IF(B141="V","MINOR VISUAL",IF(B141="M","MAJOR VISUAL",IF(B141="B","BARCODE FAIL",IF(B141="D","DELAMINATION",IF(COUNTIF(B141,Specifications!$K$4)=1,"INDETERMINATE",IF(COUNTIF(B141,$D$128)&lt;&gt;1,"MAJOR FUNCTIONAL",IF('Data - Sample Type 1'!Q13="","DATA ENTRY ERROR",IF('Data - Sample Type 1'!Q13=0,"SPC CT=0","PASS"))))))))))))</f>
        <v>PASS</v>
      </c>
      <c r="D141" s="79" t="str">
        <f>IF(C141="","",IF('Data - Sample Type 1'!FY13="","N/A",IF('Data - Sample Type 1'!FY13&lt;Specifications!$D$3,"PASS","FAIL")))</f>
        <v>PASS</v>
      </c>
      <c r="E141" s="195" t="s">
        <v>164</v>
      </c>
    </row>
    <row r="142" spans="1:5" ht="14" x14ac:dyDescent="0.15">
      <c r="A142" s="75" t="str">
        <f>IF('Data - Sample Type 1'!C14="","",'Data - Sample Type 1'!C14)</f>
        <v>C15NOV23D_02_1_15+</v>
      </c>
      <c r="B142" s="76" t="str">
        <f>IF('Data - Sample Type 1'!L14="","",'Data - Sample Type 1'!L14)</f>
        <v>MTB DETECTED LOW;RIF Resistance DETECTED</v>
      </c>
      <c r="C142" s="77" t="str">
        <f>IF(B142="","",IF(B142="INVALID",IF('Data - Sample Type 1'!GA14="","INVALID",'Data - Sample Type 1'!GA14),IF(B142="ERROR",'Data - Sample Type 1'!GA14,IF(B142="NO RESULT",'Data - Sample Type 1'!GA14,IF(B142="V","MINOR VISUAL",IF(B142="M","MAJOR VISUAL",IF(B142="B","BARCODE FAIL",IF(B142="D","DELAMINATION",IF(COUNTIF(B142,Specifications!$K$4)=1,"INDETERMINATE",IF(COUNTIF(B142,$D$128)&lt;&gt;1,"MAJOR FUNCTIONAL",IF('Data - Sample Type 1'!Q14="","DATA ENTRY ERROR",IF('Data - Sample Type 1'!Q14=0,"SPC CT=0","PASS"))))))))))))</f>
        <v>PASS</v>
      </c>
      <c r="D142" s="79" t="str">
        <f>IF(C142="","",IF('Data - Sample Type 1'!FY14="","N/A",IF('Data - Sample Type 1'!FY14&lt;Specifications!$D$3,"PASS","FAIL")))</f>
        <v>PASS</v>
      </c>
      <c r="E142" s="195" t="s">
        <v>164</v>
      </c>
    </row>
    <row r="143" spans="1:5" ht="14" x14ac:dyDescent="0.15">
      <c r="A143" s="75" t="str">
        <f>IF('Data - Sample Type 1'!C15="","",'Data - Sample Type 1'!C15)</f>
        <v>C15NOV23D_02_1_16+</v>
      </c>
      <c r="B143" s="76" t="str">
        <f>IF('Data - Sample Type 1'!L15="","",'Data - Sample Type 1'!L15)</f>
        <v>MTB DETECTED LOW;RIF Resistance DETECTED</v>
      </c>
      <c r="C143" s="77" t="str">
        <f>IF(B143="","",IF(B143="INVALID",IF('Data - Sample Type 1'!GA15="","INVALID",'Data - Sample Type 1'!GA15),IF(B143="ERROR",'Data - Sample Type 1'!GA15,IF(B143="NO RESULT",'Data - Sample Type 1'!GA15,IF(B143="V","MINOR VISUAL",IF(B143="M","MAJOR VISUAL",IF(B143="B","BARCODE FAIL",IF(B143="D","DELAMINATION",IF(COUNTIF(B143,Specifications!$K$4)=1,"INDETERMINATE",IF(COUNTIF(B143,$D$128)&lt;&gt;1,"MAJOR FUNCTIONAL",IF('Data - Sample Type 1'!Q15="","DATA ENTRY ERROR",IF('Data - Sample Type 1'!Q15=0,"SPC CT=0","PASS"))))))))))))</f>
        <v>PASS</v>
      </c>
      <c r="D143" s="79" t="str">
        <f>IF(C143="","",IF('Data - Sample Type 1'!FY15="","N/A",IF('Data - Sample Type 1'!FY15&lt;Specifications!$D$3,"PASS","FAIL")))</f>
        <v>PASS</v>
      </c>
      <c r="E143" s="195" t="s">
        <v>164</v>
      </c>
    </row>
    <row r="144" spans="1:5" ht="14" x14ac:dyDescent="0.15">
      <c r="A144" s="75" t="str">
        <f>IF('Data - Sample Type 1'!C16="","",'Data - Sample Type 1'!C16)</f>
        <v>C15NOV23D_02_1_17+</v>
      </c>
      <c r="B144" s="76" t="str">
        <f>IF('Data - Sample Type 1'!L16="","",'Data - Sample Type 1'!L16)</f>
        <v>MTB DETECTED LOW;RIF Resistance DETECTED</v>
      </c>
      <c r="C144" s="77" t="str">
        <f>IF(B144="","",IF(B144="INVALID",IF('Data - Sample Type 1'!GA16="","INVALID",'Data - Sample Type 1'!GA16),IF(B144="ERROR",'Data - Sample Type 1'!GA16,IF(B144="NO RESULT",'Data - Sample Type 1'!GA16,IF(B144="V","MINOR VISUAL",IF(B144="M","MAJOR VISUAL",IF(B144="B","BARCODE FAIL",IF(B144="D","DELAMINATION",IF(COUNTIF(B144,Specifications!$K$4)=1,"INDETERMINATE",IF(COUNTIF(B144,$D$128)&lt;&gt;1,"MAJOR FUNCTIONAL",IF('Data - Sample Type 1'!Q16="","DATA ENTRY ERROR",IF('Data - Sample Type 1'!Q16=0,"SPC CT=0","PASS"))))))))))))</f>
        <v>PASS</v>
      </c>
      <c r="D144" s="79" t="str">
        <f>IF(C144="","",IF('Data - Sample Type 1'!FY16="","N/A",IF('Data - Sample Type 1'!FY16&lt;Specifications!$D$3,"PASS","FAIL")))</f>
        <v>PASS</v>
      </c>
      <c r="E144" s="195" t="s">
        <v>164</v>
      </c>
    </row>
    <row r="145" spans="1:5" ht="14" x14ac:dyDescent="0.15">
      <c r="A145" s="75" t="str">
        <f>IF('Data - Sample Type 1'!C17="","",'Data - Sample Type 1'!C17)</f>
        <v>C15NOV23D_02_1_18+</v>
      </c>
      <c r="B145" s="76" t="str">
        <f>IF('Data - Sample Type 1'!L17="","",'Data - Sample Type 1'!L17)</f>
        <v>MTB DETECTED LOW;RIF Resistance DETECTED</v>
      </c>
      <c r="C145" s="77" t="str">
        <f>IF(B145="","",IF(B145="INVALID",IF('Data - Sample Type 1'!GA17="","INVALID",'Data - Sample Type 1'!GA17),IF(B145="ERROR",'Data - Sample Type 1'!GA17,IF(B145="NO RESULT",'Data - Sample Type 1'!GA17,IF(B145="V","MINOR VISUAL",IF(B145="M","MAJOR VISUAL",IF(B145="B","BARCODE FAIL",IF(B145="D","DELAMINATION",IF(COUNTIF(B145,Specifications!$K$4)=1,"INDETERMINATE",IF(COUNTIF(B145,$D$128)&lt;&gt;1,"MAJOR FUNCTIONAL",IF('Data - Sample Type 1'!Q17="","DATA ENTRY ERROR",IF('Data - Sample Type 1'!Q17=0,"SPC CT=0","PASS"))))))))))))</f>
        <v>PASS</v>
      </c>
      <c r="D145" s="79" t="str">
        <f>IF(C145="","",IF('Data - Sample Type 1'!FY17="","N/A",IF('Data - Sample Type 1'!FY17&lt;Specifications!$D$3,"PASS","FAIL")))</f>
        <v>PASS</v>
      </c>
      <c r="E145" s="195" t="s">
        <v>164</v>
      </c>
    </row>
    <row r="146" spans="1:5" ht="14" x14ac:dyDescent="0.15">
      <c r="A146" s="75" t="str">
        <f>IF('Data - Sample Type 1'!C18="","",'Data - Sample Type 1'!C18)</f>
        <v>C15NOV23D_03_1_11X</v>
      </c>
      <c r="B146" s="76" t="str">
        <f>IF('Data - Sample Type 1'!L18="","",'Data - Sample Type 1'!L18)</f>
        <v>MTB DETECTED LOW;RIF Resistance DETECTED</v>
      </c>
      <c r="C146" s="77" t="str">
        <f>IF(B146="","",IF(B146="INVALID",IF('Data - Sample Type 1'!GA18="","INVALID",'Data - Sample Type 1'!GA18),IF(B146="ERROR",'Data - Sample Type 1'!GA18,IF(B146="NO RESULT",'Data - Sample Type 1'!GA18,IF(B146="V","MINOR VISUAL",IF(B146="M","MAJOR VISUAL",IF(B146="B","BARCODE FAIL",IF(B146="D","DELAMINATION",IF(COUNTIF(B146,Specifications!$K$4)=1,"INDETERMINATE",IF(COUNTIF(B146,$D$128)&lt;&gt;1,"MAJOR FUNCTIONAL",IF('Data - Sample Type 1'!Q18="","DATA ENTRY ERROR",IF('Data - Sample Type 1'!Q18=0,"SPC CT=0","PASS"))))))))))))</f>
        <v>PASS</v>
      </c>
      <c r="D146" s="79" t="str">
        <f>IF(C146="","",IF('Data - Sample Type 1'!FY18="","N/A",IF('Data - Sample Type 1'!FY18&lt;Specifications!$D$3,"PASS","FAIL")))</f>
        <v>PASS</v>
      </c>
      <c r="E146" s="195" t="s">
        <v>164</v>
      </c>
    </row>
    <row r="147" spans="1:5" ht="14" x14ac:dyDescent="0.15">
      <c r="A147" s="75" t="str">
        <f>IF('Data - Sample Type 1'!C19="","",'Data - Sample Type 1'!C19)</f>
        <v>C15NOV23D_03_1_12X</v>
      </c>
      <c r="B147" s="76" t="str">
        <f>IF('Data - Sample Type 1'!L19="","",'Data - Sample Type 1'!L19)</f>
        <v>MTB DETECTED LOW;RIF Resistance DETECTED</v>
      </c>
      <c r="C147" s="77" t="str">
        <f>IF(B147="","",IF(B147="INVALID",IF('Data - Sample Type 1'!GA19="","INVALID",'Data - Sample Type 1'!GA19),IF(B147="ERROR",'Data - Sample Type 1'!GA19,IF(B147="NO RESULT",'Data - Sample Type 1'!GA19,IF(B147="V","MINOR VISUAL",IF(B147="M","MAJOR VISUAL",IF(B147="B","BARCODE FAIL",IF(B147="D","DELAMINATION",IF(COUNTIF(B147,Specifications!$K$4)=1,"INDETERMINATE",IF(COUNTIF(B147,$D$128)&lt;&gt;1,"MAJOR FUNCTIONAL",IF('Data - Sample Type 1'!Q19="","DATA ENTRY ERROR",IF('Data - Sample Type 1'!Q19=0,"SPC CT=0","PASS"))))))))))))</f>
        <v>PASS</v>
      </c>
      <c r="D147" s="79" t="str">
        <f>IF(C147="","",IF('Data - Sample Type 1'!FY19="","N/A",IF('Data - Sample Type 1'!FY19&lt;Specifications!$D$3,"PASS","FAIL")))</f>
        <v>PASS</v>
      </c>
      <c r="E147" s="195" t="s">
        <v>164</v>
      </c>
    </row>
    <row r="148" spans="1:5" ht="14" x14ac:dyDescent="0.15">
      <c r="A148" s="75" t="str">
        <f>IF('Data - Sample Type 1'!C20="","",'Data - Sample Type 1'!C20)</f>
        <v>C15NOV23D_03_1_13X</v>
      </c>
      <c r="B148" s="76" t="str">
        <f>IF('Data - Sample Type 1'!L20="","",'Data - Sample Type 1'!L20)</f>
        <v>MTB DETECTED LOW;RIF Resistance DETECTED</v>
      </c>
      <c r="C148" s="77" t="str">
        <f>IF(B148="","",IF(B148="INVALID",IF('Data - Sample Type 1'!GA20="","INVALID",'Data - Sample Type 1'!GA20),IF(B148="ERROR",'Data - Sample Type 1'!GA20,IF(B148="NO RESULT",'Data - Sample Type 1'!GA20,IF(B148="V","MINOR VISUAL",IF(B148="M","MAJOR VISUAL",IF(B148="B","BARCODE FAIL",IF(B148="D","DELAMINATION",IF(COUNTIF(B148,Specifications!$K$4)=1,"INDETERMINATE",IF(COUNTIF(B148,$D$128)&lt;&gt;1,"MAJOR FUNCTIONAL",IF('Data - Sample Type 1'!Q20="","DATA ENTRY ERROR",IF('Data - Sample Type 1'!Q20=0,"SPC CT=0","PASS"))))))))))))</f>
        <v>PASS</v>
      </c>
      <c r="D148" s="79" t="str">
        <f>IF(C148="","",IF('Data - Sample Type 1'!FY20="","N/A",IF('Data - Sample Type 1'!FY20&lt;Specifications!$D$3,"PASS","FAIL")))</f>
        <v>PASS</v>
      </c>
      <c r="E148" s="195" t="s">
        <v>164</v>
      </c>
    </row>
    <row r="149" spans="1:5" ht="14" x14ac:dyDescent="0.15">
      <c r="A149" s="75" t="str">
        <f>IF('Data - Sample Type 1'!C21="","",'Data - Sample Type 1'!C21)</f>
        <v>C15NOV23D_03_1_14AX</v>
      </c>
      <c r="B149" s="76" t="str">
        <f>IF('Data - Sample Type 1'!L21="","",'Data - Sample Type 1'!L21)</f>
        <v>MTB DETECTED LOW;RIF Resistance DETECTED</v>
      </c>
      <c r="C149" s="77" t="str">
        <f>IF(B149="","",IF(B149="INVALID",IF('Data - Sample Type 1'!GA21="","INVALID",'Data - Sample Type 1'!GA21),IF(B149="ERROR",'Data - Sample Type 1'!GA21,IF(B149="NO RESULT",'Data - Sample Type 1'!GA21,IF(B149="V","MINOR VISUAL",IF(B149="M","MAJOR VISUAL",IF(B149="B","BARCODE FAIL",IF(B149="D","DELAMINATION",IF(COUNTIF(B149,Specifications!$K$4)=1,"INDETERMINATE",IF(COUNTIF(B149,$D$128)&lt;&gt;1,"MAJOR FUNCTIONAL",IF('Data - Sample Type 1'!Q21="","DATA ENTRY ERROR",IF('Data - Sample Type 1'!Q21=0,"SPC CT=0","PASS"))))))))))))</f>
        <v>PASS</v>
      </c>
      <c r="D149" s="79" t="str">
        <f>IF(C149="","",IF('Data - Sample Type 1'!FY21="","N/A",IF('Data - Sample Type 1'!FY21&lt;Specifications!$D$3,"PASS","FAIL")))</f>
        <v>PASS</v>
      </c>
      <c r="E149" s="195" t="s">
        <v>694</v>
      </c>
    </row>
    <row r="150" spans="1:5" ht="14" x14ac:dyDescent="0.15">
      <c r="A150" s="75" t="str">
        <f>IF('Data - Sample Type 1'!C22="","",'Data - Sample Type 1'!C22)</f>
        <v>C15NOV23D_03_1_15A+</v>
      </c>
      <c r="B150" s="76" t="str">
        <f>IF('Data - Sample Type 1'!L22="","",'Data - Sample Type 1'!L22)</f>
        <v>MTB DETECTED LOW;RIF Resistance DETECTED</v>
      </c>
      <c r="C150" s="77" t="str">
        <f>IF(B150="","",IF(B150="INVALID",IF('Data - Sample Type 1'!GA22="","INVALID",'Data - Sample Type 1'!GA22),IF(B150="ERROR",'Data - Sample Type 1'!GA22,IF(B150="NO RESULT",'Data - Sample Type 1'!GA22,IF(B150="V","MINOR VISUAL",IF(B150="M","MAJOR VISUAL",IF(B150="B","BARCODE FAIL",IF(B150="D","DELAMINATION",IF(COUNTIF(B150,Specifications!$K$4)=1,"INDETERMINATE",IF(COUNTIF(B150,$D$128)&lt;&gt;1,"MAJOR FUNCTIONAL",IF('Data - Sample Type 1'!Q22="","DATA ENTRY ERROR",IF('Data - Sample Type 1'!Q22=0,"SPC CT=0","PASS"))))))))))))</f>
        <v>PASS</v>
      </c>
      <c r="D150" s="79" t="str">
        <f>IF(C150="","",IF('Data - Sample Type 1'!FY22="","N/A",IF('Data - Sample Type 1'!FY22&lt;Specifications!$D$3,"PASS","FAIL")))</f>
        <v>PASS</v>
      </c>
      <c r="E150" s="195" t="s">
        <v>694</v>
      </c>
    </row>
    <row r="151" spans="1:5" ht="14" x14ac:dyDescent="0.15">
      <c r="A151" s="75" t="str">
        <f>IF('Data - Sample Type 1'!C23="","",'Data - Sample Type 1'!C23)</f>
        <v>C15NOV23D_03_1_16A+</v>
      </c>
      <c r="B151" s="76" t="str">
        <f>IF('Data - Sample Type 1'!L23="","",'Data - Sample Type 1'!L23)</f>
        <v>MTB DETECTED LOW;RIF Resistance DETECTED</v>
      </c>
      <c r="C151" s="77" t="str">
        <f>IF(B151="","",IF(B151="INVALID",IF('Data - Sample Type 1'!GA23="","INVALID",'Data - Sample Type 1'!GA23),IF(B151="ERROR",'Data - Sample Type 1'!GA23,IF(B151="NO RESULT",'Data - Sample Type 1'!GA23,IF(B151="V","MINOR VISUAL",IF(B151="M","MAJOR VISUAL",IF(B151="B","BARCODE FAIL",IF(B151="D","DELAMINATION",IF(COUNTIF(B151,Specifications!$K$4)=1,"INDETERMINATE",IF(COUNTIF(B151,$D$128)&lt;&gt;1,"MAJOR FUNCTIONAL",IF('Data - Sample Type 1'!Q23="","DATA ENTRY ERROR",IF('Data - Sample Type 1'!Q23=0,"SPC CT=0","PASS"))))))))))))</f>
        <v>PASS</v>
      </c>
      <c r="D151" s="79" t="str">
        <f>IF(C151="","",IF('Data - Sample Type 1'!FY23="","N/A",IF('Data - Sample Type 1'!FY23&lt;Specifications!$D$3,"PASS","FAIL")))</f>
        <v>PASS</v>
      </c>
      <c r="E151" s="195" t="s">
        <v>694</v>
      </c>
    </row>
    <row r="152" spans="1:5" ht="14" x14ac:dyDescent="0.15">
      <c r="A152" s="75" t="str">
        <f>IF('Data - Sample Type 1'!C24="","",'Data - Sample Type 1'!C24)</f>
        <v>C15NOV23D_03_1_17+</v>
      </c>
      <c r="B152" s="76" t="str">
        <f>IF('Data - Sample Type 1'!L24="","",'Data - Sample Type 1'!L24)</f>
        <v>MTB DETECTED LOW;RIF Resistance DETECTED</v>
      </c>
      <c r="C152" s="77" t="str">
        <f>IF(B152="","",IF(B152="INVALID",IF('Data - Sample Type 1'!GA24="","INVALID",'Data - Sample Type 1'!GA24),IF(B152="ERROR",'Data - Sample Type 1'!GA24,IF(B152="NO RESULT",'Data - Sample Type 1'!GA24,IF(B152="V","MINOR VISUAL",IF(B152="M","MAJOR VISUAL",IF(B152="B","BARCODE FAIL",IF(B152="D","DELAMINATION",IF(COUNTIF(B152,Specifications!$K$4)=1,"INDETERMINATE",IF(COUNTIF(B152,$D$128)&lt;&gt;1,"MAJOR FUNCTIONAL",IF('Data - Sample Type 1'!Q24="","DATA ENTRY ERROR",IF('Data - Sample Type 1'!Q24=0,"SPC CT=0","PASS"))))))))))))</f>
        <v>PASS</v>
      </c>
      <c r="D152" s="79" t="str">
        <f>IF(C152="","",IF('Data - Sample Type 1'!FY24="","N/A",IF('Data - Sample Type 1'!FY24&lt;Specifications!$D$3,"PASS","FAIL")))</f>
        <v>PASS</v>
      </c>
      <c r="E152" s="195" t="s">
        <v>164</v>
      </c>
    </row>
    <row r="153" spans="1:5" ht="14" x14ac:dyDescent="0.15">
      <c r="A153" s="75" t="str">
        <f>IF('Data - Sample Type 1'!C25="","",'Data - Sample Type 1'!C25)</f>
        <v>C15NOV23D_03_1_18+</v>
      </c>
      <c r="B153" s="76" t="str">
        <f>IF('Data - Sample Type 1'!L25="","",'Data - Sample Type 1'!L25)</f>
        <v>MTB DETECTED LOW;RIF Resistance DETECTED</v>
      </c>
      <c r="C153" s="77" t="str">
        <f>IF(B153="","",IF(B153="INVALID",IF('Data - Sample Type 1'!GA25="","INVALID",'Data - Sample Type 1'!GA25),IF(B153="ERROR",'Data - Sample Type 1'!GA25,IF(B153="NO RESULT",'Data - Sample Type 1'!GA25,IF(B153="V","MINOR VISUAL",IF(B153="M","MAJOR VISUAL",IF(B153="B","BARCODE FAIL",IF(B153="D","DELAMINATION",IF(COUNTIF(B153,Specifications!$K$4)=1,"INDETERMINATE",IF(COUNTIF(B153,$D$128)&lt;&gt;1,"MAJOR FUNCTIONAL",IF('Data - Sample Type 1'!Q25="","DATA ENTRY ERROR",IF('Data - Sample Type 1'!Q25=0,"SPC CT=0","PASS"))))))))))))</f>
        <v>PASS</v>
      </c>
      <c r="D153" s="79" t="str">
        <f>IF(C153="","",IF('Data - Sample Type 1'!FY25="","N/A",IF('Data - Sample Type 1'!FY25&lt;Specifications!$D$3,"PASS","FAIL")))</f>
        <v>PASS</v>
      </c>
      <c r="E153" s="195" t="s">
        <v>164</v>
      </c>
    </row>
    <row r="154" spans="1:5" ht="14" x14ac:dyDescent="0.15">
      <c r="A154" s="75" t="str">
        <f>IF('Data - Sample Type 1'!C26="","",'Data - Sample Type 1'!C26)</f>
        <v>C15NOV23D_04_1_11X</v>
      </c>
      <c r="B154" s="76" t="str">
        <f>IF('Data - Sample Type 1'!L26="","",'Data - Sample Type 1'!L26)</f>
        <v>MTB DETECTED LOW;RIF Resistance DETECTED</v>
      </c>
      <c r="C154" s="77" t="str">
        <f>IF(B154="","",IF(B154="INVALID",IF('Data - Sample Type 1'!GA26="","INVALID",'Data - Sample Type 1'!GA26),IF(B154="ERROR",'Data - Sample Type 1'!GA26,IF(B154="NO RESULT",'Data - Sample Type 1'!GA26,IF(B154="V","MINOR VISUAL",IF(B154="M","MAJOR VISUAL",IF(B154="B","BARCODE FAIL",IF(B154="D","DELAMINATION",IF(COUNTIF(B154,Specifications!$K$4)=1,"INDETERMINATE",IF(COUNTIF(B154,$D$128)&lt;&gt;1,"MAJOR FUNCTIONAL",IF('Data - Sample Type 1'!Q26="","DATA ENTRY ERROR",IF('Data - Sample Type 1'!Q26=0,"SPC CT=0","PASS"))))))))))))</f>
        <v>PASS</v>
      </c>
      <c r="D154" s="79" t="str">
        <f>IF(C154="","",IF('Data - Sample Type 1'!FY26="","N/A",IF('Data - Sample Type 1'!FY26&lt;Specifications!$D$3,"PASS","FAIL")))</f>
        <v>PASS</v>
      </c>
      <c r="E154" s="195" t="s">
        <v>164</v>
      </c>
    </row>
    <row r="155" spans="1:5" ht="14" x14ac:dyDescent="0.15">
      <c r="A155" s="75" t="str">
        <f>IF('Data - Sample Type 1'!C27="","",'Data - Sample Type 1'!C27)</f>
        <v>C15NOV23D_04_1_12X</v>
      </c>
      <c r="B155" s="76" t="str">
        <f>IF('Data - Sample Type 1'!L27="","",'Data - Sample Type 1'!L27)</f>
        <v>MTB DETECTED LOW;RIF Resistance DETECTED</v>
      </c>
      <c r="C155" s="77" t="str">
        <f>IF(B155="","",IF(B155="INVALID",IF('Data - Sample Type 1'!GA27="","INVALID",'Data - Sample Type 1'!GA27),IF(B155="ERROR",'Data - Sample Type 1'!GA27,IF(B155="NO RESULT",'Data - Sample Type 1'!GA27,IF(B155="V","MINOR VISUAL",IF(B155="M","MAJOR VISUAL",IF(B155="B","BARCODE FAIL",IF(B155="D","DELAMINATION",IF(COUNTIF(B155,Specifications!$K$4)=1,"INDETERMINATE",IF(COUNTIF(B155,$D$128)&lt;&gt;1,"MAJOR FUNCTIONAL",IF('Data - Sample Type 1'!Q27="","DATA ENTRY ERROR",IF('Data - Sample Type 1'!Q27=0,"SPC CT=0","PASS"))))))))))))</f>
        <v>PASS</v>
      </c>
      <c r="D155" s="79" t="str">
        <f>IF(C155="","",IF('Data - Sample Type 1'!FY27="","N/A",IF('Data - Sample Type 1'!FY27&lt;Specifications!$D$3,"PASS","FAIL")))</f>
        <v>PASS</v>
      </c>
      <c r="E155" s="195" t="s">
        <v>164</v>
      </c>
    </row>
    <row r="156" spans="1:5" ht="14" x14ac:dyDescent="0.15">
      <c r="A156" s="75" t="str">
        <f>IF('Data - Sample Type 1'!C28="","",'Data - Sample Type 1'!C28)</f>
        <v>C15NOV23D_04_1_13X</v>
      </c>
      <c r="B156" s="76" t="str">
        <f>IF('Data - Sample Type 1'!L28="","",'Data - Sample Type 1'!L28)</f>
        <v>MTB DETECTED LOW;RIF Resistance DETECTED</v>
      </c>
      <c r="C156" s="77" t="str">
        <f>IF(B156="","",IF(B156="INVALID",IF('Data - Sample Type 1'!GA28="","INVALID",'Data - Sample Type 1'!GA28),IF(B156="ERROR",'Data - Sample Type 1'!GA28,IF(B156="NO RESULT",'Data - Sample Type 1'!GA28,IF(B156="V","MINOR VISUAL",IF(B156="M","MAJOR VISUAL",IF(B156="B","BARCODE FAIL",IF(B156="D","DELAMINATION",IF(COUNTIF(B156,Specifications!$K$4)=1,"INDETERMINATE",IF(COUNTIF(B156,$D$128)&lt;&gt;1,"MAJOR FUNCTIONAL",IF('Data - Sample Type 1'!Q28="","DATA ENTRY ERROR",IF('Data - Sample Type 1'!Q28=0,"SPC CT=0","PASS"))))))))))))</f>
        <v>PASS</v>
      </c>
      <c r="D156" s="79" t="str">
        <f>IF(C156="","",IF('Data - Sample Type 1'!FY28="","N/A",IF('Data - Sample Type 1'!FY28&lt;Specifications!$D$3,"PASS","FAIL")))</f>
        <v>PASS</v>
      </c>
      <c r="E156" s="195" t="s">
        <v>164</v>
      </c>
    </row>
    <row r="157" spans="1:5" ht="14" x14ac:dyDescent="0.15">
      <c r="A157" s="75" t="str">
        <f>IF('Data - Sample Type 1'!C29="","",'Data - Sample Type 1'!C29)</f>
        <v>C15NOV23D_04_1_14AX</v>
      </c>
      <c r="B157" s="76" t="str">
        <f>IF('Data - Sample Type 1'!L29="","",'Data - Sample Type 1'!L29)</f>
        <v>MTB DETECTED LOW;RIF Resistance DETECTED</v>
      </c>
      <c r="C157" s="77" t="str">
        <f>IF(B157="","",IF(B157="INVALID",IF('Data - Sample Type 1'!GA29="","INVALID",'Data - Sample Type 1'!GA29),IF(B157="ERROR",'Data - Sample Type 1'!GA29,IF(B157="NO RESULT",'Data - Sample Type 1'!GA29,IF(B157="V","MINOR VISUAL",IF(B157="M","MAJOR VISUAL",IF(B157="B","BARCODE FAIL",IF(B157="D","DELAMINATION",IF(COUNTIF(B157,Specifications!$K$4)=1,"INDETERMINATE",IF(COUNTIF(B157,$D$128)&lt;&gt;1,"MAJOR FUNCTIONAL",IF('Data - Sample Type 1'!Q29="","DATA ENTRY ERROR",IF('Data - Sample Type 1'!Q29=0,"SPC CT=0","PASS"))))))))))))</f>
        <v>PASS</v>
      </c>
      <c r="D157" s="79" t="str">
        <f>IF(C157="","",IF('Data - Sample Type 1'!FY29="","N/A",IF('Data - Sample Type 1'!FY29&lt;Specifications!$D$3,"PASS","FAIL")))</f>
        <v>PASS</v>
      </c>
      <c r="E157" s="195" t="s">
        <v>694</v>
      </c>
    </row>
    <row r="158" spans="1:5" ht="14" x14ac:dyDescent="0.15">
      <c r="A158" s="75" t="str">
        <f>IF('Data - Sample Type 1'!C30="","",'Data - Sample Type 1'!C30)</f>
        <v>C15NOV23D_04_1_15+</v>
      </c>
      <c r="B158" s="76" t="str">
        <f>IF('Data - Sample Type 1'!L30="","",'Data - Sample Type 1'!L30)</f>
        <v>MTB DETECTED LOW;RIF Resistance DETECTED</v>
      </c>
      <c r="C158" s="77" t="str">
        <f>IF(B158="","",IF(B158="INVALID",IF('Data - Sample Type 1'!GA30="","INVALID",'Data - Sample Type 1'!GA30),IF(B158="ERROR",'Data - Sample Type 1'!GA30,IF(B158="NO RESULT",'Data - Sample Type 1'!GA30,IF(B158="V","MINOR VISUAL",IF(B158="M","MAJOR VISUAL",IF(B158="B","BARCODE FAIL",IF(B158="D","DELAMINATION",IF(COUNTIF(B158,Specifications!$K$4)=1,"INDETERMINATE",IF(COUNTIF(B158,$D$128)&lt;&gt;1,"MAJOR FUNCTIONAL",IF('Data - Sample Type 1'!Q30="","DATA ENTRY ERROR",IF('Data - Sample Type 1'!Q30=0,"SPC CT=0","PASS"))))))))))))</f>
        <v>PASS</v>
      </c>
      <c r="D158" s="79" t="str">
        <f>IF(C158="","",IF('Data - Sample Type 1'!FY30="","N/A",IF('Data - Sample Type 1'!FY30&lt;Specifications!$D$3,"PASS","FAIL")))</f>
        <v>PASS</v>
      </c>
      <c r="E158" s="195" t="s">
        <v>164</v>
      </c>
    </row>
    <row r="159" spans="1:5" ht="14" x14ac:dyDescent="0.15">
      <c r="A159" s="75" t="str">
        <f>IF('Data - Sample Type 1'!C31="","",'Data - Sample Type 1'!C31)</f>
        <v>C15NOV23D_04_1_16+</v>
      </c>
      <c r="B159" s="76" t="str">
        <f>IF('Data - Sample Type 1'!L31="","",'Data - Sample Type 1'!L31)</f>
        <v>MTB DETECTED LOW;RIF Resistance DETECTED</v>
      </c>
      <c r="C159" s="77" t="str">
        <f>IF(B159="","",IF(B159="INVALID",IF('Data - Sample Type 1'!GA31="","INVALID",'Data - Sample Type 1'!GA31),IF(B159="ERROR",'Data - Sample Type 1'!GA31,IF(B159="NO RESULT",'Data - Sample Type 1'!GA31,IF(B159="V","MINOR VISUAL",IF(B159="M","MAJOR VISUAL",IF(B159="B","BARCODE FAIL",IF(B159="D","DELAMINATION",IF(COUNTIF(B159,Specifications!$K$4)=1,"INDETERMINATE",IF(COUNTIF(B159,$D$128)&lt;&gt;1,"MAJOR FUNCTIONAL",IF('Data - Sample Type 1'!Q31="","DATA ENTRY ERROR",IF('Data - Sample Type 1'!Q31=0,"SPC CT=0","PASS"))))))))))))</f>
        <v>PASS</v>
      </c>
      <c r="D159" s="79" t="str">
        <f>IF(C159="","",IF('Data - Sample Type 1'!FY31="","N/A",IF('Data - Sample Type 1'!FY31&lt;Specifications!$D$3,"PASS","FAIL")))</f>
        <v>PASS</v>
      </c>
      <c r="E159" s="195" t="s">
        <v>164</v>
      </c>
    </row>
    <row r="160" spans="1:5" ht="14" x14ac:dyDescent="0.15">
      <c r="A160" s="75" t="str">
        <f>IF('Data - Sample Type 1'!C32="","",'Data - Sample Type 1'!C32)</f>
        <v>C15NOV23D_04_1_17+</v>
      </c>
      <c r="B160" s="76" t="str">
        <f>IF('Data - Sample Type 1'!L32="","",'Data - Sample Type 1'!L32)</f>
        <v>MTB DETECTED LOW;RIF Resistance DETECTED</v>
      </c>
      <c r="C160" s="77" t="str">
        <f>IF(B160="","",IF(B160="INVALID",IF('Data - Sample Type 1'!GA32="","INVALID",'Data - Sample Type 1'!GA32),IF(B160="ERROR",'Data - Sample Type 1'!GA32,IF(B160="NO RESULT",'Data - Sample Type 1'!GA32,IF(B160="V","MINOR VISUAL",IF(B160="M","MAJOR VISUAL",IF(B160="B","BARCODE FAIL",IF(B160="D","DELAMINATION",IF(COUNTIF(B160,Specifications!$K$4)=1,"INDETERMINATE",IF(COUNTIF(B160,$D$128)&lt;&gt;1,"MAJOR FUNCTIONAL",IF('Data - Sample Type 1'!Q32="","DATA ENTRY ERROR",IF('Data - Sample Type 1'!Q32=0,"SPC CT=0","PASS"))))))))))))</f>
        <v>PASS</v>
      </c>
      <c r="D160" s="79" t="str">
        <f>IF(C160="","",IF('Data - Sample Type 1'!FY32="","N/A",IF('Data - Sample Type 1'!FY32&lt;Specifications!$D$3,"PASS","FAIL")))</f>
        <v>PASS</v>
      </c>
      <c r="E160" s="195" t="s">
        <v>164</v>
      </c>
    </row>
    <row r="161" spans="1:5" ht="14" x14ac:dyDescent="0.15">
      <c r="A161" s="75" t="str">
        <f>IF('Data - Sample Type 1'!C33="","",'Data - Sample Type 1'!C33)</f>
        <v>C15NOV23D_04_1_18+</v>
      </c>
      <c r="B161" s="76" t="str">
        <f>IF('Data - Sample Type 1'!L33="","",'Data - Sample Type 1'!L33)</f>
        <v>MTB DETECTED LOW;RIF Resistance DETECTED</v>
      </c>
      <c r="C161" s="77" t="str">
        <f>IF(B161="","",IF(B161="INVALID",IF('Data - Sample Type 1'!GA33="","INVALID",'Data - Sample Type 1'!GA33),IF(B161="ERROR",'Data - Sample Type 1'!GA33,IF(B161="NO RESULT",'Data - Sample Type 1'!GA33,IF(B161="V","MINOR VISUAL",IF(B161="M","MAJOR VISUAL",IF(B161="B","BARCODE FAIL",IF(B161="D","DELAMINATION",IF(COUNTIF(B161,Specifications!$K$4)=1,"INDETERMINATE",IF(COUNTIF(B161,$D$128)&lt;&gt;1,"MAJOR FUNCTIONAL",IF('Data - Sample Type 1'!Q33="","DATA ENTRY ERROR",IF('Data - Sample Type 1'!Q33=0,"SPC CT=0","PASS"))))))))))))</f>
        <v>PASS</v>
      </c>
      <c r="D161" s="79" t="str">
        <f>IF(C161="","",IF('Data - Sample Type 1'!FY33="","N/A",IF('Data - Sample Type 1'!FY33&lt;Specifications!$D$3,"PASS","FAIL")))</f>
        <v>PASS</v>
      </c>
      <c r="E161" s="195" t="s">
        <v>164</v>
      </c>
    </row>
    <row r="162" spans="1:5" ht="14" x14ac:dyDescent="0.15">
      <c r="A162" s="75" t="str">
        <f>IF('Data - Sample Type 1'!C34="","",'Data - Sample Type 1'!C34)</f>
        <v>C15NOV23D_05_1_11X</v>
      </c>
      <c r="B162" s="76" t="str">
        <f>IF('Data - Sample Type 1'!L34="","",'Data - Sample Type 1'!L34)</f>
        <v>MTB DETECTED LOW;RIF Resistance DETECTED</v>
      </c>
      <c r="C162" s="77" t="str">
        <f>IF(B162="","",IF(B162="INVALID",IF('Data - Sample Type 1'!GA34="","INVALID",'Data - Sample Type 1'!GA34),IF(B162="ERROR",'Data - Sample Type 1'!GA34,IF(B162="NO RESULT",'Data - Sample Type 1'!GA34,IF(B162="V","MINOR VISUAL",IF(B162="M","MAJOR VISUAL",IF(B162="B","BARCODE FAIL",IF(B162="D","DELAMINATION",IF(COUNTIF(B162,Specifications!$K$4)=1,"INDETERMINATE",IF(COUNTIF(B162,$D$128)&lt;&gt;1,"MAJOR FUNCTIONAL",IF('Data - Sample Type 1'!Q34="","DATA ENTRY ERROR",IF('Data - Sample Type 1'!Q34=0,"SPC CT=0","PASS"))))))))))))</f>
        <v>PASS</v>
      </c>
      <c r="D162" s="79" t="str">
        <f>IF(C162="","",IF('Data - Sample Type 1'!FY34="","N/A",IF('Data - Sample Type 1'!FY34&lt;Specifications!$D$3,"PASS","FAIL")))</f>
        <v>PASS</v>
      </c>
      <c r="E162" s="195" t="s">
        <v>164</v>
      </c>
    </row>
    <row r="163" spans="1:5" ht="14" x14ac:dyDescent="0.15">
      <c r="A163" s="75" t="str">
        <f>IF('Data - Sample Type 1'!C35="","",'Data - Sample Type 1'!C35)</f>
        <v>C15NOV23D_05_1_12X</v>
      </c>
      <c r="B163" s="76" t="str">
        <f>IF('Data - Sample Type 1'!L35="","",'Data - Sample Type 1'!L35)</f>
        <v>MTB DETECTED LOW;RIF Resistance DETECTED</v>
      </c>
      <c r="C163" s="77" t="str">
        <f>IF(B163="","",IF(B163="INVALID",IF('Data - Sample Type 1'!GA35="","INVALID",'Data - Sample Type 1'!GA35),IF(B163="ERROR",'Data - Sample Type 1'!GA35,IF(B163="NO RESULT",'Data - Sample Type 1'!GA35,IF(B163="V","MINOR VISUAL",IF(B163="M","MAJOR VISUAL",IF(B163="B","BARCODE FAIL",IF(B163="D","DELAMINATION",IF(COUNTIF(B163,Specifications!$K$4)=1,"INDETERMINATE",IF(COUNTIF(B163,$D$128)&lt;&gt;1,"MAJOR FUNCTIONAL",IF('Data - Sample Type 1'!Q35="","DATA ENTRY ERROR",IF('Data - Sample Type 1'!Q35=0,"SPC CT=0","PASS"))))))))))))</f>
        <v>PASS</v>
      </c>
      <c r="D163" s="79" t="str">
        <f>IF(C163="","",IF('Data - Sample Type 1'!FY35="","N/A",IF('Data - Sample Type 1'!FY35&lt;Specifications!$D$3,"PASS","FAIL")))</f>
        <v>PASS</v>
      </c>
      <c r="E163" s="195" t="s">
        <v>164</v>
      </c>
    </row>
    <row r="164" spans="1:5" ht="14" x14ac:dyDescent="0.15">
      <c r="A164" s="75" t="str">
        <f>IF('Data - Sample Type 1'!C36="","",'Data - Sample Type 1'!C36)</f>
        <v>C15NOV23D_05_1_13X</v>
      </c>
      <c r="B164" s="76" t="str">
        <f>IF('Data - Sample Type 1'!L36="","",'Data - Sample Type 1'!L36)</f>
        <v>MTB DETECTED LOW;RIF Resistance DETECTED</v>
      </c>
      <c r="C164" s="77" t="str">
        <f>IF(B164="","",IF(B164="INVALID",IF('Data - Sample Type 1'!GA36="","INVALID",'Data - Sample Type 1'!GA36),IF(B164="ERROR",'Data - Sample Type 1'!GA36,IF(B164="NO RESULT",'Data - Sample Type 1'!GA36,IF(B164="V","MINOR VISUAL",IF(B164="M","MAJOR VISUAL",IF(B164="B","BARCODE FAIL",IF(B164="D","DELAMINATION",IF(COUNTIF(B164,Specifications!$K$4)=1,"INDETERMINATE",IF(COUNTIF(B164,$D$128)&lt;&gt;1,"MAJOR FUNCTIONAL",IF('Data - Sample Type 1'!Q36="","DATA ENTRY ERROR",IF('Data - Sample Type 1'!Q36=0,"SPC CT=0","PASS"))))))))))))</f>
        <v>PASS</v>
      </c>
      <c r="D164" s="79" t="str">
        <f>IF(C164="","",IF('Data - Sample Type 1'!FY36="","N/A",IF('Data - Sample Type 1'!FY36&lt;Specifications!$D$3,"PASS","FAIL")))</f>
        <v>PASS</v>
      </c>
      <c r="E164" s="195" t="s">
        <v>164</v>
      </c>
    </row>
    <row r="165" spans="1:5" ht="14" x14ac:dyDescent="0.15">
      <c r="A165" s="75" t="str">
        <f>IF('Data - Sample Type 1'!C37="","",'Data - Sample Type 1'!C37)</f>
        <v>C15NOV23D_05_1_14X</v>
      </c>
      <c r="B165" s="76" t="str">
        <f>IF('Data - Sample Type 1'!L37="","",'Data - Sample Type 1'!L37)</f>
        <v>MTB DETECTED LOW;RIF Resistance DETECTED</v>
      </c>
      <c r="C165" s="77" t="str">
        <f>IF(B165="","",IF(B165="INVALID",IF('Data - Sample Type 1'!GA37="","INVALID",'Data - Sample Type 1'!GA37),IF(B165="ERROR",'Data - Sample Type 1'!GA37,IF(B165="NO RESULT",'Data - Sample Type 1'!GA37,IF(B165="V","MINOR VISUAL",IF(B165="M","MAJOR VISUAL",IF(B165="B","BARCODE FAIL",IF(B165="D","DELAMINATION",IF(COUNTIF(B165,Specifications!$K$4)=1,"INDETERMINATE",IF(COUNTIF(B165,$D$128)&lt;&gt;1,"MAJOR FUNCTIONAL",IF('Data - Sample Type 1'!Q37="","DATA ENTRY ERROR",IF('Data - Sample Type 1'!Q37=0,"SPC CT=0","PASS"))))))))))))</f>
        <v>PASS</v>
      </c>
      <c r="D165" s="79" t="str">
        <f>IF(C165="","",IF('Data - Sample Type 1'!FY37="","N/A",IF('Data - Sample Type 1'!FY37&lt;Specifications!$D$3,"PASS","FAIL")))</f>
        <v>PASS</v>
      </c>
      <c r="E165" s="195" t="s">
        <v>164</v>
      </c>
    </row>
    <row r="166" spans="1:5" ht="14" x14ac:dyDescent="0.15">
      <c r="A166" s="75" t="str">
        <f>IF('Data - Sample Type 1'!C38="","",'Data - Sample Type 1'!C38)</f>
        <v>C15NOV23D_05_1_15+</v>
      </c>
      <c r="B166" s="76" t="str">
        <f>IF('Data - Sample Type 1'!L38="","",'Data - Sample Type 1'!L38)</f>
        <v>MTB DETECTED LOW;RIF Resistance DETECTED</v>
      </c>
      <c r="C166" s="77" t="str">
        <f>IF(B166="","",IF(B166="INVALID",IF('Data - Sample Type 1'!GA38="","INVALID",'Data - Sample Type 1'!GA38),IF(B166="ERROR",'Data - Sample Type 1'!GA38,IF(B166="NO RESULT",'Data - Sample Type 1'!GA38,IF(B166="V","MINOR VISUAL",IF(B166="M","MAJOR VISUAL",IF(B166="B","BARCODE FAIL",IF(B166="D","DELAMINATION",IF(COUNTIF(B166,Specifications!$K$4)=1,"INDETERMINATE",IF(COUNTIF(B166,$D$128)&lt;&gt;1,"MAJOR FUNCTIONAL",IF('Data - Sample Type 1'!Q38="","DATA ENTRY ERROR",IF('Data - Sample Type 1'!Q38=0,"SPC CT=0","PASS"))))))))))))</f>
        <v>PASS</v>
      </c>
      <c r="D166" s="79" t="str">
        <f>IF(C166="","",IF('Data - Sample Type 1'!FY38="","N/A",IF('Data - Sample Type 1'!FY38&lt;Specifications!$D$3,"PASS","FAIL")))</f>
        <v>PASS</v>
      </c>
      <c r="E166" s="195" t="s">
        <v>164</v>
      </c>
    </row>
    <row r="167" spans="1:5" ht="14" x14ac:dyDescent="0.15">
      <c r="A167" s="75" t="str">
        <f>IF('Data - Sample Type 1'!C39="","",'Data - Sample Type 1'!C39)</f>
        <v>C15NOV23D_05_1_16+</v>
      </c>
      <c r="B167" s="76" t="str">
        <f>IF('Data - Sample Type 1'!L39="","",'Data - Sample Type 1'!L39)</f>
        <v>MTB DETECTED LOW;RIF Resistance DETECTED</v>
      </c>
      <c r="C167" s="77" t="str">
        <f>IF(B167="","",IF(B167="INVALID",IF('Data - Sample Type 1'!GA39="","INVALID",'Data - Sample Type 1'!GA39),IF(B167="ERROR",'Data - Sample Type 1'!GA39,IF(B167="NO RESULT",'Data - Sample Type 1'!GA39,IF(B167="V","MINOR VISUAL",IF(B167="M","MAJOR VISUAL",IF(B167="B","BARCODE FAIL",IF(B167="D","DELAMINATION",IF(COUNTIF(B167,Specifications!$K$4)=1,"INDETERMINATE",IF(COUNTIF(B167,$D$128)&lt;&gt;1,"MAJOR FUNCTIONAL",IF('Data - Sample Type 1'!Q39="","DATA ENTRY ERROR",IF('Data - Sample Type 1'!Q39=0,"SPC CT=0","PASS"))))))))))))</f>
        <v>PASS</v>
      </c>
      <c r="D167" s="79" t="str">
        <f>IF(C167="","",IF('Data - Sample Type 1'!FY39="","N/A",IF('Data - Sample Type 1'!FY39&lt;Specifications!$D$3,"PASS","FAIL")))</f>
        <v>PASS</v>
      </c>
      <c r="E167" s="195" t="s">
        <v>164</v>
      </c>
    </row>
    <row r="168" spans="1:5" ht="14" x14ac:dyDescent="0.15">
      <c r="A168" s="75" t="str">
        <f>IF('Data - Sample Type 1'!C40="","",'Data - Sample Type 1'!C40)</f>
        <v>C15NOV23D_05_1_17+</v>
      </c>
      <c r="B168" s="76" t="str">
        <f>IF('Data - Sample Type 1'!L40="","",'Data - Sample Type 1'!L40)</f>
        <v>MTB DETECTED LOW;RIF Resistance DETECTED</v>
      </c>
      <c r="C168" s="77" t="str">
        <f>IF(B168="","",IF(B168="INVALID",IF('Data - Sample Type 1'!GA40="","INVALID",'Data - Sample Type 1'!GA40),IF(B168="ERROR",'Data - Sample Type 1'!GA40,IF(B168="NO RESULT",'Data - Sample Type 1'!GA40,IF(B168="V","MINOR VISUAL",IF(B168="M","MAJOR VISUAL",IF(B168="B","BARCODE FAIL",IF(B168="D","DELAMINATION",IF(COUNTIF(B168,Specifications!$K$4)=1,"INDETERMINATE",IF(COUNTIF(B168,$D$128)&lt;&gt;1,"MAJOR FUNCTIONAL",IF('Data - Sample Type 1'!Q40="","DATA ENTRY ERROR",IF('Data - Sample Type 1'!Q40=0,"SPC CT=0","PASS"))))))))))))</f>
        <v>PASS</v>
      </c>
      <c r="D168" s="79" t="str">
        <f>IF(C168="","",IF('Data - Sample Type 1'!FY40="","N/A",IF('Data - Sample Type 1'!FY40&lt;Specifications!$D$3,"PASS","FAIL")))</f>
        <v>PASS</v>
      </c>
      <c r="E168" s="195" t="s">
        <v>164</v>
      </c>
    </row>
    <row r="169" spans="1:5" ht="14" x14ac:dyDescent="0.15">
      <c r="A169" s="75" t="str">
        <f>IF('Data - Sample Type 1'!C41="","",'Data - Sample Type 1'!C41)</f>
        <v>C15NOV23D_05_1_18+</v>
      </c>
      <c r="B169" s="76" t="str">
        <f>IF('Data - Sample Type 1'!L41="","",'Data - Sample Type 1'!L41)</f>
        <v>MTB DETECTED LOW;RIF Resistance DETECTED</v>
      </c>
      <c r="C169" s="77" t="str">
        <f>IF(B169="","",IF(B169="INVALID",IF('Data - Sample Type 1'!GA41="","INVALID",'Data - Sample Type 1'!GA41),IF(B169="ERROR",'Data - Sample Type 1'!GA41,IF(B169="NO RESULT",'Data - Sample Type 1'!GA41,IF(B169="V","MINOR VISUAL",IF(B169="M","MAJOR VISUAL",IF(B169="B","BARCODE FAIL",IF(B169="D","DELAMINATION",IF(COUNTIF(B169,Specifications!$K$4)=1,"INDETERMINATE",IF(COUNTIF(B169,$D$128)&lt;&gt;1,"MAJOR FUNCTIONAL",IF('Data - Sample Type 1'!Q41="","DATA ENTRY ERROR",IF('Data - Sample Type 1'!Q41=0,"SPC CT=0","PASS"))))))))))))</f>
        <v>PASS</v>
      </c>
      <c r="D169" s="79" t="str">
        <f>IF(C169="","",IF('Data - Sample Type 1'!FY41="","N/A",IF('Data - Sample Type 1'!FY41&lt;Specifications!$D$3,"PASS","FAIL")))</f>
        <v>PASS</v>
      </c>
      <c r="E169" s="195" t="s">
        <v>164</v>
      </c>
    </row>
    <row r="170" spans="1:5" ht="14" x14ac:dyDescent="0.15">
      <c r="A170" s="75" t="str">
        <f>IF('Data - Sample Type 1'!C42="","",'Data - Sample Type 1'!C42)</f>
        <v>C15NOV23D_06_1_11X</v>
      </c>
      <c r="B170" s="76" t="str">
        <f>IF('Data - Sample Type 1'!L42="","",'Data - Sample Type 1'!L42)</f>
        <v>MTB DETECTED LOW;RIF Resistance DETECTED</v>
      </c>
      <c r="C170" s="77" t="str">
        <f>IF(B170="","",IF(B170="INVALID",IF('Data - Sample Type 1'!GA42="","INVALID",'Data - Sample Type 1'!GA42),IF(B170="ERROR",'Data - Sample Type 1'!GA42,IF(B170="NO RESULT",'Data - Sample Type 1'!GA42,IF(B170="V","MINOR VISUAL",IF(B170="M","MAJOR VISUAL",IF(B170="B","BARCODE FAIL",IF(B170="D","DELAMINATION",IF(COUNTIF(B170,Specifications!$K$4)=1,"INDETERMINATE",IF(COUNTIF(B170,$D$128)&lt;&gt;1,"MAJOR FUNCTIONAL",IF('Data - Sample Type 1'!Q42="","DATA ENTRY ERROR",IF('Data - Sample Type 1'!Q42=0,"SPC CT=0","PASS"))))))))))))</f>
        <v>PASS</v>
      </c>
      <c r="D170" s="79" t="str">
        <f>IF(C170="","",IF('Data - Sample Type 1'!FY42="","N/A",IF('Data - Sample Type 1'!FY42&lt;Specifications!$D$3,"PASS","FAIL")))</f>
        <v>PASS</v>
      </c>
      <c r="E170" s="195" t="s">
        <v>164</v>
      </c>
    </row>
    <row r="171" spans="1:5" ht="14" x14ac:dyDescent="0.15">
      <c r="A171" s="75" t="str">
        <f>IF('Data - Sample Type 1'!C43="","",'Data - Sample Type 1'!C43)</f>
        <v>C15NOV23D_06_1_12X</v>
      </c>
      <c r="B171" s="76" t="str">
        <f>IF('Data - Sample Type 1'!L43="","",'Data - Sample Type 1'!L43)</f>
        <v>MTB DETECTED LOW;RIF Resistance DETECTED</v>
      </c>
      <c r="C171" s="77" t="str">
        <f>IF(B171="","",IF(B171="INVALID",IF('Data - Sample Type 1'!GA43="","INVALID",'Data - Sample Type 1'!GA43),IF(B171="ERROR",'Data - Sample Type 1'!GA43,IF(B171="NO RESULT",'Data - Sample Type 1'!GA43,IF(B171="V","MINOR VISUAL",IF(B171="M","MAJOR VISUAL",IF(B171="B","BARCODE FAIL",IF(B171="D","DELAMINATION",IF(COUNTIF(B171,Specifications!$K$4)=1,"INDETERMINATE",IF(COUNTIF(B171,$D$128)&lt;&gt;1,"MAJOR FUNCTIONAL",IF('Data - Sample Type 1'!Q43="","DATA ENTRY ERROR",IF('Data - Sample Type 1'!Q43=0,"SPC CT=0","PASS"))))))))))))</f>
        <v>PASS</v>
      </c>
      <c r="D171" s="79" t="str">
        <f>IF(C171="","",IF('Data - Sample Type 1'!FY43="","N/A",IF('Data - Sample Type 1'!FY43&lt;Specifications!$D$3,"PASS","FAIL")))</f>
        <v>PASS</v>
      </c>
      <c r="E171" s="195" t="s">
        <v>164</v>
      </c>
    </row>
    <row r="172" spans="1:5" ht="14" x14ac:dyDescent="0.15">
      <c r="A172" s="75" t="str">
        <f>IF('Data - Sample Type 1'!C44="","",'Data - Sample Type 1'!C44)</f>
        <v>C15NOV23D_06_1_13AAX</v>
      </c>
      <c r="B172" s="76" t="str">
        <f>IF('Data - Sample Type 1'!L44="","",'Data - Sample Type 1'!L44)</f>
        <v>MTB DETECTED LOW;RIF Resistance DETECTED</v>
      </c>
      <c r="C172" s="77" t="str">
        <f>IF(B172="","",IF(B172="INVALID",IF('Data - Sample Type 1'!GA44="","INVALID",'Data - Sample Type 1'!GA44),IF(B172="ERROR",'Data - Sample Type 1'!GA44,IF(B172="NO RESULT",'Data - Sample Type 1'!GA44,IF(B172="V","MINOR VISUAL",IF(B172="M","MAJOR VISUAL",IF(B172="B","BARCODE FAIL",IF(B172="D","DELAMINATION",IF(COUNTIF(B172,Specifications!$K$4)=1,"INDETERMINATE",IF(COUNTIF(B172,$D$128)&lt;&gt;1,"MAJOR FUNCTIONAL",IF('Data - Sample Type 1'!Q44="","DATA ENTRY ERROR",IF('Data - Sample Type 1'!Q44=0,"SPC CT=0","PASS"))))))))))))</f>
        <v>PASS</v>
      </c>
      <c r="D172" s="79" t="str">
        <f>IF(C172="","",IF('Data - Sample Type 1'!FY44="","N/A",IF('Data - Sample Type 1'!FY44&lt;Specifications!$D$3,"PASS","FAIL")))</f>
        <v>PASS</v>
      </c>
      <c r="E172" s="195" t="s">
        <v>694</v>
      </c>
    </row>
    <row r="173" spans="1:5" ht="14" x14ac:dyDescent="0.15">
      <c r="A173" s="75" t="str">
        <f>IF('Data - Sample Type 1'!C45="","",'Data - Sample Type 1'!C45)</f>
        <v>C15NOV23D_06_1_14X</v>
      </c>
      <c r="B173" s="76" t="str">
        <f>IF('Data - Sample Type 1'!L45="","",'Data - Sample Type 1'!L45)</f>
        <v>MTB DETECTED LOW;RIF Resistance DETECTED</v>
      </c>
      <c r="C173" s="77" t="str">
        <f>IF(B173="","",IF(B173="INVALID",IF('Data - Sample Type 1'!GA45="","INVALID",'Data - Sample Type 1'!GA45),IF(B173="ERROR",'Data - Sample Type 1'!GA45,IF(B173="NO RESULT",'Data - Sample Type 1'!GA45,IF(B173="V","MINOR VISUAL",IF(B173="M","MAJOR VISUAL",IF(B173="B","BARCODE FAIL",IF(B173="D","DELAMINATION",IF(COUNTIF(B173,Specifications!$K$4)=1,"INDETERMINATE",IF(COUNTIF(B173,$D$128)&lt;&gt;1,"MAJOR FUNCTIONAL",IF('Data - Sample Type 1'!Q45="","DATA ENTRY ERROR",IF('Data - Sample Type 1'!Q45=0,"SPC CT=0","PASS"))))))))))))</f>
        <v>PASS</v>
      </c>
      <c r="D173" s="79" t="str">
        <f>IF(C173="","",IF('Data - Sample Type 1'!FY45="","N/A",IF('Data - Sample Type 1'!FY45&lt;Specifications!$D$3,"PASS","FAIL")))</f>
        <v>PASS</v>
      </c>
      <c r="E173" s="195" t="s">
        <v>164</v>
      </c>
    </row>
    <row r="174" spans="1:5" ht="14" x14ac:dyDescent="0.15">
      <c r="A174" s="75" t="str">
        <f>IF('Data - Sample Type 1'!C46="","",'Data - Sample Type 1'!C46)</f>
        <v>C15NOV23D_06_1_15+</v>
      </c>
      <c r="B174" s="76" t="str">
        <f>IF('Data - Sample Type 1'!L46="","",'Data - Sample Type 1'!L46)</f>
        <v>MTB DETECTED LOW;RIF Resistance DETECTED</v>
      </c>
      <c r="C174" s="77" t="str">
        <f>IF(B174="","",IF(B174="INVALID",IF('Data - Sample Type 1'!GA46="","INVALID",'Data - Sample Type 1'!GA46),IF(B174="ERROR",'Data - Sample Type 1'!GA46,IF(B174="NO RESULT",'Data - Sample Type 1'!GA46,IF(B174="V","MINOR VISUAL",IF(B174="M","MAJOR VISUAL",IF(B174="B","BARCODE FAIL",IF(B174="D","DELAMINATION",IF(COUNTIF(B174,Specifications!$K$4)=1,"INDETERMINATE",IF(COUNTIF(B174,$D$128)&lt;&gt;1,"MAJOR FUNCTIONAL",IF('Data - Sample Type 1'!Q46="","DATA ENTRY ERROR",IF('Data - Sample Type 1'!Q46=0,"SPC CT=0","PASS"))))))))))))</f>
        <v>PASS</v>
      </c>
      <c r="D174" s="79" t="str">
        <f>IF(C174="","",IF('Data - Sample Type 1'!FY46="","N/A",IF('Data - Sample Type 1'!FY46&lt;Specifications!$D$3,"PASS","FAIL")))</f>
        <v>PASS</v>
      </c>
      <c r="E174" s="195" t="s">
        <v>164</v>
      </c>
    </row>
    <row r="175" spans="1:5" ht="14" x14ac:dyDescent="0.15">
      <c r="A175" s="75" t="str">
        <f>IF('Data - Sample Type 1'!C47="","",'Data - Sample Type 1'!C47)</f>
        <v>C15NOV23D_06_1_16A+_D06</v>
      </c>
      <c r="B175" s="76" t="str">
        <f>IF('Data - Sample Type 1'!L47="","",'Data - Sample Type 1'!L47)</f>
        <v>MTB DETECTED LOW;RIF Resistance DETECTED</v>
      </c>
      <c r="C175" s="77" t="str">
        <f>IF(B175="","",IF(B175="INVALID",IF('Data - Sample Type 1'!GA47="","INVALID",'Data - Sample Type 1'!GA47),IF(B175="ERROR",'Data - Sample Type 1'!GA47,IF(B175="NO RESULT",'Data - Sample Type 1'!GA47,IF(B175="V","MINOR VISUAL",IF(B175="M","MAJOR VISUAL",IF(B175="B","BARCODE FAIL",IF(B175="D","DELAMINATION",IF(COUNTIF(B175,Specifications!$K$4)=1,"INDETERMINATE",IF(COUNTIF(B175,$D$128)&lt;&gt;1,"MAJOR FUNCTIONAL",IF('Data - Sample Type 1'!Q47="","DATA ENTRY ERROR",IF('Data - Sample Type 1'!Q47=0,"SPC CT=0","PASS"))))))))))))</f>
        <v>PASS</v>
      </c>
      <c r="D175" s="79" t="str">
        <f>IF(C175="","",IF('Data - Sample Type 1'!FY47="","N/A",IF('Data - Sample Type 1'!FY47&lt;Specifications!$D$3,"PASS","FAIL")))</f>
        <v>PASS</v>
      </c>
      <c r="E175" s="195" t="s">
        <v>694</v>
      </c>
    </row>
    <row r="176" spans="1:5" ht="14" x14ac:dyDescent="0.15">
      <c r="A176" s="75" t="str">
        <f>IF('Data - Sample Type 1'!C48="","",'Data - Sample Type 1'!C48)</f>
        <v>C15NOV23D_06_1_17+</v>
      </c>
      <c r="B176" s="76" t="str">
        <f>IF('Data - Sample Type 1'!L48="","",'Data - Sample Type 1'!L48)</f>
        <v>MTB DETECTED LOW;RIF Resistance DETECTED</v>
      </c>
      <c r="C176" s="77" t="str">
        <f>IF(B176="","",IF(B176="INVALID",IF('Data - Sample Type 1'!GA48="","INVALID",'Data - Sample Type 1'!GA48),IF(B176="ERROR",'Data - Sample Type 1'!GA48,IF(B176="NO RESULT",'Data - Sample Type 1'!GA48,IF(B176="V","MINOR VISUAL",IF(B176="M","MAJOR VISUAL",IF(B176="B","BARCODE FAIL",IF(B176="D","DELAMINATION",IF(COUNTIF(B176,Specifications!$K$4)=1,"INDETERMINATE",IF(COUNTIF(B176,$D$128)&lt;&gt;1,"MAJOR FUNCTIONAL",IF('Data - Sample Type 1'!Q48="","DATA ENTRY ERROR",IF('Data - Sample Type 1'!Q48=0,"SPC CT=0","PASS"))))))))))))</f>
        <v>PASS</v>
      </c>
      <c r="D176" s="79" t="str">
        <f>IF(C176="","",IF('Data - Sample Type 1'!FY48="","N/A",IF('Data - Sample Type 1'!FY48&lt;Specifications!$D$3,"PASS","FAIL")))</f>
        <v>PASS</v>
      </c>
      <c r="E176" s="195" t="s">
        <v>164</v>
      </c>
    </row>
    <row r="177" spans="1:5" ht="14" x14ac:dyDescent="0.15">
      <c r="A177" s="75" t="str">
        <f>IF('Data - Sample Type 1'!C49="","",'Data - Sample Type 1'!C49)</f>
        <v>C15NOV23D_06_1_18+</v>
      </c>
      <c r="B177" s="76" t="str">
        <f>IF('Data - Sample Type 1'!L49="","",'Data - Sample Type 1'!L49)</f>
        <v>MTB DETECTED LOW;RIF Resistance DETECTED</v>
      </c>
      <c r="C177" s="77" t="str">
        <f>IF(B177="","",IF(B177="INVALID",IF('Data - Sample Type 1'!GA49="","INVALID",'Data - Sample Type 1'!GA49),IF(B177="ERROR",'Data - Sample Type 1'!GA49,IF(B177="NO RESULT",'Data - Sample Type 1'!GA49,IF(B177="V","MINOR VISUAL",IF(B177="M","MAJOR VISUAL",IF(B177="B","BARCODE FAIL",IF(B177="D","DELAMINATION",IF(COUNTIF(B177,Specifications!$K$4)=1,"INDETERMINATE",IF(COUNTIF(B177,$D$128)&lt;&gt;1,"MAJOR FUNCTIONAL",IF('Data - Sample Type 1'!Q49="","DATA ENTRY ERROR",IF('Data - Sample Type 1'!Q49=0,"SPC CT=0","PASS"))))))))))))</f>
        <v>PASS</v>
      </c>
      <c r="D177" s="79" t="str">
        <f>IF(C177="","",IF('Data - Sample Type 1'!FY49="","N/A",IF('Data - Sample Type 1'!FY49&lt;Specifications!$D$3,"PASS","FAIL")))</f>
        <v>PASS</v>
      </c>
      <c r="E177" s="195" t="s">
        <v>164</v>
      </c>
    </row>
    <row r="178" spans="1:5" ht="14" x14ac:dyDescent="0.15">
      <c r="A178" s="75" t="str">
        <f>IF('Data - Sample Type 1'!C50="","",'Data - Sample Type 1'!C50)</f>
        <v>C15NOV23D_07_1_11X</v>
      </c>
      <c r="B178" s="76" t="str">
        <f>IF('Data - Sample Type 1'!L50="","",'Data - Sample Type 1'!L50)</f>
        <v>MTB DETECTED LOW;RIF Resistance DETECTED</v>
      </c>
      <c r="C178" s="77" t="str">
        <f>IF(B178="","",IF(B178="INVALID",IF('Data - Sample Type 1'!GA50="","INVALID",'Data - Sample Type 1'!GA50),IF(B178="ERROR",'Data - Sample Type 1'!GA50,IF(B178="NO RESULT",'Data - Sample Type 1'!GA50,IF(B178="V","MINOR VISUAL",IF(B178="M","MAJOR VISUAL",IF(B178="B","BARCODE FAIL",IF(B178="D","DELAMINATION",IF(COUNTIF(B178,Specifications!$K$4)=1,"INDETERMINATE",IF(COUNTIF(B178,$D$128)&lt;&gt;1,"MAJOR FUNCTIONAL",IF('Data - Sample Type 1'!Q50="","DATA ENTRY ERROR",IF('Data - Sample Type 1'!Q50=0,"SPC CT=0","PASS"))))))))))))</f>
        <v>PASS</v>
      </c>
      <c r="D178" s="79" t="str">
        <f>IF(C178="","",IF('Data - Sample Type 1'!FY50="","N/A",IF('Data - Sample Type 1'!FY50&lt;Specifications!$D$3,"PASS","FAIL")))</f>
        <v>PASS</v>
      </c>
      <c r="E178" s="195" t="s">
        <v>164</v>
      </c>
    </row>
    <row r="179" spans="1:5" ht="14" x14ac:dyDescent="0.15">
      <c r="A179" s="75" t="str">
        <f>IF('Data - Sample Type 1'!C51="","",'Data - Sample Type 1'!C51)</f>
        <v>C15NOV23D_07_1_12X</v>
      </c>
      <c r="B179" s="76" t="str">
        <f>IF('Data - Sample Type 1'!L51="","",'Data - Sample Type 1'!L51)</f>
        <v>MTB DETECTED LOW;RIF Resistance DETECTED</v>
      </c>
      <c r="C179" s="77" t="str">
        <f>IF(B179="","",IF(B179="INVALID",IF('Data - Sample Type 1'!GA51="","INVALID",'Data - Sample Type 1'!GA51),IF(B179="ERROR",'Data - Sample Type 1'!GA51,IF(B179="NO RESULT",'Data - Sample Type 1'!GA51,IF(B179="V","MINOR VISUAL",IF(B179="M","MAJOR VISUAL",IF(B179="B","BARCODE FAIL",IF(B179="D","DELAMINATION",IF(COUNTIF(B179,Specifications!$K$4)=1,"INDETERMINATE",IF(COUNTIF(B179,$D$128)&lt;&gt;1,"MAJOR FUNCTIONAL",IF('Data - Sample Type 1'!Q51="","DATA ENTRY ERROR",IF('Data - Sample Type 1'!Q51=0,"SPC CT=0","PASS"))))))))))))</f>
        <v>PASS</v>
      </c>
      <c r="D179" s="79" t="str">
        <f>IF(C179="","",IF('Data - Sample Type 1'!FY51="","N/A",IF('Data - Sample Type 1'!FY51&lt;Specifications!$D$3,"PASS","FAIL")))</f>
        <v>PASS</v>
      </c>
      <c r="E179" s="195" t="s">
        <v>164</v>
      </c>
    </row>
    <row r="180" spans="1:5" ht="70" x14ac:dyDescent="0.15">
      <c r="A180" s="75" t="str">
        <f>IF('Data - Sample Type 1'!C52="","",'Data - Sample Type 1'!C52)</f>
        <v>C15NOV23D_07_1_13X_D2B,11,05</v>
      </c>
      <c r="B180" s="76" t="str">
        <f>IF('Data - Sample Type 1'!L52="","",'Data - Sample Type 1'!L52)</f>
        <v>ERROR</v>
      </c>
      <c r="C180" s="77" t="str">
        <f>IF(B180="","",IF(B180="INVALID",IF('Data - Sample Type 1'!GA52="","INVALID",'Data - Sample Type 1'!GA52),IF(B180="ERROR",'Data - Sample Type 1'!GA52,IF(B180="NO RESULT",'Data - Sample Type 1'!GA52,IF(B180="V","MINOR VISUAL",IF(B180="M","MAJOR VISUAL",IF(B180="B","BARCODE FAIL",IF(B180="D","DELAMINATION",IF(COUNTIF(B180,Specifications!$K$4)=1,"INDETERMINATE",IF(COUNTIF(B180,$D$128)&lt;&gt;1,"MAJOR FUNCTIONAL",IF('Data - Sample Type 1'!Q52="","DATA ENTRY ERROR",IF('Data - Sample Type 1'!Q52=0,"SPC CT=0","PASS"))))))))))))</f>
        <v>Error 5006: [QC-2] probe check failed. Probe check value of 247 for reading number 1 was above the maximum of 223|Error 5006: [QC-2] probe check failed. Probe check value of 247 for reading number 3 was above the maximum of 223</v>
      </c>
      <c r="D180" s="79" t="str">
        <f>IF(C180="","",IF('Data - Sample Type 1'!FY52="","N/A",IF('Data - Sample Type 1'!FY52&lt;Specifications!$D$3,"PASS","FAIL")))</f>
        <v>PASS</v>
      </c>
      <c r="E180" s="195" t="s">
        <v>164</v>
      </c>
    </row>
    <row r="181" spans="1:5" ht="14" x14ac:dyDescent="0.15">
      <c r="A181" s="75" t="str">
        <f>IF('Data - Sample Type 1'!C53="","",'Data - Sample Type 1'!C53)</f>
        <v>C15NOV23D_07_1_14X</v>
      </c>
      <c r="B181" s="76" t="str">
        <f>IF('Data - Sample Type 1'!L53="","",'Data - Sample Type 1'!L53)</f>
        <v>MTB DETECTED LOW;RIF Resistance DETECTED</v>
      </c>
      <c r="C181" s="77" t="str">
        <f>IF(B181="","",IF(B181="INVALID",IF('Data - Sample Type 1'!GA53="","INVALID",'Data - Sample Type 1'!GA53),IF(B181="ERROR",'Data - Sample Type 1'!GA53,IF(B181="NO RESULT",'Data - Sample Type 1'!GA53,IF(B181="V","MINOR VISUAL",IF(B181="M","MAJOR VISUAL",IF(B181="B","BARCODE FAIL",IF(B181="D","DELAMINATION",IF(COUNTIF(B181,Specifications!$K$4)=1,"INDETERMINATE",IF(COUNTIF(B181,$D$128)&lt;&gt;1,"MAJOR FUNCTIONAL",IF('Data - Sample Type 1'!Q53="","DATA ENTRY ERROR",IF('Data - Sample Type 1'!Q53=0,"SPC CT=0","PASS"))))))))))))</f>
        <v>PASS</v>
      </c>
      <c r="D181" s="79" t="str">
        <f>IF(C181="","",IF('Data - Sample Type 1'!FY53="","N/A",IF('Data - Sample Type 1'!FY53&lt;Specifications!$D$3,"PASS","FAIL")))</f>
        <v>PASS</v>
      </c>
      <c r="E181" s="195" t="s">
        <v>164</v>
      </c>
    </row>
    <row r="182" spans="1:5" ht="14" x14ac:dyDescent="0.15">
      <c r="A182" s="75" t="str">
        <f>IF('Data - Sample Type 1'!C54="","",'Data - Sample Type 1'!C54)</f>
        <v>C15NOV23D_07_1_15+</v>
      </c>
      <c r="B182" s="76" t="str">
        <f>IF('Data - Sample Type 1'!L54="","",'Data - Sample Type 1'!L54)</f>
        <v>MTB DETECTED LOW;RIF Resistance DETECTED</v>
      </c>
      <c r="C182" s="77" t="str">
        <f>IF(B182="","",IF(B182="INVALID",IF('Data - Sample Type 1'!GA54="","INVALID",'Data - Sample Type 1'!GA54),IF(B182="ERROR",'Data - Sample Type 1'!GA54,IF(B182="NO RESULT",'Data - Sample Type 1'!GA54,IF(B182="V","MINOR VISUAL",IF(B182="M","MAJOR VISUAL",IF(B182="B","BARCODE FAIL",IF(B182="D","DELAMINATION",IF(COUNTIF(B182,Specifications!$K$4)=1,"INDETERMINATE",IF(COUNTIF(B182,$D$128)&lt;&gt;1,"MAJOR FUNCTIONAL",IF('Data - Sample Type 1'!Q54="","DATA ENTRY ERROR",IF('Data - Sample Type 1'!Q54=0,"SPC CT=0","PASS"))))))))))))</f>
        <v>PASS</v>
      </c>
      <c r="D182" s="79" t="str">
        <f>IF(C182="","",IF('Data - Sample Type 1'!FY54="","N/A",IF('Data - Sample Type 1'!FY54&lt;Specifications!$D$3,"PASS","FAIL")))</f>
        <v>PASS</v>
      </c>
      <c r="E182" s="195" t="s">
        <v>164</v>
      </c>
    </row>
    <row r="183" spans="1:5" ht="14" x14ac:dyDescent="0.15">
      <c r="A183" s="75" t="str">
        <f>IF('Data - Sample Type 1'!C55="","",'Data - Sample Type 1'!C55)</f>
        <v>C15NOV23D_07_1_16+</v>
      </c>
      <c r="B183" s="76" t="str">
        <f>IF('Data - Sample Type 1'!L55="","",'Data - Sample Type 1'!L55)</f>
        <v>MTB DETECTED LOW;RIF Resistance DETECTED</v>
      </c>
      <c r="C183" s="77" t="str">
        <f>IF(B183="","",IF(B183="INVALID",IF('Data - Sample Type 1'!GA55="","INVALID",'Data - Sample Type 1'!GA55),IF(B183="ERROR",'Data - Sample Type 1'!GA55,IF(B183="NO RESULT",'Data - Sample Type 1'!GA55,IF(B183="V","MINOR VISUAL",IF(B183="M","MAJOR VISUAL",IF(B183="B","BARCODE FAIL",IF(B183="D","DELAMINATION",IF(COUNTIF(B183,Specifications!$K$4)=1,"INDETERMINATE",IF(COUNTIF(B183,$D$128)&lt;&gt;1,"MAJOR FUNCTIONAL",IF('Data - Sample Type 1'!Q55="","DATA ENTRY ERROR",IF('Data - Sample Type 1'!Q55=0,"SPC CT=0","PASS"))))))))))))</f>
        <v>PASS</v>
      </c>
      <c r="D183" s="79" t="str">
        <f>IF(C183="","",IF('Data - Sample Type 1'!FY55="","N/A",IF('Data - Sample Type 1'!FY55&lt;Specifications!$D$3,"PASS","FAIL")))</f>
        <v>PASS</v>
      </c>
      <c r="E183" s="195" t="s">
        <v>164</v>
      </c>
    </row>
    <row r="184" spans="1:5" ht="14" x14ac:dyDescent="0.15">
      <c r="A184" s="75" t="str">
        <f>IF('Data - Sample Type 1'!C56="","",'Data - Sample Type 1'!C56)</f>
        <v>C15NOV23D_07_1_17+</v>
      </c>
      <c r="B184" s="76" t="str">
        <f>IF('Data - Sample Type 1'!L56="","",'Data - Sample Type 1'!L56)</f>
        <v>MTB DETECTED LOW;RIF Resistance DETECTED</v>
      </c>
      <c r="C184" s="77" t="str">
        <f>IF(B184="","",IF(B184="INVALID",IF('Data - Sample Type 1'!GA56="","INVALID",'Data - Sample Type 1'!GA56),IF(B184="ERROR",'Data - Sample Type 1'!GA56,IF(B184="NO RESULT",'Data - Sample Type 1'!GA56,IF(B184="V","MINOR VISUAL",IF(B184="M","MAJOR VISUAL",IF(B184="B","BARCODE FAIL",IF(B184="D","DELAMINATION",IF(COUNTIF(B184,Specifications!$K$4)=1,"INDETERMINATE",IF(COUNTIF(B184,$D$128)&lt;&gt;1,"MAJOR FUNCTIONAL",IF('Data - Sample Type 1'!Q56="","DATA ENTRY ERROR",IF('Data - Sample Type 1'!Q56=0,"SPC CT=0","PASS"))))))))))))</f>
        <v>PASS</v>
      </c>
      <c r="D184" s="79" t="str">
        <f>IF(C184="","",IF('Data - Sample Type 1'!FY56="","N/A",IF('Data - Sample Type 1'!FY56&lt;Specifications!$D$3,"PASS","FAIL")))</f>
        <v>PASS</v>
      </c>
      <c r="E184" s="195" t="s">
        <v>164</v>
      </c>
    </row>
    <row r="185" spans="1:5" ht="14" x14ac:dyDescent="0.15">
      <c r="A185" s="75" t="str">
        <f>IF('Data - Sample Type 1'!C57="","",'Data - Sample Type 1'!C57)</f>
        <v>C15NOV23D_07_1_18+</v>
      </c>
      <c r="B185" s="76" t="str">
        <f>IF('Data - Sample Type 1'!L57="","",'Data - Sample Type 1'!L57)</f>
        <v>MTB DETECTED LOW;RIF Resistance DETECTED</v>
      </c>
      <c r="C185" s="77" t="str">
        <f>IF(B185="","",IF(B185="INVALID",IF('Data - Sample Type 1'!GA57="","INVALID",'Data - Sample Type 1'!GA57),IF(B185="ERROR",'Data - Sample Type 1'!GA57,IF(B185="NO RESULT",'Data - Sample Type 1'!GA57,IF(B185="V","MINOR VISUAL",IF(B185="M","MAJOR VISUAL",IF(B185="B","BARCODE FAIL",IF(B185="D","DELAMINATION",IF(COUNTIF(B185,Specifications!$K$4)=1,"INDETERMINATE",IF(COUNTIF(B185,$D$128)&lt;&gt;1,"MAJOR FUNCTIONAL",IF('Data - Sample Type 1'!Q57="","DATA ENTRY ERROR",IF('Data - Sample Type 1'!Q57=0,"SPC CT=0","PASS"))))))))))))</f>
        <v>PASS</v>
      </c>
      <c r="D185" s="79" t="str">
        <f>IF(C185="","",IF('Data - Sample Type 1'!FY57="","N/A",IF('Data - Sample Type 1'!FY57&lt;Specifications!$D$3,"PASS","FAIL")))</f>
        <v>PASS</v>
      </c>
      <c r="E185" s="195" t="s">
        <v>164</v>
      </c>
    </row>
    <row r="186" spans="1:5" ht="14" x14ac:dyDescent="0.15">
      <c r="A186" s="75" t="str">
        <f>IF('Data - Sample Type 1'!C58="","",'Data - Sample Type 1'!C58)</f>
        <v>C15NOV23D_08_1_11X</v>
      </c>
      <c r="B186" s="76" t="str">
        <f>IF('Data - Sample Type 1'!L58="","",'Data - Sample Type 1'!L58)</f>
        <v>MTB DETECTED LOW;RIF Resistance DETECTED</v>
      </c>
      <c r="C186" s="77" t="str">
        <f>IF(B186="","",IF(B186="INVALID",IF('Data - Sample Type 1'!GA58="","INVALID",'Data - Sample Type 1'!GA58),IF(B186="ERROR",'Data - Sample Type 1'!GA58,IF(B186="NO RESULT",'Data - Sample Type 1'!GA58,IF(B186="V","MINOR VISUAL",IF(B186="M","MAJOR VISUAL",IF(B186="B","BARCODE FAIL",IF(B186="D","DELAMINATION",IF(COUNTIF(B186,Specifications!$K$4)=1,"INDETERMINATE",IF(COUNTIF(B186,$D$128)&lt;&gt;1,"MAJOR FUNCTIONAL",IF('Data - Sample Type 1'!Q58="","DATA ENTRY ERROR",IF('Data - Sample Type 1'!Q58=0,"SPC CT=0","PASS"))))))))))))</f>
        <v>PASS</v>
      </c>
      <c r="D186" s="79" t="str">
        <f>IF(C186="","",IF('Data - Sample Type 1'!FY58="","N/A",IF('Data - Sample Type 1'!FY58&lt;Specifications!$D$3,"PASS","FAIL")))</f>
        <v>PASS</v>
      </c>
      <c r="E186" s="195" t="s">
        <v>164</v>
      </c>
    </row>
    <row r="187" spans="1:5" ht="14" x14ac:dyDescent="0.15">
      <c r="A187" s="75" t="str">
        <f>IF('Data - Sample Type 1'!C59="","",'Data - Sample Type 1'!C59)</f>
        <v>C15NOV23D_08_1_12X</v>
      </c>
      <c r="B187" s="76" t="str">
        <f>IF('Data - Sample Type 1'!L59="","",'Data - Sample Type 1'!L59)</f>
        <v>MTB DETECTED LOW;RIF Resistance DETECTED</v>
      </c>
      <c r="C187" s="77" t="str">
        <f>IF(B187="","",IF(B187="INVALID",IF('Data - Sample Type 1'!GA59="","INVALID",'Data - Sample Type 1'!GA59),IF(B187="ERROR",'Data - Sample Type 1'!GA59,IF(B187="NO RESULT",'Data - Sample Type 1'!GA59,IF(B187="V","MINOR VISUAL",IF(B187="M","MAJOR VISUAL",IF(B187="B","BARCODE FAIL",IF(B187="D","DELAMINATION",IF(COUNTIF(B187,Specifications!$K$4)=1,"INDETERMINATE",IF(COUNTIF(B187,$D$128)&lt;&gt;1,"MAJOR FUNCTIONAL",IF('Data - Sample Type 1'!Q59="","DATA ENTRY ERROR",IF('Data - Sample Type 1'!Q59=0,"SPC CT=0","PASS"))))))))))))</f>
        <v>PASS</v>
      </c>
      <c r="D187" s="79" t="str">
        <f>IF(C187="","",IF('Data - Sample Type 1'!FY59="","N/A",IF('Data - Sample Type 1'!FY59&lt;Specifications!$D$3,"PASS","FAIL")))</f>
        <v>PASS</v>
      </c>
      <c r="E187" s="195" t="s">
        <v>164</v>
      </c>
    </row>
    <row r="188" spans="1:5" ht="14" x14ac:dyDescent="0.15">
      <c r="A188" s="75" t="str">
        <f>IF('Data - Sample Type 1'!C60="","",'Data - Sample Type 1'!C60)</f>
        <v>C15NOV23D_08_1_13X</v>
      </c>
      <c r="B188" s="76" t="str">
        <f>IF('Data - Sample Type 1'!L60="","",'Data - Sample Type 1'!L60)</f>
        <v>MTB DETECTED LOW;RIF Resistance DETECTED</v>
      </c>
      <c r="C188" s="77" t="str">
        <f>IF(B188="","",IF(B188="INVALID",IF('Data - Sample Type 1'!GA60="","INVALID",'Data - Sample Type 1'!GA60),IF(B188="ERROR",'Data - Sample Type 1'!GA60,IF(B188="NO RESULT",'Data - Sample Type 1'!GA60,IF(B188="V","MINOR VISUAL",IF(B188="M","MAJOR VISUAL",IF(B188="B","BARCODE FAIL",IF(B188="D","DELAMINATION",IF(COUNTIF(B188,Specifications!$K$4)=1,"INDETERMINATE",IF(COUNTIF(B188,$D$128)&lt;&gt;1,"MAJOR FUNCTIONAL",IF('Data - Sample Type 1'!Q60="","DATA ENTRY ERROR",IF('Data - Sample Type 1'!Q60=0,"SPC CT=0","PASS"))))))))))))</f>
        <v>PASS</v>
      </c>
      <c r="D188" s="79" t="str">
        <f>IF(C188="","",IF('Data - Sample Type 1'!FY60="","N/A",IF('Data - Sample Type 1'!FY60&lt;Specifications!$D$3,"PASS","FAIL")))</f>
        <v>PASS</v>
      </c>
      <c r="E188" s="195" t="s">
        <v>164</v>
      </c>
    </row>
    <row r="189" spans="1:5" ht="14" x14ac:dyDescent="0.15">
      <c r="A189" s="75" t="str">
        <f>IF('Data - Sample Type 1'!C61="","",'Data - Sample Type 1'!C61)</f>
        <v>C15NOV23D_08_1_14X_D2B</v>
      </c>
      <c r="B189" s="76" t="str">
        <f>IF('Data - Sample Type 1'!L61="","",'Data - Sample Type 1'!L61)</f>
        <v>MTB DETECTED LOW;RIF Resistance DETECTED</v>
      </c>
      <c r="C189" s="77" t="str">
        <f>IF(B189="","",IF(B189="INVALID",IF('Data - Sample Type 1'!GA61="","INVALID",'Data - Sample Type 1'!GA61),IF(B189="ERROR",'Data - Sample Type 1'!GA61,IF(B189="NO RESULT",'Data - Sample Type 1'!GA61,IF(B189="V","MINOR VISUAL",IF(B189="M","MAJOR VISUAL",IF(B189="B","BARCODE FAIL",IF(B189="D","DELAMINATION",IF(COUNTIF(B189,Specifications!$K$4)=1,"INDETERMINATE",IF(COUNTIF(B189,$D$128)&lt;&gt;1,"MAJOR FUNCTIONAL",IF('Data - Sample Type 1'!Q61="","DATA ENTRY ERROR",IF('Data - Sample Type 1'!Q61=0,"SPC CT=0","PASS"))))))))))))</f>
        <v>PASS</v>
      </c>
      <c r="D189" s="79" t="str">
        <f>IF(C189="","",IF('Data - Sample Type 1'!FY61="","N/A",IF('Data - Sample Type 1'!FY61&lt;Specifications!$D$3,"PASS","FAIL")))</f>
        <v>PASS</v>
      </c>
      <c r="E189" s="195" t="s">
        <v>164</v>
      </c>
    </row>
    <row r="190" spans="1:5" ht="14" x14ac:dyDescent="0.15">
      <c r="A190" s="75" t="str">
        <f>IF('Data - Sample Type 1'!C62="","",'Data - Sample Type 1'!C62)</f>
        <v>C15NOV23D_08_1_15+</v>
      </c>
      <c r="B190" s="76" t="str">
        <f>IF('Data - Sample Type 1'!L62="","",'Data - Sample Type 1'!L62)</f>
        <v>MTB DETECTED LOW;RIF Resistance DETECTED</v>
      </c>
      <c r="C190" s="77" t="str">
        <f>IF(B190="","",IF(B190="INVALID",IF('Data - Sample Type 1'!GA62="","INVALID",'Data - Sample Type 1'!GA62),IF(B190="ERROR",'Data - Sample Type 1'!GA62,IF(B190="NO RESULT",'Data - Sample Type 1'!GA62,IF(B190="V","MINOR VISUAL",IF(B190="M","MAJOR VISUAL",IF(B190="B","BARCODE FAIL",IF(B190="D","DELAMINATION",IF(COUNTIF(B190,Specifications!$K$4)=1,"INDETERMINATE",IF(COUNTIF(B190,$D$128)&lt;&gt;1,"MAJOR FUNCTIONAL",IF('Data - Sample Type 1'!Q62="","DATA ENTRY ERROR",IF('Data - Sample Type 1'!Q62=0,"SPC CT=0","PASS"))))))))))))</f>
        <v>PASS</v>
      </c>
      <c r="D190" s="79" t="str">
        <f>IF(C190="","",IF('Data - Sample Type 1'!FY62="","N/A",IF('Data - Sample Type 1'!FY62&lt;Specifications!$D$3,"PASS","FAIL")))</f>
        <v>PASS</v>
      </c>
      <c r="E190" s="195" t="s">
        <v>164</v>
      </c>
    </row>
    <row r="191" spans="1:5" ht="14" x14ac:dyDescent="0.15">
      <c r="A191" s="75" t="str">
        <f>IF('Data - Sample Type 1'!C63="","",'Data - Sample Type 1'!C63)</f>
        <v>C15NOV23D_08_1_16+_D05</v>
      </c>
      <c r="B191" s="76" t="str">
        <f>IF('Data - Sample Type 1'!L63="","",'Data - Sample Type 1'!L63)</f>
        <v>MTB DETECTED LOW;RIF Resistance DETECTED</v>
      </c>
      <c r="C191" s="77" t="str">
        <f>IF(B191="","",IF(B191="INVALID",IF('Data - Sample Type 1'!GA63="","INVALID",'Data - Sample Type 1'!GA63),IF(B191="ERROR",'Data - Sample Type 1'!GA63,IF(B191="NO RESULT",'Data - Sample Type 1'!GA63,IF(B191="V","MINOR VISUAL",IF(B191="M","MAJOR VISUAL",IF(B191="B","BARCODE FAIL",IF(B191="D","DELAMINATION",IF(COUNTIF(B191,Specifications!$K$4)=1,"INDETERMINATE",IF(COUNTIF(B191,$D$128)&lt;&gt;1,"MAJOR FUNCTIONAL",IF('Data - Sample Type 1'!Q63="","DATA ENTRY ERROR",IF('Data - Sample Type 1'!Q63=0,"SPC CT=0","PASS"))))))))))))</f>
        <v>PASS</v>
      </c>
      <c r="D191" s="79" t="str">
        <f>IF(C191="","",IF('Data - Sample Type 1'!FY63="","N/A",IF('Data - Sample Type 1'!FY63&lt;Specifications!$D$3,"PASS","FAIL")))</f>
        <v>PASS</v>
      </c>
      <c r="E191" s="195" t="s">
        <v>164</v>
      </c>
    </row>
    <row r="192" spans="1:5" ht="14" x14ac:dyDescent="0.15">
      <c r="A192" s="75" t="str">
        <f>IF('Data - Sample Type 1'!C64="","",'Data - Sample Type 1'!C64)</f>
        <v>C15NOV23D_08_1_17+</v>
      </c>
      <c r="B192" s="76" t="str">
        <f>IF('Data - Sample Type 1'!L64="","",'Data - Sample Type 1'!L64)</f>
        <v>MTB DETECTED LOW;RIF Resistance DETECTED</v>
      </c>
      <c r="C192" s="77" t="str">
        <f>IF(B192="","",IF(B192="INVALID",IF('Data - Sample Type 1'!GA64="","INVALID",'Data - Sample Type 1'!GA64),IF(B192="ERROR",'Data - Sample Type 1'!GA64,IF(B192="NO RESULT",'Data - Sample Type 1'!GA64,IF(B192="V","MINOR VISUAL",IF(B192="M","MAJOR VISUAL",IF(B192="B","BARCODE FAIL",IF(B192="D","DELAMINATION",IF(COUNTIF(B192,Specifications!$K$4)=1,"INDETERMINATE",IF(COUNTIF(B192,$D$128)&lt;&gt;1,"MAJOR FUNCTIONAL",IF('Data - Sample Type 1'!Q64="","DATA ENTRY ERROR",IF('Data - Sample Type 1'!Q64=0,"SPC CT=0","PASS"))))))))))))</f>
        <v>PASS</v>
      </c>
      <c r="D192" s="79" t="str">
        <f>IF(C192="","",IF('Data - Sample Type 1'!FY64="","N/A",IF('Data - Sample Type 1'!FY64&lt;Specifications!$D$3,"PASS","FAIL")))</f>
        <v>PASS</v>
      </c>
      <c r="E192" s="195" t="s">
        <v>164</v>
      </c>
    </row>
    <row r="193" spans="1:5" ht="14" x14ac:dyDescent="0.15">
      <c r="A193" s="75" t="str">
        <f>IF('Data - Sample Type 1'!C65="","",'Data - Sample Type 1'!C65)</f>
        <v>C15NOV23D_08_1_18+</v>
      </c>
      <c r="B193" s="76" t="str">
        <f>IF('Data - Sample Type 1'!L65="","",'Data - Sample Type 1'!L65)</f>
        <v>MTB DETECTED LOW;RIF Resistance DETECTED</v>
      </c>
      <c r="C193" s="77" t="str">
        <f>IF(B193="","",IF(B193="INVALID",IF('Data - Sample Type 1'!GA65="","INVALID",'Data - Sample Type 1'!GA65),IF(B193="ERROR",'Data - Sample Type 1'!GA65,IF(B193="NO RESULT",'Data - Sample Type 1'!GA65,IF(B193="V","MINOR VISUAL",IF(B193="M","MAJOR VISUAL",IF(B193="B","BARCODE FAIL",IF(B193="D","DELAMINATION",IF(COUNTIF(B193,Specifications!$K$4)=1,"INDETERMINATE",IF(COUNTIF(B193,$D$128)&lt;&gt;1,"MAJOR FUNCTIONAL",IF('Data - Sample Type 1'!Q65="","DATA ENTRY ERROR",IF('Data - Sample Type 1'!Q65=0,"SPC CT=0","PASS"))))))))))))</f>
        <v>PASS</v>
      </c>
      <c r="D193" s="79" t="str">
        <f>IF(C193="","",IF('Data - Sample Type 1'!FY65="","N/A",IF('Data - Sample Type 1'!FY65&lt;Specifications!$D$3,"PASS","FAIL")))</f>
        <v>PASS</v>
      </c>
      <c r="E193" s="195" t="s">
        <v>164</v>
      </c>
    </row>
    <row r="194" spans="1:5" ht="14" x14ac:dyDescent="0.15">
      <c r="A194" s="75" t="str">
        <f>IF('Data - Sample Type 1'!C66="","",'Data - Sample Type 1'!C66)</f>
        <v>C15NOV23D_09_1_11X</v>
      </c>
      <c r="B194" s="76" t="str">
        <f>IF('Data - Sample Type 1'!L66="","",'Data - Sample Type 1'!L66)</f>
        <v>MTB DETECTED LOW;RIF Resistance DETECTED</v>
      </c>
      <c r="C194" s="77" t="str">
        <f>IF(B194="","",IF(B194="INVALID",IF('Data - Sample Type 1'!GA66="","INVALID",'Data - Sample Type 1'!GA66),IF(B194="ERROR",'Data - Sample Type 1'!GA66,IF(B194="NO RESULT",'Data - Sample Type 1'!GA66,IF(B194="V","MINOR VISUAL",IF(B194="M","MAJOR VISUAL",IF(B194="B","BARCODE FAIL",IF(B194="D","DELAMINATION",IF(COUNTIF(B194,Specifications!$K$4)=1,"INDETERMINATE",IF(COUNTIF(B194,$D$128)&lt;&gt;1,"MAJOR FUNCTIONAL",IF('Data - Sample Type 1'!Q66="","DATA ENTRY ERROR",IF('Data - Sample Type 1'!Q66=0,"SPC CT=0","PASS"))))))))))))</f>
        <v>PASS</v>
      </c>
      <c r="D194" s="79" t="str">
        <f>IF(C194="","",IF('Data - Sample Type 1'!FY66="","N/A",IF('Data - Sample Type 1'!FY66&lt;Specifications!$D$3,"PASS","FAIL")))</f>
        <v>PASS</v>
      </c>
      <c r="E194" s="195" t="s">
        <v>164</v>
      </c>
    </row>
    <row r="195" spans="1:5" ht="14" x14ac:dyDescent="0.15">
      <c r="A195" s="75" t="str">
        <f>IF('Data - Sample Type 1'!C67="","",'Data - Sample Type 1'!C67)</f>
        <v>C15NOV23D_09_1_12X</v>
      </c>
      <c r="B195" s="76" t="str">
        <f>IF('Data - Sample Type 1'!L67="","",'Data - Sample Type 1'!L67)</f>
        <v>MTB DETECTED LOW;RIF Resistance DETECTED</v>
      </c>
      <c r="C195" s="77" t="str">
        <f>IF(B195="","",IF(B195="INVALID",IF('Data - Sample Type 1'!GA67="","INVALID",'Data - Sample Type 1'!GA67),IF(B195="ERROR",'Data - Sample Type 1'!GA67,IF(B195="NO RESULT",'Data - Sample Type 1'!GA67,IF(B195="V","MINOR VISUAL",IF(B195="M","MAJOR VISUAL",IF(B195="B","BARCODE FAIL",IF(B195="D","DELAMINATION",IF(COUNTIF(B195,Specifications!$K$4)=1,"INDETERMINATE",IF(COUNTIF(B195,$D$128)&lt;&gt;1,"MAJOR FUNCTIONAL",IF('Data - Sample Type 1'!Q67="","DATA ENTRY ERROR",IF('Data - Sample Type 1'!Q67=0,"SPC CT=0","PASS"))))))))))))</f>
        <v>PASS</v>
      </c>
      <c r="D195" s="79" t="str">
        <f>IF(C195="","",IF('Data - Sample Type 1'!FY67="","N/A",IF('Data - Sample Type 1'!FY67&lt;Specifications!$D$3,"PASS","FAIL")))</f>
        <v>PASS</v>
      </c>
      <c r="E195" s="195" t="s">
        <v>164</v>
      </c>
    </row>
    <row r="196" spans="1:5" ht="14" x14ac:dyDescent="0.15">
      <c r="A196" s="75" t="str">
        <f>IF('Data - Sample Type 1'!C68="","",'Data - Sample Type 1'!C68)</f>
        <v>C15NOV23D_09_1_13X</v>
      </c>
      <c r="B196" s="76" t="str">
        <f>IF('Data - Sample Type 1'!L68="","",'Data - Sample Type 1'!L68)</f>
        <v>MTB DETECTED LOW;RIF Resistance DETECTED</v>
      </c>
      <c r="C196" s="77" t="str">
        <f>IF(B196="","",IF(B196="INVALID",IF('Data - Sample Type 1'!GA68="","INVALID",'Data - Sample Type 1'!GA68),IF(B196="ERROR",'Data - Sample Type 1'!GA68,IF(B196="NO RESULT",'Data - Sample Type 1'!GA68,IF(B196="V","MINOR VISUAL",IF(B196="M","MAJOR VISUAL",IF(B196="B","BARCODE FAIL",IF(B196="D","DELAMINATION",IF(COUNTIF(B196,Specifications!$K$4)=1,"INDETERMINATE",IF(COUNTIF(B196,$D$128)&lt;&gt;1,"MAJOR FUNCTIONAL",IF('Data - Sample Type 1'!Q68="","DATA ENTRY ERROR",IF('Data - Sample Type 1'!Q68=0,"SPC CT=0","PASS"))))))))))))</f>
        <v>PASS</v>
      </c>
      <c r="D196" s="79" t="str">
        <f>IF(C196="","",IF('Data - Sample Type 1'!FY68="","N/A",IF('Data - Sample Type 1'!FY68&lt;Specifications!$D$3,"PASS","FAIL")))</f>
        <v>PASS</v>
      </c>
      <c r="E196" s="195" t="s">
        <v>164</v>
      </c>
    </row>
    <row r="197" spans="1:5" ht="14" x14ac:dyDescent="0.15">
      <c r="A197" s="75" t="str">
        <f>IF('Data - Sample Type 1'!C69="","",'Data - Sample Type 1'!C69)</f>
        <v>C15NOV23D_09_1_14X</v>
      </c>
      <c r="B197" s="76" t="str">
        <f>IF('Data - Sample Type 1'!L69="","",'Data - Sample Type 1'!L69)</f>
        <v>MTB DETECTED LOW;RIF Resistance DETECTED</v>
      </c>
      <c r="C197" s="77" t="str">
        <f>IF(B197="","",IF(B197="INVALID",IF('Data - Sample Type 1'!GA69="","INVALID",'Data - Sample Type 1'!GA69),IF(B197="ERROR",'Data - Sample Type 1'!GA69,IF(B197="NO RESULT",'Data - Sample Type 1'!GA69,IF(B197="V","MINOR VISUAL",IF(B197="M","MAJOR VISUAL",IF(B197="B","BARCODE FAIL",IF(B197="D","DELAMINATION",IF(COUNTIF(B197,Specifications!$K$4)=1,"INDETERMINATE",IF(COUNTIF(B197,$D$128)&lt;&gt;1,"MAJOR FUNCTIONAL",IF('Data - Sample Type 1'!Q69="","DATA ENTRY ERROR",IF('Data - Sample Type 1'!Q69=0,"SPC CT=0","PASS"))))))))))))</f>
        <v>PASS</v>
      </c>
      <c r="D197" s="79" t="str">
        <f>IF(C197="","",IF('Data - Sample Type 1'!FY69="","N/A",IF('Data - Sample Type 1'!FY69&lt;Specifications!$D$3,"PASS","FAIL")))</f>
        <v>PASS</v>
      </c>
      <c r="E197" s="195" t="s">
        <v>164</v>
      </c>
    </row>
    <row r="198" spans="1:5" ht="14" x14ac:dyDescent="0.15">
      <c r="A198" s="75" t="str">
        <f>IF('Data - Sample Type 1'!C70="","",'Data - Sample Type 1'!C70)</f>
        <v>C15NOV23D_09_1_15+</v>
      </c>
      <c r="B198" s="76" t="str">
        <f>IF('Data - Sample Type 1'!L70="","",'Data - Sample Type 1'!L70)</f>
        <v>MTB DETECTED LOW;RIF Resistance DETECTED</v>
      </c>
      <c r="C198" s="77" t="str">
        <f>IF(B198="","",IF(B198="INVALID",IF('Data - Sample Type 1'!GA70="","INVALID",'Data - Sample Type 1'!GA70),IF(B198="ERROR",'Data - Sample Type 1'!GA70,IF(B198="NO RESULT",'Data - Sample Type 1'!GA70,IF(B198="V","MINOR VISUAL",IF(B198="M","MAJOR VISUAL",IF(B198="B","BARCODE FAIL",IF(B198="D","DELAMINATION",IF(COUNTIF(B198,Specifications!$K$4)=1,"INDETERMINATE",IF(COUNTIF(B198,$D$128)&lt;&gt;1,"MAJOR FUNCTIONAL",IF('Data - Sample Type 1'!Q70="","DATA ENTRY ERROR",IF('Data - Sample Type 1'!Q70=0,"SPC CT=0","PASS"))))))))))))</f>
        <v>PASS</v>
      </c>
      <c r="D198" s="79" t="str">
        <f>IF(C198="","",IF('Data - Sample Type 1'!FY70="","N/A",IF('Data - Sample Type 1'!FY70&lt;Specifications!$D$3,"PASS","FAIL")))</f>
        <v>PASS</v>
      </c>
      <c r="E198" s="195" t="s">
        <v>164</v>
      </c>
    </row>
    <row r="199" spans="1:5" ht="14" x14ac:dyDescent="0.15">
      <c r="A199" s="75" t="str">
        <f>IF('Data - Sample Type 1'!C71="","",'Data - Sample Type 1'!C71)</f>
        <v>C15NOV23D_09_1_16+</v>
      </c>
      <c r="B199" s="76" t="str">
        <f>IF('Data - Sample Type 1'!L71="","",'Data - Sample Type 1'!L71)</f>
        <v>MTB DETECTED LOW;RIF Resistance DETECTED</v>
      </c>
      <c r="C199" s="77" t="str">
        <f>IF(B199="","",IF(B199="INVALID",IF('Data - Sample Type 1'!GA71="","INVALID",'Data - Sample Type 1'!GA71),IF(B199="ERROR",'Data - Sample Type 1'!GA71,IF(B199="NO RESULT",'Data - Sample Type 1'!GA71,IF(B199="V","MINOR VISUAL",IF(B199="M","MAJOR VISUAL",IF(B199="B","BARCODE FAIL",IF(B199="D","DELAMINATION",IF(COUNTIF(B199,Specifications!$K$4)=1,"INDETERMINATE",IF(COUNTIF(B199,$D$128)&lt;&gt;1,"MAJOR FUNCTIONAL",IF('Data - Sample Type 1'!Q71="","DATA ENTRY ERROR",IF('Data - Sample Type 1'!Q71=0,"SPC CT=0","PASS"))))))))))))</f>
        <v>PASS</v>
      </c>
      <c r="D199" s="79" t="str">
        <f>IF(C199="","",IF('Data - Sample Type 1'!FY71="","N/A",IF('Data - Sample Type 1'!FY71&lt;Specifications!$D$3,"PASS","FAIL")))</f>
        <v>PASS</v>
      </c>
      <c r="E199" s="195" t="s">
        <v>164</v>
      </c>
    </row>
    <row r="200" spans="1:5" ht="14" x14ac:dyDescent="0.15">
      <c r="A200" s="75" t="str">
        <f>IF('Data - Sample Type 1'!C72="","",'Data - Sample Type 1'!C72)</f>
        <v>C15NOV23D_09_1_17+</v>
      </c>
      <c r="B200" s="76" t="str">
        <f>IF('Data - Sample Type 1'!L72="","",'Data - Sample Type 1'!L72)</f>
        <v>MTB DETECTED LOW;RIF Resistance DETECTED</v>
      </c>
      <c r="C200" s="77" t="str">
        <f>IF(B200="","",IF(B200="INVALID",IF('Data - Sample Type 1'!GA72="","INVALID",'Data - Sample Type 1'!GA72),IF(B200="ERROR",'Data - Sample Type 1'!GA72,IF(B200="NO RESULT",'Data - Sample Type 1'!GA72,IF(B200="V","MINOR VISUAL",IF(B200="M","MAJOR VISUAL",IF(B200="B","BARCODE FAIL",IF(B200="D","DELAMINATION",IF(COUNTIF(B200,Specifications!$K$4)=1,"INDETERMINATE",IF(COUNTIF(B200,$D$128)&lt;&gt;1,"MAJOR FUNCTIONAL",IF('Data - Sample Type 1'!Q72="","DATA ENTRY ERROR",IF('Data - Sample Type 1'!Q72=0,"SPC CT=0","PASS"))))))))))))</f>
        <v>PASS</v>
      </c>
      <c r="D200" s="79" t="str">
        <f>IF(C200="","",IF('Data - Sample Type 1'!FY72="","N/A",IF('Data - Sample Type 1'!FY72&lt;Specifications!$D$3,"PASS","FAIL")))</f>
        <v>PASS</v>
      </c>
      <c r="E200" s="195" t="s">
        <v>164</v>
      </c>
    </row>
    <row r="201" spans="1:5" ht="14" x14ac:dyDescent="0.15">
      <c r="A201" s="75" t="str">
        <f>IF('Data - Sample Type 1'!C73="","",'Data - Sample Type 1'!C73)</f>
        <v>C15NOV23D_09_1_18+</v>
      </c>
      <c r="B201" s="76" t="str">
        <f>IF('Data - Sample Type 1'!L73="","",'Data - Sample Type 1'!L73)</f>
        <v>MTB DETECTED LOW;RIF Resistance DETECTED</v>
      </c>
      <c r="C201" s="77" t="str">
        <f>IF(B201="","",IF(B201="INVALID",IF('Data - Sample Type 1'!GA73="","INVALID",'Data - Sample Type 1'!GA73),IF(B201="ERROR",'Data - Sample Type 1'!GA73,IF(B201="NO RESULT",'Data - Sample Type 1'!GA73,IF(B201="V","MINOR VISUAL",IF(B201="M","MAJOR VISUAL",IF(B201="B","BARCODE FAIL",IF(B201="D","DELAMINATION",IF(COUNTIF(B201,Specifications!$K$4)=1,"INDETERMINATE",IF(COUNTIF(B201,$D$128)&lt;&gt;1,"MAJOR FUNCTIONAL",IF('Data - Sample Type 1'!Q73="","DATA ENTRY ERROR",IF('Data - Sample Type 1'!Q73=0,"SPC CT=0","PASS"))))))))))))</f>
        <v>PASS</v>
      </c>
      <c r="D201" s="79" t="str">
        <f>IF(C201="","",IF('Data - Sample Type 1'!FY73="","N/A",IF('Data - Sample Type 1'!FY73&lt;Specifications!$D$3,"PASS","FAIL")))</f>
        <v>PASS</v>
      </c>
      <c r="E201" s="195" t="s">
        <v>164</v>
      </c>
    </row>
    <row r="202" spans="1:5" ht="14" x14ac:dyDescent="0.15">
      <c r="A202" s="75" t="str">
        <f>IF('Data - Sample Type 1'!C74="","",'Data - Sample Type 1'!C74)</f>
        <v>C15NOV23D_10_1_11X</v>
      </c>
      <c r="B202" s="76" t="str">
        <f>IF('Data - Sample Type 1'!L74="","",'Data - Sample Type 1'!L74)</f>
        <v>MTB DETECTED LOW;RIF Resistance DETECTED</v>
      </c>
      <c r="C202" s="77" t="str">
        <f>IF(B202="","",IF(B202="INVALID",IF('Data - Sample Type 1'!GA74="","INVALID",'Data - Sample Type 1'!GA74),IF(B202="ERROR",'Data - Sample Type 1'!GA74,IF(B202="NO RESULT",'Data - Sample Type 1'!GA74,IF(B202="V","MINOR VISUAL",IF(B202="M","MAJOR VISUAL",IF(B202="B","BARCODE FAIL",IF(B202="D","DELAMINATION",IF(COUNTIF(B202,Specifications!$K$4)=1,"INDETERMINATE",IF(COUNTIF(B202,$D$128)&lt;&gt;1,"MAJOR FUNCTIONAL",IF('Data - Sample Type 1'!Q74="","DATA ENTRY ERROR",IF('Data - Sample Type 1'!Q74=0,"SPC CT=0","PASS"))))))))))))</f>
        <v>PASS</v>
      </c>
      <c r="D202" s="79" t="str">
        <f>IF(C202="","",IF('Data - Sample Type 1'!FY74="","N/A",IF('Data - Sample Type 1'!FY74&lt;Specifications!$D$3,"PASS","FAIL")))</f>
        <v>PASS</v>
      </c>
      <c r="E202" s="195" t="s">
        <v>164</v>
      </c>
    </row>
    <row r="203" spans="1:5" ht="14" x14ac:dyDescent="0.15">
      <c r="A203" s="75" t="str">
        <f>IF('Data - Sample Type 1'!C75="","",'Data - Sample Type 1'!C75)</f>
        <v>C15NOV23D_10_1_12X</v>
      </c>
      <c r="B203" s="76" t="str">
        <f>IF('Data - Sample Type 1'!L75="","",'Data - Sample Type 1'!L75)</f>
        <v>MTB DETECTED LOW;RIF Resistance DETECTED</v>
      </c>
      <c r="C203" s="77" t="str">
        <f>IF(B203="","",IF(B203="INVALID",IF('Data - Sample Type 1'!GA75="","INVALID",'Data - Sample Type 1'!GA75),IF(B203="ERROR",'Data - Sample Type 1'!GA75,IF(B203="NO RESULT",'Data - Sample Type 1'!GA75,IF(B203="V","MINOR VISUAL",IF(B203="M","MAJOR VISUAL",IF(B203="B","BARCODE FAIL",IF(B203="D","DELAMINATION",IF(COUNTIF(B203,Specifications!$K$4)=1,"INDETERMINATE",IF(COUNTIF(B203,$D$128)&lt;&gt;1,"MAJOR FUNCTIONAL",IF('Data - Sample Type 1'!Q75="","DATA ENTRY ERROR",IF('Data - Sample Type 1'!Q75=0,"SPC CT=0","PASS"))))))))))))</f>
        <v>PASS</v>
      </c>
      <c r="D203" s="79" t="str">
        <f>IF(C203="","",IF('Data - Sample Type 1'!FY75="","N/A",IF('Data - Sample Type 1'!FY75&lt;Specifications!$D$3,"PASS","FAIL")))</f>
        <v>PASS</v>
      </c>
      <c r="E203" s="195" t="s">
        <v>164</v>
      </c>
    </row>
    <row r="204" spans="1:5" ht="14" x14ac:dyDescent="0.15">
      <c r="A204" s="75" t="str">
        <f>IF('Data - Sample Type 1'!C76="","",'Data - Sample Type 1'!C76)</f>
        <v>C15NOV23D_10_1_13X</v>
      </c>
      <c r="B204" s="76" t="str">
        <f>IF('Data - Sample Type 1'!L76="","",'Data - Sample Type 1'!L76)</f>
        <v>MTB DETECTED LOW;RIF Resistance DETECTED</v>
      </c>
      <c r="C204" s="77" t="str">
        <f>IF(B204="","",IF(B204="INVALID",IF('Data - Sample Type 1'!GA76="","INVALID",'Data - Sample Type 1'!GA76),IF(B204="ERROR",'Data - Sample Type 1'!GA76,IF(B204="NO RESULT",'Data - Sample Type 1'!GA76,IF(B204="V","MINOR VISUAL",IF(B204="M","MAJOR VISUAL",IF(B204="B","BARCODE FAIL",IF(B204="D","DELAMINATION",IF(COUNTIF(B204,Specifications!$K$4)=1,"INDETERMINATE",IF(COUNTIF(B204,$D$128)&lt;&gt;1,"MAJOR FUNCTIONAL",IF('Data - Sample Type 1'!Q76="","DATA ENTRY ERROR",IF('Data - Sample Type 1'!Q76=0,"SPC CT=0","PASS"))))))))))))</f>
        <v>PASS</v>
      </c>
      <c r="D204" s="79" t="str">
        <f>IF(C204="","",IF('Data - Sample Type 1'!FY76="","N/A",IF('Data - Sample Type 1'!FY76&lt;Specifications!$D$3,"PASS","FAIL")))</f>
        <v>PASS</v>
      </c>
      <c r="E204" s="195" t="s">
        <v>164</v>
      </c>
    </row>
    <row r="205" spans="1:5" ht="14" x14ac:dyDescent="0.15">
      <c r="A205" s="75" t="str">
        <f>IF('Data - Sample Type 1'!C77="","",'Data - Sample Type 1'!C77)</f>
        <v>C15NOV23D_10_1_14X</v>
      </c>
      <c r="B205" s="76" t="str">
        <f>IF('Data - Sample Type 1'!L77="","",'Data - Sample Type 1'!L77)</f>
        <v>MTB DETECTED LOW;RIF Resistance DETECTED</v>
      </c>
      <c r="C205" s="77" t="str">
        <f>IF(B205="","",IF(B205="INVALID",IF('Data - Sample Type 1'!GA77="","INVALID",'Data - Sample Type 1'!GA77),IF(B205="ERROR",'Data - Sample Type 1'!GA77,IF(B205="NO RESULT",'Data - Sample Type 1'!GA77,IF(B205="V","MINOR VISUAL",IF(B205="M","MAJOR VISUAL",IF(B205="B","BARCODE FAIL",IF(B205="D","DELAMINATION",IF(COUNTIF(B205,Specifications!$K$4)=1,"INDETERMINATE",IF(COUNTIF(B205,$D$128)&lt;&gt;1,"MAJOR FUNCTIONAL",IF('Data - Sample Type 1'!Q77="","DATA ENTRY ERROR",IF('Data - Sample Type 1'!Q77=0,"SPC CT=0","PASS"))))))))))))</f>
        <v>PASS</v>
      </c>
      <c r="D205" s="79" t="str">
        <f>IF(C205="","",IF('Data - Sample Type 1'!FY77="","N/A",IF('Data - Sample Type 1'!FY77&lt;Specifications!$D$3,"PASS","FAIL")))</f>
        <v>PASS</v>
      </c>
      <c r="E205" s="195" t="s">
        <v>164</v>
      </c>
    </row>
    <row r="206" spans="1:5" ht="14" x14ac:dyDescent="0.15">
      <c r="A206" s="75" t="str">
        <f>IF('Data - Sample Type 1'!C78="","",'Data - Sample Type 1'!C78)</f>
        <v>C15NOV23D_10_1_15+</v>
      </c>
      <c r="B206" s="76" t="str">
        <f>IF('Data - Sample Type 1'!L78="","",'Data - Sample Type 1'!L78)</f>
        <v>MTB DETECTED LOW;RIF Resistance INDETERMINATE</v>
      </c>
      <c r="C206" s="77" t="str">
        <f>IF(B206="","",IF(B206="INVALID",IF('Data - Sample Type 1'!GA78="","INVALID",'Data - Sample Type 1'!GA78),IF(B206="ERROR",'Data - Sample Type 1'!GA78,IF(B206="NO RESULT",'Data - Sample Type 1'!GA78,IF(B206="V","MINOR VISUAL",IF(B206="M","MAJOR VISUAL",IF(B206="B","BARCODE FAIL",IF(B206="D","DELAMINATION",IF(COUNTIF(B206,Specifications!$K$4)=1,"INDETERMINATE",IF(COUNTIF(B206,$D$128)&lt;&gt;1,"MAJOR FUNCTIONAL",IF('Data - Sample Type 1'!Q78="","DATA ENTRY ERROR",IF('Data - Sample Type 1'!Q78=0,"SPC CT=0","PASS"))))))))))))</f>
        <v>INDETERMINATE</v>
      </c>
      <c r="D206" s="79" t="str">
        <f>IF(C206="","",IF('Data - Sample Type 1'!FY78="","N/A",IF('Data - Sample Type 1'!FY78&lt;Specifications!$D$3,"PASS","FAIL")))</f>
        <v>PASS</v>
      </c>
      <c r="E206" s="195" t="s">
        <v>164</v>
      </c>
    </row>
    <row r="207" spans="1:5" ht="14" x14ac:dyDescent="0.15">
      <c r="A207" s="75" t="str">
        <f>IF('Data - Sample Type 1'!C79="","",'Data - Sample Type 1'!C79)</f>
        <v>C15NOV23D_10_1_16+</v>
      </c>
      <c r="B207" s="76" t="str">
        <f>IF('Data - Sample Type 1'!L79="","",'Data - Sample Type 1'!L79)</f>
        <v>MTB DETECTED LOW;RIF Resistance DETECTED</v>
      </c>
      <c r="C207" s="77" t="str">
        <f>IF(B207="","",IF(B207="INVALID",IF('Data - Sample Type 1'!GA79="","INVALID",'Data - Sample Type 1'!GA79),IF(B207="ERROR",'Data - Sample Type 1'!GA79,IF(B207="NO RESULT",'Data - Sample Type 1'!GA79,IF(B207="V","MINOR VISUAL",IF(B207="M","MAJOR VISUAL",IF(B207="B","BARCODE FAIL",IF(B207="D","DELAMINATION",IF(COUNTIF(B207,Specifications!$K$4)=1,"INDETERMINATE",IF(COUNTIF(B207,$D$128)&lt;&gt;1,"MAJOR FUNCTIONAL",IF('Data - Sample Type 1'!Q79="","DATA ENTRY ERROR",IF('Data - Sample Type 1'!Q79=0,"SPC CT=0","PASS"))))))))))))</f>
        <v>PASS</v>
      </c>
      <c r="D207" s="79" t="str">
        <f>IF(C207="","",IF('Data - Sample Type 1'!FY79="","N/A",IF('Data - Sample Type 1'!FY79&lt;Specifications!$D$3,"PASS","FAIL")))</f>
        <v>PASS</v>
      </c>
      <c r="E207" s="195" t="s">
        <v>164</v>
      </c>
    </row>
    <row r="208" spans="1:5" ht="14" x14ac:dyDescent="0.15">
      <c r="A208" s="75" t="str">
        <f>IF('Data - Sample Type 1'!C80="","",'Data - Sample Type 1'!C80)</f>
        <v>C15NOV23D_10_1_17+</v>
      </c>
      <c r="B208" s="76" t="str">
        <f>IF('Data - Sample Type 1'!L80="","",'Data - Sample Type 1'!L80)</f>
        <v>MTB DETECTED LOW;RIF Resistance DETECTED</v>
      </c>
      <c r="C208" s="77" t="str">
        <f>IF(B208="","",IF(B208="INVALID",IF('Data - Sample Type 1'!GA80="","INVALID",'Data - Sample Type 1'!GA80),IF(B208="ERROR",'Data - Sample Type 1'!GA80,IF(B208="NO RESULT",'Data - Sample Type 1'!GA80,IF(B208="V","MINOR VISUAL",IF(B208="M","MAJOR VISUAL",IF(B208="B","BARCODE FAIL",IF(B208="D","DELAMINATION",IF(COUNTIF(B208,Specifications!$K$4)=1,"INDETERMINATE",IF(COUNTIF(B208,$D$128)&lt;&gt;1,"MAJOR FUNCTIONAL",IF('Data - Sample Type 1'!Q80="","DATA ENTRY ERROR",IF('Data - Sample Type 1'!Q80=0,"SPC CT=0","PASS"))))))))))))</f>
        <v>PASS</v>
      </c>
      <c r="D208" s="79" t="str">
        <f>IF(C208="","",IF('Data - Sample Type 1'!FY80="","N/A",IF('Data - Sample Type 1'!FY80&lt;Specifications!$D$3,"PASS","FAIL")))</f>
        <v>PASS</v>
      </c>
      <c r="E208" s="195" t="s">
        <v>164</v>
      </c>
    </row>
    <row r="209" spans="1:5" ht="14" x14ac:dyDescent="0.15">
      <c r="A209" s="75" t="str">
        <f>IF('Data - Sample Type 1'!C81="","",'Data - Sample Type 1'!C81)</f>
        <v>C15NOV23D_10_1_18+</v>
      </c>
      <c r="B209" s="76" t="str">
        <f>IF('Data - Sample Type 1'!L81="","",'Data - Sample Type 1'!L81)</f>
        <v>MTB DETECTED LOW;RIF Resistance DETECTED</v>
      </c>
      <c r="C209" s="77" t="str">
        <f>IF(B209="","",IF(B209="INVALID",IF('Data - Sample Type 1'!GA81="","INVALID",'Data - Sample Type 1'!GA81),IF(B209="ERROR",'Data - Sample Type 1'!GA81,IF(B209="NO RESULT",'Data - Sample Type 1'!GA81,IF(B209="V","MINOR VISUAL",IF(B209="M","MAJOR VISUAL",IF(B209="B","BARCODE FAIL",IF(B209="D","DELAMINATION",IF(COUNTIF(B209,Specifications!$K$4)=1,"INDETERMINATE",IF(COUNTIF(B209,$D$128)&lt;&gt;1,"MAJOR FUNCTIONAL",IF('Data - Sample Type 1'!Q81="","DATA ENTRY ERROR",IF('Data - Sample Type 1'!Q81=0,"SPC CT=0","PASS"))))))))))))</f>
        <v>PASS</v>
      </c>
      <c r="D209" s="79" t="str">
        <f>IF(C209="","",IF('Data - Sample Type 1'!FY81="","N/A",IF('Data - Sample Type 1'!FY81&lt;Specifications!$D$3,"PASS","FAIL")))</f>
        <v>PASS</v>
      </c>
      <c r="E209" s="195" t="s">
        <v>164</v>
      </c>
    </row>
    <row r="211" spans="1:5" s="87" customFormat="1" ht="17" x14ac:dyDescent="0.15">
      <c r="A211" s="88" t="s">
        <v>537</v>
      </c>
      <c r="B211" s="89">
        <v>2</v>
      </c>
      <c r="C211" s="90" t="s">
        <v>529</v>
      </c>
      <c r="D211" s="372">
        <f>COUNTIF('Data - Sample Type 2'!A2:A21,"&lt;&gt;"&amp;"")</f>
        <v>20</v>
      </c>
      <c r="E211" s="372"/>
    </row>
    <row r="212" spans="1:5" s="87" customFormat="1" ht="17" x14ac:dyDescent="0.15">
      <c r="A212" s="88" t="s">
        <v>530</v>
      </c>
      <c r="B212" s="91" t="str">
        <f>IF($C$3="","",IF(D211=0,"NO DATA",IF(COUNTIF('Data - Sample Type 2'!$E$2:$E$21,$C$3)=D211,"VALID","")))</f>
        <v>VALID</v>
      </c>
      <c r="C212" s="92" t="s">
        <v>531</v>
      </c>
      <c r="D212" s="372" t="str">
        <f>IF($C$4="","",IF(D211=0,"NO DATA",IF(COUNTIF('Data - Sample Type 2'!$A$2:$A$21,$C$4)=D211,"VALID","")))</f>
        <v>VALID</v>
      </c>
      <c r="E212" s="372"/>
    </row>
    <row r="213" spans="1:5" s="87" customFormat="1" ht="34" x14ac:dyDescent="0.15">
      <c r="A213" s="92" t="s">
        <v>532</v>
      </c>
      <c r="B213" s="91" t="str">
        <f>IF(Specifications!$B$9=$D$211,"PASS","FAIL")</f>
        <v>PASS</v>
      </c>
      <c r="C213" s="101" t="s">
        <v>533</v>
      </c>
      <c r="D213" s="367" t="str">
        <f>LOOKUP($C$2,Specifications!$A$11:$A$22,Specifications!$F$11:F$22)</f>
        <v>MTB DETECTED *;Rif Resistance NOT DETECTED</v>
      </c>
      <c r="E213" s="368"/>
    </row>
    <row r="214" spans="1:5" ht="14" x14ac:dyDescent="0.15">
      <c r="A214" s="71" t="s">
        <v>319</v>
      </c>
      <c r="B214" s="72" t="s">
        <v>274</v>
      </c>
      <c r="C214" s="73" t="s">
        <v>534</v>
      </c>
      <c r="D214" s="71" t="s">
        <v>535</v>
      </c>
      <c r="E214" s="74" t="s">
        <v>536</v>
      </c>
    </row>
    <row r="215" spans="1:5" ht="14" x14ac:dyDescent="0.15">
      <c r="A215" s="75" t="str">
        <f>IF('Data - Sample Type 2'!C2="","",'Data - Sample Type 2'!C2)</f>
        <v>B01NOV24B_01_2_19X</v>
      </c>
      <c r="B215" s="76" t="str">
        <f>IF('Data - Sample Type 2'!L2="","",'Data - Sample Type 2'!L2)</f>
        <v>MTB DETECTED LOW;RIF Resistance NOT DETECTED</v>
      </c>
      <c r="C215" s="77" t="str">
        <f>IF(B215="","",IF(B215="INVALID",IF('Data - Sample Type 2'!GA2="","INVALID",'Data - Sample Type 2'!GA2),IF(B215="ERROR",'Data - Sample Type 2'!GA2,IF(B215="NO RESULT",'Data - Sample Type 2'!GA2,IF(B215="V","MINOR VISUAL",IF(B215="M","MAJOR VISUAL",IF(B215="B","BARCODE FAIL",IF(B215="D","DELAMINATION",IF(COUNTIF(B215,Specifications!$K$4)=1,"INDETERMINATE",IF(COUNTIF(B215,$D$213)&lt;&gt;1,"MAJOR FUNCTIONAL",IF('Data - Sample Type 2'!Q2="","DATA ENTRY ERROR",IF('Data - Sample Type 2'!Q2=0,"SPC CT=0","PASS"))))))))))))</f>
        <v>PASS</v>
      </c>
      <c r="D215" s="78" t="str">
        <f>IF(C215="","",IF('Data - Sample Type 2'!FY2="","N/A",IF('Data - Sample Type 2'!FY2&lt;Specifications!$D$3,"PASS","FAIL")))</f>
        <v>PASS</v>
      </c>
      <c r="E215" s="195" t="s">
        <v>164</v>
      </c>
    </row>
    <row r="216" spans="1:5" ht="14" x14ac:dyDescent="0.15">
      <c r="A216" s="75" t="str">
        <f>IF('Data - Sample Type 2'!C3="","",'Data - Sample Type 2'!C3)</f>
        <v>B01NOV24B_01_2_20+</v>
      </c>
      <c r="B216" s="76" t="str">
        <f>IF('Data - Sample Type 2'!L3="","",'Data - Sample Type 2'!L3)</f>
        <v>MTB DETECTED LOW;RIF Resistance NOT DETECTED</v>
      </c>
      <c r="C216" s="77" t="str">
        <f>IF(B216="","",IF(B216="INVALID",IF('Data - Sample Type 2'!GA3="","INVALID",'Data - Sample Type 2'!GA3),IF(B216="ERROR",'Data - Sample Type 2'!GA3,IF(B216="NO RESULT",'Data - Sample Type 2'!GA3,IF(B216="V","MINOR VISUAL",IF(B216="M","MAJOR VISUAL",IF(B216="B","BARCODE FAIL",IF(B216="D","DELAMINATION",IF(COUNTIF(B216,Specifications!$K$4)=1,"INDETERMINATE",IF(COUNTIF(B216,$D$213)&lt;&gt;1,"MAJOR FUNCTIONAL",IF('Data - Sample Type 2'!Q3="","DATA ENTRY ERROR",IF('Data - Sample Type 2'!Q3=0,"SPC CT=0","PASS"))))))))))))</f>
        <v>PASS</v>
      </c>
      <c r="D216" s="78" t="str">
        <f>IF(C216="","",IF('Data - Sample Type 2'!FY3="","N/A",IF('Data - Sample Type 2'!FY3&lt;Specifications!$D$3,"PASS","FAIL")))</f>
        <v>PASS</v>
      </c>
      <c r="E216" s="195" t="s">
        <v>164</v>
      </c>
    </row>
    <row r="217" spans="1:5" ht="14" x14ac:dyDescent="0.15">
      <c r="A217" s="75" t="str">
        <f>IF('Data - Sample Type 2'!C4="","",'Data - Sample Type 2'!C4)</f>
        <v>B01NOV24B_02_2_19X</v>
      </c>
      <c r="B217" s="76" t="str">
        <f>IF('Data - Sample Type 2'!L4="","",'Data - Sample Type 2'!L4)</f>
        <v>MTB DETECTED LOW;RIF Resistance NOT DETECTED</v>
      </c>
      <c r="C217" s="77" t="str">
        <f>IF(B217="","",IF(B217="INVALID",IF('Data - Sample Type 2'!GA4="","INVALID",'Data - Sample Type 2'!GA4),IF(B217="ERROR",'Data - Sample Type 2'!GA4,IF(B217="NO RESULT",'Data - Sample Type 2'!GA4,IF(B217="V","MINOR VISUAL",IF(B217="M","MAJOR VISUAL",IF(B217="B","BARCODE FAIL",IF(B217="D","DELAMINATION",IF(COUNTIF(B217,Specifications!$K$4)=1,"INDETERMINATE",IF(COUNTIF(B217,$D$213)&lt;&gt;1,"MAJOR FUNCTIONAL",IF('Data - Sample Type 2'!Q4="","DATA ENTRY ERROR",IF('Data - Sample Type 2'!Q4=0,"SPC CT=0","PASS"))))))))))))</f>
        <v>PASS</v>
      </c>
      <c r="D217" s="78" t="str">
        <f>IF(C217="","",IF('Data - Sample Type 2'!FY4="","N/A",IF('Data - Sample Type 2'!FY4&lt;Specifications!$D$3,"PASS","FAIL")))</f>
        <v>PASS</v>
      </c>
      <c r="E217" s="195" t="s">
        <v>164</v>
      </c>
    </row>
    <row r="218" spans="1:5" ht="14" x14ac:dyDescent="0.15">
      <c r="A218" s="75" t="str">
        <f>IF('Data - Sample Type 2'!C5="","",'Data - Sample Type 2'!C5)</f>
        <v>B01NOV24B_02_2_20+</v>
      </c>
      <c r="B218" s="76" t="str">
        <f>IF('Data - Sample Type 2'!L5="","",'Data - Sample Type 2'!L5)</f>
        <v>MTB DETECTED LOW;RIF Resistance NOT DETECTED</v>
      </c>
      <c r="C218" s="77" t="str">
        <f>IF(B218="","",IF(B218="INVALID",IF('Data - Sample Type 2'!GA5="","INVALID",'Data - Sample Type 2'!GA5),IF(B218="ERROR",'Data - Sample Type 2'!GA5,IF(B218="NO RESULT",'Data - Sample Type 2'!GA5,IF(B218="V","MINOR VISUAL",IF(B218="M","MAJOR VISUAL",IF(B218="B","BARCODE FAIL",IF(B218="D","DELAMINATION",IF(COUNTIF(B218,Specifications!$K$4)=1,"INDETERMINATE",IF(COUNTIF(B218,$D$213)&lt;&gt;1,"MAJOR FUNCTIONAL",IF('Data - Sample Type 2'!Q5="","DATA ENTRY ERROR",IF('Data - Sample Type 2'!Q5=0,"SPC CT=0","PASS"))))))))))))</f>
        <v>PASS</v>
      </c>
      <c r="D218" s="78" t="str">
        <f>IF(C218="","",IF('Data - Sample Type 2'!FY5="","N/A",IF('Data - Sample Type 2'!FY5&lt;Specifications!$D$3,"PASS","FAIL")))</f>
        <v>PASS</v>
      </c>
      <c r="E218" s="195" t="s">
        <v>164</v>
      </c>
    </row>
    <row r="219" spans="1:5" ht="56" x14ac:dyDescent="0.15">
      <c r="A219" s="75" t="str">
        <f>IF('Data - Sample Type 2'!C6="","",'Data - Sample Type 2'!C6)</f>
        <v>B01NOV24B_03_2_19X</v>
      </c>
      <c r="B219" s="76" t="str">
        <f>IF('Data - Sample Type 2'!L6="","",'Data - Sample Type 2'!L6)</f>
        <v>NO RESULT</v>
      </c>
      <c r="C219" s="77" t="str">
        <f>IF(B219="","",IF(B219="INVALID",IF('Data - Sample Type 2'!GA6="","INVALID",'Data - Sample Type 2'!GA6),IF(B219="ERROR",'Data - Sample Type 2'!GA6,IF(B219="NO RESULT",'Data - Sample Type 2'!GA6,IF(B219="V","MINOR VISUAL",IF(B219="M","MAJOR VISUAL",IF(B219="B","BARCODE FAIL",IF(B219="D","DELAMINATION",IF(COUNTIF(B219,Specifications!$K$4)=1,"INDETERMINATE",IF(COUNTIF(B219,$D$213)&lt;&gt;1,"MAJOR FUNCTIONAL",IF('Data - Sample Type 2'!Q6="","DATA ENTRY ERROR",IF('Data - Sample Type 2'!Q6=0,"SPC CT=0","PASS"))))))))))))</f>
        <v>Error 2037: The cartridge integrity test failed at valve position 1390. The pressure change of -0.6 PSI did not exceed the requirement of 4.0 PSI. The pressure increased from 3.5 PSI to 3.0 PSI during the test</v>
      </c>
      <c r="D219" s="78" t="str">
        <f>IF(C219="","",IF('Data - Sample Type 2'!FY6="","N/A",IF('Data - Sample Type 2'!FY6&lt;Specifications!$D$3,"PASS","FAIL")))</f>
        <v>PASS</v>
      </c>
      <c r="E219" s="195" t="s">
        <v>164</v>
      </c>
    </row>
    <row r="220" spans="1:5" ht="14" x14ac:dyDescent="0.15">
      <c r="A220" s="75" t="str">
        <f>IF('Data - Sample Type 2'!C7="","",'Data - Sample Type 2'!C7)</f>
        <v>B01NOV24B_03_2_20+</v>
      </c>
      <c r="B220" s="76" t="str">
        <f>IF('Data - Sample Type 2'!L7="","",'Data - Sample Type 2'!L7)</f>
        <v>MTB DETECTED LOW;RIF Resistance NOT DETECTED</v>
      </c>
      <c r="C220" s="77" t="str">
        <f>IF(B220="","",IF(B220="INVALID",IF('Data - Sample Type 2'!GA7="","INVALID",'Data - Sample Type 2'!GA7),IF(B220="ERROR",'Data - Sample Type 2'!GA7,IF(B220="NO RESULT",'Data - Sample Type 2'!GA7,IF(B220="V","MINOR VISUAL",IF(B220="M","MAJOR VISUAL",IF(B220="B","BARCODE FAIL",IF(B220="D","DELAMINATION",IF(COUNTIF(B220,Specifications!$K$4)=1,"INDETERMINATE",IF(COUNTIF(B220,$D$213)&lt;&gt;1,"MAJOR FUNCTIONAL",IF('Data - Sample Type 2'!Q7="","DATA ENTRY ERROR",IF('Data - Sample Type 2'!Q7=0,"SPC CT=0","PASS"))))))))))))</f>
        <v>PASS</v>
      </c>
      <c r="D220" s="78" t="str">
        <f>IF(C220="","",IF('Data - Sample Type 2'!FY7="","N/A",IF('Data - Sample Type 2'!FY7&lt;Specifications!$D$3,"PASS","FAIL")))</f>
        <v>PASS</v>
      </c>
      <c r="E220" s="195" t="s">
        <v>164</v>
      </c>
    </row>
    <row r="221" spans="1:5" ht="14" x14ac:dyDescent="0.15">
      <c r="A221" s="75" t="str">
        <f>IF('Data - Sample Type 2'!C8="","",'Data - Sample Type 2'!C8)</f>
        <v>B01NOV24B_04_2_19X</v>
      </c>
      <c r="B221" s="76" t="str">
        <f>IF('Data - Sample Type 2'!L8="","",'Data - Sample Type 2'!L8)</f>
        <v>MTB DETECTED LOW;RIF Resistance NOT DETECTED</v>
      </c>
      <c r="C221" s="77" t="str">
        <f>IF(B221="","",IF(B221="INVALID",IF('Data - Sample Type 2'!GA8="","INVALID",'Data - Sample Type 2'!GA8),IF(B221="ERROR",'Data - Sample Type 2'!GA8,IF(B221="NO RESULT",'Data - Sample Type 2'!GA8,IF(B221="V","MINOR VISUAL",IF(B221="M","MAJOR VISUAL",IF(B221="B","BARCODE FAIL",IF(B221="D","DELAMINATION",IF(COUNTIF(B221,Specifications!$K$4)=1,"INDETERMINATE",IF(COUNTIF(B221,$D$213)&lt;&gt;1,"MAJOR FUNCTIONAL",IF('Data - Sample Type 2'!Q8="","DATA ENTRY ERROR",IF('Data - Sample Type 2'!Q8=0,"SPC CT=0","PASS"))))))))))))</f>
        <v>SPC CT=0</v>
      </c>
      <c r="D221" s="78" t="str">
        <f>IF(C221="","",IF('Data - Sample Type 2'!FY8="","N/A",IF('Data - Sample Type 2'!FY8&lt;Specifications!$D$3,"PASS","FAIL")))</f>
        <v>PASS</v>
      </c>
      <c r="E221" s="195" t="s">
        <v>164</v>
      </c>
    </row>
    <row r="222" spans="1:5" ht="14" x14ac:dyDescent="0.15">
      <c r="A222" s="75" t="str">
        <f>IF('Data - Sample Type 2'!C9="","",'Data - Sample Type 2'!C9)</f>
        <v>B01NOV24B_04_2_20+</v>
      </c>
      <c r="B222" s="76" t="str">
        <f>IF('Data - Sample Type 2'!L9="","",'Data - Sample Type 2'!L9)</f>
        <v>MTB DETECTED LOW;RIF Resistance NOT DETECTED</v>
      </c>
      <c r="C222" s="77" t="str">
        <f>IF(B222="","",IF(B222="INVALID",IF('Data - Sample Type 2'!GA9="","INVALID",'Data - Sample Type 2'!GA9),IF(B222="ERROR",'Data - Sample Type 2'!GA9,IF(B222="NO RESULT",'Data - Sample Type 2'!GA9,IF(B222="V","MINOR VISUAL",IF(B222="M","MAJOR VISUAL",IF(B222="B","BARCODE FAIL",IF(B222="D","DELAMINATION",IF(COUNTIF(B222,Specifications!$K$4)=1,"INDETERMINATE",IF(COUNTIF(B222,$D$213)&lt;&gt;1,"MAJOR FUNCTIONAL",IF('Data - Sample Type 2'!Q9="","DATA ENTRY ERROR",IF('Data - Sample Type 2'!Q9=0,"SPC CT=0","PASS"))))))))))))</f>
        <v>PASS</v>
      </c>
      <c r="D222" s="78" t="str">
        <f>IF(C222="","",IF('Data - Sample Type 2'!FY9="","N/A",IF('Data - Sample Type 2'!FY9&lt;Specifications!$D$3,"PASS","FAIL")))</f>
        <v>PASS</v>
      </c>
      <c r="E222" s="195" t="s">
        <v>164</v>
      </c>
    </row>
    <row r="223" spans="1:5" ht="14" x14ac:dyDescent="0.15">
      <c r="A223" s="75" t="str">
        <f>IF('Data - Sample Type 2'!C10="","",'Data - Sample Type 2'!C10)</f>
        <v>B01NOV24B_05_2_19X</v>
      </c>
      <c r="B223" s="76" t="str">
        <f>IF('Data - Sample Type 2'!L10="","",'Data - Sample Type 2'!L10)</f>
        <v>MTB DETECTED LOW;RIF Resistance NOT DETECTED</v>
      </c>
      <c r="C223" s="77" t="str">
        <f>IF(B223="","",IF(B223="INVALID",IF('Data - Sample Type 2'!GA10="","INVALID",'Data - Sample Type 2'!GA10),IF(B223="ERROR",'Data - Sample Type 2'!GA10,IF(B223="NO RESULT",'Data - Sample Type 2'!GA10,IF(B223="V","MINOR VISUAL",IF(B223="M","MAJOR VISUAL",IF(B223="B","BARCODE FAIL",IF(B223="D","DELAMINATION",IF(COUNTIF(B223,Specifications!$K$4)=1,"INDETERMINATE",IF(COUNTIF(B223,$D$213)&lt;&gt;1,"MAJOR FUNCTIONAL",IF('Data - Sample Type 2'!Q10="","DATA ENTRY ERROR",IF('Data - Sample Type 2'!Q10=0,"SPC CT=0","PASS"))))))))))))</f>
        <v>PASS</v>
      </c>
      <c r="D223" s="78" t="str">
        <f>IF(C223="","",IF('Data - Sample Type 2'!FY10="","N/A",IF('Data - Sample Type 2'!FY10&lt;Specifications!$D$3,"PASS","FAIL")))</f>
        <v>PASS</v>
      </c>
      <c r="E223" s="195" t="s">
        <v>164</v>
      </c>
    </row>
    <row r="224" spans="1:5" ht="14" x14ac:dyDescent="0.15">
      <c r="A224" s="75" t="str">
        <f>IF('Data - Sample Type 2'!C11="","",'Data - Sample Type 2'!C11)</f>
        <v>B01NOV24B_05_2_20+</v>
      </c>
      <c r="B224" s="76" t="str">
        <f>IF('Data - Sample Type 2'!L11="","",'Data - Sample Type 2'!L11)</f>
        <v>MTB DETECTED LOW;RIF Resistance NOT DETECTED</v>
      </c>
      <c r="C224" s="77" t="str">
        <f>IF(B224="","",IF(B224="INVALID",IF('Data - Sample Type 2'!GA11="","INVALID",'Data - Sample Type 2'!GA11),IF(B224="ERROR",'Data - Sample Type 2'!GA11,IF(B224="NO RESULT",'Data - Sample Type 2'!GA11,IF(B224="V","MINOR VISUAL",IF(B224="M","MAJOR VISUAL",IF(B224="B","BARCODE FAIL",IF(B224="D","DELAMINATION",IF(COUNTIF(B224,Specifications!$K$4)=1,"INDETERMINATE",IF(COUNTIF(B224,$D$213)&lt;&gt;1,"MAJOR FUNCTIONAL",IF('Data - Sample Type 2'!Q11="","DATA ENTRY ERROR",IF('Data - Sample Type 2'!Q11=0,"SPC CT=0","PASS"))))))))))))</f>
        <v>PASS</v>
      </c>
      <c r="D224" s="78" t="str">
        <f>IF(C224="","",IF('Data - Sample Type 2'!FY11="","N/A",IF('Data - Sample Type 2'!FY11&lt;Specifications!$D$3,"PASS","FAIL")))</f>
        <v>PASS</v>
      </c>
      <c r="E224" s="195" t="s">
        <v>164</v>
      </c>
    </row>
    <row r="225" spans="1:6" ht="14" x14ac:dyDescent="0.15">
      <c r="A225" s="75" t="str">
        <f>IF('Data - Sample Type 2'!C12="","",'Data - Sample Type 2'!C12)</f>
        <v>B01NOV24B_06_2_19X</v>
      </c>
      <c r="B225" s="76" t="str">
        <f>IF('Data - Sample Type 2'!L12="","",'Data - Sample Type 2'!L12)</f>
        <v>MTB DETECTED LOW;RIF Resistance NOT DETECTED</v>
      </c>
      <c r="C225" s="77" t="str">
        <f>IF(B225="","",IF(B225="INVALID",IF('Data - Sample Type 2'!GA12="","INVALID",'Data - Sample Type 2'!GA12),IF(B225="ERROR",'Data - Sample Type 2'!GA12,IF(B225="NO RESULT",'Data - Sample Type 2'!GA12,IF(B225="V","MINOR VISUAL",IF(B225="M","MAJOR VISUAL",IF(B225="B","BARCODE FAIL",IF(B225="D","DELAMINATION",IF(COUNTIF(B225,Specifications!$K$4)=1,"INDETERMINATE",IF(COUNTIF(B225,$D$213)&lt;&gt;1,"MAJOR FUNCTIONAL",IF('Data - Sample Type 2'!Q12="","DATA ENTRY ERROR",IF('Data - Sample Type 2'!Q12=0,"SPC CT=0","PASS"))))))))))))</f>
        <v>PASS</v>
      </c>
      <c r="D225" s="78" t="str">
        <f>IF(C225="","",IF('Data - Sample Type 2'!FY12="","N/A",IF('Data - Sample Type 2'!FY12&lt;Specifications!$D$3,"PASS","FAIL")))</f>
        <v>PASS</v>
      </c>
      <c r="E225" s="195" t="s">
        <v>164</v>
      </c>
    </row>
    <row r="226" spans="1:6" ht="14" x14ac:dyDescent="0.15">
      <c r="A226" s="75" t="str">
        <f>IF('Data - Sample Type 2'!C13="","",'Data - Sample Type 2'!C13)</f>
        <v>06_2_20+</v>
      </c>
      <c r="B226" s="76" t="str">
        <f>IF('Data - Sample Type 2'!L13="","",'Data - Sample Type 2'!L13)</f>
        <v>V</v>
      </c>
      <c r="C226" s="77" t="str">
        <f>IF(B226="","",IF(B226="INVALID",IF('Data - Sample Type 2'!GA13="","INVALID",'Data - Sample Type 2'!GA13),IF(B226="ERROR",'Data - Sample Type 2'!GA13,IF(B226="NO RESULT",'Data - Sample Type 2'!GA13,IF(B226="V","MINOR VISUAL",IF(B226="M","MAJOR VISUAL",IF(B226="B","BARCODE FAIL",IF(B226="D","DELAMINATION",IF(COUNTIF(B226,Specifications!$K$4)=1,"INDETERMINATE",IF(COUNTIF(B226,$D$213)&lt;&gt;1,"MAJOR FUNCTIONAL",IF('Data - Sample Type 2'!Q13="","DATA ENTRY ERROR",IF('Data - Sample Type 2'!Q13=0,"SPC CT=0","PASS"))))))))))))</f>
        <v>MINOR VISUAL</v>
      </c>
      <c r="D226" s="78" t="str">
        <f>IF(C226="","",IF('Data - Sample Type 2'!FY13="","N/A",IF('Data - Sample Type 2'!FY13&lt;Specifications!$D$3,"PASS","FAIL")))</f>
        <v>N/A</v>
      </c>
      <c r="E226" s="195" t="s">
        <v>1018</v>
      </c>
    </row>
    <row r="227" spans="1:6" ht="14" x14ac:dyDescent="0.15">
      <c r="A227" s="75" t="str">
        <f>IF('Data - Sample Type 2'!C14="","",'Data - Sample Type 2'!C14)</f>
        <v>B01NOV24B_07_2_19X</v>
      </c>
      <c r="B227" s="76" t="str">
        <f>IF('Data - Sample Type 2'!L14="","",'Data - Sample Type 2'!L14)</f>
        <v>MTB DETECTED LOW;RIF Resistance NOT DETECTED</v>
      </c>
      <c r="C227" s="77" t="str">
        <f>IF(B227="","",IF(B227="INVALID",IF('Data - Sample Type 2'!GA14="","INVALID",'Data - Sample Type 2'!GA14),IF(B227="ERROR",'Data - Sample Type 2'!GA14,IF(B227="NO RESULT",'Data - Sample Type 2'!GA14,IF(B227="V","MINOR VISUAL",IF(B227="M","MAJOR VISUAL",IF(B227="B","BARCODE FAIL",IF(B227="D","DELAMINATION",IF(COUNTIF(B227,Specifications!$K$4)=1,"INDETERMINATE",IF(COUNTIF(B227,$D$213)&lt;&gt;1,"MAJOR FUNCTIONAL",IF('Data - Sample Type 2'!Q14="","DATA ENTRY ERROR",IF('Data - Sample Type 2'!Q14=0,"SPC CT=0","PASS"))))))))))))</f>
        <v>PASS</v>
      </c>
      <c r="D227" s="78" t="str">
        <f>IF(C227="","",IF('Data - Sample Type 2'!FY14="","N/A",IF('Data - Sample Type 2'!FY14&lt;Specifications!$D$3,"PASS","FAIL")))</f>
        <v>PASS</v>
      </c>
      <c r="E227" s="195" t="s">
        <v>164</v>
      </c>
    </row>
    <row r="228" spans="1:6" ht="14" x14ac:dyDescent="0.15">
      <c r="A228" s="75" t="str">
        <f>IF('Data - Sample Type 2'!C15="","",'Data - Sample Type 2'!C15)</f>
        <v>B01NOV24B_07_2_20+</v>
      </c>
      <c r="B228" s="76" t="str">
        <f>IF('Data - Sample Type 2'!L15="","",'Data - Sample Type 2'!L15)</f>
        <v>MTB DETECTED LOW;RIF Resistance NOT DETECTED</v>
      </c>
      <c r="C228" s="77" t="str">
        <f>IF(B228="","",IF(B228="INVALID",IF('Data - Sample Type 2'!GA15="","INVALID",'Data - Sample Type 2'!GA15),IF(B228="ERROR",'Data - Sample Type 2'!GA15,IF(B228="NO RESULT",'Data - Sample Type 2'!GA15,IF(B228="V","MINOR VISUAL",IF(B228="M","MAJOR VISUAL",IF(B228="B","BARCODE FAIL",IF(B228="D","DELAMINATION",IF(COUNTIF(B228,Specifications!$K$4)=1,"INDETERMINATE",IF(COUNTIF(B228,$D$213)&lt;&gt;1,"MAJOR FUNCTIONAL",IF('Data - Sample Type 2'!Q15="","DATA ENTRY ERROR",IF('Data - Sample Type 2'!Q15=0,"SPC CT=0","PASS"))))))))))))</f>
        <v>PASS</v>
      </c>
      <c r="D228" s="78" t="str">
        <f>IF(C228="","",IF('Data - Sample Type 2'!FY15="","N/A",IF('Data - Sample Type 2'!FY15&lt;Specifications!$D$3,"PASS","FAIL")))</f>
        <v>PASS</v>
      </c>
      <c r="E228" s="195" t="s">
        <v>164</v>
      </c>
    </row>
    <row r="229" spans="1:6" ht="14" x14ac:dyDescent="0.15">
      <c r="A229" s="75" t="str">
        <f>IF('Data - Sample Type 2'!C16="","",'Data - Sample Type 2'!C16)</f>
        <v>B01NOV24B_08_2_19X</v>
      </c>
      <c r="B229" s="76" t="str">
        <f>IF('Data - Sample Type 2'!L16="","",'Data - Sample Type 2'!L16)</f>
        <v>MTB DETECTED LOW;RIF Resistance NOT DETECTED</v>
      </c>
      <c r="C229" s="77" t="str">
        <f>IF(B229="","",IF(B229="INVALID",IF('Data - Sample Type 2'!GA16="","INVALID",'Data - Sample Type 2'!GA16),IF(B229="ERROR",'Data - Sample Type 2'!GA16,IF(B229="NO RESULT",'Data - Sample Type 2'!GA16,IF(B229="V","MINOR VISUAL",IF(B229="M","MAJOR VISUAL",IF(B229="B","BARCODE FAIL",IF(B229="D","DELAMINATION",IF(COUNTIF(B229,Specifications!$K$4)=1,"INDETERMINATE",IF(COUNTIF(B229,$D$213)&lt;&gt;1,"MAJOR FUNCTIONAL",IF('Data - Sample Type 2'!Q16="","DATA ENTRY ERROR",IF('Data - Sample Type 2'!Q16=0,"SPC CT=0","PASS"))))))))))))</f>
        <v>PASS</v>
      </c>
      <c r="D229" s="78" t="str">
        <f>IF(C229="","",IF('Data - Sample Type 2'!FY16="","N/A",IF('Data - Sample Type 2'!FY16&lt;Specifications!$D$3,"PASS","FAIL")))</f>
        <v>PASS</v>
      </c>
      <c r="E229" s="195" t="s">
        <v>164</v>
      </c>
    </row>
    <row r="230" spans="1:6" ht="14" x14ac:dyDescent="0.15">
      <c r="A230" s="75" t="str">
        <f>IF('Data - Sample Type 2'!C17="","",'Data - Sample Type 2'!C17)</f>
        <v>B01NOV24B_08_2_20+</v>
      </c>
      <c r="B230" s="76" t="str">
        <f>IF('Data - Sample Type 2'!L17="","",'Data - Sample Type 2'!L17)</f>
        <v>MTB DETECTED LOW;RIF Resistance NOT DETECTED</v>
      </c>
      <c r="C230" s="77" t="str">
        <f>IF(B230="","",IF(B230="INVALID",IF('Data - Sample Type 2'!GA17="","INVALID",'Data - Sample Type 2'!GA17),IF(B230="ERROR",'Data - Sample Type 2'!GA17,IF(B230="NO RESULT",'Data - Sample Type 2'!GA17,IF(B230="V","MINOR VISUAL",IF(B230="M","MAJOR VISUAL",IF(B230="B","BARCODE FAIL",IF(B230="D","DELAMINATION",IF(COUNTIF(B230,Specifications!$K$4)=1,"INDETERMINATE",IF(COUNTIF(B230,$D$213)&lt;&gt;1,"MAJOR FUNCTIONAL",IF('Data - Sample Type 2'!Q17="","DATA ENTRY ERROR",IF('Data - Sample Type 2'!Q17=0,"SPC CT=0","PASS"))))))))))))</f>
        <v>PASS</v>
      </c>
      <c r="D230" s="78" t="str">
        <f>IF(C230="","",IF('Data - Sample Type 2'!FY17="","N/A",IF('Data - Sample Type 2'!FY17&lt;Specifications!$D$3,"PASS","FAIL")))</f>
        <v>PASS</v>
      </c>
      <c r="E230" s="195" t="s">
        <v>164</v>
      </c>
    </row>
    <row r="231" spans="1:6" ht="14" x14ac:dyDescent="0.15">
      <c r="A231" s="75" t="str">
        <f>IF('Data - Sample Type 2'!C18="","",'Data - Sample Type 2'!C18)</f>
        <v>B01NOV24B_09_2_19X</v>
      </c>
      <c r="B231" s="76" t="str">
        <f>IF('Data - Sample Type 2'!L18="","",'Data - Sample Type 2'!L18)</f>
        <v>MTB DETECTED LOW;RIF Resistance NOT DETECTED</v>
      </c>
      <c r="C231" s="77" t="str">
        <f>IF(B231="","",IF(B231="INVALID",IF('Data - Sample Type 2'!GA18="","INVALID",'Data - Sample Type 2'!GA18),IF(B231="ERROR",'Data - Sample Type 2'!GA18,IF(B231="NO RESULT",'Data - Sample Type 2'!GA18,IF(B231="V","MINOR VISUAL",IF(B231="M","MAJOR VISUAL",IF(B231="B","BARCODE FAIL",IF(B231="D","DELAMINATION",IF(COUNTIF(B231,Specifications!$K$4)=1,"INDETERMINATE",IF(COUNTIF(B231,$D$213)&lt;&gt;1,"MAJOR FUNCTIONAL",IF('Data - Sample Type 2'!Q18="","DATA ENTRY ERROR",IF('Data - Sample Type 2'!Q18=0,"SPC CT=0","PASS"))))))))))))</f>
        <v>PASS</v>
      </c>
      <c r="D231" s="78" t="str">
        <f>IF(C231="","",IF('Data - Sample Type 2'!FY18="","N/A",IF('Data - Sample Type 2'!FY18&lt;Specifications!$D$3,"PASS","FAIL")))</f>
        <v>PASS</v>
      </c>
      <c r="E231" s="195" t="s">
        <v>164</v>
      </c>
    </row>
    <row r="232" spans="1:6" ht="14" x14ac:dyDescent="0.15">
      <c r="A232" s="75" t="str">
        <f>IF('Data - Sample Type 2'!C19="","",'Data - Sample Type 2'!C19)</f>
        <v>B01NOV24B_09_2_20+</v>
      </c>
      <c r="B232" s="76" t="str">
        <f>IF('Data - Sample Type 2'!L19="","",'Data - Sample Type 2'!L19)</f>
        <v>MTB DETECTED LOW;RIF Resistance NOT DETECTED</v>
      </c>
      <c r="C232" s="77" t="str">
        <f>IF(B232="","",IF(B232="INVALID",IF('Data - Sample Type 2'!GA19="","INVALID",'Data - Sample Type 2'!GA19),IF(B232="ERROR",'Data - Sample Type 2'!GA19,IF(B232="NO RESULT",'Data - Sample Type 2'!GA19,IF(B232="V","MINOR VISUAL",IF(B232="M","MAJOR VISUAL",IF(B232="B","BARCODE FAIL",IF(B232="D","DELAMINATION",IF(COUNTIF(B232,Specifications!$K$4)=1,"INDETERMINATE",IF(COUNTIF(B232,$D$213)&lt;&gt;1,"MAJOR FUNCTIONAL",IF('Data - Sample Type 2'!Q19="","DATA ENTRY ERROR",IF('Data - Sample Type 2'!Q19=0,"SPC CT=0","PASS"))))))))))))</f>
        <v>PASS</v>
      </c>
      <c r="D232" s="78" t="str">
        <f>IF(C232="","",IF('Data - Sample Type 2'!FY19="","N/A",IF('Data - Sample Type 2'!FY19&lt;Specifications!$D$3,"PASS","FAIL")))</f>
        <v>PASS</v>
      </c>
      <c r="E232" s="195" t="s">
        <v>164</v>
      </c>
    </row>
    <row r="233" spans="1:6" ht="14" x14ac:dyDescent="0.15">
      <c r="A233" s="75" t="str">
        <f>IF('Data - Sample Type 2'!C20="","",'Data - Sample Type 2'!C20)</f>
        <v>B01NOV24B_10_2_19X</v>
      </c>
      <c r="B233" s="76" t="str">
        <f>IF('Data - Sample Type 2'!L20="","",'Data - Sample Type 2'!L20)</f>
        <v>MTB DETECTED LOW;RIF Resistance NOT DETECTED</v>
      </c>
      <c r="C233" s="77" t="str">
        <f>IF(B233="","",IF(B233="INVALID",IF('Data - Sample Type 2'!GA20="","INVALID",'Data - Sample Type 2'!GA20),IF(B233="ERROR",'Data - Sample Type 2'!GA20,IF(B233="NO RESULT",'Data - Sample Type 2'!GA20,IF(B233="V","MINOR VISUAL",IF(B233="M","MAJOR VISUAL",IF(B233="B","BARCODE FAIL",IF(B233="D","DELAMINATION",IF(COUNTIF(B233,Specifications!$K$4)=1,"INDETERMINATE",IF(COUNTIF(B233,$D$213)&lt;&gt;1,"MAJOR FUNCTIONAL",IF('Data - Sample Type 2'!Q20="","DATA ENTRY ERROR",IF('Data - Sample Type 2'!Q20=0,"SPC CT=0","PASS"))))))))))))</f>
        <v>PASS</v>
      </c>
      <c r="D233" s="78" t="str">
        <f>IF(C233="","",IF('Data - Sample Type 2'!FY20="","N/A",IF('Data - Sample Type 2'!FY20&lt;Specifications!$D$3,"PASS","FAIL")))</f>
        <v>PASS</v>
      </c>
      <c r="E233" s="195" t="s">
        <v>164</v>
      </c>
    </row>
    <row r="234" spans="1:6" ht="14" x14ac:dyDescent="0.15">
      <c r="A234" s="75" t="str">
        <f>IF('Data - Sample Type 2'!C21="","",'Data - Sample Type 2'!C21)</f>
        <v>B01NOV24B_10_2_20+</v>
      </c>
      <c r="B234" s="76" t="str">
        <f>IF('Data - Sample Type 2'!L21="","",'Data - Sample Type 2'!L21)</f>
        <v>MTB DETECTED LOW;RIF Resistance NOT DETECTED</v>
      </c>
      <c r="C234" s="77" t="str">
        <f>IF(B234="","",IF(B234="INVALID",IF('Data - Sample Type 2'!GA21="","INVALID",'Data - Sample Type 2'!GA21),IF(B234="ERROR",'Data - Sample Type 2'!GA21,IF(B234="NO RESULT",'Data - Sample Type 2'!GA21,IF(B234="V","MINOR VISUAL",IF(B234="M","MAJOR VISUAL",IF(B234="B","BARCODE FAIL",IF(B234="D","DELAMINATION",IF(COUNTIF(B234,Specifications!$K$4)=1,"INDETERMINATE",IF(COUNTIF(B234,$D$213)&lt;&gt;1,"MAJOR FUNCTIONAL",IF('Data - Sample Type 2'!Q21="","DATA ENTRY ERROR",IF('Data - Sample Type 2'!Q21=0,"SPC CT=0","PASS"))))))))))))</f>
        <v>PASS</v>
      </c>
      <c r="D234" s="78" t="str">
        <f>IF(C234="","",IF('Data - Sample Type 2'!FY21="","N/A",IF('Data - Sample Type 2'!FY21&lt;Specifications!$D$3,"PASS","FAIL")))</f>
        <v>PASS</v>
      </c>
      <c r="E234" s="195" t="s">
        <v>164</v>
      </c>
    </row>
    <row r="236" spans="1:6" ht="16" x14ac:dyDescent="0.15">
      <c r="A236" s="83" t="s">
        <v>538</v>
      </c>
      <c r="B236" s="86" t="s">
        <v>315</v>
      </c>
      <c r="C236" s="84" t="s">
        <v>529</v>
      </c>
      <c r="D236" s="81">
        <f>COUNTIF('Data - Replaced'!A2:A1048576,"&lt;&gt;"&amp;"")</f>
        <v>7</v>
      </c>
      <c r="E236" s="87"/>
      <c r="F236" s="87"/>
    </row>
    <row r="237" spans="1:6" ht="14" x14ac:dyDescent="0.15">
      <c r="A237" s="71" t="s">
        <v>319</v>
      </c>
      <c r="B237" s="72" t="s">
        <v>274</v>
      </c>
      <c r="C237" s="73" t="s">
        <v>534</v>
      </c>
      <c r="D237" s="71" t="s">
        <v>535</v>
      </c>
      <c r="E237" s="74" t="s">
        <v>536</v>
      </c>
    </row>
    <row r="238" spans="1:6" ht="14" x14ac:dyDescent="0.15">
      <c r="A238" s="75" t="str">
        <f>IF('Data - Replaced'!C2="","",'Data - Replaced'!C2)</f>
        <v>01_0_08+</v>
      </c>
      <c r="B238" s="76" t="str">
        <f>IF('Data - Replaced'!L2="","",'Data - Replaced'!L2)</f>
        <v>S</v>
      </c>
      <c r="C238" s="77" t="str">
        <f>IF('Data - Replaced'!GA2="","",'Data - Replaced'!GA2)</f>
        <v>Seal Test Failure</v>
      </c>
      <c r="D238" s="79" t="str">
        <f>IF(C238="","",IF('Data - Replaced'!FY2="","N/A",IF('Data - Replaced'!FY2&lt;Specifications!$D$3,"PASS","FAIL")))</f>
        <v>N/A</v>
      </c>
      <c r="E238" s="80" t="s">
        <v>791</v>
      </c>
    </row>
    <row r="239" spans="1:6" ht="14" x14ac:dyDescent="0.15">
      <c r="A239" s="75" t="str">
        <f>IF('Data - Replaced'!C3="","",'Data - Replaced'!C3)</f>
        <v>04_1_14X</v>
      </c>
      <c r="B239" s="76" t="str">
        <f>IF('Data - Replaced'!L3="","",'Data - Replaced'!L3)</f>
        <v>S</v>
      </c>
      <c r="C239" s="157" t="s">
        <v>790</v>
      </c>
      <c r="D239" s="286" t="s">
        <v>164</v>
      </c>
      <c r="E239" s="80" t="s">
        <v>791</v>
      </c>
    </row>
    <row r="240" spans="1:6" ht="14" x14ac:dyDescent="0.15">
      <c r="A240" s="75" t="str">
        <f>IF('Data - Replaced'!C4="","",'Data - Replaced'!C4)</f>
        <v>C15NOV23D_03_1_14X</v>
      </c>
      <c r="B240" s="76" t="str">
        <f>IF('Data - Replaced'!L4="","",'Data - Replaced'!L4)</f>
        <v>ERROR</v>
      </c>
      <c r="C240" s="157" t="s">
        <v>164</v>
      </c>
      <c r="D240" s="79" t="str">
        <f>IF(C240="","",IF('Data - Replaced'!FY4="","N/A",IF('Data - Replaced'!FY4&lt;Specifications!$D$3,"PASS","FAIL")))</f>
        <v>PASS</v>
      </c>
      <c r="E240" s="80" t="s">
        <v>1215</v>
      </c>
    </row>
    <row r="241" spans="1:5" ht="14" x14ac:dyDescent="0.15">
      <c r="A241" s="75" t="str">
        <f>IF('Data - Replaced'!C5="","",'Data - Replaced'!C5)</f>
        <v>C15NOV23D_03_1_15+</v>
      </c>
      <c r="B241" s="76" t="str">
        <f>IF('Data - Replaced'!L5="","",'Data - Replaced'!L5)</f>
        <v>ERROR</v>
      </c>
      <c r="C241" s="157" t="s">
        <v>164</v>
      </c>
      <c r="D241" s="79" t="str">
        <f>IF(C241="","",IF('Data - Replaced'!FY5="","N/A",IF('Data - Replaced'!FY5&lt;Specifications!$D$3,"PASS","FAIL")))</f>
        <v>PASS</v>
      </c>
      <c r="E241" s="80" t="s">
        <v>1215</v>
      </c>
    </row>
    <row r="242" spans="1:5" ht="14" x14ac:dyDescent="0.15">
      <c r="A242" s="75" t="str">
        <f>IF('Data - Replaced'!C6="","",'Data - Replaced'!C6)</f>
        <v>C15NOV23D_03_1_16+</v>
      </c>
      <c r="B242" s="76" t="str">
        <f>IF('Data - Replaced'!L6="","",'Data - Replaced'!L6)</f>
        <v>ERROR</v>
      </c>
      <c r="C242" s="157" t="s">
        <v>164</v>
      </c>
      <c r="D242" s="79" t="str">
        <f>IF(C242="","",IF('Data - Replaced'!FY6="","N/A",IF('Data - Replaced'!FY6&lt;Specifications!$D$3,"PASS","FAIL")))</f>
        <v>PASS</v>
      </c>
      <c r="E242" s="80" t="s">
        <v>1215</v>
      </c>
    </row>
    <row r="243" spans="1:5" ht="14" x14ac:dyDescent="0.15">
      <c r="A243" s="75" t="str">
        <f>IF('Data - Replaced'!C7="","",'Data - Replaced'!C7)</f>
        <v>C15NOV23D_06_1_13AX</v>
      </c>
      <c r="B243" s="76" t="str">
        <f>IF('Data - Replaced'!L7="","",'Data - Replaced'!L7)</f>
        <v>ERROR</v>
      </c>
      <c r="C243" s="157" t="s">
        <v>164</v>
      </c>
      <c r="D243" s="79" t="str">
        <f>IF(C243="","",IF('Data - Replaced'!FY7="","N/A",IF('Data - Replaced'!FY7&lt;Specifications!$D$3,"PASS","FAIL")))</f>
        <v>PASS</v>
      </c>
      <c r="E243" s="80" t="s">
        <v>1215</v>
      </c>
    </row>
    <row r="244" spans="1:5" ht="14" x14ac:dyDescent="0.15">
      <c r="A244" s="75" t="str">
        <f>IF('Data - Replaced'!C8="","",'Data - Replaced'!C8)</f>
        <v>C15NOV23D_06_1_13X</v>
      </c>
      <c r="B244" s="76" t="str">
        <f>IF('Data - Replaced'!L8="","",'Data - Replaced'!L8)</f>
        <v>S</v>
      </c>
      <c r="C244" s="157" t="s">
        <v>790</v>
      </c>
      <c r="D244" s="79" t="str">
        <f>IF(C244="","",IF('Data - Replaced'!FY8="","N/A",IF('Data - Replaced'!FY8&lt;Specifications!$D$3,"PASS","FAIL")))</f>
        <v>N/A</v>
      </c>
      <c r="E244" s="80" t="s">
        <v>791</v>
      </c>
    </row>
    <row r="245" spans="1:5" ht="14" x14ac:dyDescent="0.15">
      <c r="A245" s="75" t="s">
        <v>164</v>
      </c>
      <c r="B245" s="76" t="s">
        <v>164</v>
      </c>
      <c r="C245" s="157" t="s">
        <v>164</v>
      </c>
      <c r="D245" s="79" t="str">
        <f>IF(C245="","",IF('Data - Replaced'!FY9="","N/A",IF('Data - Replaced'!FY9&lt;Specifications!$D$3,"PASS","FAIL")))</f>
        <v>N/A</v>
      </c>
      <c r="E245" s="80" t="s">
        <v>164</v>
      </c>
    </row>
    <row r="246" spans="1:5" ht="14" x14ac:dyDescent="0.15">
      <c r="A246" s="75" t="s">
        <v>164</v>
      </c>
      <c r="B246" s="76" t="s">
        <v>164</v>
      </c>
      <c r="C246" s="157" t="s">
        <v>164</v>
      </c>
      <c r="D246" s="79" t="str">
        <f>IF(C246="","",IF('Data - Replaced'!FY10="","N/A",IF('Data - Replaced'!FY10&lt;Specifications!$D$3,"PASS","FAIL")))</f>
        <v>N/A</v>
      </c>
      <c r="E246" s="80" t="s">
        <v>164</v>
      </c>
    </row>
    <row r="247" spans="1:5" ht="14" x14ac:dyDescent="0.15">
      <c r="A247" s="75" t="s">
        <v>164</v>
      </c>
      <c r="B247" s="76" t="s">
        <v>164</v>
      </c>
      <c r="C247" s="157" t="s">
        <v>164</v>
      </c>
      <c r="D247" s="79" t="str">
        <f>IF(C247="","",IF('Data - Replaced'!FY11="","N/A",IF('Data - Replaced'!FY11&lt;Specifications!$D$3,"PASS","FAIL")))</f>
        <v>N/A</v>
      </c>
      <c r="E247" s="80" t="s">
        <v>164</v>
      </c>
    </row>
    <row r="248" spans="1:5" ht="14" x14ac:dyDescent="0.15">
      <c r="A248" s="75" t="s">
        <v>164</v>
      </c>
      <c r="B248" s="76" t="s">
        <v>164</v>
      </c>
      <c r="C248" s="157" t="s">
        <v>164</v>
      </c>
      <c r="D248" s="79" t="str">
        <f>IF(C248="","",IF('Data - Replaced'!FY12="","N/A",IF('Data - Replaced'!FY12&lt;Specifications!$D$3,"PASS","FAIL")))</f>
        <v>N/A</v>
      </c>
      <c r="E248" s="80" t="s">
        <v>164</v>
      </c>
    </row>
    <row r="249" spans="1:5" ht="14" x14ac:dyDescent="0.15">
      <c r="A249" s="75" t="s">
        <v>164</v>
      </c>
      <c r="B249" s="76" t="s">
        <v>164</v>
      </c>
      <c r="C249" s="157" t="s">
        <v>164</v>
      </c>
      <c r="D249" s="79" t="str">
        <f>IF(C249="","",IF('Data - Replaced'!FY13="","N/A",IF('Data - Replaced'!FY13&lt;Specifications!$D$3,"PASS","FAIL")))</f>
        <v>N/A</v>
      </c>
      <c r="E249" s="80" t="s">
        <v>164</v>
      </c>
    </row>
    <row r="250" spans="1:5" ht="14" x14ac:dyDescent="0.15">
      <c r="A250" s="75" t="s">
        <v>164</v>
      </c>
      <c r="B250" s="76" t="s">
        <v>164</v>
      </c>
      <c r="C250" s="157" t="s">
        <v>164</v>
      </c>
      <c r="D250" s="79" t="str">
        <f>IF(C250="","",IF('Data - Replaced'!FY14="","N/A",IF('Data - Replaced'!FY14&lt;Specifications!$D$3,"PASS","FAIL")))</f>
        <v>N/A</v>
      </c>
      <c r="E250" s="80" t="s">
        <v>164</v>
      </c>
    </row>
    <row r="251" spans="1:5" ht="14" x14ac:dyDescent="0.15">
      <c r="A251" s="75" t="s">
        <v>164</v>
      </c>
      <c r="B251" s="76" t="s">
        <v>164</v>
      </c>
      <c r="C251" s="157" t="s">
        <v>164</v>
      </c>
      <c r="D251" s="79" t="str">
        <f>IF(C251="","",IF('Data - Replaced'!FY15="","N/A",IF('Data - Replaced'!FY15&lt;Specifications!$D$3,"PASS","FAIL")))</f>
        <v>N/A</v>
      </c>
      <c r="E251" s="80" t="s">
        <v>164</v>
      </c>
    </row>
    <row r="252" spans="1:5" ht="14" x14ac:dyDescent="0.15">
      <c r="A252" s="75" t="s">
        <v>164</v>
      </c>
      <c r="B252" s="76" t="s">
        <v>164</v>
      </c>
      <c r="C252" s="157" t="s">
        <v>164</v>
      </c>
      <c r="D252" s="79" t="str">
        <f>IF(C252="","",IF('Data - Replaced'!FY16="","N/A",IF('Data - Replaced'!FY16&lt;Specifications!$D$3,"PASS","FAIL")))</f>
        <v>N/A</v>
      </c>
      <c r="E252" s="80" t="s">
        <v>164</v>
      </c>
    </row>
    <row r="253" spans="1:5" ht="14" x14ac:dyDescent="0.15">
      <c r="A253" s="75" t="s">
        <v>164</v>
      </c>
      <c r="B253" s="76" t="s">
        <v>164</v>
      </c>
      <c r="C253" s="157" t="s">
        <v>164</v>
      </c>
      <c r="D253" s="79" t="str">
        <f>IF(C253="","",IF('Data - Replaced'!FY17="","N/A",IF('Data - Replaced'!FY17&lt;Specifications!$D$3,"PASS","FAIL")))</f>
        <v>N/A</v>
      </c>
      <c r="E253" s="80" t="s">
        <v>164</v>
      </c>
    </row>
    <row r="254" spans="1:5" ht="14" x14ac:dyDescent="0.15">
      <c r="A254" s="75" t="s">
        <v>164</v>
      </c>
      <c r="B254" s="76" t="s">
        <v>164</v>
      </c>
      <c r="C254" s="157" t="s">
        <v>164</v>
      </c>
      <c r="D254" s="79" t="str">
        <f>IF(C254="","",IF('Data - Replaced'!FY18="","N/A",IF('Data - Replaced'!FY18&lt;Specifications!$D$3,"PASS","FAIL")))</f>
        <v>N/A</v>
      </c>
      <c r="E254" s="80" t="s">
        <v>164</v>
      </c>
    </row>
    <row r="255" spans="1:5" ht="14" x14ac:dyDescent="0.15">
      <c r="A255" s="75" t="s">
        <v>164</v>
      </c>
      <c r="B255" s="76" t="s">
        <v>164</v>
      </c>
      <c r="C255" s="157" t="s">
        <v>164</v>
      </c>
      <c r="D255" s="79" t="str">
        <f>IF(C255="","",IF('Data - Replaced'!FY19="","N/A",IF('Data - Replaced'!FY19&lt;Specifications!$D$3,"PASS","FAIL")))</f>
        <v>N/A</v>
      </c>
      <c r="E255" s="80" t="s">
        <v>164</v>
      </c>
    </row>
    <row r="256" spans="1:5" ht="14" x14ac:dyDescent="0.15">
      <c r="A256" s="75" t="s">
        <v>164</v>
      </c>
      <c r="B256" s="76" t="s">
        <v>164</v>
      </c>
      <c r="C256" s="157" t="s">
        <v>164</v>
      </c>
      <c r="D256" s="79" t="str">
        <f>IF(C256="","",IF('Data - Replaced'!FY20="","N/A",IF('Data - Replaced'!FY20&lt;Specifications!$D$3,"PASS","FAIL")))</f>
        <v>N/A</v>
      </c>
      <c r="E256" s="80" t="s">
        <v>164</v>
      </c>
    </row>
    <row r="257" spans="1:5" ht="14" x14ac:dyDescent="0.15">
      <c r="A257" s="75" t="s">
        <v>164</v>
      </c>
      <c r="B257" s="76" t="s">
        <v>164</v>
      </c>
      <c r="C257" s="157" t="s">
        <v>164</v>
      </c>
      <c r="D257" s="79" t="str">
        <f>IF(C257="","",IF('Data - Replaced'!FY21="","N/A",IF('Data - Replaced'!FY21&lt;Specifications!$D$3,"PASS","FAIL")))</f>
        <v>N/A</v>
      </c>
      <c r="E257" s="80" t="s">
        <v>164</v>
      </c>
    </row>
    <row r="258" spans="1:5" ht="14" x14ac:dyDescent="0.15">
      <c r="A258" s="75" t="s">
        <v>164</v>
      </c>
      <c r="B258" s="76" t="s">
        <v>164</v>
      </c>
      <c r="C258" s="157" t="s">
        <v>164</v>
      </c>
      <c r="D258" s="79" t="str">
        <f>IF(C258="","",IF('Data - Replaced'!FY22="","N/A",IF('Data - Replaced'!FY22&lt;Specifications!$D$3,"PASS","FAIL")))</f>
        <v>N/A</v>
      </c>
      <c r="E258" s="80" t="s">
        <v>164</v>
      </c>
    </row>
    <row r="259" spans="1:5" ht="14" x14ac:dyDescent="0.15">
      <c r="A259" s="75" t="s">
        <v>164</v>
      </c>
      <c r="B259" s="76" t="s">
        <v>164</v>
      </c>
      <c r="C259" s="157" t="s">
        <v>164</v>
      </c>
      <c r="D259" s="79" t="str">
        <f>IF(C259="","",IF('Data - Replaced'!FY23="","N/A",IF('Data - Replaced'!FY23&lt;Specifications!$D$3,"PASS","FAIL")))</f>
        <v>N/A</v>
      </c>
      <c r="E259" s="80" t="s">
        <v>164</v>
      </c>
    </row>
    <row r="260" spans="1:5" ht="14" x14ac:dyDescent="0.15">
      <c r="A260" s="75" t="s">
        <v>164</v>
      </c>
      <c r="B260" s="76" t="s">
        <v>164</v>
      </c>
      <c r="C260" s="157" t="s">
        <v>164</v>
      </c>
      <c r="D260" s="79" t="str">
        <f>IF(C260="","",IF('Data - Replaced'!FY24="","N/A",IF('Data - Replaced'!FY24&lt;Specifications!$D$3,"PASS","FAIL")))</f>
        <v>N/A</v>
      </c>
      <c r="E260" s="80" t="s">
        <v>164</v>
      </c>
    </row>
    <row r="261" spans="1:5" ht="14" x14ac:dyDescent="0.15">
      <c r="A261" s="75" t="s">
        <v>164</v>
      </c>
      <c r="B261" s="76" t="s">
        <v>164</v>
      </c>
      <c r="C261" s="157" t="s">
        <v>164</v>
      </c>
      <c r="D261" s="79" t="str">
        <f>IF(C261="","",IF('Data - Replaced'!FY25="","N/A",IF('Data - Replaced'!FY25&lt;Specifications!$D$3,"PASS","FAIL")))</f>
        <v>N/A</v>
      </c>
      <c r="E261" s="80" t="s">
        <v>164</v>
      </c>
    </row>
    <row r="262" spans="1:5" ht="14" x14ac:dyDescent="0.15">
      <c r="A262" s="75" t="s">
        <v>164</v>
      </c>
      <c r="B262" s="76" t="s">
        <v>164</v>
      </c>
      <c r="C262" s="157" t="s">
        <v>164</v>
      </c>
      <c r="D262" s="79" t="str">
        <f>IF(C262="","",IF('Data - Replaced'!FY26="","N/A",IF('Data - Replaced'!FY26&lt;Specifications!$D$3,"PASS","FAIL")))</f>
        <v>N/A</v>
      </c>
      <c r="E262" s="80" t="s">
        <v>164</v>
      </c>
    </row>
    <row r="263" spans="1:5" ht="14" x14ac:dyDescent="0.15">
      <c r="A263" s="75" t="s">
        <v>164</v>
      </c>
      <c r="B263" s="76" t="s">
        <v>164</v>
      </c>
      <c r="C263" s="157" t="s">
        <v>164</v>
      </c>
      <c r="D263" s="79" t="str">
        <f>IF(C263="","",IF('Data - Replaced'!FY27="","N/A",IF('Data - Replaced'!FY27&lt;Specifications!$D$3,"PASS","FAIL")))</f>
        <v>N/A</v>
      </c>
      <c r="E263" s="80" t="s">
        <v>164</v>
      </c>
    </row>
    <row r="264" spans="1:5" ht="14" x14ac:dyDescent="0.15">
      <c r="A264" s="75" t="s">
        <v>164</v>
      </c>
      <c r="B264" s="76" t="s">
        <v>164</v>
      </c>
      <c r="C264" s="157" t="s">
        <v>164</v>
      </c>
      <c r="D264" s="79" t="str">
        <f>IF(C264="","",IF('Data - Replaced'!FY28="","N/A",IF('Data - Replaced'!FY28&lt;Specifications!$D$3,"PASS","FAIL")))</f>
        <v>N/A</v>
      </c>
      <c r="E264" s="80" t="s">
        <v>164</v>
      </c>
    </row>
    <row r="265" spans="1:5" ht="14" x14ac:dyDescent="0.15">
      <c r="A265" s="75" t="s">
        <v>164</v>
      </c>
      <c r="B265" s="76" t="s">
        <v>164</v>
      </c>
      <c r="C265" s="157" t="s">
        <v>164</v>
      </c>
      <c r="D265" s="79" t="str">
        <f>IF(C265="","",IF('Data - Replaced'!FY29="","N/A",IF('Data - Replaced'!FY29&lt;Specifications!$D$3,"PASS","FAIL")))</f>
        <v>N/A</v>
      </c>
      <c r="E265" s="80" t="s">
        <v>164</v>
      </c>
    </row>
    <row r="266" spans="1:5" ht="14" x14ac:dyDescent="0.15">
      <c r="A266" s="75" t="s">
        <v>164</v>
      </c>
      <c r="B266" s="76" t="s">
        <v>164</v>
      </c>
      <c r="C266" s="157" t="s">
        <v>164</v>
      </c>
      <c r="D266" s="79" t="str">
        <f>IF(C266="","",IF('Data - Replaced'!FY30="","N/A",IF('Data - Replaced'!FY30&lt;Specifications!$D$3,"PASS","FAIL")))</f>
        <v>N/A</v>
      </c>
      <c r="E266" s="80" t="s">
        <v>164</v>
      </c>
    </row>
    <row r="267" spans="1:5" ht="14" x14ac:dyDescent="0.15">
      <c r="A267" s="75" t="s">
        <v>164</v>
      </c>
      <c r="B267" s="76" t="s">
        <v>164</v>
      </c>
      <c r="C267" s="157" t="s">
        <v>164</v>
      </c>
      <c r="D267" s="79" t="str">
        <f>IF(C267="","",IF('Data - Replaced'!FY31="","N/A",IF('Data - Replaced'!FY31&lt;Specifications!$D$3,"PASS","FAIL")))</f>
        <v>N/A</v>
      </c>
      <c r="E267" s="80" t="s">
        <v>164</v>
      </c>
    </row>
    <row r="268" spans="1:5" ht="14" x14ac:dyDescent="0.15">
      <c r="A268" s="75" t="s">
        <v>164</v>
      </c>
      <c r="B268" s="76" t="s">
        <v>164</v>
      </c>
      <c r="C268" s="157" t="s">
        <v>164</v>
      </c>
      <c r="D268" s="79" t="str">
        <f>IF(C268="","",IF('Data - Replaced'!FY32="","N/A",IF('Data - Replaced'!FY32&lt;Specifications!$D$3,"PASS","FAIL")))</f>
        <v>N/A</v>
      </c>
      <c r="E268" s="80" t="s">
        <v>164</v>
      </c>
    </row>
    <row r="269" spans="1:5" ht="14" x14ac:dyDescent="0.15">
      <c r="A269" s="75" t="s">
        <v>164</v>
      </c>
      <c r="B269" s="76" t="s">
        <v>164</v>
      </c>
      <c r="C269" s="157" t="s">
        <v>164</v>
      </c>
      <c r="D269" s="79" t="str">
        <f>IF(C269="","",IF('Data - Replaced'!FY33="","N/A",IF('Data - Replaced'!FY33&lt;Specifications!$D$3,"PASS","FAIL")))</f>
        <v>N/A</v>
      </c>
      <c r="E269" s="80" t="s">
        <v>164</v>
      </c>
    </row>
    <row r="270" spans="1:5" ht="14" x14ac:dyDescent="0.15">
      <c r="A270" s="75" t="s">
        <v>164</v>
      </c>
      <c r="B270" s="76" t="s">
        <v>164</v>
      </c>
      <c r="C270" s="157" t="s">
        <v>164</v>
      </c>
      <c r="D270" s="79" t="str">
        <f>IF(C270="","",IF('Data - Replaced'!FY34="","N/A",IF('Data - Replaced'!FY34&lt;Specifications!$D$3,"PASS","FAIL")))</f>
        <v>N/A</v>
      </c>
      <c r="E270" s="80" t="s">
        <v>164</v>
      </c>
    </row>
    <row r="271" spans="1:5" ht="14" x14ac:dyDescent="0.15">
      <c r="A271" s="75" t="s">
        <v>164</v>
      </c>
      <c r="B271" s="76" t="s">
        <v>164</v>
      </c>
      <c r="C271" s="157" t="s">
        <v>164</v>
      </c>
      <c r="D271" s="79" t="str">
        <f>IF(C271="","",IF('Data - Replaced'!FY35="","N/A",IF('Data - Replaced'!FY35&lt;Specifications!$D$3,"PASS","FAIL")))</f>
        <v>N/A</v>
      </c>
      <c r="E271" s="80" t="s">
        <v>164</v>
      </c>
    </row>
    <row r="272" spans="1:5" ht="14" x14ac:dyDescent="0.15">
      <c r="A272" s="75" t="s">
        <v>164</v>
      </c>
      <c r="B272" s="76" t="s">
        <v>164</v>
      </c>
      <c r="C272" s="157" t="s">
        <v>164</v>
      </c>
      <c r="D272" s="79" t="str">
        <f>IF(C272="","",IF('Data - Replaced'!FY36="","N/A",IF('Data - Replaced'!FY36&lt;Specifications!$D$3,"PASS","FAIL")))</f>
        <v>N/A</v>
      </c>
      <c r="E272" s="80" t="s">
        <v>164</v>
      </c>
    </row>
    <row r="273" spans="1:6" ht="14" x14ac:dyDescent="0.15">
      <c r="A273" s="75" t="s">
        <v>164</v>
      </c>
      <c r="B273" s="76" t="s">
        <v>164</v>
      </c>
      <c r="C273" s="157" t="s">
        <v>164</v>
      </c>
      <c r="D273" s="79" t="str">
        <f>IF(C273="","",IF('Data - Replaced'!FY37="","N/A",IF('Data - Replaced'!FY37&lt;Specifications!$D$3,"PASS","FAIL")))</f>
        <v>N/A</v>
      </c>
      <c r="E273" s="80" t="s">
        <v>164</v>
      </c>
    </row>
    <row r="274" spans="1:6" ht="14" x14ac:dyDescent="0.15">
      <c r="A274" s="75" t="s">
        <v>164</v>
      </c>
      <c r="B274" s="76" t="s">
        <v>164</v>
      </c>
      <c r="C274" s="157" t="s">
        <v>164</v>
      </c>
      <c r="D274" s="79" t="str">
        <f>IF(C274="","",IF('Data - Replaced'!FY38="","N/A",IF('Data - Replaced'!FY38&lt;Specifications!$D$3,"PASS","FAIL")))</f>
        <v>N/A</v>
      </c>
      <c r="E274" s="80" t="s">
        <v>164</v>
      </c>
    </row>
    <row r="275" spans="1:6" ht="14" x14ac:dyDescent="0.15">
      <c r="A275" s="75" t="s">
        <v>164</v>
      </c>
      <c r="B275" s="76" t="s">
        <v>164</v>
      </c>
      <c r="C275" s="157" t="s">
        <v>164</v>
      </c>
      <c r="D275" s="79" t="str">
        <f>IF(C275="","",IF('Data - Replaced'!FY39="","N/A",IF('Data - Replaced'!FY39&lt;Specifications!$D$3,"PASS","FAIL")))</f>
        <v>N/A</v>
      </c>
      <c r="E275" s="80" t="s">
        <v>164</v>
      </c>
    </row>
    <row r="276" spans="1:6" ht="14" x14ac:dyDescent="0.15">
      <c r="A276" s="75" t="s">
        <v>164</v>
      </c>
      <c r="B276" s="76" t="s">
        <v>164</v>
      </c>
      <c r="C276" s="157" t="s">
        <v>164</v>
      </c>
      <c r="D276" s="79" t="str">
        <f>IF(C276="","",IF('Data - Replaced'!FY40="","N/A",IF('Data - Replaced'!FY40&lt;Specifications!$D$3,"PASS","FAIL")))</f>
        <v>N/A</v>
      </c>
      <c r="E276" s="80" t="s">
        <v>164</v>
      </c>
    </row>
    <row r="277" spans="1:6" ht="14" x14ac:dyDescent="0.15">
      <c r="A277" s="75" t="s">
        <v>164</v>
      </c>
      <c r="B277" s="76" t="s">
        <v>164</v>
      </c>
      <c r="C277" s="157" t="s">
        <v>164</v>
      </c>
      <c r="D277" s="79" t="str">
        <f>IF(C277="","",IF('Data - Replaced'!FY41="","N/A",IF('Data - Replaced'!FY41&lt;Specifications!$D$3,"PASS","FAIL")))</f>
        <v>N/A</v>
      </c>
      <c r="E277" s="80" t="s">
        <v>164</v>
      </c>
    </row>
    <row r="278" spans="1:6" ht="14" x14ac:dyDescent="0.15">
      <c r="A278" s="75" t="s">
        <v>164</v>
      </c>
      <c r="B278" s="76" t="s">
        <v>164</v>
      </c>
      <c r="C278" s="157" t="s">
        <v>164</v>
      </c>
      <c r="D278" s="79" t="str">
        <f>IF(C278="","",IF('Data - Replaced'!FY42="","N/A",IF('Data - Replaced'!FY42&lt;Specifications!$D$3,"PASS","FAIL")))</f>
        <v>N/A</v>
      </c>
      <c r="E278" s="80" t="s">
        <v>164</v>
      </c>
    </row>
    <row r="279" spans="1:6" ht="14" x14ac:dyDescent="0.15">
      <c r="A279" s="75" t="s">
        <v>164</v>
      </c>
      <c r="B279" s="76" t="s">
        <v>164</v>
      </c>
      <c r="C279" s="157" t="s">
        <v>164</v>
      </c>
      <c r="D279" s="79" t="str">
        <f>IF(C279="","",IF('Data - Replaced'!FY43="","N/A",IF('Data - Replaced'!FY43&lt;Specifications!$D$3,"PASS","FAIL")))</f>
        <v>N/A</v>
      </c>
      <c r="E279" s="80" t="s">
        <v>164</v>
      </c>
    </row>
    <row r="280" spans="1:6" ht="14" x14ac:dyDescent="0.15">
      <c r="A280" s="75" t="s">
        <v>164</v>
      </c>
      <c r="B280" s="76" t="s">
        <v>164</v>
      </c>
      <c r="C280" s="157" t="s">
        <v>164</v>
      </c>
      <c r="D280" s="79" t="str">
        <f>IF(C280="","",IF('Data - Replaced'!FY44="","N/A",IF('Data - Replaced'!FY44&lt;Specifications!$D$3,"PASS","FAIL")))</f>
        <v>N/A</v>
      </c>
      <c r="E280" s="80" t="s">
        <v>164</v>
      </c>
    </row>
    <row r="281" spans="1:6" ht="14" x14ac:dyDescent="0.15">
      <c r="A281" s="75" t="s">
        <v>164</v>
      </c>
      <c r="B281" s="76" t="s">
        <v>164</v>
      </c>
      <c r="C281" s="157" t="s">
        <v>164</v>
      </c>
      <c r="D281" s="79" t="str">
        <f>IF(C281="","",IF('Data - Replaced'!FY45="","N/A",IF('Data - Replaced'!FY45&lt;Specifications!$D$3,"PASS","FAIL")))</f>
        <v>N/A</v>
      </c>
      <c r="E281" s="80" t="s">
        <v>164</v>
      </c>
    </row>
    <row r="282" spans="1:6" ht="14" x14ac:dyDescent="0.15">
      <c r="A282" s="75" t="s">
        <v>164</v>
      </c>
      <c r="B282" s="76" t="s">
        <v>164</v>
      </c>
      <c r="C282" s="157" t="s">
        <v>164</v>
      </c>
      <c r="D282" s="79" t="str">
        <f>IF(C282="","",IF('Data - Replaced'!FY46="","N/A",IF('Data - Replaced'!FY46&lt;Specifications!$D$3,"PASS","FAIL")))</f>
        <v>N/A</v>
      </c>
      <c r="E282" s="80" t="s">
        <v>164</v>
      </c>
    </row>
    <row r="283" spans="1:6" ht="14" x14ac:dyDescent="0.15">
      <c r="A283" s="75" t="s">
        <v>164</v>
      </c>
      <c r="B283" s="76" t="s">
        <v>164</v>
      </c>
      <c r="C283" s="157" t="s">
        <v>164</v>
      </c>
      <c r="D283" s="79" t="str">
        <f>IF(C283="","",IF('Data - Replaced'!FY47="","N/A",IF('Data - Replaced'!FY47&lt;Specifications!$D$3,"PASS","FAIL")))</f>
        <v>N/A</v>
      </c>
      <c r="E283" s="80" t="s">
        <v>164</v>
      </c>
    </row>
    <row r="284" spans="1:6" ht="14" x14ac:dyDescent="0.15">
      <c r="A284" s="75" t="s">
        <v>164</v>
      </c>
      <c r="B284" s="76" t="s">
        <v>164</v>
      </c>
      <c r="C284" s="157" t="s">
        <v>164</v>
      </c>
      <c r="D284" s="79" t="str">
        <f>IF(C284="","",IF('Data - Replaced'!FY48="","N/A",IF('Data - Replaced'!FY48&lt;Specifications!$D$3,"PASS","FAIL")))</f>
        <v>N/A</v>
      </c>
      <c r="E284" s="80" t="s">
        <v>164</v>
      </c>
    </row>
    <row r="285" spans="1:6" ht="14" x14ac:dyDescent="0.15">
      <c r="A285" s="75" t="s">
        <v>164</v>
      </c>
      <c r="B285" s="76" t="s">
        <v>164</v>
      </c>
      <c r="C285" s="157" t="s">
        <v>164</v>
      </c>
      <c r="D285" s="79" t="str">
        <f>IF(C285="","",IF('Data - Replaced'!FY49="","N/A",IF('Data - Replaced'!FY49&lt;Specifications!$D$3,"PASS","FAIL")))</f>
        <v>N/A</v>
      </c>
      <c r="E285" s="80" t="s">
        <v>164</v>
      </c>
    </row>
    <row r="286" spans="1:6" s="87" customFormat="1" ht="16" x14ac:dyDescent="0.15">
      <c r="A286" s="75" t="s">
        <v>164</v>
      </c>
      <c r="B286" s="76" t="s">
        <v>164</v>
      </c>
      <c r="C286" s="157" t="s">
        <v>164</v>
      </c>
      <c r="D286" s="79" t="str">
        <f>IF(C286="","",IF('Data - Replaced'!FY50="","N/A",IF('Data - Replaced'!FY50&lt;Specifications!$D$3,"PASS","FAIL")))</f>
        <v>N/A</v>
      </c>
      <c r="E286" s="80" t="s">
        <v>164</v>
      </c>
      <c r="F286" s="58"/>
    </row>
    <row r="287" spans="1:6" ht="14" x14ac:dyDescent="0.15">
      <c r="A287" s="75" t="s">
        <v>164</v>
      </c>
      <c r="B287" s="76" t="s">
        <v>164</v>
      </c>
      <c r="C287" s="157" t="s">
        <v>164</v>
      </c>
      <c r="D287" s="79" t="str">
        <f>IF(C287="","",IF('Data - Replaced'!FY51="","N/A",IF('Data - Replaced'!FY51&lt;Specifications!$D$3,"PASS","FAIL")))</f>
        <v>N/A</v>
      </c>
      <c r="E287" s="80" t="s">
        <v>164</v>
      </c>
    </row>
    <row r="288" spans="1:6" ht="14" x14ac:dyDescent="0.15">
      <c r="A288" s="75" t="s">
        <v>164</v>
      </c>
      <c r="B288" s="76" t="s">
        <v>164</v>
      </c>
      <c r="C288" s="157" t="s">
        <v>164</v>
      </c>
      <c r="D288" s="79" t="str">
        <f>IF(C288="","",IF('Data - Replaced'!FY52="","N/A",IF('Data - Replaced'!FY52&lt;Specifications!$D$3,"PASS","FAIL")))</f>
        <v>N/A</v>
      </c>
      <c r="E288" s="80" t="s">
        <v>164</v>
      </c>
    </row>
    <row r="289" spans="1:5" ht="14" x14ac:dyDescent="0.15">
      <c r="A289" s="75" t="s">
        <v>164</v>
      </c>
      <c r="B289" s="76" t="s">
        <v>164</v>
      </c>
      <c r="C289" s="157" t="s">
        <v>164</v>
      </c>
      <c r="D289" s="79" t="str">
        <f>IF(C289="","",IF('Data - Replaced'!FY53="","N/A",IF('Data - Replaced'!FY53&lt;Specifications!$D$3,"PASS","FAIL")))</f>
        <v>N/A</v>
      </c>
      <c r="E289" s="80" t="s">
        <v>164</v>
      </c>
    </row>
    <row r="290" spans="1:5" ht="14" x14ac:dyDescent="0.15">
      <c r="A290" s="75" t="s">
        <v>164</v>
      </c>
      <c r="B290" s="76" t="s">
        <v>164</v>
      </c>
      <c r="C290" s="157" t="s">
        <v>164</v>
      </c>
      <c r="D290" s="79" t="str">
        <f>IF(C290="","",IF('Data - Replaced'!FY54="","N/A",IF('Data - Replaced'!FY54&lt;Specifications!$D$3,"PASS","FAIL")))</f>
        <v>N/A</v>
      </c>
      <c r="E290" s="80" t="s">
        <v>164</v>
      </c>
    </row>
    <row r="291" spans="1:5" ht="14" x14ac:dyDescent="0.15">
      <c r="A291" s="75" t="s">
        <v>164</v>
      </c>
      <c r="B291" s="76" t="s">
        <v>164</v>
      </c>
      <c r="C291" s="157" t="s">
        <v>164</v>
      </c>
      <c r="D291" s="79" t="str">
        <f>IF(C291="","",IF('Data - Replaced'!FY55="","N/A",IF('Data - Replaced'!FY55&lt;Specifications!$D$3,"PASS","FAIL")))</f>
        <v>N/A</v>
      </c>
      <c r="E291" s="80" t="s">
        <v>164</v>
      </c>
    </row>
    <row r="292" spans="1:5" ht="14" x14ac:dyDescent="0.15">
      <c r="A292" s="75" t="s">
        <v>164</v>
      </c>
      <c r="B292" s="76" t="s">
        <v>164</v>
      </c>
      <c r="C292" s="157" t="s">
        <v>164</v>
      </c>
      <c r="D292" s="79" t="str">
        <f>IF(C292="","",IF('Data - Replaced'!FY56="","N/A",IF('Data - Replaced'!FY56&lt;Specifications!$D$3,"PASS","FAIL")))</f>
        <v>N/A</v>
      </c>
      <c r="E292" s="80" t="s">
        <v>164</v>
      </c>
    </row>
    <row r="293" spans="1:5" ht="14" x14ac:dyDescent="0.15">
      <c r="A293" s="75" t="s">
        <v>164</v>
      </c>
      <c r="B293" s="76" t="s">
        <v>164</v>
      </c>
      <c r="C293" s="157" t="s">
        <v>164</v>
      </c>
      <c r="D293" s="79" t="str">
        <f>IF(C293="","",IF('Data - Replaced'!FY57="","N/A",IF('Data - Replaced'!FY57&lt;Specifications!$D$3,"PASS","FAIL")))</f>
        <v>N/A</v>
      </c>
      <c r="E293" s="80" t="s">
        <v>164</v>
      </c>
    </row>
    <row r="294" spans="1:5" ht="14" x14ac:dyDescent="0.15">
      <c r="A294" s="75" t="s">
        <v>164</v>
      </c>
      <c r="B294" s="76" t="s">
        <v>164</v>
      </c>
      <c r="C294" s="157" t="s">
        <v>164</v>
      </c>
      <c r="D294" s="79" t="str">
        <f>IF(C294="","",IF('Data - Replaced'!FY58="","N/A",IF('Data - Replaced'!FY58&lt;Specifications!$D$3,"PASS","FAIL")))</f>
        <v>N/A</v>
      </c>
      <c r="E294" s="80" t="s">
        <v>164</v>
      </c>
    </row>
    <row r="295" spans="1:5" ht="14" x14ac:dyDescent="0.15">
      <c r="A295" s="75" t="s">
        <v>164</v>
      </c>
      <c r="B295" s="76" t="s">
        <v>164</v>
      </c>
      <c r="C295" s="157" t="s">
        <v>164</v>
      </c>
      <c r="D295" s="79" t="str">
        <f>IF(C295="","",IF('Data - Replaced'!FY59="","N/A",IF('Data - Replaced'!FY59&lt;Specifications!$D$3,"PASS","FAIL")))</f>
        <v>N/A</v>
      </c>
      <c r="E295" s="80" t="s">
        <v>164</v>
      </c>
    </row>
    <row r="296" spans="1:5" ht="14" x14ac:dyDescent="0.15">
      <c r="A296" s="75" t="s">
        <v>164</v>
      </c>
      <c r="B296" s="76" t="s">
        <v>164</v>
      </c>
      <c r="C296" s="157" t="s">
        <v>164</v>
      </c>
      <c r="D296" s="79" t="str">
        <f>IF(C296="","",IF('Data - Replaced'!FY60="","N/A",IF('Data - Replaced'!FY60&lt;Specifications!$D$3,"PASS","FAIL")))</f>
        <v>N/A</v>
      </c>
      <c r="E296" s="80" t="s">
        <v>164</v>
      </c>
    </row>
    <row r="297" spans="1:5" ht="14" x14ac:dyDescent="0.15">
      <c r="A297" s="75" t="s">
        <v>164</v>
      </c>
      <c r="B297" s="76" t="s">
        <v>164</v>
      </c>
      <c r="C297" s="157" t="s">
        <v>164</v>
      </c>
      <c r="D297" s="79" t="str">
        <f>IF(C297="","",IF('Data - Replaced'!FY61="","N/A",IF('Data - Replaced'!FY61&lt;Specifications!$D$3,"PASS","FAIL")))</f>
        <v>N/A</v>
      </c>
      <c r="E297" s="80" t="s">
        <v>164</v>
      </c>
    </row>
    <row r="298" spans="1:5" ht="14" x14ac:dyDescent="0.15">
      <c r="A298" s="75" t="s">
        <v>164</v>
      </c>
      <c r="B298" s="76" t="s">
        <v>164</v>
      </c>
      <c r="C298" s="157" t="s">
        <v>164</v>
      </c>
      <c r="D298" s="79" t="str">
        <f>IF(C298="","",IF('Data - Replaced'!FY62="","N/A",IF('Data - Replaced'!FY62&lt;Specifications!$D$3,"PASS","FAIL")))</f>
        <v>N/A</v>
      </c>
      <c r="E298" s="80" t="s">
        <v>164</v>
      </c>
    </row>
    <row r="299" spans="1:5" ht="14" x14ac:dyDescent="0.15">
      <c r="A299" s="75" t="s">
        <v>164</v>
      </c>
      <c r="B299" s="76" t="s">
        <v>164</v>
      </c>
      <c r="C299" s="157" t="s">
        <v>164</v>
      </c>
      <c r="D299" s="79" t="str">
        <f>IF(C299="","",IF('Data - Replaced'!FY63="","N/A",IF('Data - Replaced'!FY63&lt;Specifications!$D$3,"PASS","FAIL")))</f>
        <v>N/A</v>
      </c>
      <c r="E299" s="80" t="s">
        <v>164</v>
      </c>
    </row>
    <row r="300" spans="1:5" ht="14" x14ac:dyDescent="0.15">
      <c r="A300" s="75" t="s">
        <v>164</v>
      </c>
      <c r="B300" s="76" t="s">
        <v>164</v>
      </c>
      <c r="C300" s="157" t="s">
        <v>164</v>
      </c>
      <c r="D300" s="79" t="str">
        <f>IF(C300="","",IF('Data - Replaced'!FY64="","N/A",IF('Data - Replaced'!FY64&lt;Specifications!$D$3,"PASS","FAIL")))</f>
        <v>N/A</v>
      </c>
      <c r="E300" s="80" t="s">
        <v>164</v>
      </c>
    </row>
    <row r="301" spans="1:5" ht="14" x14ac:dyDescent="0.15">
      <c r="A301" s="75" t="s">
        <v>164</v>
      </c>
      <c r="B301" s="76" t="s">
        <v>164</v>
      </c>
      <c r="C301" s="157" t="s">
        <v>164</v>
      </c>
      <c r="D301" s="79" t="str">
        <f>IF(C301="","",IF('Data - Replaced'!FY65="","N/A",IF('Data - Replaced'!FY65&lt;Specifications!$D$3,"PASS","FAIL")))</f>
        <v>N/A</v>
      </c>
      <c r="E301" s="80" t="s">
        <v>164</v>
      </c>
    </row>
    <row r="302" spans="1:5" ht="14" x14ac:dyDescent="0.15">
      <c r="A302" s="75" t="s">
        <v>164</v>
      </c>
      <c r="B302" s="76" t="s">
        <v>164</v>
      </c>
      <c r="C302" s="157" t="s">
        <v>164</v>
      </c>
      <c r="D302" s="79" t="str">
        <f>IF(C302="","",IF('Data - Replaced'!FY66="","N/A",IF('Data - Replaced'!FY66&lt;Specifications!$D$3,"PASS","FAIL")))</f>
        <v>N/A</v>
      </c>
      <c r="E302" s="80" t="s">
        <v>164</v>
      </c>
    </row>
    <row r="303" spans="1:5" ht="14" x14ac:dyDescent="0.15">
      <c r="A303" s="75" t="s">
        <v>164</v>
      </c>
      <c r="B303" s="76" t="s">
        <v>164</v>
      </c>
      <c r="C303" s="157" t="s">
        <v>164</v>
      </c>
      <c r="D303" s="79" t="str">
        <f>IF(C303="","",IF('Data - Replaced'!FY67="","N/A",IF('Data - Replaced'!FY67&lt;Specifications!$D$3,"PASS","FAIL")))</f>
        <v>N/A</v>
      </c>
      <c r="E303" s="80" t="s">
        <v>164</v>
      </c>
    </row>
    <row r="304" spans="1:5" ht="14" x14ac:dyDescent="0.15">
      <c r="A304" s="75" t="s">
        <v>164</v>
      </c>
      <c r="B304" s="76" t="s">
        <v>164</v>
      </c>
      <c r="C304" s="157" t="s">
        <v>164</v>
      </c>
      <c r="D304" s="79" t="str">
        <f>IF(C304="","",IF('Data - Replaced'!FY68="","N/A",IF('Data - Replaced'!FY68&lt;Specifications!$D$3,"PASS","FAIL")))</f>
        <v>N/A</v>
      </c>
      <c r="E304" s="80" t="s">
        <v>164</v>
      </c>
    </row>
    <row r="305" spans="1:5" ht="14" x14ac:dyDescent="0.15">
      <c r="A305" s="75" t="s">
        <v>164</v>
      </c>
      <c r="B305" s="76" t="s">
        <v>164</v>
      </c>
      <c r="C305" s="157" t="s">
        <v>164</v>
      </c>
      <c r="D305" s="79" t="str">
        <f>IF(C305="","",IF('Data - Replaced'!FY69="","N/A",IF('Data - Replaced'!FY69&lt;Specifications!$D$3,"PASS","FAIL")))</f>
        <v>N/A</v>
      </c>
      <c r="E305" s="80" t="s">
        <v>164</v>
      </c>
    </row>
    <row r="306" spans="1:5" ht="14" x14ac:dyDescent="0.15">
      <c r="A306" s="75" t="s">
        <v>164</v>
      </c>
      <c r="B306" s="76" t="s">
        <v>164</v>
      </c>
      <c r="C306" s="157" t="s">
        <v>164</v>
      </c>
      <c r="D306" s="79" t="str">
        <f>IF(C306="","",IF('Data - Replaced'!FY70="","N/A",IF('Data - Replaced'!FY70&lt;Specifications!$D$3,"PASS","FAIL")))</f>
        <v>N/A</v>
      </c>
      <c r="E306" s="80" t="s">
        <v>164</v>
      </c>
    </row>
    <row r="307" spans="1:5" ht="14" x14ac:dyDescent="0.15">
      <c r="A307" s="75" t="s">
        <v>164</v>
      </c>
      <c r="B307" s="76" t="s">
        <v>164</v>
      </c>
      <c r="C307" s="157" t="s">
        <v>164</v>
      </c>
      <c r="D307" s="79" t="str">
        <f>IF(C307="","",IF('Data - Replaced'!FY71="","N/A",IF('Data - Replaced'!FY71&lt;Specifications!$D$3,"PASS","FAIL")))</f>
        <v>N/A</v>
      </c>
      <c r="E307" s="80" t="s">
        <v>164</v>
      </c>
    </row>
    <row r="308" spans="1:5" ht="14" x14ac:dyDescent="0.15">
      <c r="A308" s="75" t="s">
        <v>164</v>
      </c>
      <c r="B308" s="76" t="s">
        <v>164</v>
      </c>
      <c r="C308" s="157" t="s">
        <v>164</v>
      </c>
      <c r="D308" s="79" t="str">
        <f>IF(C308="","",IF('Data - Replaced'!FY72="","N/A",IF('Data - Replaced'!FY72&lt;Specifications!$D$3,"PASS","FAIL")))</f>
        <v>N/A</v>
      </c>
      <c r="E308" s="80" t="s">
        <v>164</v>
      </c>
    </row>
    <row r="309" spans="1:5" ht="14" x14ac:dyDescent="0.15">
      <c r="A309" s="75" t="s">
        <v>164</v>
      </c>
      <c r="B309" s="76" t="s">
        <v>164</v>
      </c>
      <c r="C309" s="157" t="s">
        <v>164</v>
      </c>
      <c r="D309" s="79" t="str">
        <f>IF(C309="","",IF('Data - Replaced'!FY73="","N/A",IF('Data - Replaced'!FY73&lt;Specifications!$D$3,"PASS","FAIL")))</f>
        <v>N/A</v>
      </c>
      <c r="E309" s="80" t="s">
        <v>164</v>
      </c>
    </row>
    <row r="310" spans="1:5" ht="14" x14ac:dyDescent="0.15">
      <c r="A310" s="75" t="s">
        <v>164</v>
      </c>
      <c r="B310" s="76" t="s">
        <v>164</v>
      </c>
      <c r="C310" s="157" t="s">
        <v>164</v>
      </c>
      <c r="D310" s="79" t="str">
        <f>IF(C310="","",IF('Data - Replaced'!FY74="","N/A",IF('Data - Replaced'!FY74&lt;Specifications!$D$3,"PASS","FAIL")))</f>
        <v>N/A</v>
      </c>
      <c r="E310" s="80" t="s">
        <v>164</v>
      </c>
    </row>
    <row r="311" spans="1:5" ht="14" x14ac:dyDescent="0.15">
      <c r="A311" s="75" t="s">
        <v>164</v>
      </c>
      <c r="B311" s="76" t="s">
        <v>164</v>
      </c>
      <c r="C311" s="157" t="s">
        <v>164</v>
      </c>
      <c r="D311" s="79" t="str">
        <f>IF(C311="","",IF('Data - Replaced'!FY75="","N/A",IF('Data - Replaced'!FY75&lt;Specifications!$D$3,"PASS","FAIL")))</f>
        <v>N/A</v>
      </c>
      <c r="E311" s="80" t="s">
        <v>164</v>
      </c>
    </row>
    <row r="312" spans="1:5" ht="14" x14ac:dyDescent="0.15">
      <c r="A312" s="75" t="s">
        <v>164</v>
      </c>
      <c r="B312" s="76" t="s">
        <v>164</v>
      </c>
      <c r="C312" s="157" t="s">
        <v>164</v>
      </c>
      <c r="D312" s="79" t="str">
        <f>IF(C312="","",IF('Data - Replaced'!FY76="","N/A",IF('Data - Replaced'!FY76&lt;Specifications!$D$3,"PASS","FAIL")))</f>
        <v>N/A</v>
      </c>
      <c r="E312" s="80" t="s">
        <v>164</v>
      </c>
    </row>
    <row r="313" spans="1:5" ht="14" x14ac:dyDescent="0.15">
      <c r="A313" s="75" t="s">
        <v>164</v>
      </c>
      <c r="B313" s="76" t="s">
        <v>164</v>
      </c>
      <c r="C313" s="157" t="s">
        <v>164</v>
      </c>
      <c r="D313" s="79" t="str">
        <f>IF(C313="","",IF('Data - Replaced'!FY77="","N/A",IF('Data - Replaced'!FY77&lt;Specifications!$D$3,"PASS","FAIL")))</f>
        <v>N/A</v>
      </c>
      <c r="E313" s="80" t="s">
        <v>164</v>
      </c>
    </row>
    <row r="314" spans="1:5" ht="14" x14ac:dyDescent="0.15">
      <c r="A314" s="75" t="s">
        <v>164</v>
      </c>
      <c r="B314" s="76" t="s">
        <v>164</v>
      </c>
      <c r="C314" s="157" t="s">
        <v>164</v>
      </c>
      <c r="D314" s="79" t="str">
        <f>IF(C314="","",IF('Data - Replaced'!FY78="","N/A",IF('Data - Replaced'!FY78&lt;Specifications!$D$3,"PASS","FAIL")))</f>
        <v>N/A</v>
      </c>
      <c r="E314" s="80" t="s">
        <v>164</v>
      </c>
    </row>
    <row r="315" spans="1:5" ht="14" x14ac:dyDescent="0.15">
      <c r="A315" s="75" t="s">
        <v>164</v>
      </c>
      <c r="B315" s="76" t="s">
        <v>164</v>
      </c>
      <c r="C315" s="157" t="s">
        <v>164</v>
      </c>
      <c r="D315" s="79" t="str">
        <f>IF(C315="","",IF('Data - Replaced'!FY79="","N/A",IF('Data - Replaced'!FY79&lt;Specifications!$D$3,"PASS","FAIL")))</f>
        <v>N/A</v>
      </c>
      <c r="E315" s="80" t="s">
        <v>164</v>
      </c>
    </row>
    <row r="316" spans="1:5" ht="14" x14ac:dyDescent="0.15">
      <c r="A316" s="75" t="s">
        <v>164</v>
      </c>
      <c r="B316" s="76" t="s">
        <v>164</v>
      </c>
      <c r="C316" s="157" t="s">
        <v>164</v>
      </c>
      <c r="D316" s="79" t="str">
        <f>IF(C316="","",IF('Data - Replaced'!FY80="","N/A",IF('Data - Replaced'!FY80&lt;Specifications!$D$3,"PASS","FAIL")))</f>
        <v>N/A</v>
      </c>
      <c r="E316" s="80" t="s">
        <v>164</v>
      </c>
    </row>
    <row r="317" spans="1:5" ht="14" x14ac:dyDescent="0.15">
      <c r="A317" s="75" t="s">
        <v>164</v>
      </c>
      <c r="B317" s="76" t="s">
        <v>164</v>
      </c>
      <c r="C317" s="157" t="s">
        <v>164</v>
      </c>
      <c r="D317" s="79" t="str">
        <f>IF(C317="","",IF('Data - Replaced'!FY81="","N/A",IF('Data - Replaced'!FY81&lt;Specifications!$D$3,"PASS","FAIL")))</f>
        <v>N/A</v>
      </c>
      <c r="E317" s="80" t="s">
        <v>164</v>
      </c>
    </row>
    <row r="318" spans="1:5" ht="14" x14ac:dyDescent="0.15">
      <c r="A318" s="75" t="s">
        <v>164</v>
      </c>
      <c r="B318" s="76" t="s">
        <v>164</v>
      </c>
      <c r="C318" s="157" t="s">
        <v>164</v>
      </c>
      <c r="D318" s="79" t="str">
        <f>IF(C318="","",IF('Data - Replaced'!FY82="","N/A",IF('Data - Replaced'!FY82&lt;Specifications!$D$3,"PASS","FAIL")))</f>
        <v>N/A</v>
      </c>
      <c r="E318" s="80" t="s">
        <v>164</v>
      </c>
    </row>
    <row r="319" spans="1:5" ht="14" x14ac:dyDescent="0.15">
      <c r="A319" s="75" t="s">
        <v>164</v>
      </c>
      <c r="B319" s="76" t="s">
        <v>164</v>
      </c>
      <c r="C319" s="157" t="s">
        <v>164</v>
      </c>
      <c r="D319" s="79" t="str">
        <f>IF(C319="","",IF('Data - Replaced'!FY83="","N/A",IF('Data - Replaced'!FY83&lt;Specifications!$D$3,"PASS","FAIL")))</f>
        <v>N/A</v>
      </c>
      <c r="E319" s="80" t="s">
        <v>164</v>
      </c>
    </row>
    <row r="320" spans="1:5" ht="14" x14ac:dyDescent="0.15">
      <c r="A320" s="75" t="s">
        <v>164</v>
      </c>
      <c r="B320" s="76" t="s">
        <v>164</v>
      </c>
      <c r="C320" s="157" t="s">
        <v>164</v>
      </c>
      <c r="D320" s="79" t="str">
        <f>IF(C320="","",IF('Data - Replaced'!FY84="","N/A",IF('Data - Replaced'!FY84&lt;Specifications!$D$3,"PASS","FAIL")))</f>
        <v>N/A</v>
      </c>
      <c r="E320" s="80" t="s">
        <v>164</v>
      </c>
    </row>
    <row r="321" spans="1:5" ht="14" x14ac:dyDescent="0.15">
      <c r="A321" s="75" t="s">
        <v>164</v>
      </c>
      <c r="B321" s="76" t="s">
        <v>164</v>
      </c>
      <c r="C321" s="157" t="s">
        <v>164</v>
      </c>
      <c r="D321" s="79" t="str">
        <f>IF(C321="","",IF('Data - Replaced'!FY85="","N/A",IF('Data - Replaced'!FY85&lt;Specifications!$D$3,"PASS","FAIL")))</f>
        <v>N/A</v>
      </c>
      <c r="E321" s="80" t="s">
        <v>164</v>
      </c>
    </row>
    <row r="322" spans="1:5" ht="14" x14ac:dyDescent="0.15">
      <c r="A322" s="75" t="s">
        <v>164</v>
      </c>
      <c r="B322" s="76" t="s">
        <v>164</v>
      </c>
      <c r="C322" s="157" t="s">
        <v>164</v>
      </c>
      <c r="D322" s="79" t="str">
        <f>IF(C322="","",IF('Data - Replaced'!FY86="","N/A",IF('Data - Replaced'!FY86&lt;Specifications!$D$3,"PASS","FAIL")))</f>
        <v>N/A</v>
      </c>
      <c r="E322" s="80" t="s">
        <v>164</v>
      </c>
    </row>
    <row r="323" spans="1:5" ht="14" x14ac:dyDescent="0.15">
      <c r="A323" s="75" t="s">
        <v>164</v>
      </c>
      <c r="B323" s="76" t="s">
        <v>164</v>
      </c>
      <c r="C323" s="157" t="s">
        <v>164</v>
      </c>
      <c r="D323" s="79" t="str">
        <f>IF(C323="","",IF('Data - Replaced'!FY87="","N/A",IF('Data - Replaced'!FY87&lt;Specifications!$D$3,"PASS","FAIL")))</f>
        <v>N/A</v>
      </c>
      <c r="E323" s="80" t="s">
        <v>164</v>
      </c>
    </row>
    <row r="324" spans="1:5" ht="14" x14ac:dyDescent="0.15">
      <c r="A324" s="75" t="s">
        <v>164</v>
      </c>
      <c r="B324" s="76" t="s">
        <v>164</v>
      </c>
      <c r="C324" s="157" t="s">
        <v>164</v>
      </c>
      <c r="D324" s="79" t="str">
        <f>IF(C324="","",IF('Data - Replaced'!FY88="","N/A",IF('Data - Replaced'!FY88&lt;Specifications!$D$3,"PASS","FAIL")))</f>
        <v>N/A</v>
      </c>
      <c r="E324" s="80" t="s">
        <v>164</v>
      </c>
    </row>
    <row r="325" spans="1:5" ht="14" x14ac:dyDescent="0.15">
      <c r="A325" s="75" t="s">
        <v>164</v>
      </c>
      <c r="B325" s="76" t="s">
        <v>164</v>
      </c>
      <c r="C325" s="157" t="s">
        <v>164</v>
      </c>
      <c r="D325" s="79" t="str">
        <f>IF(C325="","",IF('Data - Replaced'!FY89="","N/A",IF('Data - Replaced'!FY89&lt;Specifications!$D$3,"PASS","FAIL")))</f>
        <v>N/A</v>
      </c>
      <c r="E325" s="80" t="s">
        <v>164</v>
      </c>
    </row>
    <row r="326" spans="1:5" ht="14" x14ac:dyDescent="0.15">
      <c r="A326" s="75" t="s">
        <v>164</v>
      </c>
      <c r="B326" s="76" t="s">
        <v>164</v>
      </c>
      <c r="C326" s="157" t="s">
        <v>164</v>
      </c>
      <c r="D326" s="79" t="str">
        <f>IF(C326="","",IF('Data - Replaced'!FY90="","N/A",IF('Data - Replaced'!FY90&lt;Specifications!$D$3,"PASS","FAIL")))</f>
        <v>N/A</v>
      </c>
      <c r="E326" s="80" t="s">
        <v>164</v>
      </c>
    </row>
    <row r="327" spans="1:5" ht="14" x14ac:dyDescent="0.15">
      <c r="A327" s="75" t="s">
        <v>164</v>
      </c>
      <c r="B327" s="76" t="s">
        <v>164</v>
      </c>
      <c r="C327" s="157" t="s">
        <v>164</v>
      </c>
      <c r="D327" s="79" t="str">
        <f>IF(C327="","",IF('Data - Replaced'!FY91="","N/A",IF('Data - Replaced'!FY91&lt;Specifications!$D$3,"PASS","FAIL")))</f>
        <v>N/A</v>
      </c>
      <c r="E327" s="80" t="s">
        <v>164</v>
      </c>
    </row>
    <row r="328" spans="1:5" ht="14" x14ac:dyDescent="0.15">
      <c r="A328" s="75" t="s">
        <v>164</v>
      </c>
      <c r="B328" s="76" t="s">
        <v>164</v>
      </c>
      <c r="C328" s="157" t="s">
        <v>164</v>
      </c>
      <c r="D328" s="79" t="str">
        <f>IF(C328="","",IF('Data - Replaced'!FY92="","N/A",IF('Data - Replaced'!FY92&lt;Specifications!$D$3,"PASS","FAIL")))</f>
        <v>N/A</v>
      </c>
      <c r="E328" s="80" t="s">
        <v>164</v>
      </c>
    </row>
    <row r="329" spans="1:5" ht="14" x14ac:dyDescent="0.15">
      <c r="A329" s="75" t="s">
        <v>164</v>
      </c>
      <c r="B329" s="76" t="s">
        <v>164</v>
      </c>
      <c r="C329" s="157" t="s">
        <v>164</v>
      </c>
      <c r="D329" s="79" t="str">
        <f>IF(C329="","",IF('Data - Replaced'!FY93="","N/A",IF('Data - Replaced'!FY93&lt;Specifications!$D$3,"PASS","FAIL")))</f>
        <v>N/A</v>
      </c>
      <c r="E329" s="80" t="s">
        <v>164</v>
      </c>
    </row>
    <row r="330" spans="1:5" ht="14" x14ac:dyDescent="0.15">
      <c r="A330" s="75" t="s">
        <v>164</v>
      </c>
      <c r="B330" s="76" t="s">
        <v>164</v>
      </c>
      <c r="C330" s="157" t="s">
        <v>164</v>
      </c>
      <c r="D330" s="79" t="str">
        <f>IF(C330="","",IF('Data - Replaced'!FY94="","N/A",IF('Data - Replaced'!FY94&lt;Specifications!$D$3,"PASS","FAIL")))</f>
        <v>N/A</v>
      </c>
      <c r="E330" s="80" t="s">
        <v>164</v>
      </c>
    </row>
    <row r="331" spans="1:5" ht="14" x14ac:dyDescent="0.15">
      <c r="A331" s="75" t="s">
        <v>164</v>
      </c>
      <c r="B331" s="76" t="s">
        <v>164</v>
      </c>
      <c r="C331" s="157" t="s">
        <v>164</v>
      </c>
      <c r="D331" s="79" t="str">
        <f>IF(C331="","",IF('Data - Replaced'!FY95="","N/A",IF('Data - Replaced'!FY95&lt;Specifications!$D$3,"PASS","FAIL")))</f>
        <v>N/A</v>
      </c>
      <c r="E331" s="80" t="s">
        <v>164</v>
      </c>
    </row>
    <row r="332" spans="1:5" ht="14" x14ac:dyDescent="0.15">
      <c r="A332" s="75" t="s">
        <v>164</v>
      </c>
      <c r="B332" s="76" t="s">
        <v>164</v>
      </c>
      <c r="C332" s="157" t="s">
        <v>164</v>
      </c>
      <c r="D332" s="79" t="str">
        <f>IF(C332="","",IF('Data - Replaced'!FY96="","N/A",IF('Data - Replaced'!FY96&lt;Specifications!$D$3,"PASS","FAIL")))</f>
        <v>N/A</v>
      </c>
      <c r="E332" s="80" t="s">
        <v>164</v>
      </c>
    </row>
    <row r="333" spans="1:5" ht="14" x14ac:dyDescent="0.15">
      <c r="A333" s="75" t="s">
        <v>164</v>
      </c>
      <c r="B333" s="76" t="s">
        <v>164</v>
      </c>
      <c r="C333" s="157" t="s">
        <v>164</v>
      </c>
      <c r="D333" s="79" t="str">
        <f>IF(C333="","",IF('Data - Replaced'!FY97="","N/A",IF('Data - Replaced'!FY97&lt;Specifications!$D$3,"PASS","FAIL")))</f>
        <v>N/A</v>
      </c>
      <c r="E333" s="80" t="s">
        <v>164</v>
      </c>
    </row>
    <row r="334" spans="1:5" ht="14" x14ac:dyDescent="0.15">
      <c r="A334" s="75" t="s">
        <v>164</v>
      </c>
      <c r="B334" s="76" t="s">
        <v>164</v>
      </c>
      <c r="C334" s="157" t="s">
        <v>164</v>
      </c>
      <c r="D334" s="79" t="str">
        <f>IF(C334="","",IF('Data - Replaced'!FY98="","N/A",IF('Data - Replaced'!FY98&lt;Specifications!$D$3,"PASS","FAIL")))</f>
        <v>N/A</v>
      </c>
      <c r="E334" s="80" t="s">
        <v>164</v>
      </c>
    </row>
    <row r="335" spans="1:5" ht="14" x14ac:dyDescent="0.15">
      <c r="A335" s="75" t="s">
        <v>164</v>
      </c>
      <c r="B335" s="76" t="s">
        <v>164</v>
      </c>
      <c r="C335" s="157" t="s">
        <v>164</v>
      </c>
      <c r="D335" s="79" t="str">
        <f>IF(C335="","",IF('Data - Replaced'!FY99="","N/A",IF('Data - Replaced'!FY99&lt;Specifications!$D$3,"PASS","FAIL")))</f>
        <v>N/A</v>
      </c>
      <c r="E335" s="80" t="s">
        <v>164</v>
      </c>
    </row>
    <row r="336" spans="1:5" ht="14" x14ac:dyDescent="0.15">
      <c r="A336" s="75" t="s">
        <v>164</v>
      </c>
      <c r="B336" s="76" t="s">
        <v>164</v>
      </c>
      <c r="C336" s="157" t="s">
        <v>164</v>
      </c>
      <c r="D336" s="79" t="str">
        <f>IF(C336="","",IF('Data - Replaced'!FY100="","N/A",IF('Data - Replaced'!FY100&lt;Specifications!$D$3,"PASS","FAIL")))</f>
        <v>N/A</v>
      </c>
      <c r="E336" s="80" t="s">
        <v>164</v>
      </c>
    </row>
    <row r="337" spans="1:5" ht="14" x14ac:dyDescent="0.15">
      <c r="A337" s="75" t="s">
        <v>164</v>
      </c>
      <c r="B337" s="76" t="s">
        <v>164</v>
      </c>
      <c r="C337" s="157" t="s">
        <v>164</v>
      </c>
      <c r="D337" s="79" t="str">
        <f>IF(C337="","",IF('Data - Replaced'!FY101="","N/A",IF('Data - Replaced'!FY101&lt;Specifications!$D$3,"PASS","FAIL")))</f>
        <v>N/A</v>
      </c>
      <c r="E337" s="80" t="s">
        <v>164</v>
      </c>
    </row>
    <row r="339" spans="1:5" ht="16" x14ac:dyDescent="0.2">
      <c r="A339" s="97" t="s">
        <v>316</v>
      </c>
      <c r="B339" s="98" t="s">
        <v>1191</v>
      </c>
      <c r="C339" s="97" t="s">
        <v>317</v>
      </c>
      <c r="D339" s="217" t="s">
        <v>1187</v>
      </c>
    </row>
  </sheetData>
  <mergeCells count="16">
    <mergeCell ref="A3:B3"/>
    <mergeCell ref="A2:B2"/>
    <mergeCell ref="A1:E1"/>
    <mergeCell ref="D128:E128"/>
    <mergeCell ref="D213:E213"/>
    <mergeCell ref="D8:E8"/>
    <mergeCell ref="D23:E23"/>
    <mergeCell ref="D126:E126"/>
    <mergeCell ref="D127:E127"/>
    <mergeCell ref="D212:E212"/>
    <mergeCell ref="D211:E211"/>
    <mergeCell ref="D6:E6"/>
    <mergeCell ref="D7:E7"/>
    <mergeCell ref="D21:E21"/>
    <mergeCell ref="D22:E22"/>
    <mergeCell ref="A4:B4"/>
  </mergeCells>
  <conditionalFormatting sqref="A8">
    <cfRule type="cellIs" dxfId="729" priority="188" operator="equal">
      <formula>"SPC CT=0"</formula>
    </cfRule>
    <cfRule type="cellIs" dxfId="728" priority="189" operator="equal">
      <formula>"INVALID"</formula>
    </cfRule>
    <cfRule type="cellIs" dxfId="727" priority="183" operator="equal">
      <formula>"BARCODE FAIL"</formula>
    </cfRule>
    <cfRule type="cellIs" dxfId="726" priority="192" operator="equal">
      <formula>"PASS"</formula>
    </cfRule>
    <cfRule type="cellIs" dxfId="725" priority="191" operator="equal">
      <formula>"MAJOR FUNCTIONAL"</formula>
    </cfRule>
    <cfRule type="cellIs" dxfId="724" priority="190" operator="equal">
      <formula>"MAJOR VISUAL"</formula>
    </cfRule>
    <cfRule type="cellIs" dxfId="723" priority="184" operator="equal">
      <formula>"MINOR VISUAL"</formula>
    </cfRule>
    <cfRule type="containsText" dxfId="722" priority="185" operator="containsText" text="Error">
      <formula>NOT(ISERROR(SEARCH("Error",A8)))</formula>
    </cfRule>
    <cfRule type="cellIs" dxfId="721" priority="186" operator="equal">
      <formula>"SEAL TEST FAILURE"</formula>
    </cfRule>
    <cfRule type="cellIs" dxfId="720" priority="187" operator="equal">
      <formula>"E*"</formula>
    </cfRule>
  </conditionalFormatting>
  <conditionalFormatting sqref="A23">
    <cfRule type="cellIs" dxfId="719" priority="36" operator="equal">
      <formula>"INVALID"</formula>
    </cfRule>
    <cfRule type="containsText" dxfId="718" priority="32" operator="containsText" text="Error">
      <formula>NOT(ISERROR(SEARCH("Error",A23)))</formula>
    </cfRule>
    <cfRule type="cellIs" dxfId="717" priority="33" operator="equal">
      <formula>"SEAL TEST FAILURE"</formula>
    </cfRule>
    <cfRule type="cellIs" dxfId="716" priority="34" operator="equal">
      <formula>"E*"</formula>
    </cfRule>
    <cfRule type="cellIs" dxfId="715" priority="35" operator="equal">
      <formula>"SPC CT=0"</formula>
    </cfRule>
    <cfRule type="cellIs" dxfId="714" priority="31" operator="equal">
      <formula>"MINOR VISUAL"</formula>
    </cfRule>
    <cfRule type="cellIs" dxfId="713" priority="37" operator="equal">
      <formula>"MAJOR VISUAL"</formula>
    </cfRule>
    <cfRule type="cellIs" dxfId="712" priority="38" operator="equal">
      <formula>"MAJOR FUNCTIONAL"</formula>
    </cfRule>
    <cfRule type="cellIs" dxfId="711" priority="39" operator="equal">
      <formula>"PASS"</formula>
    </cfRule>
    <cfRule type="cellIs" dxfId="710" priority="30" operator="equal">
      <formula>"BARCODE FAIL"</formula>
    </cfRule>
  </conditionalFormatting>
  <conditionalFormatting sqref="A128">
    <cfRule type="cellIs" dxfId="709" priority="86" operator="equal">
      <formula>"BARCODE FAIL"</formula>
    </cfRule>
    <cfRule type="cellIs" dxfId="708" priority="87" operator="equal">
      <formula>"MINOR VISUAL"</formula>
    </cfRule>
    <cfRule type="containsText" dxfId="707" priority="88" operator="containsText" text="Error">
      <formula>NOT(ISERROR(SEARCH("Error",A128)))</formula>
    </cfRule>
    <cfRule type="cellIs" dxfId="706" priority="89" operator="equal">
      <formula>"SEAL TEST FAILURE"</formula>
    </cfRule>
    <cfRule type="cellIs" dxfId="705" priority="91" operator="equal">
      <formula>"SPC CT=0"</formula>
    </cfRule>
    <cfRule type="cellIs" dxfId="704" priority="92" operator="equal">
      <formula>"INVALID"</formula>
    </cfRule>
    <cfRule type="cellIs" dxfId="703" priority="93" operator="equal">
      <formula>"MAJOR VISUAL"</formula>
    </cfRule>
    <cfRule type="cellIs" dxfId="702" priority="94" operator="equal">
      <formula>"MAJOR FUNCTIONAL"</formula>
    </cfRule>
    <cfRule type="cellIs" dxfId="701" priority="95" operator="equal">
      <formula>"PASS"</formula>
    </cfRule>
    <cfRule type="cellIs" dxfId="700" priority="90" operator="equal">
      <formula>"E*"</formula>
    </cfRule>
  </conditionalFormatting>
  <conditionalFormatting sqref="A213">
    <cfRule type="cellIs" dxfId="699" priority="170" operator="equal">
      <formula>"MAJOR VISUAL"</formula>
    </cfRule>
    <cfRule type="cellIs" dxfId="698" priority="169" operator="equal">
      <formula>"INVALID"</formula>
    </cfRule>
    <cfRule type="cellIs" dxfId="697" priority="168" operator="equal">
      <formula>"SPC CT=0"</formula>
    </cfRule>
    <cfRule type="cellIs" dxfId="696" priority="167" operator="equal">
      <formula>"E*"</formula>
    </cfRule>
    <cfRule type="cellIs" dxfId="695" priority="166" operator="equal">
      <formula>"SEAL TEST FAILURE"</formula>
    </cfRule>
    <cfRule type="containsText" dxfId="694" priority="165" operator="containsText" text="Error">
      <formula>NOT(ISERROR(SEARCH("Error",A213)))</formula>
    </cfRule>
    <cfRule type="cellIs" dxfId="693" priority="164" operator="equal">
      <formula>"MINOR VISUAL"</formula>
    </cfRule>
    <cfRule type="cellIs" dxfId="692" priority="163" operator="equal">
      <formula>"BARCODE FAIL"</formula>
    </cfRule>
    <cfRule type="cellIs" dxfId="691" priority="172" operator="equal">
      <formula>"PASS"</formula>
    </cfRule>
    <cfRule type="cellIs" dxfId="690" priority="171" operator="equal">
      <formula>"MAJOR FUNCTIONAL"</formula>
    </cfRule>
  </conditionalFormatting>
  <conditionalFormatting sqref="B6:B7">
    <cfRule type="containsText" dxfId="689" priority="325" operator="containsText" text="Error">
      <formula>NOT(ISERROR(SEARCH("Error",B6)))</formula>
    </cfRule>
    <cfRule type="cellIs" dxfId="688" priority="327" operator="equal">
      <formula>"E*"</formula>
    </cfRule>
    <cfRule type="cellIs" dxfId="687" priority="328" operator="equal">
      <formula>"SPC CT=0"</formula>
    </cfRule>
    <cfRule type="cellIs" dxfId="686" priority="329" operator="equal">
      <formula>"INVALID"</formula>
    </cfRule>
    <cfRule type="cellIs" dxfId="685" priority="330" operator="equal">
      <formula>"MAJOR VISUAL"</formula>
    </cfRule>
    <cfRule type="cellIs" dxfId="684" priority="331" operator="equal">
      <formula>"MAJOR FUNCTIONAL"</formula>
    </cfRule>
    <cfRule type="cellIs" dxfId="683" priority="332" operator="equal">
      <formula>"PASS"</formula>
    </cfRule>
    <cfRule type="cellIs" dxfId="682" priority="323" operator="equal">
      <formula>"BARCODE FAIL"</formula>
    </cfRule>
    <cfRule type="cellIs" dxfId="681" priority="324" operator="equal">
      <formula>"MINOR VISUAL"</formula>
    </cfRule>
    <cfRule type="cellIs" dxfId="680" priority="326" operator="equal">
      <formula>"SEAL TEST FAILURE"</formula>
    </cfRule>
  </conditionalFormatting>
  <conditionalFormatting sqref="B22">
    <cfRule type="cellIs" dxfId="679" priority="294" operator="equal">
      <formula>"MINOR VISUAL"</formula>
    </cfRule>
    <cfRule type="containsText" dxfId="678" priority="295" operator="containsText" text="Error">
      <formula>NOT(ISERROR(SEARCH("Error",B22)))</formula>
    </cfRule>
    <cfRule type="cellIs" dxfId="677" priority="302" operator="equal">
      <formula>"PASS"</formula>
    </cfRule>
    <cfRule type="cellIs" dxfId="676" priority="301" operator="equal">
      <formula>"MAJOR FUNCTIONAL"</formula>
    </cfRule>
    <cfRule type="cellIs" dxfId="675" priority="300" operator="equal">
      <formula>"MAJOR VISUAL"</formula>
    </cfRule>
    <cfRule type="cellIs" dxfId="674" priority="299" operator="equal">
      <formula>"INVALID"</formula>
    </cfRule>
    <cfRule type="cellIs" dxfId="673" priority="298" operator="equal">
      <formula>"SPC CT=0"</formula>
    </cfRule>
    <cfRule type="cellIs" dxfId="672" priority="297" operator="equal">
      <formula>"E*"</formula>
    </cfRule>
    <cfRule type="cellIs" dxfId="671" priority="296" operator="equal">
      <formula>"SEAL TEST FAILURE"</formula>
    </cfRule>
    <cfRule type="cellIs" dxfId="670" priority="293" operator="equal">
      <formula>"BARCODE FAIL"</formula>
    </cfRule>
  </conditionalFormatting>
  <conditionalFormatting sqref="B127">
    <cfRule type="cellIs" dxfId="669" priority="125" operator="equal">
      <formula>"PASS"</formula>
    </cfRule>
    <cfRule type="cellIs" dxfId="668" priority="124" operator="equal">
      <formula>"MAJOR FUNCTIONAL"</formula>
    </cfRule>
    <cfRule type="cellIs" dxfId="667" priority="123" operator="equal">
      <formula>"MAJOR VISUAL"</formula>
    </cfRule>
    <cfRule type="containsText" dxfId="666" priority="118" operator="containsText" text="Error">
      <formula>NOT(ISERROR(SEARCH("Error",B127)))</formula>
    </cfRule>
    <cfRule type="cellIs" dxfId="665" priority="117" operator="equal">
      <formula>"MINOR VISUAL"</formula>
    </cfRule>
    <cfRule type="cellIs" dxfId="664" priority="116" operator="equal">
      <formula>"BARCODE FAIL"</formula>
    </cfRule>
  </conditionalFormatting>
  <conditionalFormatting sqref="B212">
    <cfRule type="cellIs" dxfId="663" priority="264" operator="equal">
      <formula>"MINOR VISUAL"</formula>
    </cfRule>
    <cfRule type="cellIs" dxfId="662" priority="263" operator="equal">
      <formula>"BARCODE FAIL"</formula>
    </cfRule>
    <cfRule type="containsText" dxfId="661" priority="265" operator="containsText" text="Error">
      <formula>NOT(ISERROR(SEARCH("Error",B212)))</formula>
    </cfRule>
  </conditionalFormatting>
  <conditionalFormatting sqref="B127:C127">
    <cfRule type="cellIs" dxfId="660" priority="122" operator="equal">
      <formula>"INVALID"</formula>
    </cfRule>
    <cfRule type="cellIs" dxfId="659" priority="121" operator="equal">
      <formula>"SPC CT=0"</formula>
    </cfRule>
    <cfRule type="cellIs" dxfId="658" priority="120" operator="equal">
      <formula>"E*"</formula>
    </cfRule>
    <cfRule type="cellIs" dxfId="657" priority="119" operator="equal">
      <formula>"SEAL TEST FAILURE"</formula>
    </cfRule>
  </conditionalFormatting>
  <conditionalFormatting sqref="B212:C212">
    <cfRule type="cellIs" dxfId="656" priority="266" operator="equal">
      <formula>"SEAL TEST FAILURE"</formula>
    </cfRule>
    <cfRule type="cellIs" dxfId="655" priority="267" operator="equal">
      <formula>"E*"</formula>
    </cfRule>
    <cfRule type="cellIs" dxfId="654" priority="268" operator="equal">
      <formula>"SPC CT=0"</formula>
    </cfRule>
    <cfRule type="cellIs" dxfId="653" priority="269" operator="equal">
      <formula>"INVALID"</formula>
    </cfRule>
    <cfRule type="cellIs" dxfId="652" priority="270" operator="equal">
      <formula>"MAJOR VISUAL"</formula>
    </cfRule>
    <cfRule type="cellIs" dxfId="651" priority="271" operator="equal">
      <formula>"MAJOR FUNCTIONAL"</formula>
    </cfRule>
    <cfRule type="cellIs" dxfId="650" priority="272" operator="equal">
      <formula>"PASS"</formula>
    </cfRule>
  </conditionalFormatting>
  <conditionalFormatting sqref="C2:C7">
    <cfRule type="cellIs" dxfId="649" priority="228" operator="equal">
      <formula>"SPC CT=0"</formula>
    </cfRule>
    <cfRule type="cellIs" dxfId="648" priority="232" operator="equal">
      <formula>"PASS"</formula>
    </cfRule>
    <cfRule type="cellIs" dxfId="647" priority="224" operator="equal">
      <formula>"MINOR VISUAL"</formula>
    </cfRule>
    <cfRule type="containsText" dxfId="646" priority="225" operator="containsText" text="Error">
      <formula>NOT(ISERROR(SEARCH("Error",C2)))</formula>
    </cfRule>
    <cfRule type="cellIs" dxfId="645" priority="226" operator="equal">
      <formula>"SEAL TEST FAILURE"</formula>
    </cfRule>
    <cfRule type="cellIs" dxfId="644" priority="227" operator="equal">
      <formula>"E*"</formula>
    </cfRule>
    <cfRule type="cellIs" dxfId="643" priority="223" operator="equal">
      <formula>"BARCODE FAIL"</formula>
    </cfRule>
    <cfRule type="cellIs" dxfId="642" priority="229" operator="equal">
      <formula>"INVALID"</formula>
    </cfRule>
    <cfRule type="cellIs" dxfId="641" priority="230" operator="equal">
      <formula>"MAJOR VISUAL"</formula>
    </cfRule>
    <cfRule type="cellIs" dxfId="640" priority="231" operator="equal">
      <formula>"MAJOR FUNCTIONAL"</formula>
    </cfRule>
  </conditionalFormatting>
  <conditionalFormatting sqref="C9:C22">
    <cfRule type="cellIs" dxfId="639" priority="304" operator="equal">
      <formula>"MINOR VISUAL"</formula>
    </cfRule>
    <cfRule type="cellIs" dxfId="638" priority="312" operator="equal">
      <formula>"PASS"</formula>
    </cfRule>
    <cfRule type="cellIs" dxfId="637" priority="311" operator="equal">
      <formula>"MAJOR FUNCTIONAL"</formula>
    </cfRule>
    <cfRule type="cellIs" dxfId="636" priority="310" operator="equal">
      <formula>"MAJOR VISUAL"</formula>
    </cfRule>
    <cfRule type="cellIs" dxfId="635" priority="309" operator="equal">
      <formula>"INVALID"</formula>
    </cfRule>
    <cfRule type="cellIs" dxfId="634" priority="308" operator="equal">
      <formula>"SPC CT=0"</formula>
    </cfRule>
    <cfRule type="cellIs" dxfId="633" priority="307" operator="equal">
      <formula>"E*"</formula>
    </cfRule>
    <cfRule type="cellIs" dxfId="632" priority="306" operator="equal">
      <formula>"SEAL TEST FAILURE"</formula>
    </cfRule>
    <cfRule type="containsText" dxfId="631" priority="305" operator="containsText" text="Error">
      <formula>NOT(ISERROR(SEARCH("Error",C9)))</formula>
    </cfRule>
    <cfRule type="cellIs" dxfId="630" priority="303" operator="equal">
      <formula>"BARCODE FAIL"</formula>
    </cfRule>
  </conditionalFormatting>
  <conditionalFormatting sqref="C10:C19 C25:C125 C130:C209 C215:C234">
    <cfRule type="cellIs" dxfId="629" priority="149" operator="equal">
      <formula>"DELAMINATION"</formula>
    </cfRule>
  </conditionalFormatting>
  <conditionalFormatting sqref="C24:C125 C214:C235 D236 C237 C338 C340:C1048576">
    <cfRule type="cellIs" dxfId="628" priority="393" operator="equal">
      <formula>"INVALID"</formula>
    </cfRule>
    <cfRule type="cellIs" dxfId="627" priority="392" operator="equal">
      <formula>"SPC CT=0"</formula>
    </cfRule>
    <cfRule type="cellIs" dxfId="626" priority="391" operator="equal">
      <formula>"E*"</formula>
    </cfRule>
    <cfRule type="cellIs" dxfId="625" priority="390" operator="equal">
      <formula>"SEAL TEST FAILURE"</formula>
    </cfRule>
  </conditionalFormatting>
  <conditionalFormatting sqref="C24:C127">
    <cfRule type="cellIs" dxfId="624" priority="127" operator="equal">
      <formula>"MINOR VISUAL"</formula>
    </cfRule>
    <cfRule type="cellIs" dxfId="623" priority="126" operator="equal">
      <formula>"BARCODE FAIL"</formula>
    </cfRule>
    <cfRule type="containsText" dxfId="622" priority="128" operator="containsText" text="Error">
      <formula>NOT(ISERROR(SEARCH("Error",C24)))</formula>
    </cfRule>
  </conditionalFormatting>
  <conditionalFormatting sqref="C127">
    <cfRule type="cellIs" dxfId="621" priority="133" operator="equal">
      <formula>"MAJOR VISUAL"</formula>
    </cfRule>
    <cfRule type="cellIs" dxfId="620" priority="134" operator="equal">
      <formula>"MAJOR FUNCTIONAL"</formula>
    </cfRule>
    <cfRule type="cellIs" dxfId="619" priority="135" operator="equal">
      <formula>"PASS"</formula>
    </cfRule>
  </conditionalFormatting>
  <conditionalFormatting sqref="C129:C210">
    <cfRule type="cellIs" dxfId="618" priority="148" operator="equal">
      <formula>"PASS"</formula>
    </cfRule>
    <cfRule type="cellIs" dxfId="617" priority="147" operator="equal">
      <formula>"MAJOR FUNCTIONAL"</formula>
    </cfRule>
    <cfRule type="cellIs" dxfId="616" priority="146" operator="equal">
      <formula>"MAJOR VISUAL"</formula>
    </cfRule>
    <cfRule type="cellIs" dxfId="615" priority="145" operator="equal">
      <formula>"INVALID"</formula>
    </cfRule>
    <cfRule type="cellIs" dxfId="614" priority="144" operator="equal">
      <formula>"SPC CT=0"</formula>
    </cfRule>
    <cfRule type="cellIs" dxfId="613" priority="143" operator="equal">
      <formula>"E*"</formula>
    </cfRule>
    <cfRule type="cellIs" dxfId="612" priority="142" operator="equal">
      <formula>"SEAL TEST FAILURE"</formula>
    </cfRule>
  </conditionalFormatting>
  <conditionalFormatting sqref="C129:C212">
    <cfRule type="cellIs" dxfId="611" priority="136" operator="equal">
      <formula>"BARCODE FAIL"</formula>
    </cfRule>
    <cfRule type="cellIs" dxfId="610" priority="137" operator="equal">
      <formula>"MINOR VISUAL"</formula>
    </cfRule>
    <cfRule type="containsText" dxfId="609" priority="139" operator="containsText" text="Error">
      <formula>NOT(ISERROR(SEARCH("Error",C129)))</formula>
    </cfRule>
  </conditionalFormatting>
  <conditionalFormatting sqref="C130:C234">
    <cfRule type="cellIs" dxfId="608" priority="1" operator="equal">
      <formula>"Indeterminate"</formula>
    </cfRule>
  </conditionalFormatting>
  <conditionalFormatting sqref="C214:C235 D236 C237 C338 C340:C1048576 C24:C125">
    <cfRule type="cellIs" dxfId="607" priority="396" operator="equal">
      <formula>"PASS"</formula>
    </cfRule>
    <cfRule type="cellIs" dxfId="606" priority="395" operator="equal">
      <formula>"MAJOR FUNCTIONAL"</formula>
    </cfRule>
    <cfRule type="cellIs" dxfId="605" priority="394" operator="equal">
      <formula>"MAJOR VISUAL"</formula>
    </cfRule>
  </conditionalFormatting>
  <conditionalFormatting sqref="C214:C235 D236 C237 C338 C340:C1048576">
    <cfRule type="containsText" dxfId="604" priority="366" operator="containsText" text="Error">
      <formula>NOT(ISERROR(SEARCH("Error",C214)))</formula>
    </cfRule>
    <cfRule type="cellIs" dxfId="603" priority="364" operator="equal">
      <formula>"MINOR VISUAL"</formula>
    </cfRule>
    <cfRule type="cellIs" dxfId="602" priority="363" operator="equal">
      <formula>"BARCODE FAIL"</formula>
    </cfRule>
  </conditionalFormatting>
  <conditionalFormatting sqref="D3:D4">
    <cfRule type="cellIs" dxfId="601" priority="362" operator="equal">
      <formula>"PASS"</formula>
    </cfRule>
    <cfRule type="cellIs" dxfId="600" priority="361" operator="equal">
      <formula>"MAJOR FUNCTIONAL"</formula>
    </cfRule>
    <cfRule type="cellIs" dxfId="599" priority="360" operator="equal">
      <formula>"MAJOR VISUAL"</formula>
    </cfRule>
    <cfRule type="cellIs" dxfId="598" priority="359" operator="equal">
      <formula>"INVALID"</formula>
    </cfRule>
    <cfRule type="cellIs" dxfId="597" priority="358" operator="equal">
      <formula>"SPC CT=0"</formula>
    </cfRule>
    <cfRule type="cellIs" dxfId="596" priority="357" operator="equal">
      <formula>"E*"</formula>
    </cfRule>
    <cfRule type="cellIs" dxfId="595" priority="356" operator="equal">
      <formula>"SEAL TEST FAILURE"</formula>
    </cfRule>
    <cfRule type="containsText" dxfId="594" priority="355" operator="containsText" text="Error">
      <formula>NOT(ISERROR(SEARCH("Error",D3)))</formula>
    </cfRule>
    <cfRule type="cellIs" dxfId="593" priority="354" operator="equal">
      <formula>"MINOR VISUAL"</formula>
    </cfRule>
    <cfRule type="cellIs" dxfId="592" priority="353" operator="equal">
      <formula>"BARCODE FAIL"</formula>
    </cfRule>
  </conditionalFormatting>
  <conditionalFormatting sqref="D5 D9:D20 D24:D125 D214:D235 D237 D338 D340:D1048576">
    <cfRule type="cellIs" dxfId="591" priority="365" operator="equal">
      <formula>"N/A"</formula>
    </cfRule>
    <cfRule type="cellIs" dxfId="590" priority="382" operator="equal">
      <formula>"Fail"</formula>
    </cfRule>
    <cfRule type="cellIs" dxfId="589" priority="381" operator="equal">
      <formula>"Pass"</formula>
    </cfRule>
  </conditionalFormatting>
  <conditionalFormatting sqref="D6:D7">
    <cfRule type="cellIs" dxfId="588" priority="319" operator="equal">
      <formula>"INVALID"</formula>
    </cfRule>
    <cfRule type="containsText" dxfId="587" priority="315" operator="containsText" text="Error">
      <formula>NOT(ISERROR(SEARCH("Error",D6)))</formula>
    </cfRule>
    <cfRule type="cellIs" dxfId="586" priority="316" operator="equal">
      <formula>"SEAL TEST FAILURE"</formula>
    </cfRule>
    <cfRule type="cellIs" dxfId="585" priority="317" operator="equal">
      <formula>"E*"</formula>
    </cfRule>
    <cfRule type="cellIs" dxfId="584" priority="318" operator="equal">
      <formula>"SPC CT=0"</formula>
    </cfRule>
    <cfRule type="cellIs" dxfId="583" priority="320" operator="equal">
      <formula>"MAJOR VISUAL"</formula>
    </cfRule>
    <cfRule type="cellIs" dxfId="582" priority="321" operator="equal">
      <formula>"MAJOR FUNCTIONAL"</formula>
    </cfRule>
    <cfRule type="cellIs" dxfId="581" priority="322" operator="equal">
      <formula>"PASS"</formula>
    </cfRule>
    <cfRule type="cellIs" dxfId="580" priority="313" operator="equal">
      <formula>"BARCODE FAIL"</formula>
    </cfRule>
    <cfRule type="cellIs" dxfId="579" priority="314" operator="equal">
      <formula>"MINOR VISUAL"</formula>
    </cfRule>
  </conditionalFormatting>
  <conditionalFormatting sqref="D21:D22">
    <cfRule type="cellIs" dxfId="578" priority="236" operator="equal">
      <formula>"SEAL TEST FAILURE"</formula>
    </cfRule>
    <cfRule type="cellIs" dxfId="577" priority="242" operator="equal">
      <formula>"PASS"</formula>
    </cfRule>
    <cfRule type="containsText" dxfId="576" priority="235" operator="containsText" text="Error">
      <formula>NOT(ISERROR(SEARCH("Error",D21)))</formula>
    </cfRule>
    <cfRule type="cellIs" dxfId="575" priority="234" operator="equal">
      <formula>"MINOR VISUAL"</formula>
    </cfRule>
    <cfRule type="cellIs" dxfId="574" priority="233" operator="equal">
      <formula>"BARCODE FAIL"</formula>
    </cfRule>
    <cfRule type="cellIs" dxfId="573" priority="241" operator="equal">
      <formula>"MAJOR FUNCTIONAL"</formula>
    </cfRule>
    <cfRule type="cellIs" dxfId="572" priority="240" operator="equal">
      <formula>"MAJOR VISUAL"</formula>
    </cfRule>
    <cfRule type="cellIs" dxfId="571" priority="239" operator="equal">
      <formula>"INVALID"</formula>
    </cfRule>
    <cfRule type="cellIs" dxfId="570" priority="238" operator="equal">
      <formula>"SPC CT=0"</formula>
    </cfRule>
    <cfRule type="cellIs" dxfId="569" priority="237" operator="equal">
      <formula>"E*"</formula>
    </cfRule>
  </conditionalFormatting>
  <conditionalFormatting sqref="D126:D127">
    <cfRule type="cellIs" dxfId="568" priority="104" operator="equal">
      <formula>"MAJOR FUNCTIONAL"</formula>
    </cfRule>
    <cfRule type="cellIs" dxfId="567" priority="97" operator="equal">
      <formula>"MINOR VISUAL"</formula>
    </cfRule>
    <cfRule type="cellIs" dxfId="566" priority="100" operator="equal">
      <formula>"E*"</formula>
    </cfRule>
    <cfRule type="cellIs" dxfId="565" priority="101" operator="equal">
      <formula>"SPC CT=0"</formula>
    </cfRule>
    <cfRule type="cellIs" dxfId="564" priority="102" operator="equal">
      <formula>"INVALID"</formula>
    </cfRule>
    <cfRule type="cellIs" dxfId="563" priority="103" operator="equal">
      <formula>"MAJOR VISUAL"</formula>
    </cfRule>
    <cfRule type="cellIs" dxfId="562" priority="105" operator="equal">
      <formula>"PASS"</formula>
    </cfRule>
    <cfRule type="cellIs" dxfId="561" priority="96" operator="equal">
      <formula>"BARCODE FAIL"</formula>
    </cfRule>
    <cfRule type="containsText" dxfId="560" priority="98" operator="containsText" text="Error">
      <formula>NOT(ISERROR(SEARCH("Error",D126)))</formula>
    </cfRule>
    <cfRule type="cellIs" dxfId="559" priority="99" operator="equal">
      <formula>"SEAL TEST FAILURE"</formula>
    </cfRule>
  </conditionalFormatting>
  <conditionalFormatting sqref="D129:D210">
    <cfRule type="cellIs" dxfId="558" priority="140" operator="equal">
      <formula>"Pass"</formula>
    </cfRule>
    <cfRule type="cellIs" dxfId="557" priority="138" operator="equal">
      <formula>"N/A"</formula>
    </cfRule>
    <cfRule type="cellIs" dxfId="556" priority="141" operator="equal">
      <formula>"Fail"</formula>
    </cfRule>
  </conditionalFormatting>
  <conditionalFormatting sqref="D211:D212">
    <cfRule type="cellIs" dxfId="555" priority="243" operator="equal">
      <formula>"BARCODE FAIL"</formula>
    </cfRule>
    <cfRule type="cellIs" dxfId="554" priority="244" operator="equal">
      <formula>"MINOR VISUAL"</formula>
    </cfRule>
    <cfRule type="containsText" dxfId="553" priority="245" operator="containsText" text="Error">
      <formula>NOT(ISERROR(SEARCH("Error",D211)))</formula>
    </cfRule>
    <cfRule type="cellIs" dxfId="552" priority="246" operator="equal">
      <formula>"SEAL TEST FAILURE"</formula>
    </cfRule>
    <cfRule type="cellIs" dxfId="551" priority="247" operator="equal">
      <formula>"E*"</formula>
    </cfRule>
    <cfRule type="cellIs" dxfId="550" priority="248" operator="equal">
      <formula>"SPC CT=0"</formula>
    </cfRule>
    <cfRule type="cellIs" dxfId="549" priority="249" operator="equal">
      <formula>"INVALID"</formula>
    </cfRule>
    <cfRule type="cellIs" dxfId="548" priority="250" operator="equal">
      <formula>"MAJOR VISUAL"</formula>
    </cfRule>
    <cfRule type="cellIs" dxfId="547" priority="251" operator="equal">
      <formula>"MAJOR FUNCTIONAL"</formula>
    </cfRule>
    <cfRule type="cellIs" dxfId="546" priority="252" operator="equal">
      <formula>"PASS"</formula>
    </cfRule>
  </conditionalFormatting>
  <pageMargins left="0.51181102362204722" right="0.51181102362204722" top="0.98425196850393704" bottom="0.98425196850393704" header="0.23622047244094491" footer="0.23622047244094491"/>
  <pageSetup scale="27" fitToHeight="0"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rowBreaks count="2" manualBreakCount="2">
    <brk id="125" max="1048575" man="1"/>
    <brk id="210" max="1048575" man="1"/>
  </rowBreaks>
  <extLst>
    <ext xmlns:x14="http://schemas.microsoft.com/office/spreadsheetml/2009/9/main" uri="{CCE6A557-97BC-4b89-ADB6-D9C93CAAB3DF}">
      <x14:dataValidations xmlns:xm="http://schemas.microsoft.com/office/excel/2006/main" count="2">
        <x14:dataValidation type="list" allowBlank="1" showInputMessage="1" xr:uid="{00000000-0002-0000-0300-000000000000}">
          <x14:formula1>
            <xm:f>'For Reference Only'!$A$2:$A$6</xm:f>
          </x14:formula1>
          <xm:sqref>E238:E337</xm:sqref>
        </x14:dataValidation>
        <x14:dataValidation type="list" showInputMessage="1" xr:uid="{00000000-0002-0000-0300-000001000000}">
          <x14:formula1>
            <xm:f>'For Reference Only'!$C$2:$C$14</xm:f>
          </x14:formula1>
          <xm:sqref>E25:E125 E130:E209 E10:E19 E215:E234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61"/>
  <sheetViews>
    <sheetView zoomScale="55" zoomScaleNormal="55" zoomScaleSheetLayoutView="100" workbookViewId="0"/>
  </sheetViews>
  <sheetFormatPr baseColWidth="10" defaultColWidth="8.83203125" defaultRowHeight="13" x14ac:dyDescent="0.15"/>
  <cols>
    <col min="1" max="1" width="19.5" bestFit="1" customWidth="1"/>
    <col min="2" max="2" width="8.5" customWidth="1"/>
    <col min="3" max="3" width="10.5" customWidth="1"/>
    <col min="4" max="4" width="10.5" style="160" bestFit="1" customWidth="1"/>
    <col min="5" max="5" width="8.5" style="160" bestFit="1" customWidth="1"/>
    <col min="6" max="6" width="9.5" style="160" customWidth="1"/>
    <col min="7" max="7" width="19" style="160" customWidth="1"/>
    <col min="8" max="13" width="9.5" style="160" customWidth="1"/>
    <col min="14" max="14" width="18.5" customWidth="1"/>
    <col min="15" max="18" width="11.6640625" style="64" customWidth="1"/>
    <col min="19" max="19" width="9.1640625" style="64" customWidth="1"/>
    <col min="20" max="22" width="8.5" style="64" customWidth="1"/>
    <col min="23" max="23" width="9.1640625" style="64" customWidth="1"/>
    <col min="24" max="24" width="11.5" style="64" customWidth="1"/>
    <col min="25" max="26" width="8.5" customWidth="1"/>
    <col min="27" max="27" width="14.5" customWidth="1"/>
    <col min="28" max="32" width="11.6640625" customWidth="1"/>
    <col min="33" max="33" width="8.5" customWidth="1"/>
    <col min="34" max="34" width="9.1640625" customWidth="1"/>
    <col min="36" max="38" width="9.1640625" customWidth="1"/>
    <col min="40" max="40" width="9.1640625" customWidth="1"/>
    <col min="43" max="43" width="8.5" customWidth="1"/>
    <col min="47" max="47" width="8.5" customWidth="1"/>
    <col min="51" max="51" width="8.5" customWidth="1"/>
  </cols>
  <sheetData>
    <row r="1" spans="1:40" ht="72" x14ac:dyDescent="0.15">
      <c r="G1" s="209" t="s">
        <v>539</v>
      </c>
      <c r="N1" s="209" t="s">
        <v>540</v>
      </c>
      <c r="AA1" s="209" t="s">
        <v>541</v>
      </c>
      <c r="AB1" s="64"/>
      <c r="AC1" s="64"/>
      <c r="AG1" s="64"/>
    </row>
    <row r="2" spans="1:40" ht="80" customHeight="1" x14ac:dyDescent="0.15">
      <c r="A2" s="192" t="s">
        <v>542</v>
      </c>
      <c r="B2" s="172" t="s">
        <v>543</v>
      </c>
      <c r="C2" s="172" t="s">
        <v>544</v>
      </c>
      <c r="D2" s="172" t="s">
        <v>545</v>
      </c>
      <c r="E2" s="169" t="s">
        <v>546</v>
      </c>
      <c r="G2" s="174" t="s">
        <v>542</v>
      </c>
      <c r="H2" s="171" t="s">
        <v>543</v>
      </c>
      <c r="I2" s="172" t="s">
        <v>547</v>
      </c>
      <c r="J2" s="172" t="s">
        <v>545</v>
      </c>
      <c r="K2" s="169" t="s">
        <v>548</v>
      </c>
      <c r="N2" s="223" t="s">
        <v>542</v>
      </c>
      <c r="O2" s="224" t="s">
        <v>543</v>
      </c>
      <c r="P2" s="172" t="s">
        <v>549</v>
      </c>
      <c r="Q2" s="172" t="s">
        <v>550</v>
      </c>
      <c r="R2" s="169" t="s">
        <v>551</v>
      </c>
      <c r="S2" s="171" t="s">
        <v>552</v>
      </c>
      <c r="T2" s="172" t="s">
        <v>553</v>
      </c>
      <c r="U2" s="172" t="s">
        <v>554</v>
      </c>
      <c r="V2" s="172" t="s">
        <v>555</v>
      </c>
      <c r="W2" s="172" t="s">
        <v>556</v>
      </c>
      <c r="X2" s="169" t="s">
        <v>557</v>
      </c>
      <c r="AA2" s="238" t="s">
        <v>542</v>
      </c>
      <c r="AB2" s="224" t="s">
        <v>543</v>
      </c>
      <c r="AC2" s="172" t="s">
        <v>549</v>
      </c>
      <c r="AD2" s="172" t="s">
        <v>550</v>
      </c>
      <c r="AE2" s="172" t="s">
        <v>558</v>
      </c>
      <c r="AF2" s="169" t="s">
        <v>551</v>
      </c>
      <c r="AG2" s="171" t="s">
        <v>552</v>
      </c>
      <c r="AH2" s="172" t="s">
        <v>553</v>
      </c>
      <c r="AI2" s="172" t="s">
        <v>554</v>
      </c>
      <c r="AJ2" s="172" t="s">
        <v>555</v>
      </c>
      <c r="AK2" s="172" t="s">
        <v>559</v>
      </c>
      <c r="AL2" s="169" t="s">
        <v>560</v>
      </c>
      <c r="AM2" s="173" t="s">
        <v>556</v>
      </c>
      <c r="AN2" s="169" t="s">
        <v>557</v>
      </c>
    </row>
    <row r="3" spans="1:40" x14ac:dyDescent="0.15">
      <c r="A3" s="403" t="s">
        <v>561</v>
      </c>
      <c r="B3" s="193">
        <f>IF('Data Summary'!C10="PASS",IF('Data - First 10'!AE2=0,40,'Data - First 10'!AE2),"")</f>
        <v>40</v>
      </c>
      <c r="C3" s="389">
        <f>ROUND(AVERAGE(B3:B12),1)</f>
        <v>40</v>
      </c>
      <c r="D3" s="167">
        <f>IF('Data Summary'!C10="PASS",'Data - First 10'!Q2,"")</f>
        <v>24.3</v>
      </c>
      <c r="E3" s="396">
        <f>ROUND(AVERAGE(D3:D12),1)</f>
        <v>24</v>
      </c>
      <c r="G3" s="390">
        <v>1</v>
      </c>
      <c r="H3" s="167">
        <f>IF('Data Summary'!C25="PASS",IF('Data - Sample Type 0'!AE2=0,40,'Data - Sample Type 0'!AE2),"")</f>
        <v>40</v>
      </c>
      <c r="I3" s="389">
        <f>ROUND(AVERAGE(H3:H12),1)</f>
        <v>40</v>
      </c>
      <c r="J3" s="167">
        <f>IF('Data Summary'!C25="PASS",IF('Data Summary'!A25="","",'Data - Sample Type 0'!Q2),"")</f>
        <v>26.3</v>
      </c>
      <c r="K3" s="396">
        <f>ROUND(AVERAGE(J3:J12),1)</f>
        <v>24.7</v>
      </c>
      <c r="N3" s="384">
        <v>1</v>
      </c>
      <c r="O3" s="218">
        <f>IF('Data Summary'!C130="PASS",IF('Data - Sample Type 1'!AE2=0,40,'Data - Sample Type 1'!AE2),"")</f>
        <v>27.2</v>
      </c>
      <c r="P3" s="225">
        <f>IF('Data Summary'!C130="PASS",IF('Data - Sample Type 1'!AS2=0,40,'Data - Sample Type 1'!AS2),"")</f>
        <v>25</v>
      </c>
      <c r="Q3" s="225">
        <f>IF('Data Summary'!C130="PASS",IF('Data - Sample Type 1'!BG2=0,40,'Data - Sample Type 1'!BG2),"")</f>
        <v>25.9</v>
      </c>
      <c r="R3" s="229">
        <f>IF('Data Summary'!C130="PASS",IF('Data - Sample Type 1'!CI2=0,40,'Data - Sample Type 1'!CI2),"")</f>
        <v>23.5</v>
      </c>
      <c r="S3" s="230">
        <f>IF('Data Summary'!C130="PASS",'Data - Sample Type 1'!DK2,"")</f>
        <v>69.3</v>
      </c>
      <c r="T3" s="379">
        <f>ROUND(AVERAGE(S3:S10),1)</f>
        <v>69.2</v>
      </c>
      <c r="U3" s="225">
        <f>IF('Data Summary'!C130="PASS",'Data - Sample Type 1'!EY2,"")</f>
        <v>70</v>
      </c>
      <c r="V3" s="379">
        <f>ROUND(AVERAGE(U3:U10),1)</f>
        <v>69.900000000000006</v>
      </c>
      <c r="W3" s="225">
        <f>IF('Data Summary'!C130="PASS",'Data - Sample Type 1'!FO2,"")</f>
        <v>73.5</v>
      </c>
      <c r="X3" s="373">
        <f>ROUND(AVERAGE(W3:W10),1)</f>
        <v>73.5</v>
      </c>
      <c r="AA3" s="398" t="s">
        <v>562</v>
      </c>
      <c r="AB3" s="218">
        <f>IF('Data Summary'!C215="PASS",IF('Data - Sample Type 2'!AE2=0,40,'Data - Sample Type 2'!AE2),"")</f>
        <v>22.4</v>
      </c>
      <c r="AC3" s="225">
        <f>IF('Data Summary'!C215="PASS",IF('Data - Sample Type 2'!AS2=0,40,'Data - Sample Type 2'!AS2),"")</f>
        <v>24.7</v>
      </c>
      <c r="AD3" s="225">
        <f>IF('Data Summary'!C215="PASS",IF('Data - Sample Type 2'!BG2=0,40,'Data - Sample Type 2'!BG2),"")</f>
        <v>25</v>
      </c>
      <c r="AE3" s="225">
        <f>IF('Data Summary'!C215="PASS",IF('Data - Sample Type 2'!BU2=0,40,'Data - Sample Type 2'!BU2),"")</f>
        <v>25.8</v>
      </c>
      <c r="AF3" s="229">
        <f>IF('Data Summary'!C215="PASS",IF('Data - Sample Type 2'!CI2=0,40,'Data - Sample Type 2'!CI2),"")</f>
        <v>27.2</v>
      </c>
      <c r="AG3" s="239">
        <f>IF('Data Summary'!C215="PASS",'Data - Sample Type 2'!DK2,"")</f>
        <v>69</v>
      </c>
      <c r="AH3" s="379">
        <f>ROUND(AVERAGE(AG3:AG12),1)</f>
        <v>69.099999999999994</v>
      </c>
      <c r="AI3" s="225">
        <f>IF('Data Summary'!C215="PASS",'Data - Sample Type 2'!EY2,"")</f>
        <v>0</v>
      </c>
      <c r="AJ3" s="379">
        <f>ROUND(AVERAGE(AI3:AI12),1)</f>
        <v>0</v>
      </c>
      <c r="AK3" s="225">
        <f>IF('Data Summary'!C215="PASS",'Data - Sample Type 2'!EA2,"")</f>
        <v>75.5</v>
      </c>
      <c r="AL3" s="379">
        <f>ROUND(AVERAGE(AK3:AK12),1)</f>
        <v>75.599999999999994</v>
      </c>
      <c r="AM3" s="225">
        <f>IF('Data Summary'!C215="PASS",'Data - Sample Type 2'!EI2,"")</f>
        <v>66.8</v>
      </c>
      <c r="AN3" s="373">
        <f>ROUND(AVERAGE(AM3:AM12),1)</f>
        <v>66.900000000000006</v>
      </c>
    </row>
    <row r="4" spans="1:40" x14ac:dyDescent="0.15">
      <c r="A4" s="404"/>
      <c r="B4" s="116">
        <f>IF('Data Summary'!C11="PASS",IF('Data - First 10'!AE3=0,40,'Data - First 10'!AE3),"")</f>
        <v>40</v>
      </c>
      <c r="C4" s="387"/>
      <c r="D4" s="163">
        <f>IF('Data Summary'!C11="PASS",'Data - First 10'!Q3,"")</f>
        <v>24.3</v>
      </c>
      <c r="E4" s="394"/>
      <c r="G4" s="391"/>
      <c r="H4" s="163">
        <f>IF('Data Summary'!C26="PASS",IF('Data - Sample Type 0'!AE3=0,40,'Data - Sample Type 0'!AE3),"")</f>
        <v>40</v>
      </c>
      <c r="I4" s="387"/>
      <c r="J4" s="163">
        <f>IF('Data Summary'!C26="PASS",IF('Data Summary'!A26="","",'Data - Sample Type 0'!Q3),"")</f>
        <v>24</v>
      </c>
      <c r="K4" s="394"/>
      <c r="N4" s="385"/>
      <c r="O4" s="219">
        <f>IF('Data Summary'!C131="PASS",IF('Data - Sample Type 1'!AE3=0,40,'Data - Sample Type 1'!AE3),"")</f>
        <v>25.6</v>
      </c>
      <c r="P4" s="78">
        <f>IF('Data Summary'!C131="PASS",IF('Data - Sample Type 1'!AS3=0,40,'Data - Sample Type 1'!AS3),"")</f>
        <v>23.5</v>
      </c>
      <c r="Q4" s="78">
        <f>IF('Data Summary'!C131="PASS",IF('Data - Sample Type 1'!BG3=0,40,'Data - Sample Type 1'!BG3),"")</f>
        <v>24.8</v>
      </c>
      <c r="R4" s="231">
        <f>IF('Data Summary'!C131="PASS",IF('Data - Sample Type 1'!CI3=0,40,'Data - Sample Type 1'!CI3),"")</f>
        <v>22.3</v>
      </c>
      <c r="S4" s="232">
        <f>IF('Data Summary'!C131="PASS",'Data - Sample Type 1'!DK3,"")</f>
        <v>69.2</v>
      </c>
      <c r="T4" s="377"/>
      <c r="U4" s="78">
        <f>IF('Data Summary'!C131="PASS",'Data - Sample Type 1'!EY3,"")</f>
        <v>70</v>
      </c>
      <c r="V4" s="377"/>
      <c r="W4" s="78">
        <f>IF('Data Summary'!C131="PASS",'Data - Sample Type 1'!FO3,"")</f>
        <v>73.5</v>
      </c>
      <c r="X4" s="374"/>
      <c r="AA4" s="385"/>
      <c r="AB4" s="219">
        <f>IF('Data Summary'!C216="PASS",IF('Data - Sample Type 2'!AE3=0,40,'Data - Sample Type 2'!AE3),"")</f>
        <v>21.1</v>
      </c>
      <c r="AC4" s="78">
        <f>IF('Data Summary'!C216="PASS",IF('Data - Sample Type 2'!AS3=0,40,'Data - Sample Type 2'!AS3),"")</f>
        <v>23.6</v>
      </c>
      <c r="AD4" s="78">
        <f>IF('Data Summary'!C216="PASS",IF('Data - Sample Type 2'!BG3=0,40,'Data - Sample Type 2'!BG3),"")</f>
        <v>23.6</v>
      </c>
      <c r="AE4" s="78">
        <f>IF('Data Summary'!C216="PASS",IF('Data - Sample Type 2'!BU3=0,40,'Data - Sample Type 2'!BU3),"")</f>
        <v>24.7</v>
      </c>
      <c r="AF4" s="231">
        <f>IF('Data Summary'!C216="PASS",IF('Data - Sample Type 2'!CI3=0,40,'Data - Sample Type 2'!CI3),"")</f>
        <v>25.8</v>
      </c>
      <c r="AG4" s="240">
        <f>IF('Data Summary'!C216="PASS",'Data - Sample Type 2'!DK3,"")</f>
        <v>69</v>
      </c>
      <c r="AH4" s="377"/>
      <c r="AI4" s="78">
        <f>IF('Data Summary'!C216="PASS",'Data - Sample Type 2'!EY3,"")</f>
        <v>0</v>
      </c>
      <c r="AJ4" s="377"/>
      <c r="AK4" s="78">
        <f>IF('Data Summary'!C216="PASS",'Data - Sample Type 2'!EA3,"")</f>
        <v>75.5</v>
      </c>
      <c r="AL4" s="377"/>
      <c r="AM4" s="78">
        <f>IF('Data Summary'!C216="PASS",'Data - Sample Type 2'!EI3,"")</f>
        <v>66.900000000000006</v>
      </c>
      <c r="AN4" s="374"/>
    </row>
    <row r="5" spans="1:40" x14ac:dyDescent="0.15">
      <c r="A5" s="404"/>
      <c r="B5" s="116">
        <f>IF('Data Summary'!C12="PASS",IF('Data - First 10'!AE4=0,40,'Data - First 10'!AE4),"")</f>
        <v>40</v>
      </c>
      <c r="C5" s="387"/>
      <c r="D5" s="163">
        <f>IF('Data Summary'!C12="PASS",'Data - First 10'!Q4,"")</f>
        <v>24.5</v>
      </c>
      <c r="E5" s="394"/>
      <c r="G5" s="391"/>
      <c r="H5" s="163">
        <f>IF('Data Summary'!C27="PASS",IF('Data - Sample Type 0'!AE4=0,40,'Data - Sample Type 0'!AE4),"")</f>
        <v>40</v>
      </c>
      <c r="I5" s="387"/>
      <c r="J5" s="163">
        <f>IF('Data Summary'!C27="PASS",IF('Data Summary'!A27="","",'Data - Sample Type 0'!Q4),"")</f>
        <v>23.9</v>
      </c>
      <c r="K5" s="394"/>
      <c r="N5" s="385"/>
      <c r="O5" s="219">
        <f>IF('Data Summary'!C132="PASS",IF('Data - Sample Type 1'!AE4=0,40,'Data - Sample Type 1'!AE4),"")</f>
        <v>26.3</v>
      </c>
      <c r="P5" s="78">
        <f>IF('Data Summary'!C132="PASS",IF('Data - Sample Type 1'!AS4=0,40,'Data - Sample Type 1'!AS4),"")</f>
        <v>23.5</v>
      </c>
      <c r="Q5" s="78">
        <f>IF('Data Summary'!C132="PASS",IF('Data - Sample Type 1'!BG4=0,40,'Data - Sample Type 1'!BG4),"")</f>
        <v>24.6</v>
      </c>
      <c r="R5" s="231">
        <f>IF('Data Summary'!C132="PASS",IF('Data - Sample Type 1'!CI4=0,40,'Data - Sample Type 1'!CI4),"")</f>
        <v>22.2</v>
      </c>
      <c r="S5" s="232">
        <f>IF('Data Summary'!C132="PASS",'Data - Sample Type 1'!DK4,"")</f>
        <v>69.099999999999994</v>
      </c>
      <c r="T5" s="377"/>
      <c r="U5" s="78">
        <f>IF('Data Summary'!C132="PASS",'Data - Sample Type 1'!EY4,"")</f>
        <v>69.900000000000006</v>
      </c>
      <c r="V5" s="377"/>
      <c r="W5" s="78">
        <f>IF('Data Summary'!C132="PASS",'Data - Sample Type 1'!FO4,"")</f>
        <v>73.400000000000006</v>
      </c>
      <c r="X5" s="374"/>
      <c r="AA5" s="385"/>
      <c r="AB5" s="219">
        <f>IF('Data Summary'!C217="PASS",IF('Data - Sample Type 2'!AE4=0,40,'Data - Sample Type 2'!AE4),"")</f>
        <v>23.1</v>
      </c>
      <c r="AC5" s="78">
        <f>IF('Data Summary'!C217="PASS",IF('Data - Sample Type 2'!AS4=0,40,'Data - Sample Type 2'!AS4),"")</f>
        <v>25</v>
      </c>
      <c r="AD5" s="78">
        <f>IF('Data Summary'!C217="PASS",IF('Data - Sample Type 2'!BG4=0,40,'Data - Sample Type 2'!BG4),"")</f>
        <v>25.1</v>
      </c>
      <c r="AE5" s="78">
        <f>IF('Data Summary'!C217="PASS",IF('Data - Sample Type 2'!BU4=0,40,'Data - Sample Type 2'!BU4),"")</f>
        <v>26.4</v>
      </c>
      <c r="AF5" s="231">
        <f>IF('Data Summary'!C217="PASS",IF('Data - Sample Type 2'!CI4=0,40,'Data - Sample Type 2'!CI4),"")</f>
        <v>27.4</v>
      </c>
      <c r="AG5" s="240">
        <f>IF('Data Summary'!C217="PASS",'Data - Sample Type 2'!DK4,"")</f>
        <v>69.3</v>
      </c>
      <c r="AH5" s="377"/>
      <c r="AI5" s="78">
        <f>IF('Data Summary'!C217="PASS",'Data - Sample Type 2'!EY4,"")</f>
        <v>0</v>
      </c>
      <c r="AJ5" s="377"/>
      <c r="AK5" s="78">
        <f>IF('Data Summary'!C217="PASS",'Data - Sample Type 2'!EA4,"")</f>
        <v>75.8</v>
      </c>
      <c r="AL5" s="377"/>
      <c r="AM5" s="78">
        <f>IF('Data Summary'!C217="PASS",'Data - Sample Type 2'!EI4,"")</f>
        <v>67</v>
      </c>
      <c r="AN5" s="374"/>
    </row>
    <row r="6" spans="1:40" x14ac:dyDescent="0.15">
      <c r="A6" s="404"/>
      <c r="B6" s="116">
        <f>IF('Data Summary'!C13="PASS",IF('Data - First 10'!AE5=0,40,'Data - First 10'!AE5),"")</f>
        <v>40</v>
      </c>
      <c r="C6" s="387"/>
      <c r="D6" s="163">
        <f>IF('Data Summary'!C13="PASS",'Data - First 10'!Q5,"")</f>
        <v>23.2</v>
      </c>
      <c r="E6" s="394"/>
      <c r="G6" s="391"/>
      <c r="H6" s="163">
        <f>IF('Data Summary'!C28="PASS",IF('Data - Sample Type 0'!AE5=0,40,'Data - Sample Type 0'!AE5),"")</f>
        <v>40</v>
      </c>
      <c r="I6" s="387"/>
      <c r="J6" s="163">
        <f>IF('Data Summary'!C28="PASS",IF('Data Summary'!A28="","",'Data - Sample Type 0'!Q5),"")</f>
        <v>23.7</v>
      </c>
      <c r="K6" s="394"/>
      <c r="N6" s="385"/>
      <c r="O6" s="219">
        <f>IF('Data Summary'!C133="PASS",IF('Data - Sample Type 1'!AE5=0,40,'Data - Sample Type 1'!AE5),"")</f>
        <v>26.4</v>
      </c>
      <c r="P6" s="78">
        <f>IF('Data Summary'!C133="PASS",IF('Data - Sample Type 1'!AS5=0,40,'Data - Sample Type 1'!AS5),"")</f>
        <v>23.8</v>
      </c>
      <c r="Q6" s="78">
        <f>IF('Data Summary'!C133="PASS",IF('Data - Sample Type 1'!BG5=0,40,'Data - Sample Type 1'!BG5),"")</f>
        <v>24.9</v>
      </c>
      <c r="R6" s="231">
        <f>IF('Data Summary'!C133="PASS",IF('Data - Sample Type 1'!CI5=0,40,'Data - Sample Type 1'!CI5),"")</f>
        <v>22.6</v>
      </c>
      <c r="S6" s="232">
        <f>IF('Data Summary'!C133="PASS",'Data - Sample Type 1'!DK5,"")</f>
        <v>69.099999999999994</v>
      </c>
      <c r="T6" s="377"/>
      <c r="U6" s="78">
        <f>IF('Data Summary'!C133="PASS",'Data - Sample Type 1'!EY5,"")</f>
        <v>69.8</v>
      </c>
      <c r="V6" s="377"/>
      <c r="W6" s="78">
        <f>IF('Data Summary'!C133="PASS",'Data - Sample Type 1'!FO5,"")</f>
        <v>73.3</v>
      </c>
      <c r="X6" s="374"/>
      <c r="AA6" s="385"/>
      <c r="AB6" s="219">
        <f>IF('Data Summary'!C218="PASS",IF('Data - Sample Type 2'!AE5=0,40,'Data - Sample Type 2'!AE5),"")</f>
        <v>23.8</v>
      </c>
      <c r="AC6" s="78">
        <f>IF('Data Summary'!C218="PASS",IF('Data - Sample Type 2'!AS5=0,40,'Data - Sample Type 2'!AS5),"")</f>
        <v>26.1</v>
      </c>
      <c r="AD6" s="78">
        <f>IF('Data Summary'!C218="PASS",IF('Data - Sample Type 2'!BG5=0,40,'Data - Sample Type 2'!BG5),"")</f>
        <v>26.3</v>
      </c>
      <c r="AE6" s="78">
        <f>IF('Data Summary'!C218="PASS",IF('Data - Sample Type 2'!BU5=0,40,'Data - Sample Type 2'!BU5),"")</f>
        <v>27.8</v>
      </c>
      <c r="AF6" s="231">
        <f>IF('Data Summary'!C218="PASS",IF('Data - Sample Type 2'!CI5=0,40,'Data - Sample Type 2'!CI5),"")</f>
        <v>28.7</v>
      </c>
      <c r="AG6" s="240">
        <f>IF('Data Summary'!C218="PASS",'Data - Sample Type 2'!DK5,"")</f>
        <v>69</v>
      </c>
      <c r="AH6" s="377"/>
      <c r="AI6" s="78">
        <f>IF('Data Summary'!C218="PASS",'Data - Sample Type 2'!EY5,"")</f>
        <v>0</v>
      </c>
      <c r="AJ6" s="377"/>
      <c r="AK6" s="78">
        <f>IF('Data Summary'!C218="PASS",'Data - Sample Type 2'!EA5,"")</f>
        <v>75.400000000000006</v>
      </c>
      <c r="AL6" s="377"/>
      <c r="AM6" s="78">
        <f>IF('Data Summary'!C218="PASS",'Data - Sample Type 2'!EI5,"")</f>
        <v>66.599999999999994</v>
      </c>
      <c r="AN6" s="374"/>
    </row>
    <row r="7" spans="1:40" x14ac:dyDescent="0.15">
      <c r="A7" s="404"/>
      <c r="B7" s="116">
        <f>IF('Data Summary'!C14="PASS",IF('Data - First 10'!AE6=0,40,'Data - First 10'!AE6),"")</f>
        <v>40</v>
      </c>
      <c r="C7" s="387"/>
      <c r="D7" s="163">
        <f>IF('Data Summary'!C14="PASS",'Data - First 10'!Q6,"")</f>
        <v>21.6</v>
      </c>
      <c r="E7" s="394"/>
      <c r="G7" s="391"/>
      <c r="H7" s="163">
        <f>IF('Data Summary'!C29="PASS",IF('Data - Sample Type 0'!AE6=0,40,'Data - Sample Type 0'!AE6),"")</f>
        <v>40</v>
      </c>
      <c r="I7" s="387"/>
      <c r="J7" s="163">
        <f>IF('Data Summary'!C29="PASS",IF('Data Summary'!A29="","",'Data - Sample Type 0'!Q6),"")</f>
        <v>27.1</v>
      </c>
      <c r="K7" s="394"/>
      <c r="N7" s="385"/>
      <c r="O7" s="219">
        <f>IF('Data Summary'!C134="PASS",IF('Data - Sample Type 1'!AE6=0,40,'Data - Sample Type 1'!AE6),"")</f>
        <v>26.8</v>
      </c>
      <c r="P7" s="78">
        <f>IF('Data Summary'!C134="PASS",IF('Data - Sample Type 1'!AS6=0,40,'Data - Sample Type 1'!AS6),"")</f>
        <v>24</v>
      </c>
      <c r="Q7" s="78">
        <f>IF('Data Summary'!C134="PASS",IF('Data - Sample Type 1'!BG6=0,40,'Data - Sample Type 1'!BG6),"")</f>
        <v>24.7</v>
      </c>
      <c r="R7" s="231">
        <f>IF('Data Summary'!C134="PASS",IF('Data - Sample Type 1'!CI6=0,40,'Data - Sample Type 1'!CI6),"")</f>
        <v>22.6</v>
      </c>
      <c r="S7" s="232">
        <f>IF('Data Summary'!C134="PASS",'Data - Sample Type 1'!DK6,"")</f>
        <v>69.2</v>
      </c>
      <c r="T7" s="377" t="str">
        <f>IF(COUNTIF(S3:S10,"&gt;0")=8-COUNTIF(S3:S10,""),"PASS","FAIL")</f>
        <v>PASS</v>
      </c>
      <c r="U7" s="78">
        <f>IF('Data Summary'!C134="PASS",'Data - Sample Type 1'!EY6,"")</f>
        <v>69.8</v>
      </c>
      <c r="V7" s="377" t="str">
        <f>IF(COUNTIF(U3:U10,"&gt;0")=8-COUNTIF(U3:U10,""),"PASS","FAIL")</f>
        <v>PASS</v>
      </c>
      <c r="W7" s="78">
        <f>IF('Data Summary'!C134="PASS",'Data - Sample Type 1'!FO6,"")</f>
        <v>73.400000000000006</v>
      </c>
      <c r="X7" s="374" t="str">
        <f>IF(COUNTIF(W3:W10,"&gt;0")=8-COUNTIF(W3:W10,""),"PASS","FAIL")</f>
        <v>PASS</v>
      </c>
      <c r="AA7" s="385"/>
      <c r="AB7" s="219" t="str">
        <f>IF('Data Summary'!C219="PASS",IF('Data - Sample Type 2'!AE6=0,40,'Data - Sample Type 2'!AE6),"")</f>
        <v/>
      </c>
      <c r="AC7" s="78" t="str">
        <f>IF('Data Summary'!C219="PASS",IF('Data - Sample Type 2'!AS6=0,40,'Data - Sample Type 2'!AS6),"")</f>
        <v/>
      </c>
      <c r="AD7" s="78" t="str">
        <f>IF('Data Summary'!C219="PASS",IF('Data - Sample Type 2'!BG6=0,40,'Data - Sample Type 2'!BG6),"")</f>
        <v/>
      </c>
      <c r="AE7" s="78" t="str">
        <f>IF('Data Summary'!C219="PASS",IF('Data - Sample Type 2'!BU6=0,40,'Data - Sample Type 2'!BU6),"")</f>
        <v/>
      </c>
      <c r="AF7" s="231" t="str">
        <f>IF('Data Summary'!C219="PASS",IF('Data - Sample Type 2'!CI6=0,40,'Data - Sample Type 2'!CI6),"")</f>
        <v/>
      </c>
      <c r="AG7" s="240" t="str">
        <f>IF('Data Summary'!C219="PASS",'Data - Sample Type 2'!DK6,"")</f>
        <v/>
      </c>
      <c r="AH7" s="377"/>
      <c r="AI7" s="78" t="str">
        <f>IF('Data Summary'!C219="PASS",'Data - Sample Type 2'!EY6,"")</f>
        <v/>
      </c>
      <c r="AJ7" s="377"/>
      <c r="AK7" s="78" t="str">
        <f>IF('Data Summary'!C219="PASS",'Data - Sample Type 2'!EA6,"")</f>
        <v/>
      </c>
      <c r="AL7" s="377"/>
      <c r="AM7" s="78" t="str">
        <f>IF('Data Summary'!C219="PASS",'Data - Sample Type 2'!EI6,"")</f>
        <v/>
      </c>
      <c r="AN7" s="374"/>
    </row>
    <row r="8" spans="1:40" x14ac:dyDescent="0.15">
      <c r="A8" s="404"/>
      <c r="B8" s="116">
        <f>IF('Data Summary'!C15="PASS",IF('Data - First 10'!AE7=0,40,'Data - First 10'!AE7),"")</f>
        <v>40</v>
      </c>
      <c r="C8" s="387" t="str">
        <f>IF(C3&gt;=Specifications!$D$26,"PASS","FAIL")</f>
        <v>PASS</v>
      </c>
      <c r="D8" s="163">
        <f>IF('Data Summary'!C15="PASS",'Data - First 10'!Q7,"")</f>
        <v>23.9</v>
      </c>
      <c r="E8" s="394" t="str">
        <f>IF(E3&lt;=Specifications!$B$26,"PASS","FAIL")</f>
        <v>PASS</v>
      </c>
      <c r="G8" s="391"/>
      <c r="H8" s="163">
        <f>IF('Data Summary'!C30="PASS",IF('Data - Sample Type 0'!AE7=0,40,'Data - Sample Type 0'!AE7),"")</f>
        <v>40</v>
      </c>
      <c r="I8" s="387" t="str">
        <f>IF(I3&gt;=Specifications!$D$26,"PASS","FAIL")</f>
        <v>PASS</v>
      </c>
      <c r="J8" s="163">
        <f>IF('Data Summary'!C30="PASS",IF('Data Summary'!A30="","",'Data - Sample Type 0'!Q7),"")</f>
        <v>23.6</v>
      </c>
      <c r="K8" s="394" t="str">
        <f>IF(K3&lt;=Specifications!$B$26,"PASS","FAIL")</f>
        <v>PASS</v>
      </c>
      <c r="N8" s="385"/>
      <c r="O8" s="219">
        <f>IF('Data Summary'!C135="PASS",IF('Data - Sample Type 1'!AE7=0,40,'Data - Sample Type 1'!AE7),"")</f>
        <v>26.2</v>
      </c>
      <c r="P8" s="78">
        <f>IF('Data Summary'!C135="PASS",IF('Data - Sample Type 1'!AS7=0,40,'Data - Sample Type 1'!AS7),"")</f>
        <v>23.4</v>
      </c>
      <c r="Q8" s="78">
        <f>IF('Data Summary'!C135="PASS",IF('Data - Sample Type 1'!BG7=0,40,'Data - Sample Type 1'!BG7),"")</f>
        <v>24.6</v>
      </c>
      <c r="R8" s="231">
        <f>IF('Data Summary'!C135="PASS",IF('Data - Sample Type 1'!CI7=0,40,'Data - Sample Type 1'!CI7),"")</f>
        <v>22.4</v>
      </c>
      <c r="S8" s="232">
        <f>IF('Data Summary'!C135="PASS",'Data - Sample Type 1'!DK7,"")</f>
        <v>69.400000000000006</v>
      </c>
      <c r="T8" s="377"/>
      <c r="U8" s="78">
        <f>IF('Data Summary'!C135="PASS",'Data - Sample Type 1'!EY7,"")</f>
        <v>70.099999999999994</v>
      </c>
      <c r="V8" s="377"/>
      <c r="W8" s="78">
        <f>IF('Data Summary'!C135="PASS",'Data - Sample Type 1'!FO7,"")</f>
        <v>73.599999999999994</v>
      </c>
      <c r="X8" s="374"/>
      <c r="AA8" s="385"/>
      <c r="AB8" s="219">
        <f>IF('Data Summary'!C220="PASS",IF('Data - Sample Type 2'!AE7=0,40,'Data - Sample Type 2'!AE7),"")</f>
        <v>24.4</v>
      </c>
      <c r="AC8" s="78">
        <f>IF('Data Summary'!C220="PASS",IF('Data - Sample Type 2'!AS7=0,40,'Data - Sample Type 2'!AS7),"")</f>
        <v>25.2</v>
      </c>
      <c r="AD8" s="78">
        <f>IF('Data Summary'!C220="PASS",IF('Data - Sample Type 2'!BG7=0,40,'Data - Sample Type 2'!BG7),"")</f>
        <v>25.2</v>
      </c>
      <c r="AE8" s="78">
        <f>IF('Data Summary'!C220="PASS",IF('Data - Sample Type 2'!BU7=0,40,'Data - Sample Type 2'!BU7),"")</f>
        <v>26.1</v>
      </c>
      <c r="AF8" s="231">
        <f>IF('Data Summary'!C220="PASS",IF('Data - Sample Type 2'!CI7=0,40,'Data - Sample Type 2'!CI7),"")</f>
        <v>27.4</v>
      </c>
      <c r="AG8" s="240">
        <f>IF('Data Summary'!C220="PASS",'Data - Sample Type 2'!DK7,"")</f>
        <v>69.2</v>
      </c>
      <c r="AH8" s="382" t="str">
        <f>IF(COUNTIF('Data - Sample Type 2'!$A$2:$A$11,"&lt;&gt;"&amp;"")&gt;=10,IF(COUNTIF(AG3:AG12,"&gt;0")=10-COUNTIF(AG3:AG12,""),"PASS","FAIL"),"Not enough data")</f>
        <v>PASS</v>
      </c>
      <c r="AI8" s="78">
        <f>IF('Data Summary'!C220="PASS",'Data - Sample Type 2'!EY7,"")</f>
        <v>0</v>
      </c>
      <c r="AJ8" s="382" t="str">
        <f>IF(COUNTIF('Data - Sample Type 2'!$A$2:$A$11,"&lt;&gt;"&amp;"")&gt;=10,IF(COUNTIF(AI3:AI12,"=0")=10-COUNTIF(AI3:AI12,""),"PASS","FAIL"),"Not enough data")</f>
        <v>PASS</v>
      </c>
      <c r="AK8" s="78">
        <f>IF('Data Summary'!C220="PASS",'Data - Sample Type 2'!EA7,"")</f>
        <v>75.7</v>
      </c>
      <c r="AL8" s="382" t="str">
        <f>IF(COUNTIF('Data - Sample Type 2'!$A$2:$A$11,"&lt;&gt;"&amp;"")&gt;=10,IF(COUNTIF(AK3:AK12,"&gt;0")=10-COUNTIF(AK3:AK12,""),"PASS","FAIL"),"Not enough data")</f>
        <v>PASS</v>
      </c>
      <c r="AM8" s="78">
        <f>IF('Data Summary'!C220="PASS",'Data - Sample Type 2'!EI7,"")</f>
        <v>67</v>
      </c>
      <c r="AN8" s="380" t="str">
        <f>IF(COUNTIF('Data - Sample Type 2'!$A$2:$A$11,"&lt;&gt;"&amp;"")&gt;=10,IF(COUNTIF(AM3:AM12,"&gt;0")=10-COUNTIF(AM3:AM12,""),"PASS","FAIL"),"Not enough data")</f>
        <v>PASS</v>
      </c>
    </row>
    <row r="9" spans="1:40" x14ac:dyDescent="0.15">
      <c r="A9" s="404"/>
      <c r="B9" s="116">
        <f>IF('Data Summary'!C16="PASS",IF('Data - First 10'!AE8=0,40,'Data - First 10'!AE8),"")</f>
        <v>40</v>
      </c>
      <c r="C9" s="387"/>
      <c r="D9" s="163">
        <f>IF('Data Summary'!C16="PASS",'Data - First 10'!Q8,"")</f>
        <v>24.5</v>
      </c>
      <c r="E9" s="394"/>
      <c r="G9" s="391"/>
      <c r="H9" s="163">
        <f>IF('Data Summary'!C31="PASS",IF('Data - Sample Type 0'!AE8=0,40,'Data - Sample Type 0'!AE8),"")</f>
        <v>40</v>
      </c>
      <c r="I9" s="387"/>
      <c r="J9" s="163">
        <f>IF('Data Summary'!C31="PASS",IF('Data Summary'!A31="","",'Data - Sample Type 0'!Q8),"")</f>
        <v>23.3</v>
      </c>
      <c r="K9" s="394"/>
      <c r="N9" s="385"/>
      <c r="O9" s="219">
        <f>IF('Data Summary'!C136="PASS",IF('Data - Sample Type 1'!AE8=0,40,'Data - Sample Type 1'!AE8),"")</f>
        <v>26.8</v>
      </c>
      <c r="P9" s="78">
        <f>IF('Data Summary'!C136="PASS",IF('Data - Sample Type 1'!AS8=0,40,'Data - Sample Type 1'!AS8),"")</f>
        <v>24.6</v>
      </c>
      <c r="Q9" s="78">
        <f>IF('Data Summary'!C136="PASS",IF('Data - Sample Type 1'!BG8=0,40,'Data - Sample Type 1'!BG8),"")</f>
        <v>26.1</v>
      </c>
      <c r="R9" s="231">
        <f>IF('Data Summary'!C136="PASS",IF('Data - Sample Type 1'!CI8=0,40,'Data - Sample Type 1'!CI8),"")</f>
        <v>23.2</v>
      </c>
      <c r="S9" s="232">
        <f>IF('Data Summary'!C136="PASS",'Data - Sample Type 1'!DK8,"")</f>
        <v>69.3</v>
      </c>
      <c r="T9" s="377"/>
      <c r="U9" s="78">
        <f>IF('Data Summary'!C136="PASS",'Data - Sample Type 1'!EY8,"")</f>
        <v>69.900000000000006</v>
      </c>
      <c r="V9" s="377"/>
      <c r="W9" s="78">
        <f>IF('Data Summary'!C136="PASS",'Data - Sample Type 1'!FO8,"")</f>
        <v>73.5</v>
      </c>
      <c r="X9" s="374"/>
      <c r="AA9" s="385"/>
      <c r="AB9" s="219" t="str">
        <f>IF('Data Summary'!C221="PASS",IF('Data - Sample Type 2'!AE8=0,40,'Data - Sample Type 2'!AE8),"")</f>
        <v/>
      </c>
      <c r="AC9" s="78" t="str">
        <f>IF('Data Summary'!C221="PASS",IF('Data - Sample Type 2'!AS8=0,40,'Data - Sample Type 2'!AS8),"")</f>
        <v/>
      </c>
      <c r="AD9" s="78" t="str">
        <f>IF('Data Summary'!C221="PASS",IF('Data - Sample Type 2'!BG8=0,40,'Data - Sample Type 2'!BG8),"")</f>
        <v/>
      </c>
      <c r="AE9" s="78" t="str">
        <f>IF('Data Summary'!C221="PASS",IF('Data - Sample Type 2'!BU8=0,40,'Data - Sample Type 2'!BU8),"")</f>
        <v/>
      </c>
      <c r="AF9" s="231" t="str">
        <f>IF('Data Summary'!C221="PASS",IF('Data - Sample Type 2'!CI8=0,40,'Data - Sample Type 2'!CI8),"")</f>
        <v/>
      </c>
      <c r="AG9" s="240" t="str">
        <f>IF('Data Summary'!C221="PASS",'Data - Sample Type 2'!DK8,"")</f>
        <v/>
      </c>
      <c r="AH9" s="382"/>
      <c r="AI9" s="78" t="str">
        <f>IF('Data Summary'!C221="PASS",'Data - Sample Type 2'!EY8,"")</f>
        <v/>
      </c>
      <c r="AJ9" s="382"/>
      <c r="AK9" s="78" t="str">
        <f>IF('Data Summary'!C221="PASS",'Data - Sample Type 2'!EA8,"")</f>
        <v/>
      </c>
      <c r="AL9" s="382"/>
      <c r="AM9" s="78" t="str">
        <f>IF('Data Summary'!C221="PASS",'Data - Sample Type 2'!EI8,"")</f>
        <v/>
      </c>
      <c r="AN9" s="380"/>
    </row>
    <row r="10" spans="1:40" x14ac:dyDescent="0.15">
      <c r="A10" s="404"/>
      <c r="B10" s="116">
        <f>IF('Data Summary'!C17="PASS",IF('Data - First 10'!AE9=0,40,'Data - First 10'!AE9),"")</f>
        <v>40</v>
      </c>
      <c r="C10" s="387"/>
      <c r="D10" s="163">
        <f>IF('Data Summary'!C17="PASS",'Data - First 10'!Q9,"")</f>
        <v>24.6</v>
      </c>
      <c r="E10" s="394"/>
      <c r="G10" s="391"/>
      <c r="H10" s="163">
        <f>IF('Data Summary'!C32="PASS",IF('Data - Sample Type 0'!AE9=0,40,'Data - Sample Type 0'!AE9),"")</f>
        <v>40</v>
      </c>
      <c r="I10" s="387"/>
      <c r="J10" s="163">
        <f>IF('Data Summary'!C32="PASS",IF('Data Summary'!A32="","",'Data - Sample Type 0'!Q9),"")</f>
        <v>25.8</v>
      </c>
      <c r="K10" s="394"/>
      <c r="N10" s="400"/>
      <c r="O10" s="226">
        <f>IF('Data Summary'!C137="PASS",IF('Data - Sample Type 1'!AE9=0,40,'Data - Sample Type 1'!AE9),"")</f>
        <v>25.9</v>
      </c>
      <c r="P10" s="227">
        <f>IF('Data Summary'!C137="PASS",IF('Data - Sample Type 1'!AS9=0,40,'Data - Sample Type 1'!AS9),"")</f>
        <v>23</v>
      </c>
      <c r="Q10" s="227">
        <f>IF('Data Summary'!C137="PASS",IF('Data - Sample Type 1'!BG9=0,40,'Data - Sample Type 1'!BG9),"")</f>
        <v>24</v>
      </c>
      <c r="R10" s="233">
        <f>IF('Data Summary'!C137="PASS",IF('Data - Sample Type 1'!CI9=0,40,'Data - Sample Type 1'!CI9),"")</f>
        <v>21.6</v>
      </c>
      <c r="S10" s="234">
        <f>IF('Data Summary'!C137="PASS",'Data - Sample Type 1'!DK9,"")</f>
        <v>69.3</v>
      </c>
      <c r="T10" s="401"/>
      <c r="U10" s="227">
        <f>IF('Data Summary'!C137="PASS",'Data - Sample Type 1'!EY9,"")</f>
        <v>69.900000000000006</v>
      </c>
      <c r="V10" s="401"/>
      <c r="W10" s="227">
        <f>IF('Data Summary'!C137="PASS",'Data - Sample Type 1'!FO9,"")</f>
        <v>73.5</v>
      </c>
      <c r="X10" s="375"/>
      <c r="AA10" s="385"/>
      <c r="AB10" s="219">
        <f>IF('Data Summary'!C222="PASS",IF('Data - Sample Type 2'!AE9=0,40,'Data - Sample Type 2'!AE9),"")</f>
        <v>23</v>
      </c>
      <c r="AC10" s="78">
        <f>IF('Data Summary'!C222="PASS",IF('Data - Sample Type 2'!AS9=0,40,'Data - Sample Type 2'!AS9),"")</f>
        <v>25.2</v>
      </c>
      <c r="AD10" s="78">
        <f>IF('Data Summary'!C222="PASS",IF('Data - Sample Type 2'!BG9=0,40,'Data - Sample Type 2'!BG9),"")</f>
        <v>25.1</v>
      </c>
      <c r="AE10" s="78">
        <f>IF('Data Summary'!C222="PASS",IF('Data - Sample Type 2'!BU9=0,40,'Data - Sample Type 2'!BU9),"")</f>
        <v>26.1</v>
      </c>
      <c r="AF10" s="231">
        <f>IF('Data Summary'!C222="PASS",IF('Data - Sample Type 2'!CI9=0,40,'Data - Sample Type 2'!CI9),"")</f>
        <v>26.6</v>
      </c>
      <c r="AG10" s="240">
        <f>IF('Data Summary'!C222="PASS",'Data - Sample Type 2'!DK9,"")</f>
        <v>69.099999999999994</v>
      </c>
      <c r="AH10" s="382"/>
      <c r="AI10" s="78">
        <f>IF('Data Summary'!C222="PASS",'Data - Sample Type 2'!EY9,"")</f>
        <v>0</v>
      </c>
      <c r="AJ10" s="382"/>
      <c r="AK10" s="78">
        <f>IF('Data Summary'!C222="PASS",'Data - Sample Type 2'!EA9,"")</f>
        <v>75.599999999999994</v>
      </c>
      <c r="AL10" s="382"/>
      <c r="AM10" s="78">
        <f>IF('Data Summary'!C222="PASS",'Data - Sample Type 2'!EI9,"")</f>
        <v>66.8</v>
      </c>
      <c r="AN10" s="380"/>
    </row>
    <row r="11" spans="1:40" x14ac:dyDescent="0.15">
      <c r="A11" s="404"/>
      <c r="B11" s="116">
        <f>IF('Data Summary'!C18="PASS",IF('Data - First 10'!AE10=0,40,'Data - First 10'!AE10),"")</f>
        <v>40</v>
      </c>
      <c r="C11" s="387"/>
      <c r="D11" s="163">
        <f>IF('Data Summary'!C18="PASS",'Data - First 10'!Q10,"")</f>
        <v>24.4</v>
      </c>
      <c r="E11" s="394"/>
      <c r="G11" s="391"/>
      <c r="H11" s="163">
        <f>IF('Data Summary'!C33="PASS",IF('Data - Sample Type 0'!AE10=0,40,'Data - Sample Type 0'!AE10),"")</f>
        <v>40</v>
      </c>
      <c r="I11" s="387"/>
      <c r="J11" s="163">
        <f>IF('Data Summary'!C33="PASS",IF('Data Summary'!A33="","",'Data - Sample Type 0'!Q10),"")</f>
        <v>25</v>
      </c>
      <c r="K11" s="394"/>
      <c r="N11" s="384">
        <v>2</v>
      </c>
      <c r="O11" s="218">
        <f>IF('Data Summary'!C138="PASS",IF('Data - Sample Type 1'!AE10=0,40,'Data - Sample Type 1'!AE10),"")</f>
        <v>25.8</v>
      </c>
      <c r="P11" s="225">
        <f>IF('Data Summary'!C138="PASS",IF('Data - Sample Type 1'!AS10=0,40,'Data - Sample Type 1'!AS10),"")</f>
        <v>23.8</v>
      </c>
      <c r="Q11" s="225">
        <f>IF('Data Summary'!C138="PASS",IF('Data - Sample Type 1'!BG10=0,40,'Data - Sample Type 1'!BG10),"")</f>
        <v>23.8</v>
      </c>
      <c r="R11" s="229">
        <f>IF('Data Summary'!C138="PASS",IF('Data - Sample Type 1'!CI10=0,40,'Data - Sample Type 1'!CI10),"")</f>
        <v>22.1</v>
      </c>
      <c r="S11" s="230">
        <f>IF('Data Summary'!C138="PASS",'Data - Sample Type 1'!DK10,"")</f>
        <v>69.3</v>
      </c>
      <c r="T11" s="379">
        <f>ROUND(AVERAGE(S11:S18),1)</f>
        <v>69.3</v>
      </c>
      <c r="U11" s="225">
        <f>IF('Data Summary'!C138="PASS",'Data - Sample Type 1'!EY10,"")</f>
        <v>70.099999999999994</v>
      </c>
      <c r="V11" s="379">
        <f>ROUND(AVERAGE(U11:U18),1)</f>
        <v>70</v>
      </c>
      <c r="W11" s="225">
        <f>IF('Data Summary'!C138="PASS",'Data - Sample Type 1'!FO10,"")</f>
        <v>73.599999999999994</v>
      </c>
      <c r="X11" s="373">
        <f>ROUND(AVERAGE(W11:W18),1)</f>
        <v>73.5</v>
      </c>
      <c r="AA11" s="385"/>
      <c r="AB11" s="219">
        <f>IF('Data Summary'!C223="PASS",IF('Data - Sample Type 2'!AE10=0,40,'Data - Sample Type 2'!AE10),"")</f>
        <v>22.7</v>
      </c>
      <c r="AC11" s="78">
        <f>IF('Data Summary'!C223="PASS",IF('Data - Sample Type 2'!AS10=0,40,'Data - Sample Type 2'!AS10),"")</f>
        <v>24.3</v>
      </c>
      <c r="AD11" s="78">
        <f>IF('Data Summary'!C223="PASS",IF('Data - Sample Type 2'!BG10=0,40,'Data - Sample Type 2'!BG10),"")</f>
        <v>24.5</v>
      </c>
      <c r="AE11" s="78">
        <f>IF('Data Summary'!C223="PASS",IF('Data - Sample Type 2'!BU10=0,40,'Data - Sample Type 2'!BU10),"")</f>
        <v>25.8</v>
      </c>
      <c r="AF11" s="231">
        <f>IF('Data Summary'!C223="PASS",IF('Data - Sample Type 2'!CI10=0,40,'Data - Sample Type 2'!CI10),"")</f>
        <v>26.7</v>
      </c>
      <c r="AG11" s="240">
        <f>IF('Data Summary'!C223="PASS",'Data - Sample Type 2'!DK10,"")</f>
        <v>69.2</v>
      </c>
      <c r="AH11" s="382"/>
      <c r="AI11" s="78">
        <f>IF('Data Summary'!C223="PASS",'Data - Sample Type 2'!EY10,"")</f>
        <v>0</v>
      </c>
      <c r="AJ11" s="382"/>
      <c r="AK11" s="78">
        <f>IF('Data Summary'!C223="PASS",'Data - Sample Type 2'!EA10,"")</f>
        <v>75.7</v>
      </c>
      <c r="AL11" s="382"/>
      <c r="AM11" s="78">
        <f>IF('Data Summary'!C223="PASS",'Data - Sample Type 2'!EI10,"")</f>
        <v>67</v>
      </c>
      <c r="AN11" s="380"/>
    </row>
    <row r="12" spans="1:40" x14ac:dyDescent="0.15">
      <c r="A12" s="405"/>
      <c r="B12" s="194">
        <f>IF('Data Summary'!C19="PASS",IF('Data - First 10'!AE11=0,40,'Data - First 10'!AE11),"")</f>
        <v>40</v>
      </c>
      <c r="C12" s="388"/>
      <c r="D12" s="168">
        <f>IF('Data Summary'!C19="PASS",'Data - First 10'!Q11,"")</f>
        <v>25</v>
      </c>
      <c r="E12" s="395"/>
      <c r="G12" s="392"/>
      <c r="H12" s="168">
        <f>IF('Data Summary'!C34="PASS",IF('Data - Sample Type 0'!AE11=0,40,'Data - Sample Type 0'!AE11),"")</f>
        <v>40</v>
      </c>
      <c r="I12" s="388"/>
      <c r="J12" s="168">
        <f>IF('Data Summary'!C34="PASS",IF('Data Summary'!A34="","",'Data - Sample Type 0'!Q11),"")</f>
        <v>24.2</v>
      </c>
      <c r="K12" s="395"/>
      <c r="N12" s="385"/>
      <c r="O12" s="219" t="str">
        <f>IF('Data Summary'!C139="PASS",IF('Data - Sample Type 1'!AE11=0,40,'Data - Sample Type 1'!AE11),"")</f>
        <v/>
      </c>
      <c r="P12" s="78" t="str">
        <f>IF('Data Summary'!C139="PASS",IF('Data - Sample Type 1'!AS11=0,40,'Data - Sample Type 1'!AS11),"")</f>
        <v/>
      </c>
      <c r="Q12" s="78" t="str">
        <f>IF('Data Summary'!C139="PASS",IF('Data - Sample Type 1'!BG11=0,40,'Data - Sample Type 1'!BG11),"")</f>
        <v/>
      </c>
      <c r="R12" s="231" t="str">
        <f>IF('Data Summary'!C139="PASS",IF('Data - Sample Type 1'!CI11=0,40,'Data - Sample Type 1'!CI11),"")</f>
        <v/>
      </c>
      <c r="S12" s="232" t="str">
        <f>IF('Data Summary'!C139="PASS",'Data - Sample Type 1'!DK11,"")</f>
        <v/>
      </c>
      <c r="T12" s="377"/>
      <c r="U12" s="78" t="str">
        <f>IF('Data Summary'!C139="PASS",'Data - Sample Type 1'!EY11,"")</f>
        <v/>
      </c>
      <c r="V12" s="377"/>
      <c r="W12" s="78" t="str">
        <f>IF('Data Summary'!C139="PASS",'Data - Sample Type 1'!FO11,"")</f>
        <v/>
      </c>
      <c r="X12" s="374"/>
      <c r="AA12" s="386"/>
      <c r="AB12" s="220">
        <f>IF('Data Summary'!C224="PASS",IF('Data - Sample Type 2'!AE11=0,40,'Data - Sample Type 2'!AE11),"")</f>
        <v>23</v>
      </c>
      <c r="AC12" s="228">
        <f>IF('Data Summary'!C224="PASS",IF('Data - Sample Type 2'!AS11=0,40,'Data - Sample Type 2'!AS11),"")</f>
        <v>25.1</v>
      </c>
      <c r="AD12" s="228">
        <f>IF('Data Summary'!C224="PASS",IF('Data - Sample Type 2'!BG11=0,40,'Data - Sample Type 2'!BG11),"")</f>
        <v>24.8</v>
      </c>
      <c r="AE12" s="228">
        <f>IF('Data Summary'!C224="PASS",IF('Data - Sample Type 2'!BU11=0,40,'Data - Sample Type 2'!BU11),"")</f>
        <v>25.7</v>
      </c>
      <c r="AF12" s="235">
        <f>IF('Data Summary'!C224="PASS",IF('Data - Sample Type 2'!CI11=0,40,'Data - Sample Type 2'!CI11),"")</f>
        <v>27.2</v>
      </c>
      <c r="AG12" s="241">
        <f>IF('Data Summary'!C224="PASS",'Data - Sample Type 2'!DK11,"")</f>
        <v>69.2</v>
      </c>
      <c r="AH12" s="383"/>
      <c r="AI12" s="228">
        <f>IF('Data Summary'!C224="PASS",'Data - Sample Type 2'!EY11,"")</f>
        <v>0</v>
      </c>
      <c r="AJ12" s="383"/>
      <c r="AK12" s="228">
        <f>IF('Data Summary'!C224="PASS",'Data - Sample Type 2'!EA11,"")</f>
        <v>75.7</v>
      </c>
      <c r="AL12" s="383"/>
      <c r="AM12" s="228">
        <f>IF('Data Summary'!C224="PASS",'Data - Sample Type 2'!EI11,"")</f>
        <v>66.900000000000006</v>
      </c>
      <c r="AN12" s="381"/>
    </row>
    <row r="13" spans="1:40" x14ac:dyDescent="0.15">
      <c r="A13" s="64"/>
      <c r="C13" s="102"/>
      <c r="E13" s="102"/>
      <c r="G13" s="390">
        <v>2</v>
      </c>
      <c r="H13" s="167">
        <f>IF('Data Summary'!C35="PASS",IF('Data - Sample Type 0'!AE12=0,40,'Data - Sample Type 0'!AE12),"")</f>
        <v>40</v>
      </c>
      <c r="I13" s="389">
        <f>ROUND(AVERAGE(H13:H22),1)</f>
        <v>40</v>
      </c>
      <c r="J13" s="167">
        <f>IF('Data Summary'!C35="PASS",IF('Data Summary'!A35="","",'Data - Sample Type 0'!Q12),"")</f>
        <v>24.4</v>
      </c>
      <c r="K13" s="396">
        <f>ROUND(AVERAGE(J13:J22),1)</f>
        <v>24.7</v>
      </c>
      <c r="N13" s="385"/>
      <c r="O13" s="219">
        <f>IF('Data Summary'!C140="PASS",IF('Data - Sample Type 1'!AE12=0,40,'Data - Sample Type 1'!AE12),"")</f>
        <v>25.5</v>
      </c>
      <c r="P13" s="78">
        <f>IF('Data Summary'!C140="PASS",IF('Data - Sample Type 1'!AS12=0,40,'Data - Sample Type 1'!AS12),"")</f>
        <v>23.6</v>
      </c>
      <c r="Q13" s="78">
        <f>IF('Data Summary'!C140="PASS",IF('Data - Sample Type 1'!BG12=0,40,'Data - Sample Type 1'!BG12),"")</f>
        <v>24.5</v>
      </c>
      <c r="R13" s="231">
        <f>IF('Data Summary'!C140="PASS",IF('Data - Sample Type 1'!CI12=0,40,'Data - Sample Type 1'!CI12),"")</f>
        <v>22.1</v>
      </c>
      <c r="S13" s="232">
        <f>IF('Data Summary'!C140="PASS",'Data - Sample Type 1'!DK12,"")</f>
        <v>69.400000000000006</v>
      </c>
      <c r="T13" s="377"/>
      <c r="U13" s="78">
        <f>IF('Data Summary'!C140="PASS",'Data - Sample Type 1'!EY12,"")</f>
        <v>70.099999999999994</v>
      </c>
      <c r="V13" s="377"/>
      <c r="W13" s="78">
        <f>IF('Data Summary'!C140="PASS",'Data - Sample Type 1'!FO12,"")</f>
        <v>73.599999999999994</v>
      </c>
      <c r="X13" s="374"/>
      <c r="AA13" s="399" t="s">
        <v>563</v>
      </c>
      <c r="AB13" s="243">
        <f>IF('Data Summary'!C225="PASS",IF('Data - Sample Type 2'!AE12=0,40,'Data - Sample Type 2'!AE12),"")</f>
        <v>24</v>
      </c>
      <c r="AC13" s="237">
        <f>IF('Data Summary'!C225="PASS",IF('Data - Sample Type 2'!AS12=0,40,'Data - Sample Type 2'!AS12),"")</f>
        <v>25.4</v>
      </c>
      <c r="AD13" s="237">
        <f>IF('Data Summary'!C225="PASS",IF('Data - Sample Type 2'!BG12=0,40,'Data - Sample Type 2'!BG12),"")</f>
        <v>25.3</v>
      </c>
      <c r="AE13" s="237">
        <f>IF('Data Summary'!C225="PASS",IF('Data - Sample Type 2'!BU12=0,40,'Data - Sample Type 2'!BU12),"")</f>
        <v>26.3</v>
      </c>
      <c r="AF13" s="244">
        <f>IF('Data Summary'!C225="PASS",IF('Data - Sample Type 2'!CI12=0,40,'Data - Sample Type 2'!CI12),"")</f>
        <v>26.8</v>
      </c>
      <c r="AG13" s="242">
        <f>IF('Data Summary'!C225="PASS",'Data - Sample Type 2'!DK12,"")</f>
        <v>69.3</v>
      </c>
      <c r="AH13" s="379">
        <f>ROUND(AVERAGE(AG13:AG22),1)</f>
        <v>69.2</v>
      </c>
      <c r="AI13" s="237">
        <f>IF('Data Summary'!C225="PASS",'Data - Sample Type 2'!EY12,"")</f>
        <v>0</v>
      </c>
      <c r="AJ13" s="379">
        <f>ROUND(AVERAGE(AI13:AI22),1)</f>
        <v>0</v>
      </c>
      <c r="AK13" s="237">
        <f>IF('Data Summary'!C225="PASS",'Data - Sample Type 2'!EA12,"")</f>
        <v>75.7</v>
      </c>
      <c r="AL13" s="379">
        <f>ROUND(AVERAGE(AK13:AK22),1)</f>
        <v>75.599999999999994</v>
      </c>
      <c r="AM13" s="237">
        <f>IF('Data Summary'!C225="PASS",'Data - Sample Type 2'!EI12,"")</f>
        <v>66.8</v>
      </c>
      <c r="AN13" s="373">
        <f>ROUND(AVERAGE(AM13:AM22),1)</f>
        <v>66.900000000000006</v>
      </c>
    </row>
    <row r="14" spans="1:40" x14ac:dyDescent="0.15">
      <c r="G14" s="391">
        <v>2</v>
      </c>
      <c r="H14" s="163">
        <f>IF('Data Summary'!C36="PASS",IF('Data - Sample Type 0'!AE13=0,40,'Data - Sample Type 0'!AE13),"")</f>
        <v>40</v>
      </c>
      <c r="I14" s="387"/>
      <c r="J14" s="163">
        <f>IF('Data Summary'!C36="PASS",IF('Data Summary'!A36="","",'Data - Sample Type 0'!Q13),"")</f>
        <v>24.4</v>
      </c>
      <c r="K14" s="394"/>
      <c r="N14" s="385"/>
      <c r="O14" s="219">
        <f>IF('Data Summary'!C141="PASS",IF('Data - Sample Type 1'!AE13=0,40,'Data - Sample Type 1'!AE13),"")</f>
        <v>24.9</v>
      </c>
      <c r="P14" s="78">
        <f>IF('Data Summary'!C141="PASS",IF('Data - Sample Type 1'!AS13=0,40,'Data - Sample Type 1'!AS13),"")</f>
        <v>23</v>
      </c>
      <c r="Q14" s="78">
        <f>IF('Data Summary'!C141="PASS",IF('Data - Sample Type 1'!BG13=0,40,'Data - Sample Type 1'!BG13),"")</f>
        <v>24.2</v>
      </c>
      <c r="R14" s="231">
        <f>IF('Data Summary'!C141="PASS",IF('Data - Sample Type 1'!CI13=0,40,'Data - Sample Type 1'!CI13),"")</f>
        <v>21.7</v>
      </c>
      <c r="S14" s="232">
        <f>IF('Data Summary'!C141="PASS",'Data - Sample Type 1'!DK13,"")</f>
        <v>69.3</v>
      </c>
      <c r="T14" s="377"/>
      <c r="U14" s="78">
        <f>IF('Data Summary'!C141="PASS",'Data - Sample Type 1'!EY13,"")</f>
        <v>70.099999999999994</v>
      </c>
      <c r="V14" s="377"/>
      <c r="W14" s="78">
        <f>IF('Data Summary'!C141="PASS",'Data - Sample Type 1'!FO13,"")</f>
        <v>73.599999999999994</v>
      </c>
      <c r="X14" s="374"/>
      <c r="AA14" s="385"/>
      <c r="AB14" s="219" t="str">
        <f>IF('Data Summary'!C226="PASS",IF('Data - Sample Type 2'!AE13=0,40,'Data - Sample Type 2'!AE13),"")</f>
        <v/>
      </c>
      <c r="AC14" s="78" t="str">
        <f>IF('Data Summary'!C226="PASS",IF('Data - Sample Type 2'!AS13=0,40,'Data - Sample Type 2'!AS13),"")</f>
        <v/>
      </c>
      <c r="AD14" s="78" t="str">
        <f>IF('Data Summary'!C226="PASS",IF('Data - Sample Type 2'!BG13=0,40,'Data - Sample Type 2'!BG13),"")</f>
        <v/>
      </c>
      <c r="AE14" s="78" t="str">
        <f>IF('Data Summary'!C226="PASS",IF('Data - Sample Type 2'!BU13=0,40,'Data - Sample Type 2'!BU13),"")</f>
        <v/>
      </c>
      <c r="AF14" s="231" t="str">
        <f>IF('Data Summary'!C226="PASS",IF('Data - Sample Type 2'!CI13=0,40,'Data - Sample Type 2'!CI13),"")</f>
        <v/>
      </c>
      <c r="AG14" s="240" t="str">
        <f>IF('Data Summary'!C226="PASS",'Data - Sample Type 2'!DK13,"")</f>
        <v/>
      </c>
      <c r="AH14" s="377"/>
      <c r="AI14" s="78" t="str">
        <f>IF('Data Summary'!C226="PASS",'Data - Sample Type 2'!EY13,"")</f>
        <v/>
      </c>
      <c r="AJ14" s="377"/>
      <c r="AK14" s="78" t="str">
        <f>IF('Data Summary'!C226="PASS",'Data - Sample Type 2'!EA13,"")</f>
        <v/>
      </c>
      <c r="AL14" s="377"/>
      <c r="AM14" s="78" t="str">
        <f>IF('Data Summary'!C226="PASS",'Data - Sample Type 2'!EI13,"")</f>
        <v/>
      </c>
      <c r="AN14" s="374"/>
    </row>
    <row r="15" spans="1:40" ht="16.25" customHeight="1" x14ac:dyDescent="0.15">
      <c r="G15" s="391"/>
      <c r="H15" s="163">
        <f>IF('Data Summary'!C37="PASS",IF('Data - Sample Type 0'!AE14=0,40,'Data - Sample Type 0'!AE14),"")</f>
        <v>40</v>
      </c>
      <c r="I15" s="387"/>
      <c r="J15" s="163">
        <f>IF('Data Summary'!C37="PASS",IF('Data Summary'!A37="","",'Data - Sample Type 0'!Q14),"")</f>
        <v>24.4</v>
      </c>
      <c r="K15" s="394"/>
      <c r="N15" s="385"/>
      <c r="O15" s="219">
        <f>IF('Data Summary'!C142="PASS",IF('Data - Sample Type 1'!AE14=0,40,'Data - Sample Type 1'!AE14),"")</f>
        <v>26.7</v>
      </c>
      <c r="P15" s="78">
        <f>IF('Data Summary'!C142="PASS",IF('Data - Sample Type 1'!AS14=0,40,'Data - Sample Type 1'!AS14),"")</f>
        <v>23.8</v>
      </c>
      <c r="Q15" s="78">
        <f>IF('Data Summary'!C142="PASS",IF('Data - Sample Type 1'!BG14=0,40,'Data - Sample Type 1'!BG14),"")</f>
        <v>24.9</v>
      </c>
      <c r="R15" s="231">
        <f>IF('Data Summary'!C142="PASS",IF('Data - Sample Type 1'!CI14=0,40,'Data - Sample Type 1'!CI14),"")</f>
        <v>22.4</v>
      </c>
      <c r="S15" s="232">
        <f>IF('Data Summary'!C142="PASS",'Data - Sample Type 1'!DK14,"")</f>
        <v>69.099999999999994</v>
      </c>
      <c r="T15" s="377" t="str">
        <f>IF(COUNTIF(S11:S18,"&gt;0")=8-COUNTIF(S11:S18,""),"PASS","FAIL")</f>
        <v>PASS</v>
      </c>
      <c r="U15" s="78">
        <f>IF('Data Summary'!C142="PASS",'Data - Sample Type 1'!EY14,"")</f>
        <v>69.8</v>
      </c>
      <c r="V15" s="377" t="str">
        <f>IF(COUNTIF(U11:U18,"&gt;0")=8-COUNTIF(U11:U18,""),"PASS","FAIL")</f>
        <v>PASS</v>
      </c>
      <c r="W15" s="78">
        <f>IF('Data Summary'!C142="PASS",'Data - Sample Type 1'!FO14,"")</f>
        <v>73.3</v>
      </c>
      <c r="X15" s="374" t="str">
        <f>IF(COUNTIF(W11:W18,"&gt;0")=8-COUNTIF(W11:W18,""),"PASS","FAIL")</f>
        <v>PASS</v>
      </c>
      <c r="AA15" s="385"/>
      <c r="AB15" s="219">
        <f>IF('Data Summary'!C227="PASS",IF('Data - Sample Type 2'!AE14=0,40,'Data - Sample Type 2'!AE14),"")</f>
        <v>23</v>
      </c>
      <c r="AC15" s="78">
        <f>IF('Data Summary'!C227="PASS",IF('Data - Sample Type 2'!AS14=0,40,'Data - Sample Type 2'!AS14),"")</f>
        <v>24.6</v>
      </c>
      <c r="AD15" s="78">
        <f>IF('Data Summary'!C227="PASS",IF('Data - Sample Type 2'!BG14=0,40,'Data - Sample Type 2'!BG14),"")</f>
        <v>24.7</v>
      </c>
      <c r="AE15" s="78">
        <f>IF('Data Summary'!C227="PASS",IF('Data - Sample Type 2'!BU14=0,40,'Data - Sample Type 2'!BU14),"")</f>
        <v>25.8</v>
      </c>
      <c r="AF15" s="231">
        <f>IF('Data Summary'!C227="PASS",IF('Data - Sample Type 2'!CI14=0,40,'Data - Sample Type 2'!CI14),"")</f>
        <v>27.4</v>
      </c>
      <c r="AG15" s="240">
        <f>IF('Data Summary'!C227="PASS",'Data - Sample Type 2'!DK14,"")</f>
        <v>69.2</v>
      </c>
      <c r="AH15" s="377"/>
      <c r="AI15" s="78">
        <f>IF('Data Summary'!C227="PASS",'Data - Sample Type 2'!EY14,"")</f>
        <v>0</v>
      </c>
      <c r="AJ15" s="377"/>
      <c r="AK15" s="78">
        <f>IF('Data Summary'!C227="PASS",'Data - Sample Type 2'!EA14,"")</f>
        <v>75.7</v>
      </c>
      <c r="AL15" s="377"/>
      <c r="AM15" s="78">
        <f>IF('Data Summary'!C227="PASS",'Data - Sample Type 2'!EI14,"")</f>
        <v>67</v>
      </c>
      <c r="AN15" s="374"/>
    </row>
    <row r="16" spans="1:40" x14ac:dyDescent="0.15">
      <c r="A16" s="39"/>
      <c r="G16" s="391"/>
      <c r="H16" s="163">
        <f>IF('Data Summary'!C38="PASS",IF('Data - Sample Type 0'!AE15=0,40,'Data - Sample Type 0'!AE15),"")</f>
        <v>40</v>
      </c>
      <c r="I16" s="387"/>
      <c r="J16" s="163">
        <f>IF('Data Summary'!C38="PASS",IF('Data Summary'!A38="","",'Data - Sample Type 0'!Q15),"")</f>
        <v>24.1</v>
      </c>
      <c r="K16" s="394"/>
      <c r="N16" s="385"/>
      <c r="O16" s="219">
        <f>IF('Data Summary'!C143="PASS",IF('Data - Sample Type 1'!AE15=0,40,'Data - Sample Type 1'!AE15),"")</f>
        <v>25.4</v>
      </c>
      <c r="P16" s="78">
        <f>IF('Data Summary'!C143="PASS",IF('Data - Sample Type 1'!AS15=0,40,'Data - Sample Type 1'!AS15),"")</f>
        <v>23</v>
      </c>
      <c r="Q16" s="78">
        <f>IF('Data Summary'!C143="PASS",IF('Data - Sample Type 1'!BG15=0,40,'Data - Sample Type 1'!BG15),"")</f>
        <v>24.1</v>
      </c>
      <c r="R16" s="231">
        <f>IF('Data Summary'!C143="PASS",IF('Data - Sample Type 1'!CI15=0,40,'Data - Sample Type 1'!CI15),"")</f>
        <v>21.8</v>
      </c>
      <c r="S16" s="232">
        <f>IF('Data Summary'!C143="PASS",'Data - Sample Type 1'!DK15,"")</f>
        <v>69.2</v>
      </c>
      <c r="T16" s="377"/>
      <c r="U16" s="78">
        <f>IF('Data Summary'!C143="PASS",'Data - Sample Type 1'!EY15,"")</f>
        <v>69.8</v>
      </c>
      <c r="V16" s="377"/>
      <c r="W16" s="78">
        <f>IF('Data Summary'!C143="PASS",'Data - Sample Type 1'!FO15,"")</f>
        <v>73.400000000000006</v>
      </c>
      <c r="X16" s="374"/>
      <c r="AA16" s="385"/>
      <c r="AB16" s="219">
        <f>IF('Data Summary'!C228="PASS",IF('Data - Sample Type 2'!AE15=0,40,'Data - Sample Type 2'!AE15),"")</f>
        <v>23.1</v>
      </c>
      <c r="AC16" s="78">
        <f>IF('Data Summary'!C228="PASS",IF('Data - Sample Type 2'!AS15=0,40,'Data - Sample Type 2'!AS15),"")</f>
        <v>25.1</v>
      </c>
      <c r="AD16" s="78">
        <f>IF('Data Summary'!C228="PASS",IF('Data - Sample Type 2'!BG15=0,40,'Data - Sample Type 2'!BG15),"")</f>
        <v>25</v>
      </c>
      <c r="AE16" s="78">
        <f>IF('Data Summary'!C228="PASS",IF('Data - Sample Type 2'!BU15=0,40,'Data - Sample Type 2'!BU15),"")</f>
        <v>26.2</v>
      </c>
      <c r="AF16" s="231">
        <f>IF('Data Summary'!C228="PASS",IF('Data - Sample Type 2'!CI15=0,40,'Data - Sample Type 2'!CI15),"")</f>
        <v>27.6</v>
      </c>
      <c r="AG16" s="240">
        <f>IF('Data Summary'!C228="PASS",'Data - Sample Type 2'!DK15,"")</f>
        <v>69.099999999999994</v>
      </c>
      <c r="AH16" s="377"/>
      <c r="AI16" s="78">
        <f>IF('Data Summary'!C228="PASS",'Data - Sample Type 2'!EY15,"")</f>
        <v>0</v>
      </c>
      <c r="AJ16" s="377"/>
      <c r="AK16" s="78">
        <f>IF('Data Summary'!C228="PASS",'Data - Sample Type 2'!EA15,"")</f>
        <v>75.599999999999994</v>
      </c>
      <c r="AL16" s="377"/>
      <c r="AM16" s="78">
        <f>IF('Data Summary'!C228="PASS",'Data - Sample Type 2'!EI15,"")</f>
        <v>66.900000000000006</v>
      </c>
      <c r="AN16" s="374"/>
    </row>
    <row r="17" spans="7:40" ht="13.25" customHeight="1" x14ac:dyDescent="0.15">
      <c r="G17" s="391"/>
      <c r="H17" s="163">
        <f>IF('Data Summary'!C39="PASS",IF('Data - Sample Type 0'!AE16=0,40,'Data - Sample Type 0'!AE16),"")</f>
        <v>40</v>
      </c>
      <c r="I17" s="387"/>
      <c r="J17" s="163">
        <f>IF('Data Summary'!C39="PASS",IF('Data Summary'!A39="","",'Data - Sample Type 0'!Q16),"")</f>
        <v>24.2</v>
      </c>
      <c r="K17" s="394"/>
      <c r="N17" s="385"/>
      <c r="O17" s="219">
        <f>IF('Data Summary'!C144="PASS",IF('Data - Sample Type 1'!AE16=0,40,'Data - Sample Type 1'!AE16),"")</f>
        <v>26.2</v>
      </c>
      <c r="P17" s="78">
        <f>IF('Data Summary'!C144="PASS",IF('Data - Sample Type 1'!AS16=0,40,'Data - Sample Type 1'!AS16),"")</f>
        <v>23.4</v>
      </c>
      <c r="Q17" s="78">
        <f>IF('Data Summary'!C144="PASS",IF('Data - Sample Type 1'!BG16=0,40,'Data - Sample Type 1'!BG16),"")</f>
        <v>24.4</v>
      </c>
      <c r="R17" s="231">
        <f>IF('Data Summary'!C144="PASS",IF('Data - Sample Type 1'!CI16=0,40,'Data - Sample Type 1'!CI16),"")</f>
        <v>22.1</v>
      </c>
      <c r="S17" s="232">
        <f>IF('Data Summary'!C144="PASS",'Data - Sample Type 1'!DK16,"")</f>
        <v>69.3</v>
      </c>
      <c r="T17" s="377"/>
      <c r="U17" s="78">
        <f>IF('Data Summary'!C144="PASS",'Data - Sample Type 1'!EY16,"")</f>
        <v>70</v>
      </c>
      <c r="V17" s="377"/>
      <c r="W17" s="78">
        <f>IF('Data Summary'!C144="PASS",'Data - Sample Type 1'!FO16,"")</f>
        <v>73.5</v>
      </c>
      <c r="X17" s="374"/>
      <c r="AA17" s="385"/>
      <c r="AB17" s="219">
        <f>IF('Data Summary'!C229="PASS",IF('Data - Sample Type 2'!AE16=0,40,'Data - Sample Type 2'!AE16),"")</f>
        <v>23.7</v>
      </c>
      <c r="AC17" s="78">
        <f>IF('Data Summary'!C229="PASS",IF('Data - Sample Type 2'!AS16=0,40,'Data - Sample Type 2'!AS16),"")</f>
        <v>26.8</v>
      </c>
      <c r="AD17" s="78">
        <f>IF('Data Summary'!C229="PASS",IF('Data - Sample Type 2'!BG16=0,40,'Data - Sample Type 2'!BG16),"")</f>
        <v>26.9</v>
      </c>
      <c r="AE17" s="78">
        <f>IF('Data Summary'!C229="PASS",IF('Data - Sample Type 2'!BU16=0,40,'Data - Sample Type 2'!BU16),"")</f>
        <v>28.1</v>
      </c>
      <c r="AF17" s="231">
        <f>IF('Data Summary'!C229="PASS",IF('Data - Sample Type 2'!CI16=0,40,'Data - Sample Type 2'!CI16),"")</f>
        <v>29.3</v>
      </c>
      <c r="AG17" s="240">
        <f>IF('Data Summary'!C229="PASS",'Data - Sample Type 2'!DK16,"")</f>
        <v>69.099999999999994</v>
      </c>
      <c r="AH17" s="377"/>
      <c r="AI17" s="78">
        <f>IF('Data Summary'!C229="PASS",'Data - Sample Type 2'!EY16,"")</f>
        <v>0</v>
      </c>
      <c r="AJ17" s="377"/>
      <c r="AK17" s="78">
        <f>IF('Data Summary'!C229="PASS",'Data - Sample Type 2'!EA16,"")</f>
        <v>75.599999999999994</v>
      </c>
      <c r="AL17" s="377"/>
      <c r="AM17" s="78">
        <f>IF('Data Summary'!C229="PASS",'Data - Sample Type 2'!EI16,"")</f>
        <v>66.900000000000006</v>
      </c>
      <c r="AN17" s="374"/>
    </row>
    <row r="18" spans="7:40" x14ac:dyDescent="0.15">
      <c r="G18" s="391"/>
      <c r="H18" s="163">
        <f>IF('Data Summary'!C40="PASS",IF('Data - Sample Type 0'!AE17=0,40,'Data - Sample Type 0'!AE17),"")</f>
        <v>40</v>
      </c>
      <c r="I18" s="387" t="str">
        <f>IF(I13&gt;=Specifications!$D$26,"PASS","FAIL")</f>
        <v>PASS</v>
      </c>
      <c r="J18" s="163">
        <f>IF('Data Summary'!C40="PASS",IF('Data Summary'!A40="","",'Data - Sample Type 0'!Q17),"")</f>
        <v>28.3</v>
      </c>
      <c r="K18" s="394" t="str">
        <f>IF(K13&lt;=Specifications!$B$26,"PASS","FAIL")</f>
        <v>PASS</v>
      </c>
      <c r="N18" s="386"/>
      <c r="O18" s="220">
        <f>IF('Data Summary'!C145="PASS",IF('Data - Sample Type 1'!AE17=0,40,'Data - Sample Type 1'!AE17),"")</f>
        <v>26.4</v>
      </c>
      <c r="P18" s="228">
        <f>IF('Data Summary'!C145="PASS",IF('Data - Sample Type 1'!AS17=0,40,'Data - Sample Type 1'!AS17),"")</f>
        <v>24.3</v>
      </c>
      <c r="Q18" s="228">
        <f>IF('Data Summary'!C145="PASS",IF('Data - Sample Type 1'!BG17=0,40,'Data - Sample Type 1'!BG17),"")</f>
        <v>24.9</v>
      </c>
      <c r="R18" s="235">
        <f>IF('Data Summary'!C145="PASS",IF('Data - Sample Type 1'!CI17=0,40,'Data - Sample Type 1'!CI17),"")</f>
        <v>22.7</v>
      </c>
      <c r="S18" s="236">
        <f>IF('Data Summary'!C145="PASS",'Data - Sample Type 1'!DK17,"")</f>
        <v>69.2</v>
      </c>
      <c r="T18" s="378"/>
      <c r="U18" s="228">
        <f>IF('Data Summary'!C145="PASS",'Data - Sample Type 1'!EY17,"")</f>
        <v>69.8</v>
      </c>
      <c r="V18" s="378"/>
      <c r="W18" s="228">
        <f>IF('Data Summary'!C145="PASS",'Data - Sample Type 1'!FO17,"")</f>
        <v>73.3</v>
      </c>
      <c r="X18" s="376"/>
      <c r="AA18" s="385"/>
      <c r="AB18" s="219">
        <f>IF('Data Summary'!C230="PASS",IF('Data - Sample Type 2'!AE17=0,40,'Data - Sample Type 2'!AE17),"")</f>
        <v>22.6</v>
      </c>
      <c r="AC18" s="78">
        <f>IF('Data Summary'!C230="PASS",IF('Data - Sample Type 2'!AS17=0,40,'Data - Sample Type 2'!AS17),"")</f>
        <v>24.6</v>
      </c>
      <c r="AD18" s="78">
        <f>IF('Data Summary'!C230="PASS",IF('Data - Sample Type 2'!BG17=0,40,'Data - Sample Type 2'!BG17),"")</f>
        <v>23.9</v>
      </c>
      <c r="AE18" s="78">
        <f>IF('Data Summary'!C230="PASS",IF('Data - Sample Type 2'!BU17=0,40,'Data - Sample Type 2'!BU17),"")</f>
        <v>25.1</v>
      </c>
      <c r="AF18" s="231">
        <f>IF('Data Summary'!C230="PASS",IF('Data - Sample Type 2'!CI17=0,40,'Data - Sample Type 2'!CI17),"")</f>
        <v>26.7</v>
      </c>
      <c r="AG18" s="240">
        <f>IF('Data Summary'!C230="PASS",'Data - Sample Type 2'!DK17,"")</f>
        <v>69.099999999999994</v>
      </c>
      <c r="AH18" s="382" t="str">
        <f>IF(COUNTIF('Data - Sample Type 2'!$A$12:$A$21,"&lt;&gt;"&amp;"")&gt;=10,IF(COUNTIF(AG13:AG22,"&gt;0")=10-COUNTIF(AG13:AG22,""),"PASS","FAIL"),"Not enough data")</f>
        <v>PASS</v>
      </c>
      <c r="AI18" s="78">
        <f>IF('Data Summary'!C230="PASS",'Data - Sample Type 2'!EY17,"")</f>
        <v>0</v>
      </c>
      <c r="AJ18" s="382" t="str">
        <f>IF(COUNTIF('Data - Sample Type 2'!$A$12:$A$21,"&lt;&gt;"&amp;"")&gt;=10,IF(COUNTIF(AI13:AI22,"=0")=10-COUNTIF(AI13:AI22,""),"PASS","FAIL"),"Not enough data")</f>
        <v>PASS</v>
      </c>
      <c r="AK18" s="78">
        <f>IF('Data Summary'!C230="PASS",'Data - Sample Type 2'!EA17,"")</f>
        <v>75.400000000000006</v>
      </c>
      <c r="AL18" s="382" t="str">
        <f>IF(COUNTIF('Data - Sample Type 2'!$A$12:$A$21,"&lt;&gt;"&amp;"")&gt;=10,IF(COUNTIF(AK13:AK22,"&gt;0")=10-COUNTIF(AK13:AK22,""),"PASS","FAIL"),"Not enough data")</f>
        <v>PASS</v>
      </c>
      <c r="AM18" s="78">
        <f>IF('Data Summary'!C230="PASS",'Data - Sample Type 2'!EI17,"")</f>
        <v>66.7</v>
      </c>
      <c r="AN18" s="380" t="str">
        <f>IF(COUNTIF('Data - Sample Type 2'!$A$12:$A$21,"&lt;&gt;"&amp;"")&gt;=10,IF(COUNTIF(AM13:AM22,"&gt;0")=10-COUNTIF(AM13:AM22,""),"PASS","FAIL"),"Not enough data")</f>
        <v>PASS</v>
      </c>
    </row>
    <row r="19" spans="7:40" x14ac:dyDescent="0.15">
      <c r="G19" s="391"/>
      <c r="H19" s="163">
        <f>IF('Data Summary'!C41="PASS",IF('Data - Sample Type 0'!AE18=0,40,'Data - Sample Type 0'!AE18),"")</f>
        <v>40</v>
      </c>
      <c r="I19" s="387"/>
      <c r="J19" s="163">
        <f>IF('Data Summary'!C41="PASS",IF('Data Summary'!A41="","",'Data - Sample Type 0'!Q18),"")</f>
        <v>25.3</v>
      </c>
      <c r="K19" s="394"/>
      <c r="N19" s="384">
        <v>3</v>
      </c>
      <c r="O19" s="218">
        <f>IF('Data Summary'!C146="PASS",IF('Data - Sample Type 1'!AE18=0,40,'Data - Sample Type 1'!AE18),"")</f>
        <v>26</v>
      </c>
      <c r="P19" s="225">
        <f>IF('Data Summary'!C146="PASS",IF('Data - Sample Type 1'!AS18=0,40,'Data - Sample Type 1'!AS18),"")</f>
        <v>23.5</v>
      </c>
      <c r="Q19" s="225">
        <f>IF('Data Summary'!C146="PASS",IF('Data - Sample Type 1'!BG18=0,40,'Data - Sample Type 1'!BG18),"")</f>
        <v>24.4</v>
      </c>
      <c r="R19" s="229">
        <f>IF('Data Summary'!C146="PASS",IF('Data - Sample Type 1'!CI18=0,40,'Data - Sample Type 1'!CI18),"")</f>
        <v>21.8</v>
      </c>
      <c r="S19" s="230">
        <f>IF('Data Summary'!C146="PASS",'Data - Sample Type 1'!DK18,"")</f>
        <v>69.400000000000006</v>
      </c>
      <c r="T19" s="379">
        <f>ROUND(AVERAGE(S19:S26),1)</f>
        <v>69.400000000000006</v>
      </c>
      <c r="U19" s="225">
        <f>IF('Data Summary'!C146="PASS",'Data - Sample Type 1'!EY18,"")</f>
        <v>70.099999999999994</v>
      </c>
      <c r="V19" s="379">
        <f>ROUND(AVERAGE(U19:U26),1)</f>
        <v>70.099999999999994</v>
      </c>
      <c r="W19" s="225">
        <f>IF('Data Summary'!C146="PASS",'Data - Sample Type 1'!FO18,"")</f>
        <v>73.599999999999994</v>
      </c>
      <c r="X19" s="373">
        <f>ROUND(AVERAGE(W19:W26),1)</f>
        <v>73.599999999999994</v>
      </c>
      <c r="AA19" s="385"/>
      <c r="AB19" s="219">
        <f>IF('Data Summary'!C231="PASS",IF('Data - Sample Type 2'!AE18=0,40,'Data - Sample Type 2'!AE18),"")</f>
        <v>21.9</v>
      </c>
      <c r="AC19" s="78">
        <f>IF('Data Summary'!C231="PASS",IF('Data - Sample Type 2'!AS18=0,40,'Data - Sample Type 2'!AS18),"")</f>
        <v>24.1</v>
      </c>
      <c r="AD19" s="78">
        <f>IF('Data Summary'!C231="PASS",IF('Data - Sample Type 2'!BG18=0,40,'Data - Sample Type 2'!BG18),"")</f>
        <v>23.9</v>
      </c>
      <c r="AE19" s="78">
        <f>IF('Data Summary'!C231="PASS",IF('Data - Sample Type 2'!BU18=0,40,'Data - Sample Type 2'!BU18),"")</f>
        <v>25.1</v>
      </c>
      <c r="AF19" s="231">
        <f>IF('Data Summary'!C231="PASS",IF('Data - Sample Type 2'!CI18=0,40,'Data - Sample Type 2'!CI18),"")</f>
        <v>25.8</v>
      </c>
      <c r="AG19" s="240">
        <f>IF('Data Summary'!C231="PASS",'Data - Sample Type 2'!DK18,"")</f>
        <v>69.099999999999994</v>
      </c>
      <c r="AH19" s="382"/>
      <c r="AI19" s="78">
        <f>IF('Data Summary'!C231="PASS",'Data - Sample Type 2'!EY18,"")</f>
        <v>0</v>
      </c>
      <c r="AJ19" s="382"/>
      <c r="AK19" s="78">
        <f>IF('Data Summary'!C231="PASS",'Data - Sample Type 2'!EA18,"")</f>
        <v>75.5</v>
      </c>
      <c r="AL19" s="382"/>
      <c r="AM19" s="78">
        <f>IF('Data Summary'!C231="PASS",'Data - Sample Type 2'!EI18,"")</f>
        <v>66.900000000000006</v>
      </c>
      <c r="AN19" s="380"/>
    </row>
    <row r="20" spans="7:40" x14ac:dyDescent="0.15">
      <c r="G20" s="391"/>
      <c r="H20" s="163">
        <f>IF('Data Summary'!C42="PASS",IF('Data - Sample Type 0'!AE19=0,40,'Data - Sample Type 0'!AE19),"")</f>
        <v>40</v>
      </c>
      <c r="I20" s="387"/>
      <c r="J20" s="163">
        <f>IF('Data Summary'!C42="PASS",IF('Data Summary'!A42="","",'Data - Sample Type 0'!Q19),"")</f>
        <v>24.5</v>
      </c>
      <c r="K20" s="394"/>
      <c r="N20" s="385"/>
      <c r="O20" s="219">
        <f>IF('Data Summary'!C147="PASS",IF('Data - Sample Type 1'!AE19=0,40,'Data - Sample Type 1'!AE19),"")</f>
        <v>26.8</v>
      </c>
      <c r="P20" s="78">
        <f>IF('Data Summary'!C147="PASS",IF('Data - Sample Type 1'!AS19=0,40,'Data - Sample Type 1'!AS19),"")</f>
        <v>24.6</v>
      </c>
      <c r="Q20" s="78">
        <f>IF('Data Summary'!C147="PASS",IF('Data - Sample Type 1'!BG19=0,40,'Data - Sample Type 1'!BG19),"")</f>
        <v>25.6</v>
      </c>
      <c r="R20" s="231">
        <f>IF('Data Summary'!C147="PASS",IF('Data - Sample Type 1'!CI19=0,40,'Data - Sample Type 1'!CI19),"")</f>
        <v>23.5</v>
      </c>
      <c r="S20" s="232">
        <f>IF('Data Summary'!C147="PASS",'Data - Sample Type 1'!DK19,"")</f>
        <v>69.400000000000006</v>
      </c>
      <c r="T20" s="377"/>
      <c r="U20" s="78">
        <f>IF('Data Summary'!C147="PASS",'Data - Sample Type 1'!EY19,"")</f>
        <v>70.2</v>
      </c>
      <c r="V20" s="377"/>
      <c r="W20" s="78">
        <f>IF('Data Summary'!C147="PASS",'Data - Sample Type 1'!FO19,"")</f>
        <v>73.7</v>
      </c>
      <c r="X20" s="374"/>
      <c r="AA20" s="385"/>
      <c r="AB20" s="219">
        <f>IF('Data Summary'!C232="PASS",IF('Data - Sample Type 2'!AE19=0,40,'Data - Sample Type 2'!AE19),"")</f>
        <v>21.5</v>
      </c>
      <c r="AC20" s="78">
        <f>IF('Data Summary'!C232="PASS",IF('Data - Sample Type 2'!AS19=0,40,'Data - Sample Type 2'!AS19),"")</f>
        <v>24.2</v>
      </c>
      <c r="AD20" s="78">
        <f>IF('Data Summary'!C232="PASS",IF('Data - Sample Type 2'!BG19=0,40,'Data - Sample Type 2'!BG19),"")</f>
        <v>23.7</v>
      </c>
      <c r="AE20" s="78">
        <f>IF('Data Summary'!C232="PASS",IF('Data - Sample Type 2'!BU19=0,40,'Data - Sample Type 2'!BU19),"")</f>
        <v>25.1</v>
      </c>
      <c r="AF20" s="231">
        <f>IF('Data Summary'!C232="PASS",IF('Data - Sample Type 2'!CI19=0,40,'Data - Sample Type 2'!CI19),"")</f>
        <v>26.5</v>
      </c>
      <c r="AG20" s="240">
        <f>IF('Data Summary'!C232="PASS",'Data - Sample Type 2'!DK19,"")</f>
        <v>69.2</v>
      </c>
      <c r="AH20" s="382"/>
      <c r="AI20" s="78">
        <f>IF('Data Summary'!C232="PASS",'Data - Sample Type 2'!EY19,"")</f>
        <v>0</v>
      </c>
      <c r="AJ20" s="382"/>
      <c r="AK20" s="78">
        <f>IF('Data Summary'!C232="PASS",'Data - Sample Type 2'!EA19,"")</f>
        <v>75.7</v>
      </c>
      <c r="AL20" s="382"/>
      <c r="AM20" s="78">
        <f>IF('Data Summary'!C232="PASS",'Data - Sample Type 2'!EI19,"")</f>
        <v>67</v>
      </c>
      <c r="AN20" s="380"/>
    </row>
    <row r="21" spans="7:40" x14ac:dyDescent="0.15">
      <c r="G21" s="391"/>
      <c r="H21" s="163">
        <f>IF('Data Summary'!C43="PASS",IF('Data - Sample Type 0'!AE20=0,40,'Data - Sample Type 0'!AE20),"")</f>
        <v>40</v>
      </c>
      <c r="I21" s="387"/>
      <c r="J21" s="163">
        <f>IF('Data Summary'!C43="PASS",IF('Data Summary'!A43="","",'Data - Sample Type 0'!Q20),"")</f>
        <v>23.6</v>
      </c>
      <c r="K21" s="394"/>
      <c r="N21" s="385"/>
      <c r="O21" s="219">
        <f>IF('Data Summary'!C148="PASS",IF('Data - Sample Type 1'!AE20=0,40,'Data - Sample Type 1'!AE20),"")</f>
        <v>26.2</v>
      </c>
      <c r="P21" s="78">
        <f>IF('Data Summary'!C148="PASS",IF('Data - Sample Type 1'!AS20=0,40,'Data - Sample Type 1'!AS20),"")</f>
        <v>24</v>
      </c>
      <c r="Q21" s="78">
        <f>IF('Data Summary'!C148="PASS",IF('Data - Sample Type 1'!BG20=0,40,'Data - Sample Type 1'!BG20),"")</f>
        <v>25.2</v>
      </c>
      <c r="R21" s="231">
        <f>IF('Data Summary'!C148="PASS",IF('Data - Sample Type 1'!CI20=0,40,'Data - Sample Type 1'!CI20),"")</f>
        <v>22.8</v>
      </c>
      <c r="S21" s="232">
        <f>IF('Data Summary'!C148="PASS",'Data - Sample Type 1'!DK20,"")</f>
        <v>69.5</v>
      </c>
      <c r="T21" s="377"/>
      <c r="U21" s="78">
        <f>IF('Data Summary'!C148="PASS",'Data - Sample Type 1'!EY20,"")</f>
        <v>70</v>
      </c>
      <c r="V21" s="377"/>
      <c r="W21" s="78">
        <f>IF('Data Summary'!C148="PASS",'Data - Sample Type 1'!FO20,"")</f>
        <v>73.5</v>
      </c>
      <c r="X21" s="374"/>
      <c r="AA21" s="385"/>
      <c r="AB21" s="219">
        <f>IF('Data Summary'!C233="PASS",IF('Data - Sample Type 2'!AE20=0,40,'Data - Sample Type 2'!AE20),"")</f>
        <v>21.8</v>
      </c>
      <c r="AC21" s="78">
        <f>IF('Data Summary'!C233="PASS",IF('Data - Sample Type 2'!AS20=0,40,'Data - Sample Type 2'!AS20),"")</f>
        <v>24.8</v>
      </c>
      <c r="AD21" s="78">
        <f>IF('Data Summary'!C233="PASS",IF('Data - Sample Type 2'!BG20=0,40,'Data - Sample Type 2'!BG20),"")</f>
        <v>23.2</v>
      </c>
      <c r="AE21" s="78">
        <f>IF('Data Summary'!C233="PASS",IF('Data - Sample Type 2'!BU20=0,40,'Data - Sample Type 2'!BU20),"")</f>
        <v>25.3</v>
      </c>
      <c r="AF21" s="231">
        <f>IF('Data Summary'!C233="PASS",IF('Data - Sample Type 2'!CI20=0,40,'Data - Sample Type 2'!CI20),"")</f>
        <v>26.5</v>
      </c>
      <c r="AG21" s="240">
        <f>IF('Data Summary'!C233="PASS",'Data - Sample Type 2'!DK20,"")</f>
        <v>69.099999999999994</v>
      </c>
      <c r="AH21" s="382"/>
      <c r="AI21" s="78">
        <f>IF('Data Summary'!C233="PASS",'Data - Sample Type 2'!EY20,"")</f>
        <v>0</v>
      </c>
      <c r="AJ21" s="382"/>
      <c r="AK21" s="78">
        <f>IF('Data Summary'!C233="PASS",'Data - Sample Type 2'!EA20,"")</f>
        <v>75.599999999999994</v>
      </c>
      <c r="AL21" s="382"/>
      <c r="AM21" s="78">
        <f>IF('Data Summary'!C233="PASS",'Data - Sample Type 2'!EI20,"")</f>
        <v>67</v>
      </c>
      <c r="AN21" s="380"/>
    </row>
    <row r="22" spans="7:40" ht="14" customHeight="1" x14ac:dyDescent="0.15">
      <c r="G22" s="392"/>
      <c r="H22" s="168">
        <f>IF('Data Summary'!C44="PASS",IF('Data - Sample Type 0'!AE21=0,40,'Data - Sample Type 0'!AE21),"")</f>
        <v>40</v>
      </c>
      <c r="I22" s="388"/>
      <c r="J22" s="168">
        <f>IF('Data Summary'!C44="PASS",IF('Data Summary'!A44="","",'Data - Sample Type 0'!Q21),"")</f>
        <v>24</v>
      </c>
      <c r="K22" s="395"/>
      <c r="N22" s="385"/>
      <c r="O22" s="219">
        <f>IF('Data Summary'!C149="PASS",IF('Data - Sample Type 1'!AE21=0,40,'Data - Sample Type 1'!AE21),"")</f>
        <v>25.9</v>
      </c>
      <c r="P22" s="78">
        <f>IF('Data Summary'!C149="PASS",IF('Data - Sample Type 1'!AS21=0,40,'Data - Sample Type 1'!AS21),"")</f>
        <v>23.7</v>
      </c>
      <c r="Q22" s="78">
        <f>IF('Data Summary'!C149="PASS",IF('Data - Sample Type 1'!BG21=0,40,'Data - Sample Type 1'!BG21),"")</f>
        <v>24.8</v>
      </c>
      <c r="R22" s="231">
        <f>IF('Data Summary'!C149="PASS",IF('Data - Sample Type 1'!CI21=0,40,'Data - Sample Type 1'!CI21),"")</f>
        <v>22.4</v>
      </c>
      <c r="S22" s="232">
        <f>IF('Data Summary'!C149="PASS",'Data - Sample Type 1'!DK21,"")</f>
        <v>69.400000000000006</v>
      </c>
      <c r="T22" s="377"/>
      <c r="U22" s="78">
        <f>IF('Data Summary'!C149="PASS",'Data - Sample Type 1'!EY21,"")</f>
        <v>70</v>
      </c>
      <c r="V22" s="377"/>
      <c r="W22" s="78">
        <f>IF('Data Summary'!C149="PASS",'Data - Sample Type 1'!FO21,"")</f>
        <v>73.5</v>
      </c>
      <c r="X22" s="374"/>
      <c r="AA22" s="386"/>
      <c r="AB22" s="220">
        <f>IF('Data Summary'!C234="PASS",IF('Data - Sample Type 2'!AE21=0,40,'Data - Sample Type 2'!AE21),"")</f>
        <v>21.9</v>
      </c>
      <c r="AC22" s="228">
        <f>IF('Data Summary'!C234="PASS",IF('Data - Sample Type 2'!AS21=0,40,'Data - Sample Type 2'!AS21),"")</f>
        <v>23.1</v>
      </c>
      <c r="AD22" s="228">
        <f>IF('Data Summary'!C234="PASS",IF('Data - Sample Type 2'!BG21=0,40,'Data - Sample Type 2'!BG21),"")</f>
        <v>23.3</v>
      </c>
      <c r="AE22" s="228">
        <f>IF('Data Summary'!C234="PASS",IF('Data - Sample Type 2'!BU21=0,40,'Data - Sample Type 2'!BU21),"")</f>
        <v>24.2</v>
      </c>
      <c r="AF22" s="235">
        <f>IF('Data Summary'!C234="PASS",IF('Data - Sample Type 2'!CI21=0,40,'Data - Sample Type 2'!CI21),"")</f>
        <v>25.4</v>
      </c>
      <c r="AG22" s="241">
        <f>IF('Data Summary'!C234="PASS",'Data - Sample Type 2'!DK21,"")</f>
        <v>69.2</v>
      </c>
      <c r="AH22" s="383"/>
      <c r="AI22" s="228">
        <f>IF('Data Summary'!C234="PASS",'Data - Sample Type 2'!EY21,"")</f>
        <v>0</v>
      </c>
      <c r="AJ22" s="383"/>
      <c r="AK22" s="228">
        <f>IF('Data Summary'!C234="PASS",'Data - Sample Type 2'!EA21,"")</f>
        <v>75.8</v>
      </c>
      <c r="AL22" s="383"/>
      <c r="AM22" s="228">
        <f>IF('Data Summary'!C234="PASS",'Data - Sample Type 2'!EI21,"")</f>
        <v>67.099999999999994</v>
      </c>
      <c r="AN22" s="381"/>
    </row>
    <row r="23" spans="7:40" ht="56" x14ac:dyDescent="0.15">
      <c r="G23" s="390">
        <v>3</v>
      </c>
      <c r="H23" s="167">
        <f>IF('Data Summary'!C45="PASS",IF('Data - Sample Type 0'!AE22=0,40,'Data - Sample Type 0'!AE22),"")</f>
        <v>40</v>
      </c>
      <c r="I23" s="389">
        <f>ROUND(AVERAGE(H23:H32),1)</f>
        <v>40</v>
      </c>
      <c r="J23" s="167">
        <f>IF('Data Summary'!C45="PASS",IF('Data Summary'!A45="","",'Data - Sample Type 0'!Q22),"")</f>
        <v>24.9</v>
      </c>
      <c r="K23" s="396">
        <f>ROUND(AVERAGE(J23:J32),1)</f>
        <v>24.7</v>
      </c>
      <c r="N23" s="385"/>
      <c r="O23" s="219">
        <f>IF('Data Summary'!C150="PASS",IF('Data - Sample Type 1'!AE22=0,40,'Data - Sample Type 1'!AE22),"")</f>
        <v>27.5</v>
      </c>
      <c r="P23" s="78">
        <f>IF('Data Summary'!C150="PASS",IF('Data - Sample Type 1'!AS22=0,40,'Data - Sample Type 1'!AS22),"")</f>
        <v>25.4</v>
      </c>
      <c r="Q23" s="78">
        <f>IF('Data Summary'!C150="PASS",IF('Data - Sample Type 1'!BG22=0,40,'Data - Sample Type 1'!BG22),"")</f>
        <v>26</v>
      </c>
      <c r="R23" s="231">
        <f>IF('Data Summary'!C150="PASS",IF('Data - Sample Type 1'!CI22=0,40,'Data - Sample Type 1'!CI22),"")</f>
        <v>24.1</v>
      </c>
      <c r="S23" s="232">
        <f>IF('Data Summary'!C150="PASS",'Data - Sample Type 1'!DK22,"")</f>
        <v>69.400000000000006</v>
      </c>
      <c r="T23" s="377" t="str">
        <f>IF(COUNTIF(S19:S26,"&gt;0")=8-COUNTIF(S19:S26,""),"PASS","FAIL")</f>
        <v>PASS</v>
      </c>
      <c r="U23" s="78">
        <f>IF('Data Summary'!C150="PASS",'Data - Sample Type 1'!EY22,"")</f>
        <v>70.099999999999994</v>
      </c>
      <c r="V23" s="377" t="str">
        <f>IF(COUNTIF(U19:U26,"&gt;0")=8-COUNTIF(U19:U26,""),"PASS","FAIL")</f>
        <v>PASS</v>
      </c>
      <c r="W23" s="78">
        <f>IF('Data Summary'!C150="PASS",'Data - Sample Type 1'!FO22,"")</f>
        <v>73.599999999999994</v>
      </c>
      <c r="X23" s="374" t="str">
        <f>IF(COUNTIF(W19:W26,"&gt;0")=8-COUNTIF(W19:W26,""),"PASS","FAIL")</f>
        <v>PASS</v>
      </c>
      <c r="AA23" s="67"/>
      <c r="AB23" s="224" t="s">
        <v>547</v>
      </c>
      <c r="AC23" s="172" t="s">
        <v>564</v>
      </c>
      <c r="AD23" s="172" t="s">
        <v>565</v>
      </c>
      <c r="AE23" s="172" t="s">
        <v>566</v>
      </c>
      <c r="AF23" s="169" t="s">
        <v>567</v>
      </c>
    </row>
    <row r="24" spans="7:40" ht="40" customHeight="1" x14ac:dyDescent="0.15">
      <c r="G24" s="391"/>
      <c r="H24" s="163">
        <f>IF('Data Summary'!C46="PASS",IF('Data - Sample Type 0'!AE23=0,40,'Data - Sample Type 0'!AE23),"")</f>
        <v>40</v>
      </c>
      <c r="I24" s="387"/>
      <c r="J24" s="163">
        <f>IF('Data Summary'!C46="PASS",IF('Data Summary'!A46="","",'Data - Sample Type 0'!Q23),"")</f>
        <v>24.8</v>
      </c>
      <c r="K24" s="394"/>
      <c r="N24" s="385"/>
      <c r="O24" s="219">
        <f>IF('Data Summary'!C151="PASS",IF('Data - Sample Type 1'!AE23=0,40,'Data - Sample Type 1'!AE23),"")</f>
        <v>26</v>
      </c>
      <c r="P24" s="78">
        <f>IF('Data Summary'!C151="PASS",IF('Data - Sample Type 1'!AS23=0,40,'Data - Sample Type 1'!AS23),"")</f>
        <v>23.4</v>
      </c>
      <c r="Q24" s="78">
        <f>IF('Data Summary'!C151="PASS",IF('Data - Sample Type 1'!BG23=0,40,'Data - Sample Type 1'!BG23),"")</f>
        <v>24.4</v>
      </c>
      <c r="R24" s="231">
        <f>IF('Data Summary'!C151="PASS",IF('Data - Sample Type 1'!CI23=0,40,'Data - Sample Type 1'!CI23),"")</f>
        <v>22.2</v>
      </c>
      <c r="S24" s="232">
        <f>IF('Data Summary'!C151="PASS",'Data - Sample Type 1'!DK23,"")</f>
        <v>69.400000000000006</v>
      </c>
      <c r="T24" s="377"/>
      <c r="U24" s="78">
        <f>IF('Data Summary'!C151="PASS",'Data - Sample Type 1'!EY23,"")</f>
        <v>70.099999999999994</v>
      </c>
      <c r="V24" s="377"/>
      <c r="W24" s="78">
        <f>IF('Data Summary'!C151="PASS",'Data - Sample Type 1'!FO23,"")</f>
        <v>73.599999999999994</v>
      </c>
      <c r="X24" s="374"/>
      <c r="AA24" s="67"/>
      <c r="AB24" s="219">
        <f>ROUND(AVERAGE(AB3:AB22),1)</f>
        <v>22.8</v>
      </c>
      <c r="AC24" s="78">
        <f>ROUND(AVERAGE(AC3:AC22),1)</f>
        <v>24.8</v>
      </c>
      <c r="AD24" s="78">
        <f>ROUND(AVERAGE(AD3:AD22),1)</f>
        <v>24.7</v>
      </c>
      <c r="AE24" s="78">
        <f>ROUND(AVERAGE(AE3:AE22),1)</f>
        <v>25.9</v>
      </c>
      <c r="AF24" s="231">
        <f>ROUND(AVERAGE(AF3:AF22),1)</f>
        <v>27</v>
      </c>
      <c r="AH24" s="329"/>
      <c r="AJ24" s="329"/>
      <c r="AL24" s="329"/>
      <c r="AN24" s="329"/>
    </row>
    <row r="25" spans="7:40" ht="40" customHeight="1" x14ac:dyDescent="0.15">
      <c r="G25" s="391">
        <v>3</v>
      </c>
      <c r="H25" s="163">
        <f>IF('Data Summary'!C47="PASS",IF('Data - Sample Type 0'!AE24=0,40,'Data - Sample Type 0'!AE24),"")</f>
        <v>40</v>
      </c>
      <c r="I25" s="387"/>
      <c r="J25" s="163">
        <f>IF('Data Summary'!C47="PASS",IF('Data Summary'!A47="","",'Data - Sample Type 0'!Q24),"")</f>
        <v>25.5</v>
      </c>
      <c r="K25" s="394"/>
      <c r="N25" s="385"/>
      <c r="O25" s="219">
        <f>IF('Data Summary'!C152="PASS",IF('Data - Sample Type 1'!AE24=0,40,'Data - Sample Type 1'!AE24),"")</f>
        <v>24.7</v>
      </c>
      <c r="P25" s="78">
        <f>IF('Data Summary'!C152="PASS",IF('Data - Sample Type 1'!AS24=0,40,'Data - Sample Type 1'!AS24),"")</f>
        <v>22.5</v>
      </c>
      <c r="Q25" s="78">
        <f>IF('Data Summary'!C152="PASS",IF('Data - Sample Type 1'!BG24=0,40,'Data - Sample Type 1'!BG24),"")</f>
        <v>23.2</v>
      </c>
      <c r="R25" s="231">
        <f>IF('Data Summary'!C152="PASS",IF('Data - Sample Type 1'!CI24=0,40,'Data - Sample Type 1'!CI24),"")</f>
        <v>20.7</v>
      </c>
      <c r="S25" s="232">
        <f>IF('Data Summary'!C152="PASS",'Data - Sample Type 1'!DK24,"")</f>
        <v>69.2</v>
      </c>
      <c r="T25" s="377"/>
      <c r="U25" s="78">
        <f>IF('Data Summary'!C152="PASS",'Data - Sample Type 1'!EY24,"")</f>
        <v>69.900000000000006</v>
      </c>
      <c r="V25" s="377"/>
      <c r="W25" s="78">
        <f>IF('Data Summary'!C152="PASS",'Data - Sample Type 1'!FO24,"")</f>
        <v>73.400000000000006</v>
      </c>
      <c r="X25" s="374"/>
      <c r="AA25" s="67"/>
      <c r="AB25" s="249" t="str">
        <f>IF(COUNTBLANK(AB13:AB22)&lt;=8,IF(AB24&lt;=Specifications!$D$28,"PASS","FAIL"),"Not enough data")</f>
        <v>PASS</v>
      </c>
      <c r="AC25" s="250" t="str">
        <f>IF(COUNTBLANK(AC13:AC22)&lt;=8,IF(AC24&lt;=Specifications!$E$28,"PASS","FAIL"),"Not enough data")</f>
        <v>PASS</v>
      </c>
      <c r="AD25" s="250" t="str">
        <f>IF(COUNTBLANK(AD13:AD22)&lt;=8,IF(AD24&lt;=Specifications!$G$28,"PASS","FAIL"),"Not enough data")</f>
        <v>PASS</v>
      </c>
      <c r="AE25" s="250" t="str">
        <f>IF(COUNTBLANK(AE13:AE22)&lt;=8,IF(AE24&lt;=Specifications!$I$28,"PASS","FAIL"),"Not enough data")</f>
        <v>PASS</v>
      </c>
      <c r="AF25" s="251" t="str">
        <f>IF(COUNTBLANK(AF13:AF22)&lt;=8,IF(AF24&lt;=Specifications!$K$28,"PASS","FAIL"),"Not enough data")</f>
        <v>PASS</v>
      </c>
      <c r="AH25" s="329"/>
      <c r="AJ25" s="329"/>
      <c r="AL25" s="329"/>
      <c r="AN25" s="329"/>
    </row>
    <row r="26" spans="7:40" x14ac:dyDescent="0.15">
      <c r="G26" s="391"/>
      <c r="H26" s="163">
        <f>IF('Data Summary'!C48="PASS",IF('Data - Sample Type 0'!AE25=0,40,'Data - Sample Type 0'!AE25),"")</f>
        <v>40</v>
      </c>
      <c r="I26" s="387"/>
      <c r="J26" s="163">
        <f>IF('Data Summary'!C48="PASS",IF('Data Summary'!A48="","",'Data - Sample Type 0'!Q25),"")</f>
        <v>25.3</v>
      </c>
      <c r="K26" s="394"/>
      <c r="N26" s="386"/>
      <c r="O26" s="220">
        <f>IF('Data Summary'!C153="PASS",IF('Data - Sample Type 1'!AE25=0,40,'Data - Sample Type 1'!AE25),"")</f>
        <v>26.6</v>
      </c>
      <c r="P26" s="228">
        <f>IF('Data Summary'!C153="PASS",IF('Data - Sample Type 1'!AS25=0,40,'Data - Sample Type 1'!AS25),"")</f>
        <v>24.1</v>
      </c>
      <c r="Q26" s="228">
        <f>IF('Data Summary'!C153="PASS",IF('Data - Sample Type 1'!BG25=0,40,'Data - Sample Type 1'!BG25),"")</f>
        <v>24.8</v>
      </c>
      <c r="R26" s="235">
        <f>IF('Data Summary'!C153="PASS",IF('Data - Sample Type 1'!CI25=0,40,'Data - Sample Type 1'!CI25),"")</f>
        <v>22.5</v>
      </c>
      <c r="S26" s="236">
        <f>IF('Data Summary'!C153="PASS",'Data - Sample Type 1'!DK25,"")</f>
        <v>69.3</v>
      </c>
      <c r="T26" s="378"/>
      <c r="U26" s="228">
        <f>IF('Data Summary'!C153="PASS",'Data - Sample Type 1'!EY25,"")</f>
        <v>70</v>
      </c>
      <c r="V26" s="378"/>
      <c r="W26" s="228">
        <f>IF('Data Summary'!C153="PASS",'Data - Sample Type 1'!FO25,"")</f>
        <v>73.5</v>
      </c>
      <c r="X26" s="376"/>
      <c r="AA26" s="67"/>
      <c r="AH26" s="329"/>
      <c r="AJ26" s="329"/>
      <c r="AL26" s="329"/>
      <c r="AN26" s="329"/>
    </row>
    <row r="27" spans="7:40" x14ac:dyDescent="0.15">
      <c r="G27" s="391"/>
      <c r="H27" s="163">
        <f>IF('Data Summary'!C49="PASS",IF('Data - Sample Type 0'!AE26=0,40,'Data - Sample Type 0'!AE26),"")</f>
        <v>40</v>
      </c>
      <c r="I27" s="387"/>
      <c r="J27" s="163">
        <f>IF('Data Summary'!C49="PASS",IF('Data Summary'!A49="","",'Data - Sample Type 0'!Q26),"")</f>
        <v>24.5</v>
      </c>
      <c r="K27" s="394"/>
      <c r="N27" s="384">
        <v>4</v>
      </c>
      <c r="O27" s="218">
        <f>IF('Data Summary'!C154="PASS",IF('Data - Sample Type 1'!AE26=0,40,'Data - Sample Type 1'!AE26),"")</f>
        <v>25</v>
      </c>
      <c r="P27" s="225">
        <f>IF('Data Summary'!C154="PASS",IF('Data - Sample Type 1'!AS26=0,40,'Data - Sample Type 1'!AS26),"")</f>
        <v>22.5</v>
      </c>
      <c r="Q27" s="225">
        <f>IF('Data Summary'!C154="PASS",IF('Data - Sample Type 1'!BG26=0,40,'Data - Sample Type 1'!BG26),"")</f>
        <v>23.4</v>
      </c>
      <c r="R27" s="229">
        <f>IF('Data Summary'!C154="PASS",IF('Data - Sample Type 1'!CI26=0,40,'Data - Sample Type 1'!CI26),"")</f>
        <v>21</v>
      </c>
      <c r="S27" s="230">
        <f>IF('Data Summary'!C154="PASS",'Data - Sample Type 1'!DK26,"")</f>
        <v>69.400000000000006</v>
      </c>
      <c r="T27" s="379">
        <f>ROUND(AVERAGE(S27:S34),1)</f>
        <v>69.400000000000006</v>
      </c>
      <c r="U27" s="225">
        <f>IF('Data Summary'!C154="PASS",'Data - Sample Type 1'!EY26,"")</f>
        <v>70.099999999999994</v>
      </c>
      <c r="V27" s="379">
        <f>ROUND(AVERAGE(U27:U34),1)</f>
        <v>70</v>
      </c>
      <c r="W27" s="225">
        <f>IF('Data Summary'!C154="PASS",'Data - Sample Type 1'!FO26,"")</f>
        <v>73.599999999999994</v>
      </c>
      <c r="X27" s="373">
        <f>ROUND(AVERAGE(W27:W34),1)</f>
        <v>73.5</v>
      </c>
      <c r="AA27" s="67"/>
      <c r="AH27" s="329"/>
      <c r="AJ27" s="329"/>
      <c r="AL27" s="329"/>
      <c r="AN27" s="329"/>
    </row>
    <row r="28" spans="7:40" x14ac:dyDescent="0.15">
      <c r="G28" s="391"/>
      <c r="H28" s="163" t="str">
        <f>IF('Data Summary'!C50="PASS",IF('Data - Sample Type 0'!AE27=0,40,'Data - Sample Type 0'!AE27),"")</f>
        <v/>
      </c>
      <c r="I28" s="387" t="str">
        <f>IF(I23&gt;=Specifications!$D$26,"PASS","FAIL")</f>
        <v>PASS</v>
      </c>
      <c r="J28" s="163" t="str">
        <f>IF('Data Summary'!C50="PASS",IF('Data Summary'!A50="","",'Data - Sample Type 0'!Q27),"")</f>
        <v/>
      </c>
      <c r="K28" s="394" t="str">
        <f>IF(K23&lt;=Specifications!$B$26,"PASS","FAIL")</f>
        <v>PASS</v>
      </c>
      <c r="N28" s="385"/>
      <c r="O28" s="219">
        <f>IF('Data Summary'!C155="PASS",IF('Data - Sample Type 1'!AE27=0,40,'Data - Sample Type 1'!AE27),"")</f>
        <v>25.8</v>
      </c>
      <c r="P28" s="78">
        <f>IF('Data Summary'!C155="PASS",IF('Data - Sample Type 1'!AS27=0,40,'Data - Sample Type 1'!AS27),"")</f>
        <v>23.6</v>
      </c>
      <c r="Q28" s="78">
        <f>IF('Data Summary'!C155="PASS",IF('Data - Sample Type 1'!BG27=0,40,'Data - Sample Type 1'!BG27),"")</f>
        <v>24.3</v>
      </c>
      <c r="R28" s="231">
        <f>IF('Data Summary'!C155="PASS",IF('Data - Sample Type 1'!CI27=0,40,'Data - Sample Type 1'!CI27),"")</f>
        <v>22.1</v>
      </c>
      <c r="S28" s="232">
        <f>IF('Data Summary'!C155="PASS",'Data - Sample Type 1'!DK27,"")</f>
        <v>69.400000000000006</v>
      </c>
      <c r="T28" s="377"/>
      <c r="U28" s="78">
        <f>IF('Data Summary'!C155="PASS",'Data - Sample Type 1'!EY27,"")</f>
        <v>70</v>
      </c>
      <c r="V28" s="377"/>
      <c r="W28" s="78">
        <f>IF('Data Summary'!C155="PASS",'Data - Sample Type 1'!FO27,"")</f>
        <v>73.5</v>
      </c>
      <c r="X28" s="374"/>
      <c r="AA28" s="67"/>
      <c r="AH28" s="329"/>
      <c r="AJ28" s="329"/>
      <c r="AL28" s="329"/>
      <c r="AN28" s="329"/>
    </row>
    <row r="29" spans="7:40" ht="14" customHeight="1" x14ac:dyDescent="0.15">
      <c r="G29" s="391"/>
      <c r="H29" s="163" t="str">
        <f>IF('Data Summary'!C51="PASS",IF('Data - Sample Type 0'!AE28=0,40,'Data - Sample Type 0'!AE28),"")</f>
        <v/>
      </c>
      <c r="I29" s="387"/>
      <c r="J29" s="163" t="str">
        <f>IF('Data Summary'!C51="PASS",IF('Data Summary'!A51="","",'Data - Sample Type 0'!Q28),"")</f>
        <v/>
      </c>
      <c r="K29" s="394"/>
      <c r="N29" s="385"/>
      <c r="O29" s="219">
        <f>IF('Data Summary'!C156="PASS",IF('Data - Sample Type 1'!AE28=0,40,'Data - Sample Type 1'!AE28),"")</f>
        <v>25.5</v>
      </c>
      <c r="P29" s="78">
        <f>IF('Data Summary'!C156="PASS",IF('Data - Sample Type 1'!AS28=0,40,'Data - Sample Type 1'!AS28),"")</f>
        <v>23.2</v>
      </c>
      <c r="Q29" s="78">
        <f>IF('Data Summary'!C156="PASS",IF('Data - Sample Type 1'!BG28=0,40,'Data - Sample Type 1'!BG28),"")</f>
        <v>24.1</v>
      </c>
      <c r="R29" s="231">
        <f>IF('Data Summary'!C156="PASS",IF('Data - Sample Type 1'!CI28=0,40,'Data - Sample Type 1'!CI28),"")</f>
        <v>21.7</v>
      </c>
      <c r="S29" s="232">
        <f>IF('Data Summary'!C156="PASS",'Data - Sample Type 1'!DK28,"")</f>
        <v>69.400000000000006</v>
      </c>
      <c r="T29" s="377"/>
      <c r="U29" s="78">
        <f>IF('Data Summary'!C156="PASS",'Data - Sample Type 1'!EY28,"")</f>
        <v>70</v>
      </c>
      <c r="V29" s="377"/>
      <c r="W29" s="78">
        <f>IF('Data Summary'!C156="PASS",'Data - Sample Type 1'!FO28,"")</f>
        <v>73.5</v>
      </c>
      <c r="X29" s="374"/>
      <c r="AA29" s="67"/>
      <c r="AH29" s="329"/>
      <c r="AJ29" s="329"/>
      <c r="AL29" s="329"/>
      <c r="AN29" s="329"/>
    </row>
    <row r="30" spans="7:40" x14ac:dyDescent="0.15">
      <c r="G30" s="391"/>
      <c r="H30" s="163">
        <f>IF('Data Summary'!C52="PASS",IF('Data - Sample Type 0'!AE29=0,40,'Data - Sample Type 0'!AE29),"")</f>
        <v>40</v>
      </c>
      <c r="I30" s="387"/>
      <c r="J30" s="163">
        <f>IF('Data Summary'!C52="PASS",IF('Data Summary'!A52="","",'Data - Sample Type 0'!Q29),"")</f>
        <v>25.1</v>
      </c>
      <c r="K30" s="394"/>
      <c r="N30" s="385"/>
      <c r="O30" s="219">
        <f>IF('Data Summary'!C157="PASS",IF('Data - Sample Type 1'!AE29=0,40,'Data - Sample Type 1'!AE29),"")</f>
        <v>26.9</v>
      </c>
      <c r="P30" s="78">
        <f>IF('Data Summary'!C157="PASS",IF('Data - Sample Type 1'!AS29=0,40,'Data - Sample Type 1'!AS29),"")</f>
        <v>24.5</v>
      </c>
      <c r="Q30" s="78">
        <f>IF('Data Summary'!C157="PASS",IF('Data - Sample Type 1'!BG29=0,40,'Data - Sample Type 1'!BG29),"")</f>
        <v>25.2</v>
      </c>
      <c r="R30" s="231">
        <f>IF('Data Summary'!C157="PASS",IF('Data - Sample Type 1'!CI29=0,40,'Data - Sample Type 1'!CI29),"")</f>
        <v>22.9</v>
      </c>
      <c r="S30" s="232">
        <f>IF('Data Summary'!C157="PASS",'Data - Sample Type 1'!DK29,"")</f>
        <v>69.400000000000006</v>
      </c>
      <c r="T30" s="377"/>
      <c r="U30" s="78">
        <f>IF('Data Summary'!C157="PASS",'Data - Sample Type 1'!EY29,"")</f>
        <v>70</v>
      </c>
      <c r="V30" s="377"/>
      <c r="W30" s="78">
        <f>IF('Data Summary'!C157="PASS",'Data - Sample Type 1'!FO29,"")</f>
        <v>73.5</v>
      </c>
      <c r="X30" s="374"/>
      <c r="AA30" s="67"/>
      <c r="AH30" s="329"/>
      <c r="AJ30" s="329"/>
      <c r="AL30" s="329"/>
      <c r="AN30" s="329"/>
    </row>
    <row r="31" spans="7:40" ht="13.25" customHeight="1" x14ac:dyDescent="0.15">
      <c r="G31" s="391"/>
      <c r="H31" s="163">
        <f>IF('Data Summary'!C53="PASS",IF('Data - Sample Type 0'!AE30=0,40,'Data - Sample Type 0'!AE30),"")</f>
        <v>40</v>
      </c>
      <c r="I31" s="387"/>
      <c r="J31" s="163">
        <f>IF('Data Summary'!C53="PASS",IF('Data Summary'!A53="","",'Data - Sample Type 0'!Q30),"")</f>
        <v>25.1</v>
      </c>
      <c r="K31" s="394"/>
      <c r="N31" s="385"/>
      <c r="O31" s="219">
        <f>IF('Data Summary'!C158="PASS",IF('Data - Sample Type 1'!AE30=0,40,'Data - Sample Type 1'!AE30),"")</f>
        <v>26.9</v>
      </c>
      <c r="P31" s="78">
        <f>IF('Data Summary'!C158="PASS",IF('Data - Sample Type 1'!AS30=0,40,'Data - Sample Type 1'!AS30),"")</f>
        <v>25.1</v>
      </c>
      <c r="Q31" s="78">
        <f>IF('Data Summary'!C158="PASS",IF('Data - Sample Type 1'!BG30=0,40,'Data - Sample Type 1'!BG30),"")</f>
        <v>25.7</v>
      </c>
      <c r="R31" s="231">
        <f>IF('Data Summary'!C158="PASS",IF('Data - Sample Type 1'!CI30=0,40,'Data - Sample Type 1'!CI30),"")</f>
        <v>23.6</v>
      </c>
      <c r="S31" s="232">
        <f>IF('Data Summary'!C158="PASS",'Data - Sample Type 1'!DK30,"")</f>
        <v>69.400000000000006</v>
      </c>
      <c r="T31" s="377" t="str">
        <f>IF(COUNTIF(S27:S34,"&gt;0")=8-COUNTIF(S27:S34,""),"PASS","FAIL")</f>
        <v>PASS</v>
      </c>
      <c r="U31" s="78">
        <f>IF('Data Summary'!C158="PASS",'Data - Sample Type 1'!EY30,"")</f>
        <v>69.900000000000006</v>
      </c>
      <c r="V31" s="377" t="str">
        <f>IF(COUNTIF(U27:U34,"&gt;0")=8-COUNTIF(U27:U34,""),"PASS","FAIL")</f>
        <v>PASS</v>
      </c>
      <c r="W31" s="78">
        <f>IF('Data Summary'!C158="PASS",'Data - Sample Type 1'!FO30,"")</f>
        <v>73.400000000000006</v>
      </c>
      <c r="X31" s="374" t="str">
        <f>IF(COUNTIF(W27:W34,"&gt;0")=8-COUNTIF(W27:W34,""),"PASS","FAIL")</f>
        <v>PASS</v>
      </c>
      <c r="AA31" s="67"/>
      <c r="AH31" s="329"/>
      <c r="AJ31" s="329"/>
      <c r="AL31" s="329"/>
      <c r="AN31" s="329"/>
    </row>
    <row r="32" spans="7:40" x14ac:dyDescent="0.15">
      <c r="G32" s="392"/>
      <c r="H32" s="168">
        <f>IF('Data Summary'!C54="PASS",IF('Data - Sample Type 0'!AE31=0,40,'Data - Sample Type 0'!AE31),"")</f>
        <v>40</v>
      </c>
      <c r="I32" s="388"/>
      <c r="J32" s="168">
        <f>IF('Data Summary'!C54="PASS",IF('Data Summary'!A54="","",'Data - Sample Type 0'!Q31),"")</f>
        <v>22.7</v>
      </c>
      <c r="K32" s="395"/>
      <c r="N32" s="385"/>
      <c r="O32" s="219">
        <f>IF('Data Summary'!C159="PASS",IF('Data - Sample Type 1'!AE31=0,40,'Data - Sample Type 1'!AE31),"")</f>
        <v>26.4</v>
      </c>
      <c r="P32" s="78">
        <f>IF('Data Summary'!C159="PASS",IF('Data - Sample Type 1'!AS31=0,40,'Data - Sample Type 1'!AS31),"")</f>
        <v>24.7</v>
      </c>
      <c r="Q32" s="78">
        <f>IF('Data Summary'!C159="PASS",IF('Data - Sample Type 1'!BG31=0,40,'Data - Sample Type 1'!BG31),"")</f>
        <v>25.7</v>
      </c>
      <c r="R32" s="231">
        <f>IF('Data Summary'!C159="PASS",IF('Data - Sample Type 1'!CI31=0,40,'Data - Sample Type 1'!CI31),"")</f>
        <v>23.2</v>
      </c>
      <c r="S32" s="232">
        <f>IF('Data Summary'!C159="PASS",'Data - Sample Type 1'!DK31,"")</f>
        <v>69.5</v>
      </c>
      <c r="T32" s="377"/>
      <c r="U32" s="78">
        <f>IF('Data Summary'!C159="PASS",'Data - Sample Type 1'!EY31,"")</f>
        <v>70.099999999999994</v>
      </c>
      <c r="V32" s="377"/>
      <c r="W32" s="78">
        <f>IF('Data Summary'!C159="PASS",'Data - Sample Type 1'!FO31,"")</f>
        <v>73.599999999999994</v>
      </c>
      <c r="X32" s="374"/>
      <c r="AA32" s="67"/>
      <c r="AH32" s="329"/>
      <c r="AJ32" s="329"/>
      <c r="AL32" s="329"/>
      <c r="AN32" s="329"/>
    </row>
    <row r="33" spans="7:40" x14ac:dyDescent="0.15">
      <c r="G33" s="390">
        <v>4</v>
      </c>
      <c r="H33" s="167">
        <f>IF('Data Summary'!C55="PASS",IF('Data - Sample Type 0'!AE32=0,40,'Data - Sample Type 0'!AE32),"")</f>
        <v>40</v>
      </c>
      <c r="I33" s="389">
        <f>ROUND(AVERAGE(H33:H42),1)</f>
        <v>40</v>
      </c>
      <c r="J33" s="167">
        <f>IF('Data Summary'!C55="PASS",IF('Data Summary'!A55="","",'Data - Sample Type 0'!Q32),"")</f>
        <v>25.1</v>
      </c>
      <c r="K33" s="396">
        <f>ROUND(AVERAGE(J33:J42),1)</f>
        <v>24.8</v>
      </c>
      <c r="N33" s="385"/>
      <c r="O33" s="219">
        <f>IF('Data Summary'!C160="PASS",IF('Data - Sample Type 1'!AE32=0,40,'Data - Sample Type 1'!AE32),"")</f>
        <v>24.8</v>
      </c>
      <c r="P33" s="78">
        <f>IF('Data Summary'!C160="PASS",IF('Data - Sample Type 1'!AS32=0,40,'Data - Sample Type 1'!AS32),"")</f>
        <v>23.1</v>
      </c>
      <c r="Q33" s="78">
        <f>IF('Data Summary'!C160="PASS",IF('Data - Sample Type 1'!BG32=0,40,'Data - Sample Type 1'!BG32),"")</f>
        <v>23.7</v>
      </c>
      <c r="R33" s="231">
        <f>IF('Data Summary'!C160="PASS",IF('Data - Sample Type 1'!CI32=0,40,'Data - Sample Type 1'!CI32),"")</f>
        <v>21.4</v>
      </c>
      <c r="S33" s="232">
        <f>IF('Data Summary'!C160="PASS",'Data - Sample Type 1'!DK32,"")</f>
        <v>69.3</v>
      </c>
      <c r="T33" s="377"/>
      <c r="U33" s="78">
        <f>IF('Data Summary'!C160="PASS",'Data - Sample Type 1'!EY32,"")</f>
        <v>69.900000000000006</v>
      </c>
      <c r="V33" s="377"/>
      <c r="W33" s="78">
        <f>IF('Data Summary'!C160="PASS",'Data - Sample Type 1'!FO32,"")</f>
        <v>73.400000000000006</v>
      </c>
      <c r="X33" s="374"/>
      <c r="AA33" s="67"/>
      <c r="AH33" s="329"/>
      <c r="AJ33" s="329"/>
      <c r="AL33" s="329"/>
      <c r="AN33" s="329"/>
    </row>
    <row r="34" spans="7:40" x14ac:dyDescent="0.15">
      <c r="G34" s="391"/>
      <c r="H34" s="163">
        <f>IF('Data Summary'!C56="PASS",IF('Data - Sample Type 0'!AE33=0,40,'Data - Sample Type 0'!AE33),"")</f>
        <v>40</v>
      </c>
      <c r="I34" s="387"/>
      <c r="J34" s="163">
        <f>IF('Data Summary'!C56="PASS",IF('Data Summary'!A56="","",'Data - Sample Type 0'!Q33),"")</f>
        <v>25.3</v>
      </c>
      <c r="K34" s="394"/>
      <c r="N34" s="386"/>
      <c r="O34" s="220">
        <f>IF('Data Summary'!C161="PASS",IF('Data - Sample Type 1'!AE33=0,40,'Data - Sample Type 1'!AE33),"")</f>
        <v>26.1</v>
      </c>
      <c r="P34" s="228">
        <f>IF('Data Summary'!C161="PASS",IF('Data - Sample Type 1'!AS33=0,40,'Data - Sample Type 1'!AS33),"")</f>
        <v>23.9</v>
      </c>
      <c r="Q34" s="228">
        <f>IF('Data Summary'!C161="PASS",IF('Data - Sample Type 1'!BG33=0,40,'Data - Sample Type 1'!BG33),"")</f>
        <v>24.5</v>
      </c>
      <c r="R34" s="235">
        <f>IF('Data Summary'!C161="PASS",IF('Data - Sample Type 1'!CI33=0,40,'Data - Sample Type 1'!CI33),"")</f>
        <v>22.2</v>
      </c>
      <c r="S34" s="236">
        <f>IF('Data Summary'!C161="PASS",'Data - Sample Type 1'!DK33,"")</f>
        <v>69.2</v>
      </c>
      <c r="T34" s="378"/>
      <c r="U34" s="228">
        <f>IF('Data Summary'!C161="PASS",'Data - Sample Type 1'!EY33,"")</f>
        <v>69.900000000000006</v>
      </c>
      <c r="V34" s="378"/>
      <c r="W34" s="228">
        <f>IF('Data Summary'!C161="PASS",'Data - Sample Type 1'!FO33,"")</f>
        <v>73.400000000000006</v>
      </c>
      <c r="X34" s="376"/>
      <c r="AA34" s="67"/>
      <c r="AH34" s="329"/>
      <c r="AJ34" s="329"/>
      <c r="AL34" s="329"/>
      <c r="AN34" s="329"/>
    </row>
    <row r="35" spans="7:40" x14ac:dyDescent="0.15">
      <c r="G35" s="391"/>
      <c r="H35" s="163">
        <f>IF('Data Summary'!C57="PASS",IF('Data - Sample Type 0'!AE34=0,40,'Data - Sample Type 0'!AE34),"")</f>
        <v>40</v>
      </c>
      <c r="I35" s="387"/>
      <c r="J35" s="163">
        <f>IF('Data Summary'!C57="PASS",IF('Data Summary'!A57="","",'Data - Sample Type 0'!Q34),"")</f>
        <v>24.4</v>
      </c>
      <c r="K35" s="394"/>
      <c r="N35" s="384">
        <v>5</v>
      </c>
      <c r="O35" s="218">
        <f>IF('Data Summary'!C162="PASS",IF('Data - Sample Type 1'!AE34=0,40,'Data - Sample Type 1'!AE34),"")</f>
        <v>26.1</v>
      </c>
      <c r="P35" s="225">
        <f>IF('Data Summary'!C162="PASS",IF('Data - Sample Type 1'!AS34=0,40,'Data - Sample Type 1'!AS34),"")</f>
        <v>24.1</v>
      </c>
      <c r="Q35" s="225">
        <f>IF('Data Summary'!C162="PASS",IF('Data - Sample Type 1'!BG34=0,40,'Data - Sample Type 1'!BG34),"")</f>
        <v>24.2</v>
      </c>
      <c r="R35" s="229">
        <f>IF('Data Summary'!C162="PASS",IF('Data - Sample Type 1'!CI34=0,40,'Data - Sample Type 1'!CI34),"")</f>
        <v>22.3</v>
      </c>
      <c r="S35" s="230">
        <f>IF('Data Summary'!C162="PASS",'Data - Sample Type 1'!DK34,"")</f>
        <v>69.400000000000006</v>
      </c>
      <c r="T35" s="379">
        <f>ROUND(AVERAGE(S35:S42),1)</f>
        <v>69.400000000000006</v>
      </c>
      <c r="U35" s="225">
        <f>IF('Data Summary'!C162="PASS",'Data - Sample Type 1'!EY34,"")</f>
        <v>70</v>
      </c>
      <c r="V35" s="379">
        <f>ROUND(AVERAGE(U35:U42),1)</f>
        <v>70</v>
      </c>
      <c r="W35" s="225">
        <f>IF('Data Summary'!C162="PASS",'Data - Sample Type 1'!FO34,"")</f>
        <v>73.599999999999994</v>
      </c>
      <c r="X35" s="373">
        <f>ROUND(AVERAGE(W35:W42),1)</f>
        <v>73.5</v>
      </c>
      <c r="AA35" s="67"/>
      <c r="AH35" s="329"/>
      <c r="AJ35" s="329"/>
      <c r="AL35" s="329"/>
      <c r="AN35" s="329"/>
    </row>
    <row r="36" spans="7:40" ht="14" customHeight="1" x14ac:dyDescent="0.15">
      <c r="G36" s="391"/>
      <c r="H36" s="163">
        <f>IF('Data Summary'!C58="PASS",IF('Data - Sample Type 0'!AE35=0,40,'Data - Sample Type 0'!AE35),"")</f>
        <v>40</v>
      </c>
      <c r="I36" s="387"/>
      <c r="J36" s="163">
        <f>IF('Data Summary'!C58="PASS",IF('Data Summary'!A58="","",'Data - Sample Type 0'!Q35),"")</f>
        <v>23.7</v>
      </c>
      <c r="K36" s="394"/>
      <c r="N36" s="385"/>
      <c r="O36" s="219">
        <f>IF('Data Summary'!C163="PASS",IF('Data - Sample Type 1'!AE35=0,40,'Data - Sample Type 1'!AE35),"")</f>
        <v>26</v>
      </c>
      <c r="P36" s="78">
        <f>IF('Data Summary'!C163="PASS",IF('Data - Sample Type 1'!AS35=0,40,'Data - Sample Type 1'!AS35),"")</f>
        <v>23.6</v>
      </c>
      <c r="Q36" s="78">
        <f>IF('Data Summary'!C163="PASS",IF('Data - Sample Type 1'!BG35=0,40,'Data - Sample Type 1'!BG35),"")</f>
        <v>24.8</v>
      </c>
      <c r="R36" s="231">
        <f>IF('Data Summary'!C163="PASS",IF('Data - Sample Type 1'!CI35=0,40,'Data - Sample Type 1'!CI35),"")</f>
        <v>22.5</v>
      </c>
      <c r="S36" s="232">
        <f>IF('Data Summary'!C163="PASS",'Data - Sample Type 1'!DK35,"")</f>
        <v>69.3</v>
      </c>
      <c r="T36" s="377"/>
      <c r="U36" s="78">
        <f>IF('Data Summary'!C163="PASS",'Data - Sample Type 1'!EY35,"")</f>
        <v>70.099999999999994</v>
      </c>
      <c r="V36" s="377"/>
      <c r="W36" s="78">
        <f>IF('Data Summary'!C163="PASS",'Data - Sample Type 1'!FO35,"")</f>
        <v>73.5</v>
      </c>
      <c r="X36" s="374"/>
      <c r="AA36" s="67"/>
      <c r="AH36" s="329"/>
      <c r="AJ36" s="329"/>
      <c r="AL36" s="329"/>
      <c r="AN36" s="329"/>
    </row>
    <row r="37" spans="7:40" x14ac:dyDescent="0.15">
      <c r="G37" s="391">
        <v>4</v>
      </c>
      <c r="H37" s="163">
        <f>IF('Data Summary'!C59="PASS",IF('Data - Sample Type 0'!AE36=0,40,'Data - Sample Type 0'!AE36),"")</f>
        <v>40</v>
      </c>
      <c r="I37" s="387"/>
      <c r="J37" s="163">
        <f>IF('Data Summary'!C59="PASS",IF('Data Summary'!A59="","",'Data - Sample Type 0'!Q36),"")</f>
        <v>24.4</v>
      </c>
      <c r="K37" s="394"/>
      <c r="N37" s="385"/>
      <c r="O37" s="219">
        <f>IF('Data Summary'!C164="PASS",IF('Data - Sample Type 1'!AE36=0,40,'Data - Sample Type 1'!AE36),"")</f>
        <v>26.1</v>
      </c>
      <c r="P37" s="78">
        <f>IF('Data Summary'!C164="PASS",IF('Data - Sample Type 1'!AS36=0,40,'Data - Sample Type 1'!AS36),"")</f>
        <v>23.5</v>
      </c>
      <c r="Q37" s="78">
        <f>IF('Data Summary'!C164="PASS",IF('Data - Sample Type 1'!BG36=0,40,'Data - Sample Type 1'!BG36),"")</f>
        <v>24.5</v>
      </c>
      <c r="R37" s="231">
        <f>IF('Data Summary'!C164="PASS",IF('Data - Sample Type 1'!CI36=0,40,'Data - Sample Type 1'!CI36),"")</f>
        <v>22.4</v>
      </c>
      <c r="S37" s="232">
        <f>IF('Data Summary'!C164="PASS",'Data - Sample Type 1'!DK36,"")</f>
        <v>69.3</v>
      </c>
      <c r="T37" s="377"/>
      <c r="U37" s="78">
        <f>IF('Data Summary'!C164="PASS",'Data - Sample Type 1'!EY36,"")</f>
        <v>70</v>
      </c>
      <c r="V37" s="377"/>
      <c r="W37" s="78">
        <f>IF('Data Summary'!C164="PASS",'Data - Sample Type 1'!FO36,"")</f>
        <v>73.5</v>
      </c>
      <c r="X37" s="374"/>
      <c r="AA37" s="67"/>
      <c r="AH37" s="329"/>
      <c r="AJ37" s="329"/>
      <c r="AL37" s="329"/>
      <c r="AN37" s="329"/>
    </row>
    <row r="38" spans="7:40" ht="13.25" customHeight="1" x14ac:dyDescent="0.15">
      <c r="G38" s="391"/>
      <c r="H38" s="163">
        <f>IF('Data Summary'!C60="PASS",IF('Data - Sample Type 0'!AE37=0,40,'Data - Sample Type 0'!AE37),"")</f>
        <v>40</v>
      </c>
      <c r="I38" s="387" t="str">
        <f>IF(I33&gt;=Specifications!$D$26,"PASS","FAIL")</f>
        <v>PASS</v>
      </c>
      <c r="J38" s="163">
        <f>IF('Data Summary'!C60="PASS",IF('Data Summary'!A60="","",'Data - Sample Type 0'!Q37),"")</f>
        <v>23.7</v>
      </c>
      <c r="K38" s="394" t="str">
        <f>IF(K33&lt;=Specifications!$B$26,"PASS","FAIL")</f>
        <v>PASS</v>
      </c>
      <c r="N38" s="385"/>
      <c r="O38" s="219">
        <f>IF('Data Summary'!C165="PASS",IF('Data - Sample Type 1'!AE37=0,40,'Data - Sample Type 1'!AE37),"")</f>
        <v>25.4</v>
      </c>
      <c r="P38" s="78">
        <f>IF('Data Summary'!C165="PASS",IF('Data - Sample Type 1'!AS37=0,40,'Data - Sample Type 1'!AS37),"")</f>
        <v>23.1</v>
      </c>
      <c r="Q38" s="78">
        <f>IF('Data Summary'!C165="PASS",IF('Data - Sample Type 1'!BG37=0,40,'Data - Sample Type 1'!BG37),"")</f>
        <v>24</v>
      </c>
      <c r="R38" s="231">
        <f>IF('Data Summary'!C165="PASS",IF('Data - Sample Type 1'!CI37=0,40,'Data - Sample Type 1'!CI37),"")</f>
        <v>21.7</v>
      </c>
      <c r="S38" s="232">
        <f>IF('Data Summary'!C165="PASS",'Data - Sample Type 1'!DK37,"")</f>
        <v>69.5</v>
      </c>
      <c r="T38" s="377"/>
      <c r="U38" s="78">
        <f>IF('Data Summary'!C165="PASS",'Data - Sample Type 1'!EY37,"")</f>
        <v>69.900000000000006</v>
      </c>
      <c r="V38" s="377"/>
      <c r="W38" s="78">
        <f>IF('Data Summary'!C165="PASS",'Data - Sample Type 1'!FO37,"")</f>
        <v>73.5</v>
      </c>
      <c r="X38" s="374"/>
      <c r="AA38" s="67"/>
      <c r="AH38" s="329"/>
      <c r="AJ38" s="329"/>
      <c r="AL38" s="329"/>
      <c r="AN38" s="329"/>
    </row>
    <row r="39" spans="7:40" x14ac:dyDescent="0.15">
      <c r="G39" s="391"/>
      <c r="H39" s="163">
        <f>IF('Data Summary'!C61="PASS",IF('Data - Sample Type 0'!AE38=0,40,'Data - Sample Type 0'!AE38),"")</f>
        <v>40</v>
      </c>
      <c r="I39" s="387"/>
      <c r="J39" s="163">
        <f>IF('Data Summary'!C61="PASS",IF('Data Summary'!A61="","",'Data - Sample Type 0'!Q38),"")</f>
        <v>26.6</v>
      </c>
      <c r="K39" s="394"/>
      <c r="N39" s="385"/>
      <c r="O39" s="219">
        <f>IF('Data Summary'!C166="PASS",IF('Data - Sample Type 1'!AE38=0,40,'Data - Sample Type 1'!AE38),"")</f>
        <v>25</v>
      </c>
      <c r="P39" s="78">
        <f>IF('Data Summary'!C166="PASS",IF('Data - Sample Type 1'!AS38=0,40,'Data - Sample Type 1'!AS38),"")</f>
        <v>22.5</v>
      </c>
      <c r="Q39" s="78">
        <f>IF('Data Summary'!C166="PASS",IF('Data - Sample Type 1'!BG38=0,40,'Data - Sample Type 1'!BG38),"")</f>
        <v>23.9</v>
      </c>
      <c r="R39" s="231">
        <f>IF('Data Summary'!C166="PASS",IF('Data - Sample Type 1'!CI38=0,40,'Data - Sample Type 1'!CI38),"")</f>
        <v>21.3</v>
      </c>
      <c r="S39" s="232">
        <f>IF('Data Summary'!C166="PASS",'Data - Sample Type 1'!DK38,"")</f>
        <v>69.3</v>
      </c>
      <c r="T39" s="377" t="str">
        <f>IF(COUNTIF(S35:S42,"&gt;0")=8-COUNTIF(S35:S42,""),"PASS","FAIL")</f>
        <v>PASS</v>
      </c>
      <c r="U39" s="78">
        <f>IF('Data Summary'!C166="PASS",'Data - Sample Type 1'!EY38,"")</f>
        <v>70</v>
      </c>
      <c r="V39" s="377" t="str">
        <f>IF(COUNTIF(U35:U42,"&gt;0")=8-COUNTIF(U35:U42,""),"PASS","FAIL")</f>
        <v>PASS</v>
      </c>
      <c r="W39" s="78">
        <f>IF('Data Summary'!C166="PASS",'Data - Sample Type 1'!FO38,"")</f>
        <v>73.599999999999994</v>
      </c>
      <c r="X39" s="374" t="str">
        <f>IF(COUNTIF(W35:W42,"&gt;0")=8-COUNTIF(W35:W42,""),"PASS","FAIL")</f>
        <v>PASS</v>
      </c>
      <c r="AA39" s="67"/>
      <c r="AH39" s="329"/>
      <c r="AJ39" s="329"/>
      <c r="AL39" s="329"/>
      <c r="AN39" s="329"/>
    </row>
    <row r="40" spans="7:40" x14ac:dyDescent="0.15">
      <c r="G40" s="391"/>
      <c r="H40" s="163">
        <f>IF('Data Summary'!C62="PASS",IF('Data - Sample Type 0'!AE39=0,40,'Data - Sample Type 0'!AE39),"")</f>
        <v>40</v>
      </c>
      <c r="I40" s="387"/>
      <c r="J40" s="163">
        <f>IF('Data Summary'!C62="PASS",IF('Data Summary'!A62="","",'Data - Sample Type 0'!Q39),"")</f>
        <v>24.6</v>
      </c>
      <c r="K40" s="394"/>
      <c r="N40" s="385"/>
      <c r="O40" s="219">
        <f>IF('Data Summary'!C167="PASS",IF('Data - Sample Type 1'!AE39=0,40,'Data - Sample Type 1'!AE39),"")</f>
        <v>26.6</v>
      </c>
      <c r="P40" s="78">
        <f>IF('Data Summary'!C167="PASS",IF('Data - Sample Type 1'!AS39=0,40,'Data - Sample Type 1'!AS39),"")</f>
        <v>23.6</v>
      </c>
      <c r="Q40" s="78">
        <f>IF('Data Summary'!C167="PASS",IF('Data - Sample Type 1'!BG39=0,40,'Data - Sample Type 1'!BG39),"")</f>
        <v>24.6</v>
      </c>
      <c r="R40" s="231">
        <f>IF('Data Summary'!C167="PASS",IF('Data - Sample Type 1'!CI39=0,40,'Data - Sample Type 1'!CI39),"")</f>
        <v>22.3</v>
      </c>
      <c r="S40" s="232">
        <f>IF('Data Summary'!C167="PASS",'Data - Sample Type 1'!DK39,"")</f>
        <v>69.3</v>
      </c>
      <c r="T40" s="377"/>
      <c r="U40" s="78">
        <f>IF('Data Summary'!C167="PASS",'Data - Sample Type 1'!EY39,"")</f>
        <v>69.900000000000006</v>
      </c>
      <c r="V40" s="377"/>
      <c r="W40" s="78">
        <f>IF('Data Summary'!C167="PASS",'Data - Sample Type 1'!FO39,"")</f>
        <v>73.400000000000006</v>
      </c>
      <c r="X40" s="374"/>
      <c r="AA40" s="67"/>
      <c r="AH40" s="329"/>
      <c r="AJ40" s="329"/>
      <c r="AL40" s="329"/>
      <c r="AN40" s="329"/>
    </row>
    <row r="41" spans="7:40" x14ac:dyDescent="0.15">
      <c r="G41" s="391"/>
      <c r="H41" s="163">
        <f>IF('Data Summary'!C63="PASS",IF('Data - Sample Type 0'!AE40=0,40,'Data - Sample Type 0'!AE40),"")</f>
        <v>40</v>
      </c>
      <c r="I41" s="387"/>
      <c r="J41" s="163">
        <f>IF('Data Summary'!C63="PASS",IF('Data Summary'!A63="","",'Data - Sample Type 0'!Q40),"")</f>
        <v>25.4</v>
      </c>
      <c r="K41" s="394"/>
      <c r="N41" s="385"/>
      <c r="O41" s="219">
        <f>IF('Data Summary'!C168="PASS",IF('Data - Sample Type 1'!AE40=0,40,'Data - Sample Type 1'!AE40),"")</f>
        <v>25.9</v>
      </c>
      <c r="P41" s="78">
        <f>IF('Data Summary'!C168="PASS",IF('Data - Sample Type 1'!AS40=0,40,'Data - Sample Type 1'!AS40),"")</f>
        <v>23.2</v>
      </c>
      <c r="Q41" s="78">
        <f>IF('Data Summary'!C168="PASS",IF('Data - Sample Type 1'!BG40=0,40,'Data - Sample Type 1'!BG40),"")</f>
        <v>24.2</v>
      </c>
      <c r="R41" s="231">
        <f>IF('Data Summary'!C168="PASS",IF('Data - Sample Type 1'!CI40=0,40,'Data - Sample Type 1'!CI40),"")</f>
        <v>22</v>
      </c>
      <c r="S41" s="232">
        <f>IF('Data Summary'!C168="PASS",'Data - Sample Type 1'!DK40,"")</f>
        <v>69.400000000000006</v>
      </c>
      <c r="T41" s="377"/>
      <c r="U41" s="78">
        <f>IF('Data Summary'!C168="PASS",'Data - Sample Type 1'!EY40,"")</f>
        <v>70</v>
      </c>
      <c r="V41" s="377"/>
      <c r="W41" s="78">
        <f>IF('Data Summary'!C168="PASS",'Data - Sample Type 1'!FO40,"")</f>
        <v>73.599999999999994</v>
      </c>
      <c r="X41" s="374"/>
      <c r="AA41" s="67"/>
      <c r="AH41" s="329"/>
      <c r="AJ41" s="329"/>
      <c r="AL41" s="329"/>
      <c r="AN41" s="329"/>
    </row>
    <row r="42" spans="7:40" x14ac:dyDescent="0.15">
      <c r="G42" s="392"/>
      <c r="H42" s="168">
        <f>IF('Data Summary'!C64="PASS",IF('Data - Sample Type 0'!AE41=0,40,'Data - Sample Type 0'!AE41),"")</f>
        <v>40</v>
      </c>
      <c r="I42" s="388"/>
      <c r="J42" s="168">
        <f>IF('Data Summary'!C64="PASS",IF('Data Summary'!A64="","",'Data - Sample Type 0'!Q41),"")</f>
        <v>24.6</v>
      </c>
      <c r="K42" s="395"/>
      <c r="N42" s="386"/>
      <c r="O42" s="220">
        <f>IF('Data Summary'!C169="PASS",IF('Data - Sample Type 1'!AE41=0,40,'Data - Sample Type 1'!AE41),"")</f>
        <v>26.3</v>
      </c>
      <c r="P42" s="228">
        <f>IF('Data Summary'!C169="PASS",IF('Data - Sample Type 1'!AS41=0,40,'Data - Sample Type 1'!AS41),"")</f>
        <v>23.5</v>
      </c>
      <c r="Q42" s="228">
        <f>IF('Data Summary'!C169="PASS",IF('Data - Sample Type 1'!BG41=0,40,'Data - Sample Type 1'!BG41),"")</f>
        <v>25</v>
      </c>
      <c r="R42" s="235">
        <f>IF('Data Summary'!C169="PASS",IF('Data - Sample Type 1'!CI41=0,40,'Data - Sample Type 1'!CI41),"")</f>
        <v>22.4</v>
      </c>
      <c r="S42" s="236">
        <f>IF('Data Summary'!C169="PASS",'Data - Sample Type 1'!DK41,"")</f>
        <v>69.400000000000006</v>
      </c>
      <c r="T42" s="378"/>
      <c r="U42" s="228">
        <f>IF('Data Summary'!C169="PASS",'Data - Sample Type 1'!EY41,"")</f>
        <v>70</v>
      </c>
      <c r="V42" s="378"/>
      <c r="W42" s="228">
        <f>IF('Data Summary'!C169="PASS",'Data - Sample Type 1'!FO41,"")</f>
        <v>73.599999999999994</v>
      </c>
      <c r="X42" s="376"/>
      <c r="AA42" s="67"/>
      <c r="AH42" s="329"/>
      <c r="AJ42" s="329"/>
      <c r="AL42" s="329"/>
      <c r="AN42" s="329"/>
    </row>
    <row r="43" spans="7:40" ht="14" customHeight="1" x14ac:dyDescent="0.15">
      <c r="G43" s="390">
        <v>5</v>
      </c>
      <c r="H43" s="167">
        <f>IF('Data Summary'!C65="PASS",IF('Data - Sample Type 0'!AE42=0,40,'Data - Sample Type 0'!AE42),"")</f>
        <v>40</v>
      </c>
      <c r="I43" s="389">
        <f>ROUND(AVERAGE(H43:H52),1)</f>
        <v>40</v>
      </c>
      <c r="J43" s="167">
        <f>IF('Data Summary'!C65="PASS",IF('Data Summary'!A65="","",'Data - Sample Type 0'!Q42),"")</f>
        <v>25.7</v>
      </c>
      <c r="K43" s="396">
        <f>ROUND(AVERAGE(J43:J52),1)</f>
        <v>24.9</v>
      </c>
      <c r="N43" s="384">
        <v>6</v>
      </c>
      <c r="O43" s="218">
        <f>IF('Data Summary'!C170="PASS",IF('Data - Sample Type 1'!AE42=0,40,'Data - Sample Type 1'!AE42),"")</f>
        <v>25.6</v>
      </c>
      <c r="P43" s="225">
        <f>IF('Data Summary'!C170="PASS",IF('Data - Sample Type 1'!AS42=0,40,'Data - Sample Type 1'!AS42),"")</f>
        <v>23.4</v>
      </c>
      <c r="Q43" s="225">
        <f>IF('Data Summary'!C170="PASS",IF('Data - Sample Type 1'!BG42=0,40,'Data - Sample Type 1'!BG42),"")</f>
        <v>24.4</v>
      </c>
      <c r="R43" s="229">
        <f>IF('Data Summary'!C170="PASS",IF('Data - Sample Type 1'!CI42=0,40,'Data - Sample Type 1'!CI42),"")</f>
        <v>21.7</v>
      </c>
      <c r="S43" s="230">
        <f>IF('Data Summary'!C170="PASS",'Data - Sample Type 1'!DK42,"")</f>
        <v>69.2</v>
      </c>
      <c r="T43" s="379">
        <f>ROUND(AVERAGE(S43:S50),1)</f>
        <v>69.3</v>
      </c>
      <c r="U43" s="225">
        <f>IF('Data Summary'!C170="PASS",'Data - Sample Type 1'!EY42,"")</f>
        <v>70</v>
      </c>
      <c r="V43" s="379">
        <f>ROUND(AVERAGE(U43:U50),1)</f>
        <v>70</v>
      </c>
      <c r="W43" s="225">
        <f>IF('Data Summary'!C170="PASS",'Data - Sample Type 1'!FO42,"")</f>
        <v>73.5</v>
      </c>
      <c r="X43" s="373">
        <f>ROUND(AVERAGE(W43:W50),1)</f>
        <v>73.5</v>
      </c>
      <c r="AA43" s="67"/>
      <c r="AH43" s="329"/>
      <c r="AJ43" s="329"/>
      <c r="AL43" s="329"/>
      <c r="AN43" s="329"/>
    </row>
    <row r="44" spans="7:40" x14ac:dyDescent="0.15">
      <c r="G44" s="391"/>
      <c r="H44" s="163">
        <f>IF('Data Summary'!C66="PASS",IF('Data - Sample Type 0'!AE43=0,40,'Data - Sample Type 0'!AE43),"")</f>
        <v>40</v>
      </c>
      <c r="I44" s="387"/>
      <c r="J44" s="163">
        <f>IF('Data Summary'!C66="PASS",IF('Data Summary'!A66="","",'Data - Sample Type 0'!Q43),"")</f>
        <v>25.8</v>
      </c>
      <c r="K44" s="394"/>
      <c r="N44" s="385"/>
      <c r="O44" s="219">
        <f>IF('Data Summary'!C171="PASS",IF('Data - Sample Type 1'!AE43=0,40,'Data - Sample Type 1'!AE43),"")</f>
        <v>25.9</v>
      </c>
      <c r="P44" s="78">
        <f>IF('Data Summary'!C171="PASS",IF('Data - Sample Type 1'!AS43=0,40,'Data - Sample Type 1'!AS43),"")</f>
        <v>23.1</v>
      </c>
      <c r="Q44" s="78">
        <f>IF('Data Summary'!C171="PASS",IF('Data - Sample Type 1'!BG43=0,40,'Data - Sample Type 1'!BG43),"")</f>
        <v>24.2</v>
      </c>
      <c r="R44" s="231">
        <f>IF('Data Summary'!C171="PASS",IF('Data - Sample Type 1'!CI43=0,40,'Data - Sample Type 1'!CI43),"")</f>
        <v>21.9</v>
      </c>
      <c r="S44" s="232">
        <f>IF('Data Summary'!C171="PASS",'Data - Sample Type 1'!DK43,"")</f>
        <v>69.3</v>
      </c>
      <c r="T44" s="377"/>
      <c r="U44" s="78">
        <f>IF('Data Summary'!C171="PASS",'Data - Sample Type 1'!EY43,"")</f>
        <v>70</v>
      </c>
      <c r="V44" s="377"/>
      <c r="W44" s="78">
        <f>IF('Data Summary'!C171="PASS",'Data - Sample Type 1'!FO43,"")</f>
        <v>73.5</v>
      </c>
      <c r="X44" s="374"/>
      <c r="AA44" s="67"/>
      <c r="AH44" s="329"/>
      <c r="AJ44" s="329"/>
      <c r="AL44" s="329"/>
      <c r="AN44" s="329"/>
    </row>
    <row r="45" spans="7:40" ht="13.25" customHeight="1" x14ac:dyDescent="0.15">
      <c r="G45" s="391"/>
      <c r="H45" s="163">
        <f>IF('Data Summary'!C67="PASS",IF('Data - Sample Type 0'!AE44=0,40,'Data - Sample Type 0'!AE44),"")</f>
        <v>40</v>
      </c>
      <c r="I45" s="387"/>
      <c r="J45" s="163">
        <f>IF('Data Summary'!C67="PASS",IF('Data Summary'!A67="","",'Data - Sample Type 0'!Q44),"")</f>
        <v>25</v>
      </c>
      <c r="K45" s="394"/>
      <c r="N45" s="385"/>
      <c r="O45" s="219">
        <f>IF('Data Summary'!C172="PASS",IF('Data - Sample Type 1'!AE44=0,40,'Data - Sample Type 1'!AE44),"")</f>
        <v>25.7</v>
      </c>
      <c r="P45" s="78">
        <f>IF('Data Summary'!C172="PASS",IF('Data - Sample Type 1'!AS44=0,40,'Data - Sample Type 1'!AS44),"")</f>
        <v>22.3</v>
      </c>
      <c r="Q45" s="78">
        <f>IF('Data Summary'!C172="PASS",IF('Data - Sample Type 1'!BG44=0,40,'Data - Sample Type 1'!BG44),"")</f>
        <v>23.5</v>
      </c>
      <c r="R45" s="231">
        <f>IF('Data Summary'!C172="PASS",IF('Data - Sample Type 1'!CI44=0,40,'Data - Sample Type 1'!CI44),"")</f>
        <v>21.2</v>
      </c>
      <c r="S45" s="232">
        <f>IF('Data Summary'!C172="PASS",'Data - Sample Type 1'!DK44,"")</f>
        <v>69.2</v>
      </c>
      <c r="T45" s="377"/>
      <c r="U45" s="78">
        <f>IF('Data Summary'!C172="PASS",'Data - Sample Type 1'!EY44,"")</f>
        <v>69.900000000000006</v>
      </c>
      <c r="V45" s="377"/>
      <c r="W45" s="78">
        <f>IF('Data Summary'!C172="PASS",'Data - Sample Type 1'!FO44,"")</f>
        <v>73.5</v>
      </c>
      <c r="X45" s="374"/>
      <c r="AA45" s="67"/>
      <c r="AH45" s="329"/>
      <c r="AJ45" s="329"/>
      <c r="AL45" s="329"/>
      <c r="AN45" s="329"/>
    </row>
    <row r="46" spans="7:40" x14ac:dyDescent="0.15">
      <c r="G46" s="391"/>
      <c r="H46" s="163">
        <f>IF('Data Summary'!C68="PASS",IF('Data - Sample Type 0'!AE45=0,40,'Data - Sample Type 0'!AE45),"")</f>
        <v>40</v>
      </c>
      <c r="I46" s="387"/>
      <c r="J46" s="163">
        <f>IF('Data Summary'!C68="PASS",IF('Data Summary'!A68="","",'Data - Sample Type 0'!Q45),"")</f>
        <v>24.4</v>
      </c>
      <c r="K46" s="394"/>
      <c r="N46" s="385"/>
      <c r="O46" s="219">
        <f>IF('Data Summary'!C173="PASS",IF('Data - Sample Type 1'!AE45=0,40,'Data - Sample Type 1'!AE45),"")</f>
        <v>26.5</v>
      </c>
      <c r="P46" s="78">
        <f>IF('Data Summary'!C173="PASS",IF('Data - Sample Type 1'!AS45=0,40,'Data - Sample Type 1'!AS45),"")</f>
        <v>24</v>
      </c>
      <c r="Q46" s="78">
        <f>IF('Data Summary'!C173="PASS",IF('Data - Sample Type 1'!BG45=0,40,'Data - Sample Type 1'!BG45),"")</f>
        <v>25.1</v>
      </c>
      <c r="R46" s="231">
        <f>IF('Data Summary'!C173="PASS",IF('Data - Sample Type 1'!CI45=0,40,'Data - Sample Type 1'!CI45),"")</f>
        <v>22.5</v>
      </c>
      <c r="S46" s="232">
        <f>IF('Data Summary'!C173="PASS",'Data - Sample Type 1'!DK45,"")</f>
        <v>69.400000000000006</v>
      </c>
      <c r="T46" s="377"/>
      <c r="U46" s="78">
        <f>IF('Data Summary'!C173="PASS",'Data - Sample Type 1'!EY45,"")</f>
        <v>70.099999999999994</v>
      </c>
      <c r="V46" s="377"/>
      <c r="W46" s="78">
        <f>IF('Data Summary'!C173="PASS",'Data - Sample Type 1'!FO45,"")</f>
        <v>73.5</v>
      </c>
      <c r="X46" s="374"/>
      <c r="AA46" s="67"/>
      <c r="AH46" s="329"/>
      <c r="AJ46" s="329"/>
      <c r="AL46" s="329"/>
      <c r="AN46" s="329"/>
    </row>
    <row r="47" spans="7:40" x14ac:dyDescent="0.15">
      <c r="G47" s="391"/>
      <c r="H47" s="163">
        <f>IF('Data Summary'!C69="PASS",IF('Data - Sample Type 0'!AE46=0,40,'Data - Sample Type 0'!AE46),"")</f>
        <v>40</v>
      </c>
      <c r="I47" s="387"/>
      <c r="J47" s="163">
        <f>IF('Data Summary'!C69="PASS",IF('Data Summary'!A69="","",'Data - Sample Type 0'!Q46),"")</f>
        <v>25.9</v>
      </c>
      <c r="K47" s="394"/>
      <c r="N47" s="385"/>
      <c r="O47" s="219">
        <f>IF('Data Summary'!C174="PASS",IF('Data - Sample Type 1'!AE46=0,40,'Data - Sample Type 1'!AE46),"")</f>
        <v>26.1</v>
      </c>
      <c r="P47" s="78">
        <f>IF('Data Summary'!C174="PASS",IF('Data - Sample Type 1'!AS46=0,40,'Data - Sample Type 1'!AS46),"")</f>
        <v>23.8</v>
      </c>
      <c r="Q47" s="78">
        <f>IF('Data Summary'!C174="PASS",IF('Data - Sample Type 1'!BG46=0,40,'Data - Sample Type 1'!BG46),"")</f>
        <v>24.8</v>
      </c>
      <c r="R47" s="231">
        <f>IF('Data Summary'!C174="PASS",IF('Data - Sample Type 1'!CI46=0,40,'Data - Sample Type 1'!CI46),"")</f>
        <v>22.4</v>
      </c>
      <c r="S47" s="232">
        <f>IF('Data Summary'!C174="PASS",'Data - Sample Type 1'!DK46,"")</f>
        <v>69.400000000000006</v>
      </c>
      <c r="T47" s="377" t="str">
        <f>IF(COUNTIF(S43:S50,"&gt;0")=8-COUNTIF(S43:S50,""),"PASS","FAIL")</f>
        <v>PASS</v>
      </c>
      <c r="U47" s="78">
        <f>IF('Data Summary'!C174="PASS",'Data - Sample Type 1'!EY46,"")</f>
        <v>70</v>
      </c>
      <c r="V47" s="377" t="str">
        <f>IF(COUNTIF(U43:U50,"&gt;0")=8-COUNTIF(U43:U50,""),"PASS","FAIL")</f>
        <v>PASS</v>
      </c>
      <c r="W47" s="78">
        <f>IF('Data Summary'!C174="PASS",'Data - Sample Type 1'!FO46,"")</f>
        <v>73.5</v>
      </c>
      <c r="X47" s="374" t="str">
        <f>IF(COUNTIF(W43:W50,"&gt;0")=8-COUNTIF(W43:W50,""),"PASS","FAIL")</f>
        <v>PASS</v>
      </c>
      <c r="AA47" s="67"/>
      <c r="AH47" s="329"/>
      <c r="AJ47" s="329"/>
      <c r="AL47" s="329"/>
      <c r="AN47" s="329"/>
    </row>
    <row r="48" spans="7:40" x14ac:dyDescent="0.15">
      <c r="G48" s="391">
        <v>5</v>
      </c>
      <c r="H48" s="163">
        <f>IF('Data Summary'!C70="PASS",IF('Data - Sample Type 0'!AE47=0,40,'Data - Sample Type 0'!AE47),"")</f>
        <v>40</v>
      </c>
      <c r="I48" s="387" t="str">
        <f>IF(I43&gt;=Specifications!$D$26,"PASS","FAIL")</f>
        <v>PASS</v>
      </c>
      <c r="J48" s="163">
        <f>IF('Data Summary'!C70="PASS",IF('Data Summary'!A70="","",'Data - Sample Type 0'!Q47),"")</f>
        <v>24.1</v>
      </c>
      <c r="K48" s="394" t="str">
        <f>IF(K43&lt;=Specifications!$B$26,"PASS","FAIL")</f>
        <v>PASS</v>
      </c>
      <c r="N48" s="385"/>
      <c r="O48" s="219">
        <f>IF('Data Summary'!C175="PASS",IF('Data - Sample Type 1'!AE47=0,40,'Data - Sample Type 1'!AE47),"")</f>
        <v>25.5</v>
      </c>
      <c r="P48" s="78">
        <f>IF('Data Summary'!C175="PASS",IF('Data - Sample Type 1'!AS47=0,40,'Data - Sample Type 1'!AS47),"")</f>
        <v>23.1</v>
      </c>
      <c r="Q48" s="78">
        <f>IF('Data Summary'!C175="PASS",IF('Data - Sample Type 1'!BG47=0,40,'Data - Sample Type 1'!BG47),"")</f>
        <v>24.2</v>
      </c>
      <c r="R48" s="231">
        <f>IF('Data Summary'!C175="PASS",IF('Data - Sample Type 1'!CI47=0,40,'Data - Sample Type 1'!CI47),"")</f>
        <v>21.9</v>
      </c>
      <c r="S48" s="232">
        <f>IF('Data Summary'!C175="PASS",'Data - Sample Type 1'!DK47,"")</f>
        <v>69.3</v>
      </c>
      <c r="T48" s="377"/>
      <c r="U48" s="78">
        <f>IF('Data Summary'!C175="PASS",'Data - Sample Type 1'!EY47,"")</f>
        <v>70</v>
      </c>
      <c r="V48" s="377"/>
      <c r="W48" s="78">
        <f>IF('Data Summary'!C175="PASS",'Data - Sample Type 1'!FO47,"")</f>
        <v>73.5</v>
      </c>
      <c r="X48" s="374"/>
      <c r="AA48" s="67"/>
      <c r="AH48" s="329"/>
      <c r="AJ48" s="329"/>
      <c r="AL48" s="329"/>
      <c r="AN48" s="329"/>
    </row>
    <row r="49" spans="7:40" x14ac:dyDescent="0.15">
      <c r="G49" s="391"/>
      <c r="H49" s="163">
        <f>IF('Data Summary'!C71="PASS",IF('Data - Sample Type 0'!AE48=0,40,'Data - Sample Type 0'!AE48),"")</f>
        <v>40</v>
      </c>
      <c r="I49" s="387"/>
      <c r="J49" s="163">
        <f>IF('Data Summary'!C71="PASS",IF('Data Summary'!A71="","",'Data - Sample Type 0'!Q48),"")</f>
        <v>23.9</v>
      </c>
      <c r="K49" s="394"/>
      <c r="N49" s="385"/>
      <c r="O49" s="219">
        <f>IF('Data Summary'!C176="PASS",IF('Data - Sample Type 1'!AE48=0,40,'Data - Sample Type 1'!AE48),"")</f>
        <v>26.1</v>
      </c>
      <c r="P49" s="78">
        <f>IF('Data Summary'!C176="PASS",IF('Data - Sample Type 1'!AS48=0,40,'Data - Sample Type 1'!AS48),"")</f>
        <v>23.9</v>
      </c>
      <c r="Q49" s="78">
        <f>IF('Data Summary'!C176="PASS",IF('Data - Sample Type 1'!BG48=0,40,'Data - Sample Type 1'!BG48),"")</f>
        <v>24.9</v>
      </c>
      <c r="R49" s="231">
        <f>IF('Data Summary'!C176="PASS",IF('Data - Sample Type 1'!CI48=0,40,'Data - Sample Type 1'!CI48),"")</f>
        <v>22.7</v>
      </c>
      <c r="S49" s="232">
        <f>IF('Data Summary'!C176="PASS",'Data - Sample Type 1'!DK48,"")</f>
        <v>69.400000000000006</v>
      </c>
      <c r="T49" s="377"/>
      <c r="U49" s="78">
        <f>IF('Data Summary'!C176="PASS",'Data - Sample Type 1'!EY48,"")</f>
        <v>70</v>
      </c>
      <c r="V49" s="377"/>
      <c r="W49" s="78">
        <f>IF('Data Summary'!C176="PASS",'Data - Sample Type 1'!FO48,"")</f>
        <v>73.599999999999994</v>
      </c>
      <c r="X49" s="374"/>
      <c r="AA49" s="67"/>
      <c r="AH49" s="329"/>
      <c r="AJ49" s="329"/>
      <c r="AL49" s="329"/>
      <c r="AN49" s="329"/>
    </row>
    <row r="50" spans="7:40" ht="14" customHeight="1" x14ac:dyDescent="0.15">
      <c r="G50" s="391"/>
      <c r="H50" s="163">
        <f>IF('Data Summary'!C72="PASS",IF('Data - Sample Type 0'!AE49=0,40,'Data - Sample Type 0'!AE49),"")</f>
        <v>40</v>
      </c>
      <c r="I50" s="387"/>
      <c r="J50" s="163">
        <f>IF('Data Summary'!C72="PASS",IF('Data Summary'!A72="","",'Data - Sample Type 0'!Q49),"")</f>
        <v>24.7</v>
      </c>
      <c r="K50" s="394"/>
      <c r="N50" s="386"/>
      <c r="O50" s="220">
        <f>IF('Data Summary'!C177="PASS",IF('Data - Sample Type 1'!AE49=0,40,'Data - Sample Type 1'!AE49),"")</f>
        <v>25.8</v>
      </c>
      <c r="P50" s="228">
        <f>IF('Data Summary'!C177="PASS",IF('Data - Sample Type 1'!AS49=0,40,'Data - Sample Type 1'!AS49),"")</f>
        <v>23.3</v>
      </c>
      <c r="Q50" s="228">
        <f>IF('Data Summary'!C177="PASS",IF('Data - Sample Type 1'!BG49=0,40,'Data - Sample Type 1'!BG49),"")</f>
        <v>24.3</v>
      </c>
      <c r="R50" s="235">
        <f>IF('Data Summary'!C177="PASS",IF('Data - Sample Type 1'!CI49=0,40,'Data - Sample Type 1'!CI49),"")</f>
        <v>21.9</v>
      </c>
      <c r="S50" s="236">
        <f>IF('Data Summary'!C177="PASS",'Data - Sample Type 1'!DK49,"")</f>
        <v>69.5</v>
      </c>
      <c r="T50" s="378"/>
      <c r="U50" s="228">
        <f>IF('Data Summary'!C177="PASS",'Data - Sample Type 1'!EY49,"")</f>
        <v>70.099999999999994</v>
      </c>
      <c r="V50" s="378"/>
      <c r="W50" s="228">
        <f>IF('Data Summary'!C177="PASS",'Data - Sample Type 1'!FO49,"")</f>
        <v>73.599999999999994</v>
      </c>
      <c r="X50" s="376"/>
      <c r="AA50" s="67"/>
      <c r="AH50" s="329"/>
      <c r="AJ50" s="329"/>
      <c r="AL50" s="329"/>
      <c r="AN50" s="329"/>
    </row>
    <row r="51" spans="7:40" x14ac:dyDescent="0.15">
      <c r="G51" s="391"/>
      <c r="H51" s="163">
        <f>IF('Data Summary'!C73="PASS",IF('Data - Sample Type 0'!AE50=0,40,'Data - Sample Type 0'!AE50),"")</f>
        <v>40</v>
      </c>
      <c r="I51" s="387"/>
      <c r="J51" s="163">
        <f>IF('Data Summary'!C73="PASS",IF('Data Summary'!A73="","",'Data - Sample Type 0'!Q50),"")</f>
        <v>24.8</v>
      </c>
      <c r="K51" s="394"/>
      <c r="N51" s="384">
        <v>7</v>
      </c>
      <c r="O51" s="218">
        <f>IF('Data Summary'!C178="PASS",IF('Data - Sample Type 1'!AE50=0,40,'Data - Sample Type 1'!AE50),"")</f>
        <v>25.3</v>
      </c>
      <c r="P51" s="225">
        <f>IF('Data Summary'!C178="PASS",IF('Data - Sample Type 1'!AS50=0,40,'Data - Sample Type 1'!AS50),"")</f>
        <v>22.6</v>
      </c>
      <c r="Q51" s="225">
        <f>IF('Data Summary'!C178="PASS",IF('Data - Sample Type 1'!BG50=0,40,'Data - Sample Type 1'!BG50),"")</f>
        <v>23.5</v>
      </c>
      <c r="R51" s="229">
        <f>IF('Data Summary'!C178="PASS",IF('Data - Sample Type 1'!CI50=0,40,'Data - Sample Type 1'!CI50),"")</f>
        <v>21.2</v>
      </c>
      <c r="S51" s="230">
        <f>IF('Data Summary'!C178="PASS",'Data - Sample Type 1'!DK50,"")</f>
        <v>69.400000000000006</v>
      </c>
      <c r="T51" s="379">
        <f>ROUND(AVERAGE(S51:S58),1)</f>
        <v>69.3</v>
      </c>
      <c r="U51" s="225">
        <f>IF('Data Summary'!C178="PASS",'Data - Sample Type 1'!EY50,"")</f>
        <v>70</v>
      </c>
      <c r="V51" s="379">
        <f>ROUND(AVERAGE(U51:U58),1)</f>
        <v>70</v>
      </c>
      <c r="W51" s="225">
        <f>IF('Data Summary'!C178="PASS",'Data - Sample Type 1'!FO50,"")</f>
        <v>73.599999999999994</v>
      </c>
      <c r="X51" s="373">
        <f>ROUND(AVERAGE(W51:W58),1)</f>
        <v>73.5</v>
      </c>
      <c r="AA51" s="67"/>
      <c r="AH51" s="329"/>
      <c r="AJ51" s="329"/>
      <c r="AL51" s="329"/>
      <c r="AN51" s="329"/>
    </row>
    <row r="52" spans="7:40" ht="14" customHeight="1" x14ac:dyDescent="0.15">
      <c r="G52" s="392"/>
      <c r="H52" s="168">
        <f>IF('Data Summary'!C74="PASS",IF('Data - Sample Type 0'!AE51=0,40,'Data - Sample Type 0'!AE51),"")</f>
        <v>40</v>
      </c>
      <c r="I52" s="388"/>
      <c r="J52" s="168">
        <f>IF('Data Summary'!C74="PASS",IF('Data Summary'!A74="","",'Data - Sample Type 0'!Q51),"")</f>
        <v>24.8</v>
      </c>
      <c r="K52" s="395"/>
      <c r="N52" s="385"/>
      <c r="O52" s="219">
        <f>IF('Data Summary'!C179="PASS",IF('Data - Sample Type 1'!AE51=0,40,'Data - Sample Type 1'!AE51),"")</f>
        <v>27.1</v>
      </c>
      <c r="P52" s="78">
        <f>IF('Data Summary'!C179="PASS",IF('Data - Sample Type 1'!AS51=0,40,'Data - Sample Type 1'!AS51),"")</f>
        <v>24.2</v>
      </c>
      <c r="Q52" s="78">
        <f>IF('Data Summary'!C179="PASS",IF('Data - Sample Type 1'!BG51=0,40,'Data - Sample Type 1'!BG51),"")</f>
        <v>25.2</v>
      </c>
      <c r="R52" s="231">
        <f>IF('Data Summary'!C179="PASS",IF('Data - Sample Type 1'!CI51=0,40,'Data - Sample Type 1'!CI51),"")</f>
        <v>22.7</v>
      </c>
      <c r="S52" s="232">
        <f>IF('Data Summary'!C179="PASS",'Data - Sample Type 1'!DK51,"")</f>
        <v>69.400000000000006</v>
      </c>
      <c r="T52" s="377"/>
      <c r="U52" s="78">
        <f>IF('Data Summary'!C179="PASS",'Data - Sample Type 1'!EY51,"")</f>
        <v>70.099999999999994</v>
      </c>
      <c r="V52" s="377"/>
      <c r="W52" s="78">
        <f>IF('Data Summary'!C179="PASS",'Data - Sample Type 1'!FO51,"")</f>
        <v>73.599999999999994</v>
      </c>
      <c r="X52" s="374"/>
      <c r="AA52" s="67"/>
      <c r="AH52" s="329"/>
      <c r="AJ52" s="329"/>
      <c r="AL52" s="329"/>
      <c r="AN52" s="329"/>
    </row>
    <row r="53" spans="7:40" x14ac:dyDescent="0.15">
      <c r="G53" s="390">
        <v>6</v>
      </c>
      <c r="H53" s="167">
        <f>IF('Data Summary'!C75="PASS",IF('Data - Sample Type 0'!AE52=0,40,'Data - Sample Type 0'!AE52),"")</f>
        <v>40</v>
      </c>
      <c r="I53" s="389">
        <f>ROUND(AVERAGE(H53:H62),1)</f>
        <v>40</v>
      </c>
      <c r="J53" s="167">
        <f>IF('Data Summary'!C75="PASS",IF('Data Summary'!A75="","",'Data - Sample Type 0'!Q52),"")</f>
        <v>25</v>
      </c>
      <c r="K53" s="396">
        <f>ROUND(AVERAGE(J53:J62),1)</f>
        <v>24.5</v>
      </c>
      <c r="N53" s="385"/>
      <c r="O53" s="219" t="str">
        <f>IF('Data Summary'!C180="PASS",IF('Data - Sample Type 1'!AE52=0,40,'Data - Sample Type 1'!AE52),"")</f>
        <v/>
      </c>
      <c r="P53" s="78" t="str">
        <f>IF('Data Summary'!C180="PASS",IF('Data - Sample Type 1'!AS52=0,40,'Data - Sample Type 1'!AS52),"")</f>
        <v/>
      </c>
      <c r="Q53" s="78" t="str">
        <f>IF('Data Summary'!C180="PASS",IF('Data - Sample Type 1'!BG52=0,40,'Data - Sample Type 1'!BG52),"")</f>
        <v/>
      </c>
      <c r="R53" s="231" t="str">
        <f>IF('Data Summary'!C180="PASS",IF('Data - Sample Type 1'!CI52=0,40,'Data - Sample Type 1'!CI52),"")</f>
        <v/>
      </c>
      <c r="S53" s="232" t="str">
        <f>IF('Data Summary'!C180="PASS",'Data - Sample Type 1'!DK52,"")</f>
        <v/>
      </c>
      <c r="T53" s="377"/>
      <c r="U53" s="78" t="str">
        <f>IF('Data Summary'!C180="PASS",'Data - Sample Type 1'!EY52,"")</f>
        <v/>
      </c>
      <c r="V53" s="377"/>
      <c r="W53" s="78" t="str">
        <f>IF('Data Summary'!C180="PASS",'Data - Sample Type 1'!FO52,"")</f>
        <v/>
      </c>
      <c r="X53" s="374"/>
      <c r="AA53" s="67"/>
      <c r="AH53" s="329"/>
      <c r="AJ53" s="329"/>
      <c r="AL53" s="329"/>
      <c r="AN53" s="329"/>
    </row>
    <row r="54" spans="7:40" x14ac:dyDescent="0.15">
      <c r="G54" s="391"/>
      <c r="H54" s="163">
        <f>IF('Data Summary'!C76="PASS",IF('Data - Sample Type 0'!AE53=0,40,'Data - Sample Type 0'!AE53),"")</f>
        <v>40</v>
      </c>
      <c r="I54" s="387"/>
      <c r="J54" s="163">
        <f>IF('Data Summary'!C76="PASS",IF('Data Summary'!A76="","",'Data - Sample Type 0'!Q53),"")</f>
        <v>25.8</v>
      </c>
      <c r="K54" s="394"/>
      <c r="N54" s="385"/>
      <c r="O54" s="219">
        <f>IF('Data Summary'!C181="PASS",IF('Data - Sample Type 1'!AE53=0,40,'Data - Sample Type 1'!AE53),"")</f>
        <v>27.1</v>
      </c>
      <c r="P54" s="78">
        <f>IF('Data Summary'!C181="PASS",IF('Data - Sample Type 1'!AS53=0,40,'Data - Sample Type 1'!AS53),"")</f>
        <v>24.4</v>
      </c>
      <c r="Q54" s="78">
        <f>IF('Data Summary'!C181="PASS",IF('Data - Sample Type 1'!BG53=0,40,'Data - Sample Type 1'!BG53),"")</f>
        <v>25.9</v>
      </c>
      <c r="R54" s="231">
        <f>IF('Data Summary'!C181="PASS",IF('Data - Sample Type 1'!CI53=0,40,'Data - Sample Type 1'!CI53),"")</f>
        <v>23.4</v>
      </c>
      <c r="S54" s="232">
        <f>IF('Data Summary'!C181="PASS",'Data - Sample Type 1'!DK53,"")</f>
        <v>69.099999999999994</v>
      </c>
      <c r="T54" s="377"/>
      <c r="U54" s="78">
        <f>IF('Data Summary'!C181="PASS",'Data - Sample Type 1'!EY53,"")</f>
        <v>69.8</v>
      </c>
      <c r="V54" s="377"/>
      <c r="W54" s="78">
        <f>IF('Data Summary'!C181="PASS",'Data - Sample Type 1'!FO53,"")</f>
        <v>73.400000000000006</v>
      </c>
      <c r="X54" s="374"/>
      <c r="AA54" s="67"/>
      <c r="AH54" s="329"/>
      <c r="AJ54" s="329"/>
      <c r="AL54" s="329"/>
      <c r="AN54" s="329"/>
    </row>
    <row r="55" spans="7:40" x14ac:dyDescent="0.15">
      <c r="G55" s="391">
        <v>6</v>
      </c>
      <c r="H55" s="163">
        <f>IF('Data Summary'!C77="PASS",IF('Data - Sample Type 0'!AE54=0,40,'Data - Sample Type 0'!AE54),"")</f>
        <v>40</v>
      </c>
      <c r="I55" s="387"/>
      <c r="J55" s="163">
        <f>IF('Data Summary'!C77="PASS",IF('Data Summary'!A77="","",'Data - Sample Type 0'!Q54),"")</f>
        <v>24</v>
      </c>
      <c r="K55" s="394"/>
      <c r="N55" s="385"/>
      <c r="O55" s="219">
        <f>IF('Data Summary'!C182="PASS",IF('Data - Sample Type 1'!AE54=0,40,'Data - Sample Type 1'!AE54),"")</f>
        <v>26.6</v>
      </c>
      <c r="P55" s="78">
        <f>IF('Data Summary'!C182="PASS",IF('Data - Sample Type 1'!AS54=0,40,'Data - Sample Type 1'!AS54),"")</f>
        <v>24.9</v>
      </c>
      <c r="Q55" s="78">
        <f>IF('Data Summary'!C182="PASS",IF('Data - Sample Type 1'!BG54=0,40,'Data - Sample Type 1'!BG54),"")</f>
        <v>25.7</v>
      </c>
      <c r="R55" s="231">
        <f>IF('Data Summary'!C182="PASS",IF('Data - Sample Type 1'!CI54=0,40,'Data - Sample Type 1'!CI54),"")</f>
        <v>23</v>
      </c>
      <c r="S55" s="232">
        <f>IF('Data Summary'!C182="PASS",'Data - Sample Type 1'!DK54,"")</f>
        <v>69.3</v>
      </c>
      <c r="T55" s="377" t="str">
        <f>IF(COUNTIF(S51:S58,"&gt;0")=8-COUNTIF(S51:S58,""),"PASS","FAIL")</f>
        <v>PASS</v>
      </c>
      <c r="U55" s="78">
        <f>IF('Data Summary'!C182="PASS",'Data - Sample Type 1'!EY54,"")</f>
        <v>69.900000000000006</v>
      </c>
      <c r="V55" s="377" t="str">
        <f>IF(COUNTIF(U51:U58,"&gt;0")=8-COUNTIF(U51:U58,""),"PASS","FAIL")</f>
        <v>PASS</v>
      </c>
      <c r="W55" s="78">
        <f>IF('Data Summary'!C182="PASS",'Data - Sample Type 1'!FO54,"")</f>
        <v>73.400000000000006</v>
      </c>
      <c r="X55" s="374" t="str">
        <f>IF(COUNTIF(W51:W58,"&gt;0")=8-COUNTIF(W51:W58,""),"PASS","FAIL")</f>
        <v>PASS</v>
      </c>
      <c r="AA55" s="67"/>
      <c r="AH55" s="329"/>
      <c r="AJ55" s="329"/>
      <c r="AL55" s="329"/>
      <c r="AN55" s="329"/>
    </row>
    <row r="56" spans="7:40" x14ac:dyDescent="0.15">
      <c r="G56" s="391"/>
      <c r="H56" s="163">
        <f>IF('Data Summary'!C78="PASS",IF('Data - Sample Type 0'!AE55=0,40,'Data - Sample Type 0'!AE55),"")</f>
        <v>40</v>
      </c>
      <c r="I56" s="387"/>
      <c r="J56" s="163">
        <f>IF('Data Summary'!C78="PASS",IF('Data Summary'!A78="","",'Data - Sample Type 0'!Q55),"")</f>
        <v>24.5</v>
      </c>
      <c r="K56" s="394"/>
      <c r="N56" s="385"/>
      <c r="O56" s="219">
        <f>IF('Data Summary'!C183="PASS",IF('Data - Sample Type 1'!AE55=0,40,'Data - Sample Type 1'!AE55),"")</f>
        <v>26.9</v>
      </c>
      <c r="P56" s="78">
        <f>IF('Data Summary'!C183="PASS",IF('Data - Sample Type 1'!AS55=0,40,'Data - Sample Type 1'!AS55),"")</f>
        <v>24.8</v>
      </c>
      <c r="Q56" s="78">
        <f>IF('Data Summary'!C183="PASS",IF('Data - Sample Type 1'!BG55=0,40,'Data - Sample Type 1'!BG55),"")</f>
        <v>25.9</v>
      </c>
      <c r="R56" s="231">
        <f>IF('Data Summary'!C183="PASS",IF('Data - Sample Type 1'!CI55=0,40,'Data - Sample Type 1'!CI55),"")</f>
        <v>23.6</v>
      </c>
      <c r="S56" s="232">
        <f>IF('Data Summary'!C183="PASS",'Data - Sample Type 1'!DK55,"")</f>
        <v>69.400000000000006</v>
      </c>
      <c r="T56" s="377"/>
      <c r="U56" s="78">
        <f>IF('Data Summary'!C183="PASS",'Data - Sample Type 1'!EY55,"")</f>
        <v>69.900000000000006</v>
      </c>
      <c r="V56" s="377"/>
      <c r="W56" s="78">
        <f>IF('Data Summary'!C183="PASS",'Data - Sample Type 1'!FO55,"")</f>
        <v>73.5</v>
      </c>
      <c r="X56" s="374"/>
      <c r="AA56" s="67"/>
      <c r="AH56" s="329"/>
      <c r="AJ56" s="329"/>
      <c r="AL56" s="329"/>
      <c r="AN56" s="329"/>
    </row>
    <row r="57" spans="7:40" ht="14" customHeight="1" x14ac:dyDescent="0.15">
      <c r="G57" s="391"/>
      <c r="H57" s="163">
        <f>IF('Data Summary'!C79="PASS",IF('Data - Sample Type 0'!AE56=0,40,'Data - Sample Type 0'!AE56),"")</f>
        <v>40</v>
      </c>
      <c r="I57" s="387"/>
      <c r="J57" s="163">
        <f>IF('Data Summary'!C79="PASS",IF('Data Summary'!A79="","",'Data - Sample Type 0'!Q56),"")</f>
        <v>23.7</v>
      </c>
      <c r="K57" s="394"/>
      <c r="N57" s="385"/>
      <c r="O57" s="219">
        <f>IF('Data Summary'!C184="PASS",IF('Data - Sample Type 1'!AE56=0,40,'Data - Sample Type 1'!AE56),"")</f>
        <v>26</v>
      </c>
      <c r="P57" s="78">
        <f>IF('Data Summary'!C184="PASS",IF('Data - Sample Type 1'!AS56=0,40,'Data - Sample Type 1'!AS56),"")</f>
        <v>23.3</v>
      </c>
      <c r="Q57" s="78">
        <f>IF('Data Summary'!C184="PASS",IF('Data - Sample Type 1'!BG56=0,40,'Data - Sample Type 1'!BG56),"")</f>
        <v>24.4</v>
      </c>
      <c r="R57" s="231">
        <f>IF('Data Summary'!C184="PASS",IF('Data - Sample Type 1'!CI56=0,40,'Data - Sample Type 1'!CI56),"")</f>
        <v>22.2</v>
      </c>
      <c r="S57" s="232">
        <f>IF('Data Summary'!C184="PASS",'Data - Sample Type 1'!DK56,"")</f>
        <v>69.400000000000006</v>
      </c>
      <c r="T57" s="377"/>
      <c r="U57" s="78">
        <f>IF('Data Summary'!C184="PASS",'Data - Sample Type 1'!EY56,"")</f>
        <v>70.099999999999994</v>
      </c>
      <c r="V57" s="377"/>
      <c r="W57" s="78">
        <f>IF('Data Summary'!C184="PASS",'Data - Sample Type 1'!FO56,"")</f>
        <v>73.599999999999994</v>
      </c>
      <c r="X57" s="374"/>
      <c r="AA57" s="67"/>
      <c r="AH57" s="329"/>
      <c r="AJ57" s="329"/>
      <c r="AL57" s="329"/>
      <c r="AN57" s="329"/>
    </row>
    <row r="58" spans="7:40" x14ac:dyDescent="0.15">
      <c r="G58" s="391"/>
      <c r="H58" s="163">
        <f>IF('Data Summary'!C80="PASS",IF('Data - Sample Type 0'!AE57=0,40,'Data - Sample Type 0'!AE57),"")</f>
        <v>40</v>
      </c>
      <c r="I58" s="387" t="str">
        <f>IF(I53&gt;=Specifications!$D$26,"PASS","FAIL")</f>
        <v>PASS</v>
      </c>
      <c r="J58" s="163">
        <f>IF('Data Summary'!C80="PASS",IF('Data Summary'!A80="","",'Data - Sample Type 0'!Q57),"")</f>
        <v>25.9</v>
      </c>
      <c r="K58" s="394" t="str">
        <f>IF(K53&lt;=Specifications!$B$26,"PASS","FAIL")</f>
        <v>PASS</v>
      </c>
      <c r="N58" s="386"/>
      <c r="O58" s="220">
        <f>IF('Data Summary'!C185="PASS",IF('Data - Sample Type 1'!AE57=0,40,'Data - Sample Type 1'!AE57),"")</f>
        <v>26.5</v>
      </c>
      <c r="P58" s="228">
        <f>IF('Data Summary'!C185="PASS",IF('Data - Sample Type 1'!AS57=0,40,'Data - Sample Type 1'!AS57),"")</f>
        <v>23.5</v>
      </c>
      <c r="Q58" s="228">
        <f>IF('Data Summary'!C185="PASS",IF('Data - Sample Type 1'!BG57=0,40,'Data - Sample Type 1'!BG57),"")</f>
        <v>24.6</v>
      </c>
      <c r="R58" s="235">
        <f>IF('Data Summary'!C185="PASS",IF('Data - Sample Type 1'!CI57=0,40,'Data - Sample Type 1'!CI57),"")</f>
        <v>22.4</v>
      </c>
      <c r="S58" s="236">
        <f>IF('Data Summary'!C185="PASS",'Data - Sample Type 1'!DK57,"")</f>
        <v>69.3</v>
      </c>
      <c r="T58" s="378"/>
      <c r="U58" s="228">
        <f>IF('Data Summary'!C185="PASS",'Data - Sample Type 1'!EY57,"")</f>
        <v>69.900000000000006</v>
      </c>
      <c r="V58" s="378"/>
      <c r="W58" s="228">
        <f>IF('Data Summary'!C185="PASS",'Data - Sample Type 1'!FO57,"")</f>
        <v>73.400000000000006</v>
      </c>
      <c r="X58" s="376"/>
      <c r="AA58" s="67"/>
      <c r="AH58" s="329"/>
      <c r="AJ58" s="329"/>
      <c r="AL58" s="329"/>
      <c r="AN58" s="329"/>
    </row>
    <row r="59" spans="7:40" ht="13.25" customHeight="1" x14ac:dyDescent="0.15">
      <c r="G59" s="391"/>
      <c r="H59" s="163">
        <f>IF('Data Summary'!C81="PASS",IF('Data - Sample Type 0'!AE58=0,40,'Data - Sample Type 0'!AE58),"")</f>
        <v>40</v>
      </c>
      <c r="I59" s="387"/>
      <c r="J59" s="163">
        <f>IF('Data Summary'!C81="PASS",IF('Data Summary'!A81="","",'Data - Sample Type 0'!Q58),"")</f>
        <v>24.2</v>
      </c>
      <c r="K59" s="394"/>
      <c r="N59" s="384">
        <v>8</v>
      </c>
      <c r="O59" s="218">
        <f>IF('Data Summary'!C186="PASS",IF('Data - Sample Type 1'!AE58=0,40,'Data - Sample Type 1'!AE58),"")</f>
        <v>27.7</v>
      </c>
      <c r="P59" s="225">
        <f>IF('Data Summary'!C186="PASS",IF('Data - Sample Type 1'!AS58=0,40,'Data - Sample Type 1'!AS58),"")</f>
        <v>26</v>
      </c>
      <c r="Q59" s="225">
        <f>IF('Data Summary'!C186="PASS",IF('Data - Sample Type 1'!BG58=0,40,'Data - Sample Type 1'!BG58),"")</f>
        <v>26.9</v>
      </c>
      <c r="R59" s="229">
        <f>IF('Data Summary'!C186="PASS",IF('Data - Sample Type 1'!CI58=0,40,'Data - Sample Type 1'!CI58),"")</f>
        <v>24.6</v>
      </c>
      <c r="S59" s="230">
        <f>IF('Data Summary'!C186="PASS",'Data - Sample Type 1'!DK58,"")</f>
        <v>69.400000000000006</v>
      </c>
      <c r="T59" s="379">
        <f>ROUND(AVERAGE(S59:S66),1)</f>
        <v>69.3</v>
      </c>
      <c r="U59" s="225">
        <f>IF('Data Summary'!C186="PASS",'Data - Sample Type 1'!EY58,"")</f>
        <v>70.2</v>
      </c>
      <c r="V59" s="379">
        <f>ROUND(AVERAGE(U59:U66),1)</f>
        <v>70</v>
      </c>
      <c r="W59" s="225">
        <f>IF('Data Summary'!C186="PASS",'Data - Sample Type 1'!FO58,"")</f>
        <v>73.599999999999994</v>
      </c>
      <c r="X59" s="373">
        <f>ROUND(AVERAGE(W59:W66),1)</f>
        <v>73.5</v>
      </c>
      <c r="AA59" s="67"/>
      <c r="AH59" s="329"/>
      <c r="AJ59" s="329"/>
      <c r="AL59" s="329"/>
      <c r="AN59" s="329"/>
    </row>
    <row r="60" spans="7:40" x14ac:dyDescent="0.15">
      <c r="G60" s="391"/>
      <c r="H60" s="163">
        <f>IF('Data Summary'!C82="PASS",IF('Data - Sample Type 0'!AE59=0,40,'Data - Sample Type 0'!AE59),"")</f>
        <v>40</v>
      </c>
      <c r="I60" s="387"/>
      <c r="J60" s="163">
        <f>IF('Data Summary'!C82="PASS",IF('Data Summary'!A82="","",'Data - Sample Type 0'!Q59),"")</f>
        <v>24.1</v>
      </c>
      <c r="K60" s="394"/>
      <c r="N60" s="385"/>
      <c r="O60" s="219">
        <f>IF('Data Summary'!C187="PASS",IF('Data - Sample Type 1'!AE59=0,40,'Data - Sample Type 1'!AE59),"")</f>
        <v>26.6</v>
      </c>
      <c r="P60" s="78">
        <f>IF('Data Summary'!C187="PASS",IF('Data - Sample Type 1'!AS59=0,40,'Data - Sample Type 1'!AS59),"")</f>
        <v>24.6</v>
      </c>
      <c r="Q60" s="78">
        <f>IF('Data Summary'!C187="PASS",IF('Data - Sample Type 1'!BG59=0,40,'Data - Sample Type 1'!BG59),"")</f>
        <v>25.8</v>
      </c>
      <c r="R60" s="231">
        <f>IF('Data Summary'!C187="PASS",IF('Data - Sample Type 1'!CI59=0,40,'Data - Sample Type 1'!CI59),"")</f>
        <v>23</v>
      </c>
      <c r="S60" s="232">
        <f>IF('Data Summary'!C187="PASS",'Data - Sample Type 1'!DK59,"")</f>
        <v>69.3</v>
      </c>
      <c r="T60" s="377"/>
      <c r="U60" s="78">
        <f>IF('Data Summary'!C187="PASS",'Data - Sample Type 1'!EY59,"")</f>
        <v>69.900000000000006</v>
      </c>
      <c r="V60" s="377"/>
      <c r="W60" s="78">
        <f>IF('Data Summary'!C187="PASS",'Data - Sample Type 1'!FO59,"")</f>
        <v>73.400000000000006</v>
      </c>
      <c r="X60" s="374"/>
      <c r="AA60" s="67"/>
      <c r="AH60" s="329"/>
      <c r="AJ60" s="329"/>
      <c r="AL60" s="329"/>
      <c r="AN60" s="329"/>
    </row>
    <row r="61" spans="7:40" x14ac:dyDescent="0.15">
      <c r="G61" s="391"/>
      <c r="H61" s="163">
        <f>IF('Data Summary'!C83="PASS",IF('Data - Sample Type 0'!AE60=0,40,'Data - Sample Type 0'!AE60),"")</f>
        <v>40</v>
      </c>
      <c r="I61" s="387"/>
      <c r="J61" s="163">
        <f>IF('Data Summary'!C83="PASS",IF('Data Summary'!A83="","",'Data - Sample Type 0'!Q60),"")</f>
        <v>24</v>
      </c>
      <c r="K61" s="394"/>
      <c r="N61" s="385"/>
      <c r="O61" s="219">
        <f>IF('Data Summary'!C188="PASS",IF('Data - Sample Type 1'!AE60=0,40,'Data - Sample Type 1'!AE60),"")</f>
        <v>28</v>
      </c>
      <c r="P61" s="78">
        <f>IF('Data Summary'!C188="PASS",IF('Data - Sample Type 1'!AS60=0,40,'Data - Sample Type 1'!AS60),"")</f>
        <v>25.7</v>
      </c>
      <c r="Q61" s="78">
        <f>IF('Data Summary'!C188="PASS",IF('Data - Sample Type 1'!BG60=0,40,'Data - Sample Type 1'!BG60),"")</f>
        <v>26.7</v>
      </c>
      <c r="R61" s="231">
        <f>IF('Data Summary'!C188="PASS",IF('Data - Sample Type 1'!CI60=0,40,'Data - Sample Type 1'!CI60),"")</f>
        <v>24.6</v>
      </c>
      <c r="S61" s="232">
        <f>IF('Data Summary'!C188="PASS",'Data - Sample Type 1'!DK60,"")</f>
        <v>69.5</v>
      </c>
      <c r="T61" s="377"/>
      <c r="U61" s="78">
        <f>IF('Data Summary'!C188="PASS",'Data - Sample Type 1'!EY60,"")</f>
        <v>70</v>
      </c>
      <c r="V61" s="377"/>
      <c r="W61" s="78">
        <f>IF('Data Summary'!C188="PASS",'Data - Sample Type 1'!FO60,"")</f>
        <v>73.599999999999994</v>
      </c>
      <c r="X61" s="374"/>
      <c r="AA61" s="67"/>
      <c r="AH61" s="329"/>
      <c r="AJ61" s="329"/>
      <c r="AL61" s="329"/>
      <c r="AN61" s="329"/>
    </row>
    <row r="62" spans="7:40" x14ac:dyDescent="0.15">
      <c r="G62" s="392"/>
      <c r="H62" s="168">
        <f>IF('Data Summary'!C84="PASS",IF('Data - Sample Type 0'!AE61=0,40,'Data - Sample Type 0'!AE61),"")</f>
        <v>40</v>
      </c>
      <c r="I62" s="388"/>
      <c r="J62" s="168">
        <f>IF('Data Summary'!C84="PASS",IF('Data Summary'!A84="","",'Data - Sample Type 0'!Q61),"")</f>
        <v>23.7</v>
      </c>
      <c r="K62" s="395"/>
      <c r="N62" s="385"/>
      <c r="O62" s="219">
        <f>IF('Data Summary'!C189="PASS",IF('Data - Sample Type 1'!AE61=0,40,'Data - Sample Type 1'!AE61),"")</f>
        <v>26.4</v>
      </c>
      <c r="P62" s="78">
        <f>IF('Data Summary'!C189="PASS",IF('Data - Sample Type 1'!AS61=0,40,'Data - Sample Type 1'!AS61),"")</f>
        <v>23.5</v>
      </c>
      <c r="Q62" s="78">
        <f>IF('Data Summary'!C189="PASS",IF('Data - Sample Type 1'!BG61=0,40,'Data - Sample Type 1'!BG61),"")</f>
        <v>24.7</v>
      </c>
      <c r="R62" s="231">
        <f>IF('Data Summary'!C189="PASS",IF('Data - Sample Type 1'!CI61=0,40,'Data - Sample Type 1'!CI61),"")</f>
        <v>22.4</v>
      </c>
      <c r="S62" s="232">
        <f>IF('Data Summary'!C189="PASS",'Data - Sample Type 1'!DK61,"")</f>
        <v>69.2</v>
      </c>
      <c r="T62" s="377"/>
      <c r="U62" s="78">
        <f>IF('Data Summary'!C189="PASS",'Data - Sample Type 1'!EY61,"")</f>
        <v>69.900000000000006</v>
      </c>
      <c r="V62" s="377"/>
      <c r="W62" s="78">
        <f>IF('Data Summary'!C189="PASS",'Data - Sample Type 1'!FO61,"")</f>
        <v>73.400000000000006</v>
      </c>
      <c r="X62" s="374"/>
      <c r="AA62" s="67"/>
      <c r="AH62" s="329"/>
      <c r="AJ62" s="329"/>
      <c r="AL62" s="329"/>
      <c r="AN62" s="329"/>
    </row>
    <row r="63" spans="7:40" x14ac:dyDescent="0.15">
      <c r="G63" s="390">
        <v>7</v>
      </c>
      <c r="H63" s="167">
        <f>IF('Data Summary'!C85="PASS",IF('Data - Sample Type 0'!AE62=0,40,'Data - Sample Type 0'!AE62),"")</f>
        <v>40</v>
      </c>
      <c r="I63" s="389">
        <f>ROUND(AVERAGE(H63:H72),1)</f>
        <v>40</v>
      </c>
      <c r="J63" s="167">
        <f>IF('Data Summary'!C85="PASS",IF('Data Summary'!A85="","",'Data - Sample Type 0'!Q62),"")</f>
        <v>24.5</v>
      </c>
      <c r="K63" s="396">
        <f>ROUND(AVERAGE(J63:J72),1)</f>
        <v>24.6</v>
      </c>
      <c r="N63" s="385"/>
      <c r="O63" s="219">
        <f>IF('Data Summary'!C190="PASS",IF('Data - Sample Type 1'!AE62=0,40,'Data - Sample Type 1'!AE62),"")</f>
        <v>27.7</v>
      </c>
      <c r="P63" s="78">
        <f>IF('Data Summary'!C190="PASS",IF('Data - Sample Type 1'!AS62=0,40,'Data - Sample Type 1'!AS62),"")</f>
        <v>26</v>
      </c>
      <c r="Q63" s="78">
        <f>IF('Data Summary'!C190="PASS",IF('Data - Sample Type 1'!BG62=0,40,'Data - Sample Type 1'!BG62),"")</f>
        <v>27.4</v>
      </c>
      <c r="R63" s="231">
        <f>IF('Data Summary'!C190="PASS",IF('Data - Sample Type 1'!CI62=0,40,'Data - Sample Type 1'!CI62),"")</f>
        <v>24.8</v>
      </c>
      <c r="S63" s="232">
        <f>IF('Data Summary'!C190="PASS",'Data - Sample Type 1'!DK62,"")</f>
        <v>69.400000000000006</v>
      </c>
      <c r="T63" s="377" t="str">
        <f>IF(COUNTIF(S59:S66,"&gt;0")=8-COUNTIF(S59:S66,""),"PASS","FAIL")</f>
        <v>PASS</v>
      </c>
      <c r="U63" s="78">
        <f>IF('Data Summary'!C190="PASS",'Data - Sample Type 1'!EY62,"")</f>
        <v>70.099999999999994</v>
      </c>
      <c r="V63" s="377" t="str">
        <f>IF(COUNTIF(U59:U66,"&gt;0")=8-COUNTIF(U59:U66,""),"PASS","FAIL")</f>
        <v>PASS</v>
      </c>
      <c r="W63" s="78">
        <f>IF('Data Summary'!C190="PASS",'Data - Sample Type 1'!FO62,"")</f>
        <v>73.5</v>
      </c>
      <c r="X63" s="374" t="str">
        <f>IF(COUNTIF(W59:W66,"&gt;0")=8-COUNTIF(W59:W66,""),"PASS","FAIL")</f>
        <v>PASS</v>
      </c>
      <c r="AA63" s="67"/>
      <c r="AH63" s="329"/>
      <c r="AJ63" s="329"/>
      <c r="AL63" s="329"/>
      <c r="AN63" s="329"/>
    </row>
    <row r="64" spans="7:40" ht="14" customHeight="1" x14ac:dyDescent="0.15">
      <c r="G64" s="391"/>
      <c r="H64" s="163">
        <f>IF('Data Summary'!C86="PASS",IF('Data - Sample Type 0'!AE63=0,40,'Data - Sample Type 0'!AE63),"")</f>
        <v>40</v>
      </c>
      <c r="I64" s="387"/>
      <c r="J64" s="163">
        <f>IF('Data Summary'!C86="PASS",IF('Data Summary'!A86="","",'Data - Sample Type 0'!Q63),"")</f>
        <v>24.1</v>
      </c>
      <c r="K64" s="394"/>
      <c r="N64" s="385"/>
      <c r="O64" s="219">
        <f>IF('Data Summary'!C191="PASS",IF('Data - Sample Type 1'!AE63=0,40,'Data - Sample Type 1'!AE63),"")</f>
        <v>25.9</v>
      </c>
      <c r="P64" s="78">
        <f>IF('Data Summary'!C191="PASS",IF('Data - Sample Type 1'!AS63=0,40,'Data - Sample Type 1'!AS63),"")</f>
        <v>24</v>
      </c>
      <c r="Q64" s="78">
        <f>IF('Data Summary'!C191="PASS",IF('Data - Sample Type 1'!BG63=0,40,'Data - Sample Type 1'!BG63),"")</f>
        <v>24.8</v>
      </c>
      <c r="R64" s="231">
        <f>IF('Data Summary'!C191="PASS",IF('Data - Sample Type 1'!CI63=0,40,'Data - Sample Type 1'!CI63),"")</f>
        <v>22.4</v>
      </c>
      <c r="S64" s="232">
        <f>IF('Data Summary'!C191="PASS",'Data - Sample Type 1'!DK63,"")</f>
        <v>69.2</v>
      </c>
      <c r="T64" s="377"/>
      <c r="U64" s="78">
        <f>IF('Data Summary'!C191="PASS",'Data - Sample Type 1'!EY63,"")</f>
        <v>69.8</v>
      </c>
      <c r="V64" s="377"/>
      <c r="W64" s="78">
        <f>IF('Data Summary'!C191="PASS",'Data - Sample Type 1'!FO63,"")</f>
        <v>73.3</v>
      </c>
      <c r="X64" s="374"/>
      <c r="AA64" s="67"/>
      <c r="AH64" s="329"/>
      <c r="AJ64" s="329"/>
      <c r="AL64" s="329"/>
      <c r="AN64" s="329"/>
    </row>
    <row r="65" spans="7:40" x14ac:dyDescent="0.15">
      <c r="G65" s="391"/>
      <c r="H65" s="163">
        <f>IF('Data Summary'!C87="PASS",IF('Data - Sample Type 0'!AE64=0,40,'Data - Sample Type 0'!AE64),"")</f>
        <v>40</v>
      </c>
      <c r="I65" s="387"/>
      <c r="J65" s="163">
        <f>IF('Data Summary'!C87="PASS",IF('Data Summary'!A87="","",'Data - Sample Type 0'!Q64),"")</f>
        <v>24.7</v>
      </c>
      <c r="K65" s="394"/>
      <c r="N65" s="385"/>
      <c r="O65" s="219">
        <f>IF('Data Summary'!C192="PASS",IF('Data - Sample Type 1'!AE64=0,40,'Data - Sample Type 1'!AE64),"")</f>
        <v>26.9</v>
      </c>
      <c r="P65" s="78">
        <f>IF('Data Summary'!C192="PASS",IF('Data - Sample Type 1'!AS64=0,40,'Data - Sample Type 1'!AS64),"")</f>
        <v>24.6</v>
      </c>
      <c r="Q65" s="78">
        <f>IF('Data Summary'!C192="PASS",IF('Data - Sample Type 1'!BG64=0,40,'Data - Sample Type 1'!BG64),"")</f>
        <v>25.6</v>
      </c>
      <c r="R65" s="231">
        <f>IF('Data Summary'!C192="PASS",IF('Data - Sample Type 1'!CI64=0,40,'Data - Sample Type 1'!CI64),"")</f>
        <v>23.4</v>
      </c>
      <c r="S65" s="232">
        <f>IF('Data Summary'!C192="PASS",'Data - Sample Type 1'!DK64,"")</f>
        <v>69.3</v>
      </c>
      <c r="T65" s="377"/>
      <c r="U65" s="78">
        <f>IF('Data Summary'!C192="PASS",'Data - Sample Type 1'!EY64,"")</f>
        <v>69.900000000000006</v>
      </c>
      <c r="V65" s="377"/>
      <c r="W65" s="78">
        <f>IF('Data Summary'!C192="PASS",'Data - Sample Type 1'!FO64,"")</f>
        <v>73.5</v>
      </c>
      <c r="X65" s="374"/>
      <c r="AA65" s="67"/>
      <c r="AH65" s="329"/>
      <c r="AJ65" s="329"/>
      <c r="AL65" s="329"/>
      <c r="AN65" s="329"/>
    </row>
    <row r="66" spans="7:40" ht="14" customHeight="1" x14ac:dyDescent="0.15">
      <c r="G66" s="391"/>
      <c r="H66" s="163">
        <f>IF('Data Summary'!C88="PASS",IF('Data - Sample Type 0'!AE65=0,40,'Data - Sample Type 0'!AE65),"")</f>
        <v>40</v>
      </c>
      <c r="I66" s="387"/>
      <c r="J66" s="163">
        <f>IF('Data Summary'!C88="PASS",IF('Data Summary'!A88="","",'Data - Sample Type 0'!Q65),"")</f>
        <v>25.7</v>
      </c>
      <c r="K66" s="394"/>
      <c r="N66" s="386"/>
      <c r="O66" s="220">
        <f>IF('Data Summary'!C193="PASS",IF('Data - Sample Type 1'!AE65=0,40,'Data - Sample Type 1'!AE65),"")</f>
        <v>25.8</v>
      </c>
      <c r="P66" s="228">
        <f>IF('Data Summary'!C193="PASS",IF('Data - Sample Type 1'!AS65=0,40,'Data - Sample Type 1'!AS65),"")</f>
        <v>24.2</v>
      </c>
      <c r="Q66" s="228">
        <f>IF('Data Summary'!C193="PASS",IF('Data - Sample Type 1'!BG65=0,40,'Data - Sample Type 1'!BG65),"")</f>
        <v>25.1</v>
      </c>
      <c r="R66" s="235">
        <f>IF('Data Summary'!C193="PASS",IF('Data - Sample Type 1'!CI65=0,40,'Data - Sample Type 1'!CI65),"")</f>
        <v>23</v>
      </c>
      <c r="S66" s="236">
        <f>IF('Data Summary'!C193="PASS",'Data - Sample Type 1'!DK65,"")</f>
        <v>69.3</v>
      </c>
      <c r="T66" s="378"/>
      <c r="U66" s="228">
        <f>IF('Data Summary'!C193="PASS",'Data - Sample Type 1'!EY65,"")</f>
        <v>70</v>
      </c>
      <c r="V66" s="378"/>
      <c r="W66" s="228">
        <f>IF('Data Summary'!C193="PASS",'Data - Sample Type 1'!FO65,"")</f>
        <v>73.5</v>
      </c>
      <c r="X66" s="376"/>
      <c r="AA66" s="67"/>
      <c r="AH66" s="329"/>
      <c r="AJ66" s="329"/>
      <c r="AL66" s="329"/>
      <c r="AN66" s="329"/>
    </row>
    <row r="67" spans="7:40" x14ac:dyDescent="0.15">
      <c r="G67" s="391">
        <v>7</v>
      </c>
      <c r="H67" s="163">
        <f>IF('Data Summary'!C89="PASS",IF('Data - Sample Type 0'!AE66=0,40,'Data - Sample Type 0'!AE66),"")</f>
        <v>40</v>
      </c>
      <c r="I67" s="387"/>
      <c r="J67" s="163">
        <f>IF('Data Summary'!C89="PASS",IF('Data Summary'!A89="","",'Data - Sample Type 0'!Q66),"")</f>
        <v>24.2</v>
      </c>
      <c r="K67" s="394"/>
      <c r="N67" s="384">
        <v>9</v>
      </c>
      <c r="O67" s="218">
        <f>IF('Data Summary'!C194="PASS",IF('Data - Sample Type 1'!AE66=0,40,'Data - Sample Type 1'!AE66),"")</f>
        <v>25.4</v>
      </c>
      <c r="P67" s="225">
        <f>IF('Data Summary'!C194="PASS",IF('Data - Sample Type 1'!AS66=0,40,'Data - Sample Type 1'!AS66),"")</f>
        <v>23.4</v>
      </c>
      <c r="Q67" s="225">
        <f>IF('Data Summary'!C194="PASS",IF('Data - Sample Type 1'!BG66=0,40,'Data - Sample Type 1'!BG66),"")</f>
        <v>24.4</v>
      </c>
      <c r="R67" s="229">
        <f>IF('Data Summary'!C194="PASS",IF('Data - Sample Type 1'!CI66=0,40,'Data - Sample Type 1'!CI66),"")</f>
        <v>21.9</v>
      </c>
      <c r="S67" s="230">
        <f>IF('Data Summary'!C194="PASS",'Data - Sample Type 1'!DK66,"")</f>
        <v>69.400000000000006</v>
      </c>
      <c r="T67" s="379">
        <f>ROUND(AVERAGE(S67:S74),1)</f>
        <v>69.3</v>
      </c>
      <c r="U67" s="225">
        <f>IF('Data Summary'!C194="PASS",'Data - Sample Type 1'!EY66,"")</f>
        <v>70.099999999999994</v>
      </c>
      <c r="V67" s="379">
        <f>ROUND(AVERAGE(U67:U74),1)</f>
        <v>69.900000000000006</v>
      </c>
      <c r="W67" s="225">
        <f>IF('Data Summary'!C194="PASS",'Data - Sample Type 1'!FO66,"")</f>
        <v>73.7</v>
      </c>
      <c r="X67" s="373">
        <f>ROUND(AVERAGE(W67:W74),1)</f>
        <v>73.5</v>
      </c>
      <c r="AA67" s="67"/>
      <c r="AH67" s="329"/>
      <c r="AJ67" s="329"/>
      <c r="AL67" s="329"/>
      <c r="AN67" s="329"/>
    </row>
    <row r="68" spans="7:40" x14ac:dyDescent="0.15">
      <c r="G68" s="391"/>
      <c r="H68" s="163">
        <f>IF('Data Summary'!C90="PASS",IF('Data - Sample Type 0'!AE67=0,40,'Data - Sample Type 0'!AE67),"")</f>
        <v>40</v>
      </c>
      <c r="I68" s="387" t="str">
        <f>IF(I63&gt;=Specifications!$D$26,"PASS","FAIL")</f>
        <v>PASS</v>
      </c>
      <c r="J68" s="163">
        <f>IF('Data Summary'!C90="PASS",IF('Data Summary'!A90="","",'Data - Sample Type 0'!Q67),"")</f>
        <v>23.8</v>
      </c>
      <c r="K68" s="394" t="str">
        <f>IF(K63&lt;=Specifications!$B$26,"PASS","FAIL")</f>
        <v>PASS</v>
      </c>
      <c r="N68" s="385"/>
      <c r="O68" s="219">
        <f>IF('Data Summary'!C195="PASS",IF('Data - Sample Type 1'!AE67=0,40,'Data - Sample Type 1'!AE67),"")</f>
        <v>26.7</v>
      </c>
      <c r="P68" s="78">
        <f>IF('Data Summary'!C195="PASS",IF('Data - Sample Type 1'!AS67=0,40,'Data - Sample Type 1'!AS67),"")</f>
        <v>24.2</v>
      </c>
      <c r="Q68" s="78">
        <f>IF('Data Summary'!C195="PASS",IF('Data - Sample Type 1'!BG67=0,40,'Data - Sample Type 1'!BG67),"")</f>
        <v>25.1</v>
      </c>
      <c r="R68" s="231">
        <f>IF('Data Summary'!C195="PASS",IF('Data - Sample Type 1'!CI67=0,40,'Data - Sample Type 1'!CI67),"")</f>
        <v>22.3</v>
      </c>
      <c r="S68" s="232">
        <f>IF('Data Summary'!C195="PASS",'Data - Sample Type 1'!DK67,"")</f>
        <v>69.2</v>
      </c>
      <c r="T68" s="377"/>
      <c r="U68" s="78">
        <f>IF('Data Summary'!C195="PASS",'Data - Sample Type 1'!EY67,"")</f>
        <v>69.900000000000006</v>
      </c>
      <c r="V68" s="377"/>
      <c r="W68" s="78">
        <f>IF('Data Summary'!C195="PASS",'Data - Sample Type 1'!FO67,"")</f>
        <v>73.400000000000006</v>
      </c>
      <c r="X68" s="374"/>
      <c r="AA68" s="67"/>
      <c r="AH68" s="329"/>
      <c r="AJ68" s="329"/>
      <c r="AL68" s="329"/>
      <c r="AN68" s="329"/>
    </row>
    <row r="69" spans="7:40" x14ac:dyDescent="0.15">
      <c r="G69" s="391"/>
      <c r="H69" s="163">
        <f>IF('Data Summary'!C91="PASS",IF('Data - Sample Type 0'!AE68=0,40,'Data - Sample Type 0'!AE68),"")</f>
        <v>40</v>
      </c>
      <c r="I69" s="387"/>
      <c r="J69" s="163">
        <f>IF('Data Summary'!C91="PASS",IF('Data Summary'!A91="","",'Data - Sample Type 0'!Q68),"")</f>
        <v>24.8</v>
      </c>
      <c r="K69" s="394"/>
      <c r="N69" s="385"/>
      <c r="O69" s="219">
        <f>IF('Data Summary'!C196="PASS",IF('Data - Sample Type 1'!AE68=0,40,'Data - Sample Type 1'!AE68),"")</f>
        <v>26</v>
      </c>
      <c r="P69" s="78">
        <f>IF('Data Summary'!C196="PASS",IF('Data - Sample Type 1'!AS68=0,40,'Data - Sample Type 1'!AS68),"")</f>
        <v>22.9</v>
      </c>
      <c r="Q69" s="78">
        <f>IF('Data Summary'!C196="PASS",IF('Data - Sample Type 1'!BG68=0,40,'Data - Sample Type 1'!BG68),"")</f>
        <v>23.9</v>
      </c>
      <c r="R69" s="231">
        <f>IF('Data Summary'!C196="PASS",IF('Data - Sample Type 1'!CI68=0,40,'Data - Sample Type 1'!CI68),"")</f>
        <v>21.8</v>
      </c>
      <c r="S69" s="232">
        <f>IF('Data Summary'!C196="PASS",'Data - Sample Type 1'!DK68,"")</f>
        <v>69.2</v>
      </c>
      <c r="T69" s="377"/>
      <c r="U69" s="78">
        <f>IF('Data Summary'!C196="PASS",'Data - Sample Type 1'!EY68,"")</f>
        <v>69.8</v>
      </c>
      <c r="V69" s="377"/>
      <c r="W69" s="78">
        <f>IF('Data Summary'!C196="PASS",'Data - Sample Type 1'!FO68,"")</f>
        <v>73.400000000000006</v>
      </c>
      <c r="X69" s="374"/>
      <c r="AA69" s="67"/>
      <c r="AH69" s="329"/>
      <c r="AJ69" s="329"/>
      <c r="AL69" s="329"/>
      <c r="AN69" s="329"/>
    </row>
    <row r="70" spans="7:40" x14ac:dyDescent="0.15">
      <c r="G70" s="391"/>
      <c r="H70" s="163">
        <f>IF('Data Summary'!C92="PASS",IF('Data - Sample Type 0'!AE69=0,40,'Data - Sample Type 0'!AE69),"")</f>
        <v>40</v>
      </c>
      <c r="I70" s="387"/>
      <c r="J70" s="163">
        <f>IF('Data Summary'!C92="PASS",IF('Data Summary'!A92="","",'Data - Sample Type 0'!Q69),"")</f>
        <v>26.2</v>
      </c>
      <c r="K70" s="394"/>
      <c r="N70" s="385"/>
      <c r="O70" s="219">
        <f>IF('Data Summary'!C197="PASS",IF('Data - Sample Type 1'!AE69=0,40,'Data - Sample Type 1'!AE69),"")</f>
        <v>26.5</v>
      </c>
      <c r="P70" s="78">
        <f>IF('Data Summary'!C197="PASS",IF('Data - Sample Type 1'!AS69=0,40,'Data - Sample Type 1'!AS69),"")</f>
        <v>22.9</v>
      </c>
      <c r="Q70" s="78">
        <f>IF('Data Summary'!C197="PASS",IF('Data - Sample Type 1'!BG69=0,40,'Data - Sample Type 1'!BG69),"")</f>
        <v>24.3</v>
      </c>
      <c r="R70" s="231">
        <f>IF('Data Summary'!C197="PASS",IF('Data - Sample Type 1'!CI69=0,40,'Data - Sample Type 1'!CI69),"")</f>
        <v>21.7</v>
      </c>
      <c r="S70" s="232">
        <f>IF('Data Summary'!C197="PASS",'Data - Sample Type 1'!DK69,"")</f>
        <v>69.099999999999994</v>
      </c>
      <c r="T70" s="377"/>
      <c r="U70" s="78">
        <f>IF('Data Summary'!C197="PASS",'Data - Sample Type 1'!EY69,"")</f>
        <v>69.7</v>
      </c>
      <c r="V70" s="377"/>
      <c r="W70" s="78">
        <f>IF('Data Summary'!C197="PASS",'Data - Sample Type 1'!FO69,"")</f>
        <v>73.3</v>
      </c>
      <c r="X70" s="374"/>
      <c r="AA70" s="67"/>
      <c r="AH70" s="329"/>
      <c r="AJ70" s="329"/>
      <c r="AL70" s="329"/>
      <c r="AN70" s="329"/>
    </row>
    <row r="71" spans="7:40" ht="14" customHeight="1" x14ac:dyDescent="0.15">
      <c r="G71" s="391"/>
      <c r="H71" s="163">
        <f>IF('Data Summary'!C93="PASS",IF('Data - Sample Type 0'!AE70=0,40,'Data - Sample Type 0'!AE70),"")</f>
        <v>40</v>
      </c>
      <c r="I71" s="387"/>
      <c r="J71" s="163">
        <f>IF('Data Summary'!C93="PASS",IF('Data Summary'!A93="","",'Data - Sample Type 0'!Q70),"")</f>
        <v>23.9</v>
      </c>
      <c r="K71" s="394"/>
      <c r="N71" s="385"/>
      <c r="O71" s="219">
        <f>IF('Data Summary'!C198="PASS",IF('Data - Sample Type 1'!AE70=0,40,'Data - Sample Type 1'!AE70),"")</f>
        <v>25.3</v>
      </c>
      <c r="P71" s="78">
        <f>IF('Data Summary'!C198="PASS",IF('Data - Sample Type 1'!AS70=0,40,'Data - Sample Type 1'!AS70),"")</f>
        <v>23.1</v>
      </c>
      <c r="Q71" s="78">
        <f>IF('Data Summary'!C198="PASS",IF('Data - Sample Type 1'!BG70=0,40,'Data - Sample Type 1'!BG70),"")</f>
        <v>23.5</v>
      </c>
      <c r="R71" s="231">
        <f>IF('Data Summary'!C198="PASS",IF('Data - Sample Type 1'!CI70=0,40,'Data - Sample Type 1'!CI70),"")</f>
        <v>20.6</v>
      </c>
      <c r="S71" s="232">
        <f>IF('Data Summary'!C198="PASS",'Data - Sample Type 1'!DK70,"")</f>
        <v>69.2</v>
      </c>
      <c r="T71" s="377" t="str">
        <f>IF(COUNTIF(S67:S74,"&gt;0")=8-COUNTIF(S67:S74,""),"PASS","FAIL")</f>
        <v>PASS</v>
      </c>
      <c r="U71" s="78">
        <f>IF('Data Summary'!C198="PASS",'Data - Sample Type 1'!EY70,"")</f>
        <v>69.8</v>
      </c>
      <c r="V71" s="377" t="str">
        <f>IF(COUNTIF(U67:U74,"&gt;0")=8-COUNTIF(U67:U74,""),"PASS","FAIL")</f>
        <v>PASS</v>
      </c>
      <c r="W71" s="78">
        <f>IF('Data Summary'!C198="PASS",'Data - Sample Type 1'!FO70,"")</f>
        <v>73.400000000000006</v>
      </c>
      <c r="X71" s="374" t="str">
        <f>IF(COUNTIF(W67:W74,"&gt;0")=8-COUNTIF(W67:W74,""),"PASS","FAIL")</f>
        <v>PASS</v>
      </c>
      <c r="AA71" s="67"/>
      <c r="AH71" s="329"/>
      <c r="AJ71" s="329"/>
      <c r="AL71" s="329"/>
      <c r="AN71" s="329"/>
    </row>
    <row r="72" spans="7:40" x14ac:dyDescent="0.15">
      <c r="G72" s="392"/>
      <c r="H72" s="168">
        <f>IF('Data Summary'!C94="PASS",IF('Data - Sample Type 0'!AE71=0,40,'Data - Sample Type 0'!AE71),"")</f>
        <v>40</v>
      </c>
      <c r="I72" s="388"/>
      <c r="J72" s="168">
        <f>IF('Data Summary'!C94="PASS",IF('Data Summary'!A94="","",'Data - Sample Type 0'!Q71),"")</f>
        <v>24.1</v>
      </c>
      <c r="K72" s="395"/>
      <c r="N72" s="385"/>
      <c r="O72" s="219">
        <f>IF('Data Summary'!C199="PASS",IF('Data - Sample Type 1'!AE71=0,40,'Data - Sample Type 1'!AE71),"")</f>
        <v>26.9</v>
      </c>
      <c r="P72" s="78">
        <f>IF('Data Summary'!C199="PASS",IF('Data - Sample Type 1'!AS71=0,40,'Data - Sample Type 1'!AS71),"")</f>
        <v>24.7</v>
      </c>
      <c r="Q72" s="78">
        <f>IF('Data Summary'!C199="PASS",IF('Data - Sample Type 1'!BG71=0,40,'Data - Sample Type 1'!BG71),"")</f>
        <v>26</v>
      </c>
      <c r="R72" s="231">
        <f>IF('Data Summary'!C199="PASS",IF('Data - Sample Type 1'!CI71=0,40,'Data - Sample Type 1'!CI71),"")</f>
        <v>23.7</v>
      </c>
      <c r="S72" s="232">
        <f>IF('Data Summary'!C199="PASS",'Data - Sample Type 1'!DK71,"")</f>
        <v>69.400000000000006</v>
      </c>
      <c r="T72" s="377"/>
      <c r="U72" s="78">
        <f>IF('Data Summary'!C199="PASS",'Data - Sample Type 1'!EY71,"")</f>
        <v>70.099999999999994</v>
      </c>
      <c r="V72" s="377"/>
      <c r="W72" s="78">
        <f>IF('Data Summary'!C199="PASS",'Data - Sample Type 1'!FO71,"")</f>
        <v>73.599999999999994</v>
      </c>
      <c r="X72" s="374"/>
      <c r="AA72" s="67"/>
      <c r="AH72" s="329"/>
      <c r="AJ72" s="329"/>
      <c r="AL72" s="329"/>
      <c r="AN72" s="329"/>
    </row>
    <row r="73" spans="7:40" x14ac:dyDescent="0.15">
      <c r="G73" s="390">
        <v>8</v>
      </c>
      <c r="H73" s="167">
        <f>IF('Data Summary'!C95="PASS",IF('Data - Sample Type 0'!AE72=0,40,'Data - Sample Type 0'!AE72),"")</f>
        <v>40</v>
      </c>
      <c r="I73" s="389">
        <f>ROUND(AVERAGE(H73:H82),1)</f>
        <v>40</v>
      </c>
      <c r="J73" s="167">
        <f>IF('Data Summary'!C95="PASS",IF('Data Summary'!A95="","",'Data - Sample Type 0'!Q72),"")</f>
        <v>24.8</v>
      </c>
      <c r="K73" s="396">
        <f>ROUND(AVERAGE(J73:J82),1)</f>
        <v>24.3</v>
      </c>
      <c r="N73" s="385"/>
      <c r="O73" s="219">
        <f>IF('Data Summary'!C200="PASS",IF('Data - Sample Type 1'!AE72=0,40,'Data - Sample Type 1'!AE72),"")</f>
        <v>25.7</v>
      </c>
      <c r="P73" s="78">
        <f>IF('Data Summary'!C200="PASS",IF('Data - Sample Type 1'!AS72=0,40,'Data - Sample Type 1'!AS72),"")</f>
        <v>23.5</v>
      </c>
      <c r="Q73" s="78">
        <f>IF('Data Summary'!C200="PASS",IF('Data - Sample Type 1'!BG72=0,40,'Data - Sample Type 1'!BG72),"")</f>
        <v>24.6</v>
      </c>
      <c r="R73" s="231">
        <f>IF('Data Summary'!C200="PASS",IF('Data - Sample Type 1'!CI72=0,40,'Data - Sample Type 1'!CI72),"")</f>
        <v>22.4</v>
      </c>
      <c r="S73" s="232">
        <f>IF('Data Summary'!C200="PASS",'Data - Sample Type 1'!DK72,"")</f>
        <v>69.3</v>
      </c>
      <c r="T73" s="377"/>
      <c r="U73" s="78">
        <f>IF('Data Summary'!C200="PASS",'Data - Sample Type 1'!EY72,"")</f>
        <v>70</v>
      </c>
      <c r="V73" s="377"/>
      <c r="W73" s="78">
        <f>IF('Data Summary'!C200="PASS",'Data - Sample Type 1'!FO72,"")</f>
        <v>73.599999999999994</v>
      </c>
      <c r="X73" s="374"/>
    </row>
    <row r="74" spans="7:40" x14ac:dyDescent="0.15">
      <c r="G74" s="391"/>
      <c r="H74" s="163">
        <f>IF('Data Summary'!C96="PASS",IF('Data - Sample Type 0'!AE73=0,40,'Data - Sample Type 0'!AE73),"")</f>
        <v>40</v>
      </c>
      <c r="I74" s="387"/>
      <c r="J74" s="163">
        <f>IF('Data Summary'!C96="PASS",IF('Data Summary'!A96="","",'Data - Sample Type 0'!Q73),"")</f>
        <v>23.6</v>
      </c>
      <c r="K74" s="394"/>
      <c r="N74" s="386"/>
      <c r="O74" s="220">
        <f>IF('Data Summary'!C201="PASS",IF('Data - Sample Type 1'!AE73=0,40,'Data - Sample Type 1'!AE73),"")</f>
        <v>26</v>
      </c>
      <c r="P74" s="228">
        <f>IF('Data Summary'!C201="PASS",IF('Data - Sample Type 1'!AS73=0,40,'Data - Sample Type 1'!AS73),"")</f>
        <v>23.3</v>
      </c>
      <c r="Q74" s="228">
        <f>IF('Data Summary'!C201="PASS",IF('Data - Sample Type 1'!BG73=0,40,'Data - Sample Type 1'!BG73),"")</f>
        <v>24.5</v>
      </c>
      <c r="R74" s="235">
        <f>IF('Data Summary'!C201="PASS",IF('Data - Sample Type 1'!CI73=0,40,'Data - Sample Type 1'!CI73),"")</f>
        <v>22.2</v>
      </c>
      <c r="S74" s="236">
        <f>IF('Data Summary'!C201="PASS",'Data - Sample Type 1'!DK73,"")</f>
        <v>69.3</v>
      </c>
      <c r="T74" s="378"/>
      <c r="U74" s="228">
        <f>IF('Data Summary'!C201="PASS",'Data - Sample Type 1'!EY73,"")</f>
        <v>70</v>
      </c>
      <c r="V74" s="378"/>
      <c r="W74" s="228">
        <f>IF('Data Summary'!C201="PASS",'Data - Sample Type 1'!FO73,"")</f>
        <v>73.5</v>
      </c>
      <c r="X74" s="376"/>
    </row>
    <row r="75" spans="7:40" x14ac:dyDescent="0.15">
      <c r="G75" s="391"/>
      <c r="H75" s="163">
        <f>IF('Data Summary'!C97="PASS",IF('Data - Sample Type 0'!AE74=0,40,'Data - Sample Type 0'!AE74),"")</f>
        <v>40</v>
      </c>
      <c r="I75" s="387"/>
      <c r="J75" s="163">
        <f>IF('Data Summary'!C97="PASS",IF('Data Summary'!A97="","",'Data - Sample Type 0'!Q74),"")</f>
        <v>25.5</v>
      </c>
      <c r="K75" s="394"/>
      <c r="N75" s="384">
        <v>10</v>
      </c>
      <c r="O75" s="218">
        <f>IF('Data Summary'!C202="PASS",IF('Data - Sample Type 1'!AE74=0,40,'Data - Sample Type 1'!AE74),"")</f>
        <v>25.6</v>
      </c>
      <c r="P75" s="225">
        <f>IF('Data Summary'!C202="PASS",IF('Data - Sample Type 1'!AS74=0,40,'Data - Sample Type 1'!AS74),"")</f>
        <v>23.1</v>
      </c>
      <c r="Q75" s="225">
        <f>IF('Data Summary'!C202="PASS",IF('Data - Sample Type 1'!BG74=0,40,'Data - Sample Type 1'!BG74),"")</f>
        <v>24.1</v>
      </c>
      <c r="R75" s="229">
        <f>IF('Data Summary'!C202="PASS",IF('Data - Sample Type 1'!CI74=0,40,'Data - Sample Type 1'!CI74),"")</f>
        <v>21.7</v>
      </c>
      <c r="S75" s="230">
        <f>IF('Data Summary'!C202="PASS",'Data - Sample Type 1'!DK74,"")</f>
        <v>69.3</v>
      </c>
      <c r="T75" s="379">
        <f>ROUND(AVERAGE(S75:S82),1)</f>
        <v>69.3</v>
      </c>
      <c r="U75" s="225">
        <f>IF('Data Summary'!C202="PASS",'Data - Sample Type 1'!EY74,"")</f>
        <v>70</v>
      </c>
      <c r="V75" s="379">
        <f>ROUND(AVERAGE(U75:U82),1)</f>
        <v>70</v>
      </c>
      <c r="W75" s="225">
        <f>IF('Data Summary'!C202="PASS",'Data - Sample Type 1'!FO74,"")</f>
        <v>73.5</v>
      </c>
      <c r="X75" s="373">
        <f>ROUND(AVERAGE(W75:W82),1)</f>
        <v>73.5</v>
      </c>
    </row>
    <row r="76" spans="7:40" x14ac:dyDescent="0.15">
      <c r="G76" s="391"/>
      <c r="H76" s="163">
        <f>IF('Data Summary'!C98="PASS",IF('Data - Sample Type 0'!AE75=0,40,'Data - Sample Type 0'!AE75),"")</f>
        <v>40</v>
      </c>
      <c r="I76" s="387"/>
      <c r="J76" s="163">
        <f>IF('Data Summary'!C98="PASS",IF('Data Summary'!A98="","",'Data - Sample Type 0'!Q75),"")</f>
        <v>26.1</v>
      </c>
      <c r="K76" s="394"/>
      <c r="N76" s="385"/>
      <c r="O76" s="219">
        <f>IF('Data Summary'!C203="PASS",IF('Data - Sample Type 1'!AE75=0,40,'Data - Sample Type 1'!AE75),"")</f>
        <v>26.8</v>
      </c>
      <c r="P76" s="78">
        <f>IF('Data Summary'!C203="PASS",IF('Data - Sample Type 1'!AS75=0,40,'Data - Sample Type 1'!AS75),"")</f>
        <v>24.6</v>
      </c>
      <c r="Q76" s="78">
        <f>IF('Data Summary'!C203="PASS",IF('Data - Sample Type 1'!BG75=0,40,'Data - Sample Type 1'!BG75),"")</f>
        <v>25.4</v>
      </c>
      <c r="R76" s="231">
        <f>IF('Data Summary'!C203="PASS",IF('Data - Sample Type 1'!CI75=0,40,'Data - Sample Type 1'!CI75),"")</f>
        <v>23.1</v>
      </c>
      <c r="S76" s="232">
        <f>IF('Data Summary'!C203="PASS",'Data - Sample Type 1'!DK75,"")</f>
        <v>69.400000000000006</v>
      </c>
      <c r="T76" s="377"/>
      <c r="U76" s="78">
        <f>IF('Data Summary'!C203="PASS",'Data - Sample Type 1'!EY75,"")</f>
        <v>70</v>
      </c>
      <c r="V76" s="377"/>
      <c r="W76" s="78">
        <f>IF('Data Summary'!C203="PASS",'Data - Sample Type 1'!FO75,"")</f>
        <v>73.599999999999994</v>
      </c>
      <c r="X76" s="374"/>
    </row>
    <row r="77" spans="7:40" x14ac:dyDescent="0.15">
      <c r="G77" s="391"/>
      <c r="H77" s="163">
        <f>IF('Data Summary'!C99="PASS",IF('Data - Sample Type 0'!AE76=0,40,'Data - Sample Type 0'!AE76),"")</f>
        <v>40</v>
      </c>
      <c r="I77" s="387"/>
      <c r="J77" s="163">
        <f>IF('Data Summary'!C99="PASS",IF('Data Summary'!A99="","",'Data - Sample Type 0'!Q76),"")</f>
        <v>23.4</v>
      </c>
      <c r="K77" s="394"/>
      <c r="N77" s="385"/>
      <c r="O77" s="219">
        <f>IF('Data Summary'!C204="PASS",IF('Data - Sample Type 1'!AE76=0,40,'Data - Sample Type 1'!AE76),"")</f>
        <v>25.4</v>
      </c>
      <c r="P77" s="78">
        <f>IF('Data Summary'!C204="PASS",IF('Data - Sample Type 1'!AS76=0,40,'Data - Sample Type 1'!AS76),"")</f>
        <v>23.2</v>
      </c>
      <c r="Q77" s="78">
        <f>IF('Data Summary'!C204="PASS",IF('Data - Sample Type 1'!BG76=0,40,'Data - Sample Type 1'!BG76),"")</f>
        <v>24.4</v>
      </c>
      <c r="R77" s="231">
        <f>IF('Data Summary'!C204="PASS",IF('Data - Sample Type 1'!CI76=0,40,'Data - Sample Type 1'!CI76),"")</f>
        <v>22</v>
      </c>
      <c r="S77" s="232">
        <f>IF('Data Summary'!C204="PASS",'Data - Sample Type 1'!DK76,"")</f>
        <v>69.400000000000006</v>
      </c>
      <c r="T77" s="377"/>
      <c r="U77" s="78">
        <f>IF('Data Summary'!C204="PASS",'Data - Sample Type 1'!EY76,"")</f>
        <v>70.099999999999994</v>
      </c>
      <c r="V77" s="377"/>
      <c r="W77" s="78">
        <f>IF('Data Summary'!C204="PASS",'Data - Sample Type 1'!FO76,"")</f>
        <v>73.599999999999994</v>
      </c>
      <c r="X77" s="374"/>
    </row>
    <row r="78" spans="7:40" x14ac:dyDescent="0.15">
      <c r="G78" s="391"/>
      <c r="H78" s="163">
        <f>IF('Data Summary'!C100="PASS",IF('Data - Sample Type 0'!AE77=0,40,'Data - Sample Type 0'!AE77),"")</f>
        <v>40</v>
      </c>
      <c r="I78" s="387" t="str">
        <f>IF(I73&gt;=Specifications!$D$26,"PASS","FAIL")</f>
        <v>PASS</v>
      </c>
      <c r="J78" s="163">
        <f>IF('Data Summary'!C100="PASS",IF('Data Summary'!A100="","",'Data - Sample Type 0'!Q77),"")</f>
        <v>24.7</v>
      </c>
      <c r="K78" s="394" t="str">
        <f>IF(K73&lt;=Specifications!$B$26,"PASS","FAIL")</f>
        <v>PASS</v>
      </c>
      <c r="N78" s="385"/>
      <c r="O78" s="219">
        <f>IF('Data Summary'!C205="PASS",IF('Data - Sample Type 1'!AE77=0,40,'Data - Sample Type 1'!AE77),"")</f>
        <v>26</v>
      </c>
      <c r="P78" s="78">
        <f>IF('Data Summary'!C205="PASS",IF('Data - Sample Type 1'!AS77=0,40,'Data - Sample Type 1'!AS77),"")</f>
        <v>23.2</v>
      </c>
      <c r="Q78" s="78">
        <f>IF('Data Summary'!C205="PASS",IF('Data - Sample Type 1'!BG77=0,40,'Data - Sample Type 1'!BG77),"")</f>
        <v>24.4</v>
      </c>
      <c r="R78" s="231">
        <f>IF('Data Summary'!C205="PASS",IF('Data - Sample Type 1'!CI77=0,40,'Data - Sample Type 1'!CI77),"")</f>
        <v>22.2</v>
      </c>
      <c r="S78" s="232">
        <f>IF('Data Summary'!C205="PASS",'Data - Sample Type 1'!DK77,"")</f>
        <v>69.400000000000006</v>
      </c>
      <c r="T78" s="377"/>
      <c r="U78" s="78">
        <f>IF('Data Summary'!C205="PASS",'Data - Sample Type 1'!EY77,"")</f>
        <v>70.099999999999994</v>
      </c>
      <c r="V78" s="377"/>
      <c r="W78" s="78">
        <f>IF('Data Summary'!C205="PASS",'Data - Sample Type 1'!FO77,"")</f>
        <v>73.599999999999994</v>
      </c>
      <c r="X78" s="374"/>
    </row>
    <row r="79" spans="7:40" x14ac:dyDescent="0.15">
      <c r="G79" s="391">
        <v>8</v>
      </c>
      <c r="H79" s="163">
        <f>IF('Data Summary'!C101="PASS",IF('Data - Sample Type 0'!AE78=0,40,'Data - Sample Type 0'!AE78),"")</f>
        <v>40</v>
      </c>
      <c r="I79" s="387"/>
      <c r="J79" s="163">
        <f>IF('Data Summary'!C101="PASS",IF('Data Summary'!A101="","",'Data - Sample Type 0'!Q78),"")</f>
        <v>24.1</v>
      </c>
      <c r="K79" s="394"/>
      <c r="N79" s="385"/>
      <c r="O79" s="219" t="str">
        <f>IF('Data Summary'!C206="PASS",IF('Data - Sample Type 1'!AE78=0,40,'Data - Sample Type 1'!AE78),"")</f>
        <v/>
      </c>
      <c r="P79" s="78" t="str">
        <f>IF('Data Summary'!C206="PASS",IF('Data - Sample Type 1'!AS78=0,40,'Data - Sample Type 1'!AS78),"")</f>
        <v/>
      </c>
      <c r="Q79" s="78" t="str">
        <f>IF('Data Summary'!C206="PASS",IF('Data - Sample Type 1'!BG78=0,40,'Data - Sample Type 1'!BG78),"")</f>
        <v/>
      </c>
      <c r="R79" s="231" t="str">
        <f>IF('Data Summary'!C206="PASS",IF('Data - Sample Type 1'!CI78=0,40,'Data - Sample Type 1'!CI78),"")</f>
        <v/>
      </c>
      <c r="S79" s="232" t="str">
        <f>IF('Data Summary'!C206="PASS",'Data - Sample Type 1'!DK78,"")</f>
        <v/>
      </c>
      <c r="T79" s="377" t="str">
        <f>IF(COUNTIF(S75:S82,"&gt;0")=8-COUNTIF(S75:S82,""),"PASS","FAIL")</f>
        <v>PASS</v>
      </c>
      <c r="U79" s="78" t="str">
        <f>IF('Data Summary'!C206="PASS",'Data - Sample Type 1'!EY78,"")</f>
        <v/>
      </c>
      <c r="V79" s="377" t="str">
        <f>IF(COUNTIF(U75:U82,"&gt;0")=8-COUNTIF(U75:U82,""),"PASS","FAIL")</f>
        <v>PASS</v>
      </c>
      <c r="W79" s="78" t="str">
        <f>IF('Data Summary'!C206="PASS",'Data - Sample Type 1'!FO78,"")</f>
        <v/>
      </c>
      <c r="X79" s="374" t="str">
        <f>IF(COUNTIF(W75:W82,"&gt;0")=8-COUNTIF(W75:W82,""),"PASS","FAIL")</f>
        <v>PASS</v>
      </c>
    </row>
    <row r="80" spans="7:40" x14ac:dyDescent="0.15">
      <c r="G80" s="391"/>
      <c r="H80" s="163">
        <f>IF('Data Summary'!C102="PASS",IF('Data - Sample Type 0'!AE79=0,40,'Data - Sample Type 0'!AE79),"")</f>
        <v>40</v>
      </c>
      <c r="I80" s="387"/>
      <c r="J80" s="163">
        <f>IF('Data Summary'!C102="PASS",IF('Data Summary'!A102="","",'Data - Sample Type 0'!Q79),"")</f>
        <v>23.2</v>
      </c>
      <c r="K80" s="394"/>
      <c r="N80" s="385"/>
      <c r="O80" s="219">
        <f>IF('Data Summary'!C207="PASS",IF('Data - Sample Type 1'!AE79=0,40,'Data - Sample Type 1'!AE79),"")</f>
        <v>25.9</v>
      </c>
      <c r="P80" s="78">
        <f>IF('Data Summary'!C207="PASS",IF('Data - Sample Type 1'!AS79=0,40,'Data - Sample Type 1'!AS79),"")</f>
        <v>23.6</v>
      </c>
      <c r="Q80" s="78">
        <f>IF('Data Summary'!C207="PASS",IF('Data - Sample Type 1'!BG79=0,40,'Data - Sample Type 1'!BG79),"")</f>
        <v>24.4</v>
      </c>
      <c r="R80" s="231">
        <f>IF('Data Summary'!C207="PASS",IF('Data - Sample Type 1'!CI79=0,40,'Data - Sample Type 1'!CI79),"")</f>
        <v>22.2</v>
      </c>
      <c r="S80" s="232">
        <f>IF('Data Summary'!C207="PASS",'Data - Sample Type 1'!DK79,"")</f>
        <v>69.3</v>
      </c>
      <c r="T80" s="377"/>
      <c r="U80" s="78">
        <f>IF('Data Summary'!C207="PASS",'Data - Sample Type 1'!EY79,"")</f>
        <v>70</v>
      </c>
      <c r="V80" s="377"/>
      <c r="W80" s="78">
        <f>IF('Data Summary'!C207="PASS",'Data - Sample Type 1'!FO79,"")</f>
        <v>73.5</v>
      </c>
      <c r="X80" s="374"/>
    </row>
    <row r="81" spans="3:27" x14ac:dyDescent="0.15">
      <c r="G81" s="391"/>
      <c r="H81" s="163">
        <f>IF('Data Summary'!C103="PASS",IF('Data - Sample Type 0'!AE80=0,40,'Data - Sample Type 0'!AE80),"")</f>
        <v>40</v>
      </c>
      <c r="I81" s="387"/>
      <c r="J81" s="163">
        <f>IF('Data Summary'!C103="PASS",IF('Data Summary'!A103="","",'Data - Sample Type 0'!Q80),"")</f>
        <v>23.5</v>
      </c>
      <c r="K81" s="394"/>
      <c r="N81" s="385"/>
      <c r="O81" s="219">
        <f>IF('Data Summary'!C208="PASS",IF('Data - Sample Type 1'!AE80=0,40,'Data - Sample Type 1'!AE80),"")</f>
        <v>25.4</v>
      </c>
      <c r="P81" s="78">
        <f>IF('Data Summary'!C208="PASS",IF('Data - Sample Type 1'!AS80=0,40,'Data - Sample Type 1'!AS80),"")</f>
        <v>23.4</v>
      </c>
      <c r="Q81" s="78">
        <f>IF('Data Summary'!C208="PASS",IF('Data - Sample Type 1'!BG80=0,40,'Data - Sample Type 1'!BG80),"")</f>
        <v>24</v>
      </c>
      <c r="R81" s="231">
        <f>IF('Data Summary'!C208="PASS",IF('Data - Sample Type 1'!CI80=0,40,'Data - Sample Type 1'!CI80),"")</f>
        <v>21.6</v>
      </c>
      <c r="S81" s="232">
        <f>IF('Data Summary'!C208="PASS",'Data - Sample Type 1'!DK80,"")</f>
        <v>69.2</v>
      </c>
      <c r="T81" s="377"/>
      <c r="U81" s="78">
        <f>IF('Data Summary'!C208="PASS",'Data - Sample Type 1'!EY80,"")</f>
        <v>69.8</v>
      </c>
      <c r="V81" s="377"/>
      <c r="W81" s="78">
        <f>IF('Data Summary'!C208="PASS",'Data - Sample Type 1'!FO80,"")</f>
        <v>73.3</v>
      </c>
      <c r="X81" s="374"/>
    </row>
    <row r="82" spans="3:27" x14ac:dyDescent="0.15">
      <c r="G82" s="392"/>
      <c r="H82" s="168">
        <f>IF('Data Summary'!C104="PASS",IF('Data - Sample Type 0'!AE81=0,40,'Data - Sample Type 0'!AE81),"")</f>
        <v>40</v>
      </c>
      <c r="I82" s="388"/>
      <c r="J82" s="168">
        <f>IF('Data Summary'!C104="PASS",IF('Data Summary'!A104="","",'Data - Sample Type 0'!Q81),"")</f>
        <v>23.8</v>
      </c>
      <c r="K82" s="395"/>
      <c r="N82" s="386"/>
      <c r="O82" s="226">
        <f>IF('Data Summary'!C209="PASS",IF('Data - Sample Type 1'!AE81=0,40,'Data - Sample Type 1'!AE81),"")</f>
        <v>25.5</v>
      </c>
      <c r="P82" s="227">
        <f>IF('Data Summary'!C209="PASS",IF('Data - Sample Type 1'!AS81=0,40,'Data - Sample Type 1'!AS81),"")</f>
        <v>23.2</v>
      </c>
      <c r="Q82" s="227">
        <f>IF('Data Summary'!C209="PASS",IF('Data - Sample Type 1'!BG81=0,40,'Data - Sample Type 1'!BG81),"")</f>
        <v>23.9</v>
      </c>
      <c r="R82" s="233">
        <f>IF('Data Summary'!C209="PASS",IF('Data - Sample Type 1'!CI81=0,40,'Data - Sample Type 1'!CI81),"")</f>
        <v>21.5</v>
      </c>
      <c r="S82" s="236">
        <f>IF('Data Summary'!C209="PASS",'Data - Sample Type 1'!DK81,"")</f>
        <v>69.3</v>
      </c>
      <c r="T82" s="378"/>
      <c r="U82" s="228">
        <f>IF('Data Summary'!C209="PASS",'Data - Sample Type 1'!EY81,"")</f>
        <v>69.900000000000006</v>
      </c>
      <c r="V82" s="378"/>
      <c r="W82" s="228">
        <f>IF('Data Summary'!C209="PASS",'Data - Sample Type 1'!FO81,"")</f>
        <v>73.5</v>
      </c>
      <c r="X82" s="376"/>
    </row>
    <row r="83" spans="3:27" ht="56" x14ac:dyDescent="0.15">
      <c r="G83" s="390">
        <v>9</v>
      </c>
      <c r="H83" s="167">
        <f>IF('Data Summary'!C105="PASS",IF('Data - Sample Type 0'!AE82=0,40,'Data - Sample Type 0'!AE82),"")</f>
        <v>40</v>
      </c>
      <c r="I83" s="389">
        <f>ROUND(AVERAGE(H83:H92),1)</f>
        <v>40</v>
      </c>
      <c r="J83" s="167">
        <f>IF('Data Summary'!C105="PASS",IF('Data Summary'!A105="","",'Data - Sample Type 0'!Q82),"")</f>
        <v>24.2</v>
      </c>
      <c r="K83" s="396">
        <f>ROUND(AVERAGE(J83:J92),1)</f>
        <v>24.5</v>
      </c>
      <c r="O83" s="245" t="s">
        <v>547</v>
      </c>
      <c r="P83" s="246" t="s">
        <v>564</v>
      </c>
      <c r="Q83" s="246" t="s">
        <v>565</v>
      </c>
      <c r="R83" s="247" t="s">
        <v>567</v>
      </c>
    </row>
    <row r="84" spans="3:27" ht="24.75" customHeight="1" x14ac:dyDescent="0.15">
      <c r="G84" s="391"/>
      <c r="H84" s="163">
        <f>IF('Data Summary'!C106="PASS",IF('Data - Sample Type 0'!AE83=0,40,'Data - Sample Type 0'!AE83),"")</f>
        <v>40</v>
      </c>
      <c r="I84" s="387"/>
      <c r="J84" s="163">
        <f>IF('Data Summary'!C106="PASS",IF('Data Summary'!A106="","",'Data - Sample Type 0'!Q83),"")</f>
        <v>23.9</v>
      </c>
      <c r="K84" s="394"/>
      <c r="O84" s="219">
        <f>ROUND(AVERAGE(O3:O82),1)</f>
        <v>26.1</v>
      </c>
      <c r="P84" s="78">
        <f t="shared" ref="P84:R84" si="0">ROUND(AVERAGE(P3:P82),1)</f>
        <v>23.8</v>
      </c>
      <c r="Q84" s="78">
        <f t="shared" si="0"/>
        <v>24.7</v>
      </c>
      <c r="R84" s="231">
        <f t="shared" si="0"/>
        <v>22.4</v>
      </c>
      <c r="T84" s="248"/>
    </row>
    <row r="85" spans="3:27" ht="36.75" customHeight="1" x14ac:dyDescent="0.15">
      <c r="G85" s="391"/>
      <c r="H85" s="163">
        <f>IF('Data Summary'!C107="PASS",IF('Data - Sample Type 0'!AE84=0,40,'Data - Sample Type 0'!AE84),"")</f>
        <v>40</v>
      </c>
      <c r="I85" s="387"/>
      <c r="J85" s="163">
        <f>IF('Data Summary'!C107="PASS",IF('Data Summary'!A107="","",'Data - Sample Type 0'!Q84),"")</f>
        <v>25</v>
      </c>
      <c r="K85" s="394"/>
      <c r="O85" s="249" t="str">
        <f>IF(COUNTBLANK(O75:O82)&lt;=6,IF(O84&lt;=Specifications!$D$27,"PASS","FAIL"),"Not enough data")</f>
        <v>PASS</v>
      </c>
      <c r="P85" s="250" t="str">
        <f>IF(COUNTBLANK(P75:P82)&lt;=6,IF(P84&lt;=Specifications!$E$27,"PASS","FAIL"),"Not enough data")</f>
        <v>PASS</v>
      </c>
      <c r="Q85" s="250" t="str">
        <f>IF(COUNTBLANK(Q75:Q82)&lt;=6,IF(Q84&lt;=Specifications!$G$27,"PASS","FAIL"),"Not enough data")</f>
        <v>PASS</v>
      </c>
      <c r="R85" s="251" t="str">
        <f>IF(COUNTBLANK(R75:R82)&lt;=6,IF(R84&lt;=Specifications!$K$27,"PASS","FAIL"),"Not enough data")</f>
        <v>PASS</v>
      </c>
      <c r="AA85" s="102"/>
    </row>
    <row r="86" spans="3:27" x14ac:dyDescent="0.15">
      <c r="G86" s="391">
        <v>9</v>
      </c>
      <c r="H86" s="163">
        <f>IF('Data Summary'!C108="PASS",IF('Data - Sample Type 0'!AE85=0,40,'Data - Sample Type 0'!AE85),"")</f>
        <v>40</v>
      </c>
      <c r="I86" s="387"/>
      <c r="J86" s="163">
        <f>IF('Data Summary'!C108="PASS",IF('Data Summary'!A108="","",'Data - Sample Type 0'!Q85),"")</f>
        <v>26</v>
      </c>
      <c r="K86" s="394"/>
    </row>
    <row r="87" spans="3:27" x14ac:dyDescent="0.15">
      <c r="G87" s="391"/>
      <c r="H87" s="163">
        <f>IF('Data Summary'!C109="PASS",IF('Data - Sample Type 0'!AE86=0,40,'Data - Sample Type 0'!AE86),"")</f>
        <v>40</v>
      </c>
      <c r="I87" s="387"/>
      <c r="J87" s="163">
        <f>IF('Data Summary'!C109="PASS",IF('Data Summary'!A109="","",'Data - Sample Type 0'!Q86),"")</f>
        <v>25</v>
      </c>
      <c r="K87" s="394"/>
    </row>
    <row r="88" spans="3:27" ht="23" x14ac:dyDescent="0.25">
      <c r="C88" s="166"/>
      <c r="G88" s="391"/>
      <c r="H88" s="163">
        <f>IF('Data Summary'!C110="PASS",IF('Data - Sample Type 0'!AE87=0,40,'Data - Sample Type 0'!AE87),"")</f>
        <v>40</v>
      </c>
      <c r="I88" s="387" t="str">
        <f>IF(I83&gt;=Specifications!$D$26,"PASS","FAIL")</f>
        <v>PASS</v>
      </c>
      <c r="J88" s="163">
        <f>IF('Data Summary'!C110="PASS",IF('Data Summary'!A110="","",'Data - Sample Type 0'!Q87),"")</f>
        <v>25</v>
      </c>
      <c r="K88" s="394" t="str">
        <f>IF(K83&lt;=Specifications!$B$26,"PASS","FAIL")</f>
        <v>PASS</v>
      </c>
    </row>
    <row r="89" spans="3:27" x14ac:dyDescent="0.15">
      <c r="G89" s="391"/>
      <c r="H89" s="163">
        <f>IF('Data Summary'!C111="PASS",IF('Data - Sample Type 0'!AE88=0,40,'Data - Sample Type 0'!AE88),"")</f>
        <v>40</v>
      </c>
      <c r="I89" s="387"/>
      <c r="J89" s="163">
        <f>IF('Data Summary'!C111="PASS",IF('Data Summary'!A111="","",'Data - Sample Type 0'!Q88),"")</f>
        <v>23.8</v>
      </c>
      <c r="K89" s="394"/>
    </row>
    <row r="90" spans="3:27" x14ac:dyDescent="0.15">
      <c r="G90" s="391"/>
      <c r="H90" s="163">
        <f>IF('Data Summary'!C112="PASS",IF('Data - Sample Type 0'!AE89=0,40,'Data - Sample Type 0'!AE89),"")</f>
        <v>40</v>
      </c>
      <c r="I90" s="387"/>
      <c r="J90" s="163">
        <f>IF('Data Summary'!C112="PASS",IF('Data Summary'!A112="","",'Data - Sample Type 0'!Q89),"")</f>
        <v>24.1</v>
      </c>
      <c r="K90" s="394"/>
    </row>
    <row r="91" spans="3:27" x14ac:dyDescent="0.15">
      <c r="C91" s="402"/>
      <c r="G91" s="391"/>
      <c r="H91" s="163">
        <f>IF('Data Summary'!C113="PASS",IF('Data - Sample Type 0'!AE90=0,40,'Data - Sample Type 0'!AE90),"")</f>
        <v>40</v>
      </c>
      <c r="I91" s="387"/>
      <c r="J91" s="163">
        <f>IF('Data Summary'!C113="PASS",IF('Data Summary'!A113="","",'Data - Sample Type 0'!Q90),"")</f>
        <v>24.4</v>
      </c>
      <c r="K91" s="394"/>
    </row>
    <row r="92" spans="3:27" x14ac:dyDescent="0.15">
      <c r="C92" s="329"/>
      <c r="G92" s="392"/>
      <c r="H92" s="168">
        <f>IF('Data Summary'!C114="PASS",IF('Data - Sample Type 0'!AE91=0,40,'Data - Sample Type 0'!AE91),"")</f>
        <v>40</v>
      </c>
      <c r="I92" s="388"/>
      <c r="J92" s="168">
        <f>IF('Data Summary'!C114="PASS",IF('Data Summary'!A114="","",'Data - Sample Type 0'!Q91),"")</f>
        <v>23.9</v>
      </c>
      <c r="K92" s="395"/>
    </row>
    <row r="93" spans="3:27" x14ac:dyDescent="0.15">
      <c r="C93" s="329"/>
      <c r="G93" s="393">
        <v>10</v>
      </c>
      <c r="H93" s="170">
        <f>IF('Data Summary'!C115="PASS",IF('Data - Sample Type 0'!AE92=0,40,'Data - Sample Type 0'!AE92),"")</f>
        <v>40</v>
      </c>
      <c r="I93" s="389">
        <f>ROUND(AVERAGE(H93:H102),1)</f>
        <v>40</v>
      </c>
      <c r="J93" s="170">
        <f>IF('Data Summary'!C115="PASS",IF('Data Summary'!A115="","",'Data - Sample Type 0'!Q92),"")</f>
        <v>23.8</v>
      </c>
      <c r="K93" s="397">
        <f>ROUND(AVERAGE(J93:J102),1)</f>
        <v>24.3</v>
      </c>
    </row>
    <row r="94" spans="3:27" x14ac:dyDescent="0.15">
      <c r="C94" s="329"/>
      <c r="G94" s="391"/>
      <c r="H94" s="163">
        <f>IF('Data Summary'!C116="PASS",IF('Data - Sample Type 0'!AE93=0,40,'Data - Sample Type 0'!AE93),"")</f>
        <v>40</v>
      </c>
      <c r="I94" s="387"/>
      <c r="J94" s="163">
        <f>IF('Data Summary'!C116="PASS",IF('Data Summary'!A116="","",'Data - Sample Type 0'!Q93),"")</f>
        <v>24.6</v>
      </c>
      <c r="K94" s="394"/>
    </row>
    <row r="95" spans="3:27" x14ac:dyDescent="0.15">
      <c r="C95" s="329"/>
      <c r="G95" s="391"/>
      <c r="H95" s="163">
        <f>IF('Data Summary'!C117="PASS",IF('Data - Sample Type 0'!AE94=0,40,'Data - Sample Type 0'!AE94),"")</f>
        <v>40</v>
      </c>
      <c r="I95" s="387"/>
      <c r="J95" s="163">
        <f>IF('Data Summary'!C117="PASS",IF('Data Summary'!A117="","",'Data - Sample Type 0'!Q94),"")</f>
        <v>25.1</v>
      </c>
      <c r="K95" s="394"/>
    </row>
    <row r="96" spans="3:27" x14ac:dyDescent="0.15">
      <c r="C96" s="329"/>
      <c r="G96" s="391"/>
      <c r="H96" s="163">
        <f>IF('Data Summary'!C118="PASS",IF('Data - Sample Type 0'!AE95=0,40,'Data - Sample Type 0'!AE95),"")</f>
        <v>40</v>
      </c>
      <c r="I96" s="387"/>
      <c r="J96" s="163">
        <f>IF('Data Summary'!C118="PASS",IF('Data Summary'!A118="","",'Data - Sample Type 0'!Q95),"")</f>
        <v>24.4</v>
      </c>
      <c r="K96" s="394"/>
    </row>
    <row r="97" spans="7:11" x14ac:dyDescent="0.15">
      <c r="G97" s="391">
        <v>10</v>
      </c>
      <c r="H97" s="163">
        <f>IF('Data Summary'!C119="PASS",IF('Data - Sample Type 0'!AE96=0,40,'Data - Sample Type 0'!AE96),"")</f>
        <v>40</v>
      </c>
      <c r="I97" s="387"/>
      <c r="J97" s="163">
        <f>IF('Data Summary'!C119="PASS",IF('Data Summary'!A119="","",'Data - Sample Type 0'!Q96),"")</f>
        <v>23.9</v>
      </c>
      <c r="K97" s="394"/>
    </row>
    <row r="98" spans="7:11" x14ac:dyDescent="0.15">
      <c r="G98" s="391"/>
      <c r="H98" s="163" t="str">
        <f>IF('Data Summary'!C120="PASS",IF('Data - Sample Type 0'!AE97=0,40,'Data - Sample Type 0'!AE97),"")</f>
        <v/>
      </c>
      <c r="I98" s="387" t="str">
        <f>IF(I93&gt;=Specifications!$D$26,"PASS","FAIL")</f>
        <v>PASS</v>
      </c>
      <c r="J98" s="163" t="str">
        <f>IF('Data Summary'!C120="PASS",IF('Data Summary'!A120="","",'Data - Sample Type 0'!Q97),"")</f>
        <v/>
      </c>
      <c r="K98" s="394" t="str">
        <f>IF(K93&lt;=Specifications!$B$26,"PASS","FAIL")</f>
        <v>PASS</v>
      </c>
    </row>
    <row r="99" spans="7:11" x14ac:dyDescent="0.15">
      <c r="G99" s="391"/>
      <c r="H99" s="163">
        <f>IF('Data Summary'!C121="PASS",IF('Data - Sample Type 0'!AE98=0,40,'Data - Sample Type 0'!AE98),"")</f>
        <v>40</v>
      </c>
      <c r="I99" s="387"/>
      <c r="J99" s="163">
        <f>IF('Data Summary'!C121="PASS",IF('Data Summary'!A121="","",'Data - Sample Type 0'!Q98),"")</f>
        <v>23.7</v>
      </c>
      <c r="K99" s="394"/>
    </row>
    <row r="100" spans="7:11" x14ac:dyDescent="0.15">
      <c r="G100" s="391"/>
      <c r="H100" s="163">
        <f>IF('Data Summary'!C122="PASS",IF('Data - Sample Type 0'!AE99=0,40,'Data - Sample Type 0'!AE99),"")</f>
        <v>40</v>
      </c>
      <c r="I100" s="387"/>
      <c r="J100" s="163">
        <f>IF('Data Summary'!C122="PASS",IF('Data Summary'!A122="","",'Data - Sample Type 0'!Q99),"")</f>
        <v>26.4</v>
      </c>
      <c r="K100" s="394"/>
    </row>
    <row r="101" spans="7:11" x14ac:dyDescent="0.15">
      <c r="G101" s="391"/>
      <c r="H101" s="163">
        <f>IF('Data Summary'!C123="PASS",IF('Data - Sample Type 0'!AE100=0,40,'Data - Sample Type 0'!AE100),"")</f>
        <v>40</v>
      </c>
      <c r="I101" s="387"/>
      <c r="J101" s="163">
        <f>IF('Data Summary'!C123="PASS",IF('Data Summary'!A123="","",'Data - Sample Type 0'!Q100),"")</f>
        <v>22.8</v>
      </c>
      <c r="K101" s="394"/>
    </row>
    <row r="102" spans="7:11" x14ac:dyDescent="0.15">
      <c r="G102" s="392"/>
      <c r="H102" s="168">
        <f>IF('Data Summary'!C124="PASS",IF('Data - Sample Type 0'!AE101=0,40,'Data - Sample Type 0'!AE101),"")</f>
        <v>40</v>
      </c>
      <c r="I102" s="388"/>
      <c r="J102" s="168">
        <f>IF('Data Summary'!C124="PASS",IF('Data Summary'!A124="","",'Data - Sample Type 0'!Q101),"")</f>
        <v>23.9</v>
      </c>
      <c r="K102" s="395"/>
    </row>
    <row r="161" spans="3:3" ht="23" x14ac:dyDescent="0.25">
      <c r="C161" s="166" t="s">
        <v>568</v>
      </c>
    </row>
  </sheetData>
  <mergeCells count="200">
    <mergeCell ref="A3:A12"/>
    <mergeCell ref="C3:C7"/>
    <mergeCell ref="E3:E7"/>
    <mergeCell ref="C8:C12"/>
    <mergeCell ref="E8:E12"/>
    <mergeCell ref="AH52:AH55"/>
    <mergeCell ref="AH56:AH58"/>
    <mergeCell ref="AH59:AH62"/>
    <mergeCell ref="AN63:AN65"/>
    <mergeCell ref="AN45:AN48"/>
    <mergeCell ref="AN49:AN51"/>
    <mergeCell ref="AN13:AN17"/>
    <mergeCell ref="AJ3:AJ7"/>
    <mergeCell ref="AL3:AL7"/>
    <mergeCell ref="AH8:AH12"/>
    <mergeCell ref="AJ8:AJ12"/>
    <mergeCell ref="AN3:AN7"/>
    <mergeCell ref="AL8:AL12"/>
    <mergeCell ref="AH3:AH7"/>
    <mergeCell ref="AN8:AN12"/>
    <mergeCell ref="G33:G42"/>
    <mergeCell ref="G43:G52"/>
    <mergeCell ref="G53:G62"/>
    <mergeCell ref="G63:G72"/>
    <mergeCell ref="C91:C96"/>
    <mergeCell ref="AJ24:AJ27"/>
    <mergeCell ref="AJ38:AJ41"/>
    <mergeCell ref="AJ42:AJ44"/>
    <mergeCell ref="AH66:AH69"/>
    <mergeCell ref="AH70:AH72"/>
    <mergeCell ref="AJ49:AJ51"/>
    <mergeCell ref="AJ52:AJ55"/>
    <mergeCell ref="AJ56:AJ58"/>
    <mergeCell ref="AJ59:AJ62"/>
    <mergeCell ref="AJ63:AJ65"/>
    <mergeCell ref="AJ66:AJ69"/>
    <mergeCell ref="AJ70:AJ72"/>
    <mergeCell ref="AH63:AH65"/>
    <mergeCell ref="I68:I72"/>
    <mergeCell ref="AJ28:AJ30"/>
    <mergeCell ref="T59:T62"/>
    <mergeCell ref="T63:T66"/>
    <mergeCell ref="T67:T70"/>
    <mergeCell ref="T71:T74"/>
    <mergeCell ref="I28:I32"/>
    <mergeCell ref="I33:I37"/>
    <mergeCell ref="T39:T42"/>
    <mergeCell ref="T43:T46"/>
    <mergeCell ref="I38:I42"/>
    <mergeCell ref="I43:I47"/>
    <mergeCell ref="I48:I52"/>
    <mergeCell ref="I53:I57"/>
    <mergeCell ref="T47:T50"/>
    <mergeCell ref="T51:T54"/>
    <mergeCell ref="T55:T58"/>
    <mergeCell ref="AN66:AN69"/>
    <mergeCell ref="AL63:AL65"/>
    <mergeCell ref="AH45:AH48"/>
    <mergeCell ref="AH49:AH51"/>
    <mergeCell ref="AN42:AN44"/>
    <mergeCell ref="AL66:AL69"/>
    <mergeCell ref="AL38:AL41"/>
    <mergeCell ref="AL42:AL44"/>
    <mergeCell ref="AL45:AL48"/>
    <mergeCell ref="AL49:AL51"/>
    <mergeCell ref="AL56:AL58"/>
    <mergeCell ref="AL59:AL62"/>
    <mergeCell ref="I58:I62"/>
    <mergeCell ref="I63:I67"/>
    <mergeCell ref="V67:V70"/>
    <mergeCell ref="K48:K52"/>
    <mergeCell ref="K53:K57"/>
    <mergeCell ref="K58:K62"/>
    <mergeCell ref="K63:K67"/>
    <mergeCell ref="K68:K72"/>
    <mergeCell ref="K73:K77"/>
    <mergeCell ref="AJ31:AJ34"/>
    <mergeCell ref="AN70:AN72"/>
    <mergeCell ref="AN52:AN55"/>
    <mergeCell ref="AN56:AN58"/>
    <mergeCell ref="AN59:AN62"/>
    <mergeCell ref="V39:V42"/>
    <mergeCell ref="V43:V46"/>
    <mergeCell ref="K33:K37"/>
    <mergeCell ref="K38:K42"/>
    <mergeCell ref="K43:K47"/>
    <mergeCell ref="AN31:AN34"/>
    <mergeCell ref="AL70:AL72"/>
    <mergeCell ref="AL31:AL34"/>
    <mergeCell ref="AL35:AL37"/>
    <mergeCell ref="X75:X78"/>
    <mergeCell ref="AA3:AA12"/>
    <mergeCell ref="AA13:AA22"/>
    <mergeCell ref="G3:G12"/>
    <mergeCell ref="G13:G22"/>
    <mergeCell ref="G23:G32"/>
    <mergeCell ref="K3:K7"/>
    <mergeCell ref="K8:K12"/>
    <mergeCell ref="K13:K17"/>
    <mergeCell ref="K18:K22"/>
    <mergeCell ref="K23:K27"/>
    <mergeCell ref="K28:K32"/>
    <mergeCell ref="I3:I7"/>
    <mergeCell ref="I8:I12"/>
    <mergeCell ref="I13:I17"/>
    <mergeCell ref="I18:I22"/>
    <mergeCell ref="I23:I27"/>
    <mergeCell ref="N3:N10"/>
    <mergeCell ref="T3:T6"/>
    <mergeCell ref="T7:T10"/>
    <mergeCell ref="V3:V6"/>
    <mergeCell ref="V7:V10"/>
    <mergeCell ref="V11:V14"/>
    <mergeCell ref="V15:V18"/>
    <mergeCell ref="V19:V22"/>
    <mergeCell ref="I78:I82"/>
    <mergeCell ref="I83:I87"/>
    <mergeCell ref="G83:G92"/>
    <mergeCell ref="G93:G102"/>
    <mergeCell ref="G73:G82"/>
    <mergeCell ref="T75:T78"/>
    <mergeCell ref="T79:T82"/>
    <mergeCell ref="K78:K82"/>
    <mergeCell ref="K83:K87"/>
    <mergeCell ref="K88:K92"/>
    <mergeCell ref="K93:K97"/>
    <mergeCell ref="K98:K102"/>
    <mergeCell ref="I88:I92"/>
    <mergeCell ref="I93:I97"/>
    <mergeCell ref="N75:N82"/>
    <mergeCell ref="N67:N74"/>
    <mergeCell ref="I98:I102"/>
    <mergeCell ref="I73:I77"/>
    <mergeCell ref="AH13:AH17"/>
    <mergeCell ref="AJ13:AJ17"/>
    <mergeCell ref="AJ18:AJ22"/>
    <mergeCell ref="AL13:AL17"/>
    <mergeCell ref="AL18:AL22"/>
    <mergeCell ref="AH18:AH22"/>
    <mergeCell ref="N43:N50"/>
    <mergeCell ref="N51:N58"/>
    <mergeCell ref="N59:N66"/>
    <mergeCell ref="T23:T26"/>
    <mergeCell ref="T27:T30"/>
    <mergeCell ref="T31:T34"/>
    <mergeCell ref="T35:T38"/>
    <mergeCell ref="N11:N18"/>
    <mergeCell ref="N19:N26"/>
    <mergeCell ref="N27:N34"/>
    <mergeCell ref="N35:N42"/>
    <mergeCell ref="T11:T14"/>
    <mergeCell ref="T15:T18"/>
    <mergeCell ref="T19:T22"/>
    <mergeCell ref="X63:X66"/>
    <mergeCell ref="X23:X26"/>
    <mergeCell ref="X27:X30"/>
    <mergeCell ref="X31:X34"/>
    <mergeCell ref="AN18:AN22"/>
    <mergeCell ref="AJ45:AJ48"/>
    <mergeCell ref="AL52:AL55"/>
    <mergeCell ref="AH24:AH27"/>
    <mergeCell ref="AH28:AH30"/>
    <mergeCell ref="AH31:AH34"/>
    <mergeCell ref="AH35:AH37"/>
    <mergeCell ref="AJ35:AJ37"/>
    <mergeCell ref="AH38:AH41"/>
    <mergeCell ref="AH42:AH44"/>
    <mergeCell ref="AN35:AN37"/>
    <mergeCell ref="AN38:AN41"/>
    <mergeCell ref="AN24:AN27"/>
    <mergeCell ref="AN28:AN30"/>
    <mergeCell ref="AL24:AL27"/>
    <mergeCell ref="AL28:AL30"/>
    <mergeCell ref="X79:X82"/>
    <mergeCell ref="X43:X46"/>
    <mergeCell ref="X47:X50"/>
    <mergeCell ref="X51:X54"/>
    <mergeCell ref="X55:X58"/>
    <mergeCell ref="X59:X62"/>
    <mergeCell ref="V71:V74"/>
    <mergeCell ref="V75:V78"/>
    <mergeCell ref="V79:V82"/>
    <mergeCell ref="V47:V50"/>
    <mergeCell ref="V51:V54"/>
    <mergeCell ref="V55:V58"/>
    <mergeCell ref="V59:V62"/>
    <mergeCell ref="V63:V66"/>
    <mergeCell ref="X3:X6"/>
    <mergeCell ref="X7:X10"/>
    <mergeCell ref="X11:X14"/>
    <mergeCell ref="X15:X18"/>
    <mergeCell ref="X19:X22"/>
    <mergeCell ref="X67:X70"/>
    <mergeCell ref="X71:X74"/>
    <mergeCell ref="V23:V26"/>
    <mergeCell ref="V27:V30"/>
    <mergeCell ref="V31:V34"/>
    <mergeCell ref="V35:V38"/>
    <mergeCell ref="X35:X38"/>
    <mergeCell ref="X39:X42"/>
  </mergeCells>
  <conditionalFormatting sqref="C8">
    <cfRule type="cellIs" dxfId="545" priority="37" operator="equal">
      <formula>"fail"</formula>
    </cfRule>
    <cfRule type="cellIs" dxfId="544" priority="38" operator="equal">
      <formula>"pass"</formula>
    </cfRule>
  </conditionalFormatting>
  <conditionalFormatting sqref="E8 I8 K8">
    <cfRule type="cellIs" dxfId="543" priority="689" operator="equal">
      <formula>"fail"</formula>
    </cfRule>
    <cfRule type="cellIs" dxfId="542" priority="690" operator="equal">
      <formula>"pass"</formula>
    </cfRule>
  </conditionalFormatting>
  <conditionalFormatting sqref="I18">
    <cfRule type="cellIs" dxfId="541" priority="532" operator="equal">
      <formula>"pass"</formula>
    </cfRule>
    <cfRule type="cellIs" dxfId="540" priority="531" operator="equal">
      <formula>"fail"</formula>
    </cfRule>
  </conditionalFormatting>
  <conditionalFormatting sqref="I28">
    <cfRule type="cellIs" dxfId="539" priority="530" operator="equal">
      <formula>"pass"</formula>
    </cfRule>
    <cfRule type="cellIs" dxfId="538" priority="529" operator="equal">
      <formula>"fail"</formula>
    </cfRule>
  </conditionalFormatting>
  <conditionalFormatting sqref="I38">
    <cfRule type="cellIs" dxfId="537" priority="528" operator="equal">
      <formula>"pass"</formula>
    </cfRule>
    <cfRule type="cellIs" dxfId="536" priority="527" operator="equal">
      <formula>"fail"</formula>
    </cfRule>
  </conditionalFormatting>
  <conditionalFormatting sqref="I48">
    <cfRule type="cellIs" dxfId="535" priority="526" operator="equal">
      <formula>"pass"</formula>
    </cfRule>
    <cfRule type="cellIs" dxfId="534" priority="525" operator="equal">
      <formula>"fail"</formula>
    </cfRule>
  </conditionalFormatting>
  <conditionalFormatting sqref="I58">
    <cfRule type="cellIs" dxfId="533" priority="524" operator="equal">
      <formula>"pass"</formula>
    </cfRule>
    <cfRule type="cellIs" dxfId="532" priority="523" operator="equal">
      <formula>"fail"</formula>
    </cfRule>
  </conditionalFormatting>
  <conditionalFormatting sqref="I68">
    <cfRule type="cellIs" dxfId="531" priority="522" operator="equal">
      <formula>"pass"</formula>
    </cfRule>
    <cfRule type="cellIs" dxfId="530" priority="521" operator="equal">
      <formula>"fail"</formula>
    </cfRule>
  </conditionalFormatting>
  <conditionalFormatting sqref="I78">
    <cfRule type="cellIs" dxfId="529" priority="519" operator="equal">
      <formula>"fail"</formula>
    </cfRule>
    <cfRule type="cellIs" dxfId="528" priority="520" operator="equal">
      <formula>"pass"</formula>
    </cfRule>
  </conditionalFormatting>
  <conditionalFormatting sqref="I88">
    <cfRule type="cellIs" dxfId="527" priority="518" operator="equal">
      <formula>"pass"</formula>
    </cfRule>
    <cfRule type="cellIs" dxfId="526" priority="517" operator="equal">
      <formula>"fail"</formula>
    </cfRule>
  </conditionalFormatting>
  <conditionalFormatting sqref="I98">
    <cfRule type="cellIs" dxfId="525" priority="516" operator="equal">
      <formula>"pass"</formula>
    </cfRule>
    <cfRule type="cellIs" dxfId="524" priority="515" operator="equal">
      <formula>"fail"</formula>
    </cfRule>
  </conditionalFormatting>
  <conditionalFormatting sqref="K18">
    <cfRule type="cellIs" dxfId="523" priority="514" operator="equal">
      <formula>"pass"</formula>
    </cfRule>
    <cfRule type="cellIs" dxfId="522" priority="513" operator="equal">
      <formula>"fail"</formula>
    </cfRule>
  </conditionalFormatting>
  <conditionalFormatting sqref="K28">
    <cfRule type="cellIs" dxfId="521" priority="512" operator="equal">
      <formula>"pass"</formula>
    </cfRule>
    <cfRule type="cellIs" dxfId="520" priority="511" operator="equal">
      <formula>"fail"</formula>
    </cfRule>
  </conditionalFormatting>
  <conditionalFormatting sqref="K38">
    <cfRule type="cellIs" dxfId="519" priority="510" operator="equal">
      <formula>"pass"</formula>
    </cfRule>
    <cfRule type="cellIs" dxfId="518" priority="509" operator="equal">
      <formula>"fail"</formula>
    </cfRule>
  </conditionalFormatting>
  <conditionalFormatting sqref="K48">
    <cfRule type="cellIs" dxfId="517" priority="508" operator="equal">
      <formula>"pass"</formula>
    </cfRule>
    <cfRule type="cellIs" dxfId="516" priority="507" operator="equal">
      <formula>"fail"</formula>
    </cfRule>
  </conditionalFormatting>
  <conditionalFormatting sqref="K58">
    <cfRule type="cellIs" dxfId="515" priority="506" operator="equal">
      <formula>"pass"</formula>
    </cfRule>
    <cfRule type="cellIs" dxfId="514" priority="505" operator="equal">
      <formula>"fail"</formula>
    </cfRule>
  </conditionalFormatting>
  <conditionalFormatting sqref="K68">
    <cfRule type="cellIs" dxfId="513" priority="504" operator="equal">
      <formula>"pass"</formula>
    </cfRule>
    <cfRule type="cellIs" dxfId="512" priority="503" operator="equal">
      <formula>"fail"</formula>
    </cfRule>
  </conditionalFormatting>
  <conditionalFormatting sqref="K78">
    <cfRule type="cellIs" dxfId="511" priority="501" operator="equal">
      <formula>"fail"</formula>
    </cfRule>
    <cfRule type="cellIs" dxfId="510" priority="502" operator="equal">
      <formula>"pass"</formula>
    </cfRule>
  </conditionalFormatting>
  <conditionalFormatting sqref="K88">
    <cfRule type="cellIs" dxfId="509" priority="500" operator="equal">
      <formula>"pass"</formula>
    </cfRule>
    <cfRule type="cellIs" dxfId="508" priority="499" operator="equal">
      <formula>"fail"</formula>
    </cfRule>
  </conditionalFormatting>
  <conditionalFormatting sqref="K98">
    <cfRule type="cellIs" dxfId="507" priority="498" operator="equal">
      <formula>"pass"</formula>
    </cfRule>
    <cfRule type="cellIs" dxfId="506" priority="497" operator="equal">
      <formula>"fail"</formula>
    </cfRule>
  </conditionalFormatting>
  <conditionalFormatting sqref="O85:R85">
    <cfRule type="cellIs" dxfId="505" priority="11" operator="equal">
      <formula>"FAIL"</formula>
    </cfRule>
    <cfRule type="cellIs" dxfId="504" priority="12" operator="equal">
      <formula>"PASS"</formula>
    </cfRule>
  </conditionalFormatting>
  <conditionalFormatting sqref="T7">
    <cfRule type="cellIs" dxfId="503" priority="289" operator="equal">
      <formula>"pass"</formula>
    </cfRule>
    <cfRule type="cellIs" dxfId="502" priority="288" operator="equal">
      <formula>"fail"</formula>
    </cfRule>
  </conditionalFormatting>
  <conditionalFormatting sqref="T15">
    <cfRule type="cellIs" dxfId="501" priority="165" operator="equal">
      <formula>"pass"</formula>
    </cfRule>
    <cfRule type="cellIs" dxfId="500" priority="164" operator="equal">
      <formula>"fail"</formula>
    </cfRule>
  </conditionalFormatting>
  <conditionalFormatting sqref="T23">
    <cfRule type="cellIs" dxfId="499" priority="163" operator="equal">
      <formula>"pass"</formula>
    </cfRule>
    <cfRule type="cellIs" dxfId="498" priority="162" operator="equal">
      <formula>"fail"</formula>
    </cfRule>
  </conditionalFormatting>
  <conditionalFormatting sqref="T31">
    <cfRule type="cellIs" dxfId="497" priority="161" operator="equal">
      <formula>"pass"</formula>
    </cfRule>
    <cfRule type="cellIs" dxfId="496" priority="160" operator="equal">
      <formula>"fail"</formula>
    </cfRule>
  </conditionalFormatting>
  <conditionalFormatting sqref="T39">
    <cfRule type="cellIs" dxfId="495" priority="159" operator="equal">
      <formula>"pass"</formula>
    </cfRule>
    <cfRule type="cellIs" dxfId="494" priority="158" operator="equal">
      <formula>"fail"</formula>
    </cfRule>
  </conditionalFormatting>
  <conditionalFormatting sqref="T47">
    <cfRule type="cellIs" dxfId="493" priority="157" operator="equal">
      <formula>"pass"</formula>
    </cfRule>
    <cfRule type="cellIs" dxfId="492" priority="156" operator="equal">
      <formula>"fail"</formula>
    </cfRule>
  </conditionalFormatting>
  <conditionalFormatting sqref="T55">
    <cfRule type="cellIs" dxfId="491" priority="154" operator="equal">
      <formula>"fail"</formula>
    </cfRule>
    <cfRule type="cellIs" dxfId="490" priority="155" operator="equal">
      <formula>"pass"</formula>
    </cfRule>
  </conditionalFormatting>
  <conditionalFormatting sqref="T63">
    <cfRule type="cellIs" dxfId="489" priority="152" operator="equal">
      <formula>"fail"</formula>
    </cfRule>
    <cfRule type="cellIs" dxfId="488" priority="153" operator="equal">
      <formula>"pass"</formula>
    </cfRule>
  </conditionalFormatting>
  <conditionalFormatting sqref="T71">
    <cfRule type="cellIs" dxfId="487" priority="150" operator="equal">
      <formula>"fail"</formula>
    </cfRule>
    <cfRule type="cellIs" dxfId="486" priority="151" operator="equal">
      <formula>"pass"</formula>
    </cfRule>
  </conditionalFormatting>
  <conditionalFormatting sqref="T79">
    <cfRule type="cellIs" dxfId="485" priority="149" operator="equal">
      <formula>"pass"</formula>
    </cfRule>
    <cfRule type="cellIs" dxfId="484" priority="148" operator="equal">
      <formula>"fail"</formula>
    </cfRule>
  </conditionalFormatting>
  <conditionalFormatting sqref="V7">
    <cfRule type="cellIs" dxfId="483" priority="284" operator="equal">
      <formula>"fail"</formula>
    </cfRule>
    <cfRule type="cellIs" dxfId="482" priority="285" operator="equal">
      <formula>"pass"</formula>
    </cfRule>
  </conditionalFormatting>
  <conditionalFormatting sqref="V15">
    <cfRule type="cellIs" dxfId="481" priority="129" operator="equal">
      <formula>"pass"</formula>
    </cfRule>
    <cfRule type="cellIs" dxfId="480" priority="128" operator="equal">
      <formula>"fail"</formula>
    </cfRule>
  </conditionalFormatting>
  <conditionalFormatting sqref="V23">
    <cfRule type="cellIs" dxfId="479" priority="127" operator="equal">
      <formula>"pass"</formula>
    </cfRule>
    <cfRule type="cellIs" dxfId="478" priority="126" operator="equal">
      <formula>"fail"</formula>
    </cfRule>
  </conditionalFormatting>
  <conditionalFormatting sqref="V31">
    <cfRule type="cellIs" dxfId="477" priority="125" operator="equal">
      <formula>"pass"</formula>
    </cfRule>
    <cfRule type="cellIs" dxfId="476" priority="124" operator="equal">
      <formula>"fail"</formula>
    </cfRule>
  </conditionalFormatting>
  <conditionalFormatting sqref="V39">
    <cfRule type="cellIs" dxfId="475" priority="123" operator="equal">
      <formula>"pass"</formula>
    </cfRule>
    <cfRule type="cellIs" dxfId="474" priority="122" operator="equal">
      <formula>"fail"</formula>
    </cfRule>
  </conditionalFormatting>
  <conditionalFormatting sqref="V47">
    <cfRule type="cellIs" dxfId="473" priority="121" operator="equal">
      <formula>"pass"</formula>
    </cfRule>
    <cfRule type="cellIs" dxfId="472" priority="120" operator="equal">
      <formula>"fail"</formula>
    </cfRule>
  </conditionalFormatting>
  <conditionalFormatting sqref="V55">
    <cfRule type="cellIs" dxfId="471" priority="119" operator="equal">
      <formula>"pass"</formula>
    </cfRule>
    <cfRule type="cellIs" dxfId="470" priority="118" operator="equal">
      <formula>"fail"</formula>
    </cfRule>
  </conditionalFormatting>
  <conditionalFormatting sqref="V63">
    <cfRule type="cellIs" dxfId="469" priority="117" operator="equal">
      <formula>"pass"</formula>
    </cfRule>
    <cfRule type="cellIs" dxfId="468" priority="116" operator="equal">
      <formula>"fail"</formula>
    </cfRule>
  </conditionalFormatting>
  <conditionalFormatting sqref="V71">
    <cfRule type="cellIs" dxfId="467" priority="115" operator="equal">
      <formula>"pass"</formula>
    </cfRule>
    <cfRule type="cellIs" dxfId="466" priority="114" operator="equal">
      <formula>"fail"</formula>
    </cfRule>
  </conditionalFormatting>
  <conditionalFormatting sqref="V79">
    <cfRule type="cellIs" dxfId="465" priority="112" operator="equal">
      <formula>"fail"</formula>
    </cfRule>
    <cfRule type="cellIs" dxfId="464" priority="113" operator="equal">
      <formula>"pass"</formula>
    </cfRule>
  </conditionalFormatting>
  <conditionalFormatting sqref="X7">
    <cfRule type="cellIs" dxfId="463" priority="280" operator="equal">
      <formula>"fail"</formula>
    </cfRule>
    <cfRule type="cellIs" dxfId="462" priority="281" operator="equal">
      <formula>"pass"</formula>
    </cfRule>
  </conditionalFormatting>
  <conditionalFormatting sqref="X15">
    <cfRule type="cellIs" dxfId="461" priority="92" operator="equal">
      <formula>"fail"</formula>
    </cfRule>
    <cfRule type="cellIs" dxfId="460" priority="93" operator="equal">
      <formula>"pass"</formula>
    </cfRule>
  </conditionalFormatting>
  <conditionalFormatting sqref="X23">
    <cfRule type="cellIs" dxfId="459" priority="90" operator="equal">
      <formula>"fail"</formula>
    </cfRule>
    <cfRule type="cellIs" dxfId="458" priority="91" operator="equal">
      <formula>"pass"</formula>
    </cfRule>
  </conditionalFormatting>
  <conditionalFormatting sqref="X31">
    <cfRule type="cellIs" dxfId="457" priority="89" operator="equal">
      <formula>"pass"</formula>
    </cfRule>
    <cfRule type="cellIs" dxfId="456" priority="88" operator="equal">
      <formula>"fail"</formula>
    </cfRule>
  </conditionalFormatting>
  <conditionalFormatting sqref="X39">
    <cfRule type="cellIs" dxfId="455" priority="87" operator="equal">
      <formula>"pass"</formula>
    </cfRule>
    <cfRule type="cellIs" dxfId="454" priority="86" operator="equal">
      <formula>"fail"</formula>
    </cfRule>
  </conditionalFormatting>
  <conditionalFormatting sqref="X47">
    <cfRule type="cellIs" dxfId="453" priority="85" operator="equal">
      <formula>"pass"</formula>
    </cfRule>
    <cfRule type="cellIs" dxfId="452" priority="84" operator="equal">
      <formula>"fail"</formula>
    </cfRule>
  </conditionalFormatting>
  <conditionalFormatting sqref="X55">
    <cfRule type="cellIs" dxfId="451" priority="82" operator="equal">
      <formula>"fail"</formula>
    </cfRule>
    <cfRule type="cellIs" dxfId="450" priority="83" operator="equal">
      <formula>"pass"</formula>
    </cfRule>
  </conditionalFormatting>
  <conditionalFormatting sqref="X63">
    <cfRule type="cellIs" dxfId="449" priority="81" operator="equal">
      <formula>"pass"</formula>
    </cfRule>
    <cfRule type="cellIs" dxfId="448" priority="80" operator="equal">
      <formula>"fail"</formula>
    </cfRule>
  </conditionalFormatting>
  <conditionalFormatting sqref="X71">
    <cfRule type="cellIs" dxfId="447" priority="79" operator="equal">
      <formula>"pass"</formula>
    </cfRule>
    <cfRule type="cellIs" dxfId="446" priority="78" operator="equal">
      <formula>"fail"</formula>
    </cfRule>
  </conditionalFormatting>
  <conditionalFormatting sqref="X79">
    <cfRule type="cellIs" dxfId="445" priority="77" operator="equal">
      <formula>"pass"</formula>
    </cfRule>
    <cfRule type="cellIs" dxfId="444" priority="76" operator="equal">
      <formula>"fail"</formula>
    </cfRule>
  </conditionalFormatting>
  <conditionalFormatting sqref="AB25:AF25">
    <cfRule type="cellIs" dxfId="443" priority="1" operator="equal">
      <formula>"FAIL"</formula>
    </cfRule>
    <cfRule type="cellIs" dxfId="442" priority="2" operator="equal">
      <formula>"PASS"</formula>
    </cfRule>
  </conditionalFormatting>
  <conditionalFormatting sqref="AH8 AJ8 AL8 AN8">
    <cfRule type="cellIs" dxfId="441" priority="39" operator="equal">
      <formula>"FAIL"</formula>
    </cfRule>
  </conditionalFormatting>
  <conditionalFormatting sqref="AH8">
    <cfRule type="cellIs" dxfId="440" priority="319" operator="equal">
      <formula>"pass"</formula>
    </cfRule>
    <cfRule type="cellIs" dxfId="439" priority="318" operator="equal">
      <formula>"fail"</formula>
    </cfRule>
  </conditionalFormatting>
  <conditionalFormatting sqref="AH18">
    <cfRule type="cellIs" dxfId="438" priority="32" operator="equal">
      <formula>"pass"</formula>
    </cfRule>
    <cfRule type="cellIs" dxfId="437" priority="31" operator="equal">
      <formula>"fail"</formula>
    </cfRule>
    <cfRule type="cellIs" dxfId="436" priority="30" operator="equal">
      <formula>"FAIL"</formula>
    </cfRule>
  </conditionalFormatting>
  <conditionalFormatting sqref="AH28">
    <cfRule type="cellIs" dxfId="435" priority="623" operator="equal">
      <formula>"fail"</formula>
    </cfRule>
    <cfRule type="cellIs" dxfId="434" priority="624" operator="equal">
      <formula>"pass"</formula>
    </cfRule>
  </conditionalFormatting>
  <conditionalFormatting sqref="AH35">
    <cfRule type="cellIs" dxfId="433" priority="621" operator="equal">
      <formula>"fail"</formula>
    </cfRule>
    <cfRule type="cellIs" dxfId="432" priority="622" operator="equal">
      <formula>"pass"</formula>
    </cfRule>
  </conditionalFormatting>
  <conditionalFormatting sqref="AH42">
    <cfRule type="cellIs" dxfId="431" priority="619" operator="equal">
      <formula>"fail"</formula>
    </cfRule>
    <cfRule type="cellIs" dxfId="430" priority="620" operator="equal">
      <formula>"pass"</formula>
    </cfRule>
  </conditionalFormatting>
  <conditionalFormatting sqref="AH49">
    <cfRule type="cellIs" dxfId="429" priority="618" operator="equal">
      <formula>"pass"</formula>
    </cfRule>
    <cfRule type="cellIs" dxfId="428" priority="617" operator="equal">
      <formula>"fail"</formula>
    </cfRule>
  </conditionalFormatting>
  <conditionalFormatting sqref="AH56">
    <cfRule type="cellIs" dxfId="427" priority="616" operator="equal">
      <formula>"pass"</formula>
    </cfRule>
    <cfRule type="cellIs" dxfId="426" priority="615" operator="equal">
      <formula>"fail"</formula>
    </cfRule>
  </conditionalFormatting>
  <conditionalFormatting sqref="AH63">
    <cfRule type="cellIs" dxfId="425" priority="614" operator="equal">
      <formula>"pass"</formula>
    </cfRule>
    <cfRule type="cellIs" dxfId="424" priority="613" operator="equal">
      <formula>"fail"</formula>
    </cfRule>
  </conditionalFormatting>
  <conditionalFormatting sqref="AH70">
    <cfRule type="cellIs" dxfId="423" priority="611" operator="equal">
      <formula>"fail"</formula>
    </cfRule>
    <cfRule type="cellIs" dxfId="422" priority="612" operator="equal">
      <formula>"pass"</formula>
    </cfRule>
  </conditionalFormatting>
  <conditionalFormatting sqref="AJ8">
    <cfRule type="cellIs" dxfId="421" priority="315" operator="equal">
      <formula>"fail"</formula>
    </cfRule>
    <cfRule type="cellIs" dxfId="420" priority="316" operator="equal">
      <formula>"pass"</formula>
    </cfRule>
  </conditionalFormatting>
  <conditionalFormatting sqref="AJ18">
    <cfRule type="cellIs" dxfId="419" priority="25" operator="equal">
      <formula>"FAIL"</formula>
    </cfRule>
    <cfRule type="cellIs" dxfId="418" priority="26" operator="equal">
      <formula>"fail"</formula>
    </cfRule>
    <cfRule type="cellIs" dxfId="417" priority="27" operator="equal">
      <formula>"pass"</formula>
    </cfRule>
  </conditionalFormatting>
  <conditionalFormatting sqref="AJ28">
    <cfRule type="cellIs" dxfId="416" priority="545" operator="equal">
      <formula>"fail"</formula>
    </cfRule>
    <cfRule type="cellIs" dxfId="415" priority="546" operator="equal">
      <formula>"pass"</formula>
    </cfRule>
  </conditionalFormatting>
  <conditionalFormatting sqref="AJ35">
    <cfRule type="cellIs" dxfId="414" priority="543" operator="equal">
      <formula>"fail"</formula>
    </cfRule>
    <cfRule type="cellIs" dxfId="413" priority="544" operator="equal">
      <formula>"pass"</formula>
    </cfRule>
  </conditionalFormatting>
  <conditionalFormatting sqref="AJ42">
    <cfRule type="cellIs" dxfId="412" priority="542" operator="equal">
      <formula>"pass"</formula>
    </cfRule>
    <cfRule type="cellIs" dxfId="411" priority="541" operator="equal">
      <formula>"fail"</formula>
    </cfRule>
  </conditionalFormatting>
  <conditionalFormatting sqref="AJ49">
    <cfRule type="cellIs" dxfId="410" priority="539" operator="equal">
      <formula>"fail"</formula>
    </cfRule>
    <cfRule type="cellIs" dxfId="409" priority="540" operator="equal">
      <formula>"pass"</formula>
    </cfRule>
  </conditionalFormatting>
  <conditionalFormatting sqref="AJ56">
    <cfRule type="cellIs" dxfId="408" priority="537" operator="equal">
      <formula>"fail"</formula>
    </cfRule>
    <cfRule type="cellIs" dxfId="407" priority="538" operator="equal">
      <formula>"pass"</formula>
    </cfRule>
  </conditionalFormatting>
  <conditionalFormatting sqref="AJ63">
    <cfRule type="cellIs" dxfId="406" priority="536" operator="equal">
      <formula>"pass"</formula>
    </cfRule>
    <cfRule type="cellIs" dxfId="405" priority="535" operator="equal">
      <formula>"fail"</formula>
    </cfRule>
  </conditionalFormatting>
  <conditionalFormatting sqref="AJ70">
    <cfRule type="cellIs" dxfId="404" priority="534" operator="equal">
      <formula>"pass"</formula>
    </cfRule>
    <cfRule type="cellIs" dxfId="403" priority="533" operator="equal">
      <formula>"fail"</formula>
    </cfRule>
  </conditionalFormatting>
  <conditionalFormatting sqref="AL8">
    <cfRule type="cellIs" dxfId="402" priority="312" operator="equal">
      <formula>"fail"</formula>
    </cfRule>
    <cfRule type="cellIs" dxfId="401" priority="313" operator="equal">
      <formula>"pass"</formula>
    </cfRule>
  </conditionalFormatting>
  <conditionalFormatting sqref="AL18">
    <cfRule type="cellIs" dxfId="400" priority="21" operator="equal">
      <formula>"fail"</formula>
    </cfRule>
    <cfRule type="cellIs" dxfId="399" priority="20" operator="equal">
      <formula>"FAIL"</formula>
    </cfRule>
    <cfRule type="cellIs" dxfId="398" priority="22" operator="equal">
      <formula>"pass"</formula>
    </cfRule>
  </conditionalFormatting>
  <conditionalFormatting sqref="AL28">
    <cfRule type="cellIs" dxfId="397" priority="577" operator="equal">
      <formula>"fail"</formula>
    </cfRule>
    <cfRule type="cellIs" dxfId="396" priority="578" operator="equal">
      <formula>"pass"</formula>
    </cfRule>
  </conditionalFormatting>
  <conditionalFormatting sqref="AL35">
    <cfRule type="cellIs" dxfId="395" priority="579" operator="equal">
      <formula>"fail"</formula>
    </cfRule>
    <cfRule type="cellIs" dxfId="394" priority="580" operator="equal">
      <formula>"pass"</formula>
    </cfRule>
  </conditionalFormatting>
  <conditionalFormatting sqref="AL42">
    <cfRule type="cellIs" dxfId="393" priority="581" operator="equal">
      <formula>"fail"</formula>
    </cfRule>
    <cfRule type="cellIs" dxfId="392" priority="582" operator="equal">
      <formula>"pass"</formula>
    </cfRule>
  </conditionalFormatting>
  <conditionalFormatting sqref="AL49">
    <cfRule type="cellIs" dxfId="391" priority="584" operator="equal">
      <formula>"pass"</formula>
    </cfRule>
    <cfRule type="cellIs" dxfId="390" priority="583" operator="equal">
      <formula>"fail"</formula>
    </cfRule>
  </conditionalFormatting>
  <conditionalFormatting sqref="AL56">
    <cfRule type="cellIs" dxfId="389" priority="585" operator="equal">
      <formula>"fail"</formula>
    </cfRule>
    <cfRule type="cellIs" dxfId="388" priority="586" operator="equal">
      <formula>"pass"</formula>
    </cfRule>
  </conditionalFormatting>
  <conditionalFormatting sqref="AL63">
    <cfRule type="cellIs" dxfId="387" priority="587" operator="equal">
      <formula>"fail"</formula>
    </cfRule>
    <cfRule type="cellIs" dxfId="386" priority="588" operator="equal">
      <formula>"pass"</formula>
    </cfRule>
  </conditionalFormatting>
  <conditionalFormatting sqref="AL70">
    <cfRule type="cellIs" dxfId="385" priority="589" operator="equal">
      <formula>"fail"</formula>
    </cfRule>
    <cfRule type="cellIs" dxfId="384" priority="590" operator="equal">
      <formula>"pass"</formula>
    </cfRule>
  </conditionalFormatting>
  <conditionalFormatting sqref="AN8">
    <cfRule type="cellIs" dxfId="383" priority="310" operator="equal">
      <formula>"pass"</formula>
    </cfRule>
    <cfRule type="cellIs" dxfId="382" priority="309" operator="equal">
      <formula>"fail"</formula>
    </cfRule>
  </conditionalFormatting>
  <conditionalFormatting sqref="AN18">
    <cfRule type="cellIs" dxfId="381" priority="15" operator="equal">
      <formula>"FAIL"</formula>
    </cfRule>
    <cfRule type="cellIs" dxfId="380" priority="16" operator="equal">
      <formula>"fail"</formula>
    </cfRule>
    <cfRule type="cellIs" dxfId="379" priority="17" operator="equal">
      <formula>"pass"</formula>
    </cfRule>
  </conditionalFormatting>
  <conditionalFormatting sqref="AN28">
    <cfRule type="cellIs" dxfId="378" priority="564" operator="equal">
      <formula>"pass"</formula>
    </cfRule>
    <cfRule type="cellIs" dxfId="377" priority="563" operator="equal">
      <formula>"fail"</formula>
    </cfRule>
  </conditionalFormatting>
  <conditionalFormatting sqref="AN35">
    <cfRule type="cellIs" dxfId="376" priority="561" operator="equal">
      <formula>"fail"</formula>
    </cfRule>
    <cfRule type="cellIs" dxfId="375" priority="562" operator="equal">
      <formula>"pass"</formula>
    </cfRule>
  </conditionalFormatting>
  <conditionalFormatting sqref="AN42">
    <cfRule type="cellIs" dxfId="374" priority="560" operator="equal">
      <formula>"pass"</formula>
    </cfRule>
    <cfRule type="cellIs" dxfId="373" priority="559" operator="equal">
      <formula>"fail"</formula>
    </cfRule>
  </conditionalFormatting>
  <conditionalFormatting sqref="AN49">
    <cfRule type="cellIs" dxfId="372" priority="557" operator="equal">
      <formula>"fail"</formula>
    </cfRule>
    <cfRule type="cellIs" dxfId="371" priority="558" operator="equal">
      <formula>"pass"</formula>
    </cfRule>
  </conditionalFormatting>
  <conditionalFormatting sqref="AN56">
    <cfRule type="cellIs" dxfId="370" priority="555" operator="equal">
      <formula>"fail"</formula>
    </cfRule>
    <cfRule type="cellIs" dxfId="369" priority="556" operator="equal">
      <formula>"pass"</formula>
    </cfRule>
  </conditionalFormatting>
  <conditionalFormatting sqref="AN63">
    <cfRule type="cellIs" dxfId="368" priority="554" operator="equal">
      <formula>"pass"</formula>
    </cfRule>
    <cfRule type="cellIs" dxfId="367" priority="553" operator="equal">
      <formula>"fail"</formula>
    </cfRule>
  </conditionalFormatting>
  <conditionalFormatting sqref="AN70">
    <cfRule type="cellIs" dxfId="366" priority="552" operator="equal">
      <formula>"pass"</formula>
    </cfRule>
    <cfRule type="cellIs" dxfId="365" priority="551" operator="equal">
      <formula>"fail"</formula>
    </cfRule>
  </conditionalFormatting>
  <pageMargins left="0.51181102362204722" right="0.51181102362204722" top="0.98425196850393704" bottom="0.98425196850393704" header="0.23622047244094491" footer="0.23622047244094491"/>
  <pageSetup scale="27" fitToHeight="0"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F20"/>
  <sheetViews>
    <sheetView zoomScaleNormal="100" workbookViewId="0">
      <selection activeCell="G15" sqref="G15"/>
    </sheetView>
  </sheetViews>
  <sheetFormatPr baseColWidth="10" defaultColWidth="9.5" defaultRowHeight="13" x14ac:dyDescent="0.15"/>
  <cols>
    <col min="1" max="1" width="17.6640625" style="59" bestFit="1" customWidth="1"/>
    <col min="2" max="2" width="13.33203125" style="59" bestFit="1" customWidth="1"/>
    <col min="3" max="3" width="14.33203125" style="59" bestFit="1" customWidth="1"/>
    <col min="4" max="4" width="12.1640625" style="59" bestFit="1" customWidth="1"/>
    <col min="5" max="5" width="13.5" style="59" bestFit="1" customWidth="1"/>
    <col min="6" max="6" width="16.1640625" style="59" bestFit="1" customWidth="1"/>
    <col min="7" max="7" width="13.5" style="59" bestFit="1" customWidth="1"/>
    <col min="8" max="8" width="10.6640625" style="59" bestFit="1" customWidth="1"/>
    <col min="9" max="9" width="11.5" style="59" bestFit="1" customWidth="1"/>
    <col min="10" max="10" width="14.5" style="59" bestFit="1" customWidth="1"/>
    <col min="11" max="11" width="6.5" style="59" bestFit="1" customWidth="1"/>
    <col min="12" max="12" width="19.6640625" style="59" bestFit="1" customWidth="1"/>
    <col min="13" max="13" width="12.6640625" style="59" bestFit="1" customWidth="1"/>
    <col min="14" max="14" width="6.33203125" style="59" bestFit="1" customWidth="1"/>
    <col min="15" max="15" width="7.6640625" style="59" bestFit="1" customWidth="1"/>
    <col min="16" max="16" width="13.33203125" style="59" bestFit="1" customWidth="1"/>
    <col min="17" max="17" width="5" style="59" bestFit="1" customWidth="1"/>
    <col min="18" max="18" width="6.1640625" style="59" bestFit="1" customWidth="1"/>
    <col min="19" max="19" width="8.33203125" style="59" bestFit="1" customWidth="1"/>
    <col min="20" max="20" width="13.5" style="59" bestFit="1" customWidth="1"/>
    <col min="21" max="23" width="9.33203125" style="59" bestFit="1" customWidth="1"/>
    <col min="24" max="24" width="17.83203125" style="59" bestFit="1" customWidth="1"/>
    <col min="25" max="25" width="19.5" style="59" bestFit="1" customWidth="1"/>
    <col min="26" max="26" width="6.6640625" style="59" bestFit="1" customWidth="1"/>
    <col min="27" max="27" width="13.1640625" style="59" bestFit="1" customWidth="1"/>
    <col min="28" max="28" width="6.33203125" style="59" bestFit="1" customWidth="1"/>
    <col min="29" max="29" width="7.6640625" style="59" bestFit="1" customWidth="1"/>
    <col min="30" max="30" width="13.33203125" style="59" bestFit="1" customWidth="1"/>
    <col min="31" max="31" width="2.83203125" style="59" bestFit="1" customWidth="1"/>
    <col min="32" max="32" width="6.1640625" style="59" bestFit="1" customWidth="1"/>
    <col min="33" max="33" width="8.33203125" style="59" bestFit="1" customWidth="1"/>
    <col min="34" max="34" width="13.5" style="59" bestFit="1" customWidth="1"/>
    <col min="35" max="37" width="9.33203125" style="59" bestFit="1" customWidth="1"/>
    <col min="38" max="38" width="17.83203125" style="59" bestFit="1" customWidth="1"/>
    <col min="39" max="39" width="19.5" style="59" bestFit="1" customWidth="1"/>
    <col min="40" max="40" width="6.6640625" style="59" bestFit="1" customWidth="1"/>
    <col min="41" max="41" width="12.6640625" style="59" bestFit="1" customWidth="1"/>
    <col min="42" max="42" width="6.33203125" style="59" bestFit="1" customWidth="1"/>
    <col min="43" max="43" width="7.6640625" style="59" bestFit="1" customWidth="1"/>
    <col min="44" max="44" width="13.33203125" style="59" bestFit="1" customWidth="1"/>
    <col min="45" max="45" width="2.83203125" style="59" bestFit="1" customWidth="1"/>
    <col min="46" max="46" width="6.1640625" style="59" bestFit="1" customWidth="1"/>
    <col min="47" max="47" width="8.33203125" style="59" bestFit="1" customWidth="1"/>
    <col min="48" max="48" width="13.5" style="59" bestFit="1" customWidth="1"/>
    <col min="49" max="51" width="9.33203125" style="59" bestFit="1" customWidth="1"/>
    <col min="52" max="52" width="17.83203125" style="59" bestFit="1" customWidth="1"/>
    <col min="53" max="53" width="19.5" style="59" bestFit="1" customWidth="1"/>
    <col min="54" max="54" width="6.6640625" style="59" bestFit="1" customWidth="1"/>
    <col min="55" max="55" width="12.6640625" style="59" bestFit="1" customWidth="1"/>
    <col min="56" max="56" width="6.33203125" style="59" bestFit="1" customWidth="1"/>
    <col min="57" max="57" width="7.6640625" style="59" bestFit="1" customWidth="1"/>
    <col min="58" max="58" width="13.33203125" style="59" bestFit="1" customWidth="1"/>
    <col min="59" max="59" width="2.83203125" style="59" bestFit="1" customWidth="1"/>
    <col min="60" max="60" width="6.1640625" style="59" bestFit="1" customWidth="1"/>
    <col min="61" max="61" width="8.33203125" style="59" bestFit="1" customWidth="1"/>
    <col min="62" max="62" width="13.5" style="59" bestFit="1" customWidth="1"/>
    <col min="63" max="65" width="9.33203125" style="59" bestFit="1" customWidth="1"/>
    <col min="66" max="66" width="17.83203125" style="59" bestFit="1" customWidth="1"/>
    <col min="67" max="67" width="19.5" style="59" bestFit="1" customWidth="1"/>
    <col min="68" max="68" width="6.6640625" style="59" bestFit="1" customWidth="1"/>
    <col min="69" max="69" width="12.6640625" style="59" bestFit="1" customWidth="1"/>
    <col min="70" max="70" width="6.33203125" style="59" bestFit="1" customWidth="1"/>
    <col min="71" max="71" width="7.6640625" style="59" bestFit="1" customWidth="1"/>
    <col min="72" max="72" width="13.33203125" style="59" bestFit="1" customWidth="1"/>
    <col min="73" max="73" width="2.83203125" style="59" bestFit="1" customWidth="1"/>
    <col min="74" max="74" width="6.1640625" style="59" bestFit="1" customWidth="1"/>
    <col min="75" max="75" width="8.33203125" style="59" bestFit="1" customWidth="1"/>
    <col min="76" max="76" width="13.5" style="59" bestFit="1" customWidth="1"/>
    <col min="77" max="79" width="9.33203125" style="59" bestFit="1" customWidth="1"/>
    <col min="80" max="80" width="17.83203125" style="59" bestFit="1" customWidth="1"/>
    <col min="81" max="81" width="19.5" style="59" bestFit="1" customWidth="1"/>
    <col min="82" max="82" width="6.6640625" style="59" bestFit="1" customWidth="1"/>
    <col min="83" max="83" width="12.6640625" style="59" bestFit="1" customWidth="1"/>
    <col min="84" max="84" width="6.33203125" style="59" bestFit="1" customWidth="1"/>
    <col min="85" max="85" width="7.6640625" style="59" bestFit="1" customWidth="1"/>
    <col min="86" max="86" width="13.33203125" style="59" bestFit="1" customWidth="1"/>
    <col min="87" max="87" width="2.83203125" style="59" bestFit="1" customWidth="1"/>
    <col min="88" max="88" width="6.1640625" style="59" bestFit="1" customWidth="1"/>
    <col min="89" max="89" width="8.33203125" style="59" bestFit="1" customWidth="1"/>
    <col min="90" max="90" width="13.5" style="59" bestFit="1" customWidth="1"/>
    <col min="91" max="93" width="9.33203125" style="59" bestFit="1" customWidth="1"/>
    <col min="94" max="94" width="17.83203125" style="59" bestFit="1" customWidth="1"/>
    <col min="95" max="95" width="19.5" style="59" bestFit="1" customWidth="1"/>
    <col min="96" max="96" width="6.6640625" style="59" bestFit="1" customWidth="1"/>
    <col min="97" max="97" width="12.6640625" style="59" bestFit="1" customWidth="1"/>
    <col min="98" max="98" width="6.33203125" style="59" bestFit="1" customWidth="1"/>
    <col min="99" max="101" width="9.33203125" style="59" bestFit="1" customWidth="1"/>
    <col min="102" max="102" width="17.83203125" style="59" bestFit="1" customWidth="1"/>
    <col min="103" max="103" width="12.6640625" style="59" bestFit="1" customWidth="1"/>
    <col min="104" max="104" width="6.33203125" style="59" bestFit="1" customWidth="1"/>
    <col min="105" max="107" width="9.33203125" style="59" bestFit="1" customWidth="1"/>
    <col min="108" max="108" width="17.83203125" style="59" bestFit="1" customWidth="1"/>
    <col min="109" max="109" width="12.6640625" style="59" bestFit="1" customWidth="1"/>
    <col min="110" max="110" width="10.33203125" style="59" bestFit="1" customWidth="1"/>
    <col min="111" max="113" width="9.33203125" style="59" bestFit="1" customWidth="1"/>
    <col min="114" max="114" width="17.83203125" style="59" bestFit="1" customWidth="1"/>
    <col min="115" max="115" width="20.5" style="59" bestFit="1" customWidth="1"/>
    <col min="116" max="116" width="15.5" style="59" bestFit="1" customWidth="1"/>
    <col min="117" max="117" width="12.6640625" style="59" bestFit="1" customWidth="1"/>
    <col min="118" max="118" width="10.33203125" style="59" bestFit="1" customWidth="1"/>
    <col min="119" max="121" width="9.33203125" style="59" bestFit="1" customWidth="1"/>
    <col min="122" max="122" width="17.83203125" style="59" bestFit="1" customWidth="1"/>
    <col min="123" max="123" width="20.5" style="59" bestFit="1" customWidth="1"/>
    <col min="124" max="124" width="15.5" style="59" bestFit="1" customWidth="1"/>
    <col min="125" max="125" width="12.6640625" style="59" bestFit="1" customWidth="1"/>
    <col min="126" max="126" width="10.33203125" style="59" bestFit="1" customWidth="1"/>
    <col min="127" max="129" width="9.33203125" style="59" bestFit="1" customWidth="1"/>
    <col min="130" max="130" width="17.83203125" style="59" bestFit="1" customWidth="1"/>
    <col min="131" max="131" width="20.5" style="59" bestFit="1" customWidth="1"/>
    <col min="132" max="132" width="15.5" style="59" bestFit="1" customWidth="1"/>
    <col min="133" max="133" width="12.6640625" style="59" bestFit="1" customWidth="1"/>
    <col min="134" max="134" width="10.33203125" style="59" bestFit="1" customWidth="1"/>
    <col min="135" max="137" width="9.33203125" style="59" bestFit="1" customWidth="1"/>
    <col min="138" max="138" width="17.83203125" style="59" bestFit="1" customWidth="1"/>
    <col min="139" max="139" width="20.5" style="59" bestFit="1" customWidth="1"/>
    <col min="140" max="140" width="15.5" style="59" bestFit="1" customWidth="1"/>
    <col min="141" max="141" width="13.83203125" style="59" bestFit="1" customWidth="1"/>
    <col min="142" max="142" width="10.33203125" style="59" bestFit="1" customWidth="1"/>
    <col min="143" max="145" width="9.33203125" style="59" bestFit="1" customWidth="1"/>
    <col min="146" max="146" width="17.83203125" style="59" bestFit="1" customWidth="1"/>
    <col min="147" max="147" width="20.5" style="59" bestFit="1" customWidth="1"/>
    <col min="148" max="148" width="15.5" style="59" bestFit="1" customWidth="1"/>
    <col min="149" max="149" width="13.83203125" style="59" bestFit="1" customWidth="1"/>
    <col min="150" max="150" width="10.33203125" style="59" bestFit="1" customWidth="1"/>
    <col min="151" max="153" width="9.33203125" style="59" bestFit="1" customWidth="1"/>
    <col min="154" max="154" width="17.83203125" style="59" bestFit="1" customWidth="1"/>
    <col min="155" max="155" width="20.5" style="59" bestFit="1" customWidth="1"/>
    <col min="156" max="156" width="15.5" style="59" bestFit="1" customWidth="1"/>
    <col min="157" max="157" width="13.83203125" style="59" bestFit="1" customWidth="1"/>
    <col min="158" max="158" width="10.33203125" style="59" bestFit="1" customWidth="1"/>
    <col min="159" max="161" width="9.33203125" style="59" bestFit="1" customWidth="1"/>
    <col min="162" max="162" width="17.83203125" style="59" bestFit="1" customWidth="1"/>
    <col min="163" max="163" width="20.5" style="59" bestFit="1" customWidth="1"/>
    <col min="164" max="164" width="15.5" style="59" bestFit="1" customWidth="1"/>
    <col min="165" max="165" width="15.6640625" style="59" bestFit="1" customWidth="1"/>
    <col min="166" max="166" width="10.33203125" style="59" bestFit="1" customWidth="1"/>
    <col min="167" max="169" width="9.33203125" style="59" bestFit="1" customWidth="1"/>
    <col min="170" max="170" width="17.83203125" style="59" bestFit="1" customWidth="1"/>
    <col min="171" max="171" width="20.5" style="59" bestFit="1" customWidth="1"/>
    <col min="172" max="172" width="15.5" style="59" bestFit="1" customWidth="1"/>
    <col min="173" max="173" width="15.6640625" style="59" bestFit="1" customWidth="1"/>
    <col min="174" max="174" width="10.33203125" style="59" bestFit="1" customWidth="1"/>
    <col min="175" max="177" width="9.33203125" style="59" bestFit="1" customWidth="1"/>
    <col min="178" max="178" width="17.83203125" style="59" bestFit="1" customWidth="1"/>
    <col min="179" max="179" width="20.5" style="59" bestFit="1" customWidth="1"/>
    <col min="180" max="180" width="15.5" style="59" bestFit="1" customWidth="1"/>
    <col min="181" max="181" width="17.5" style="59" bestFit="1" customWidth="1"/>
    <col min="182" max="182" width="16.83203125" style="59" bestFit="1" customWidth="1"/>
    <col min="183" max="183" width="5" style="59" bestFit="1" customWidth="1"/>
    <col min="184" max="184" width="9.1640625" style="59" bestFit="1" customWidth="1"/>
    <col min="185" max="185" width="16.1640625" style="59" bestFit="1" customWidth="1"/>
    <col min="186" max="186" width="14.6640625" style="59" bestFit="1" customWidth="1"/>
    <col min="187" max="187" width="16" style="59" bestFit="1" customWidth="1"/>
    <col min="188" max="188" width="14.5" style="59" bestFit="1" customWidth="1"/>
    <col min="189" max="189" width="9.5" style="59" customWidth="1"/>
    <col min="190" max="16384" width="9.5" style="59"/>
  </cols>
  <sheetData>
    <row r="1" spans="1:188" x14ac:dyDescent="0.15">
      <c r="A1" s="59" t="s">
        <v>569</v>
      </c>
      <c r="B1" s="59" t="s">
        <v>570</v>
      </c>
      <c r="C1" s="59" t="s">
        <v>571</v>
      </c>
      <c r="D1" s="59" t="s">
        <v>572</v>
      </c>
      <c r="E1" s="59" t="s">
        <v>573</v>
      </c>
      <c r="F1" s="59" t="s">
        <v>574</v>
      </c>
      <c r="G1" s="59" t="s">
        <v>575</v>
      </c>
      <c r="H1" s="59" t="s">
        <v>576</v>
      </c>
      <c r="I1" s="59" t="s">
        <v>577</v>
      </c>
      <c r="J1" s="59" t="s">
        <v>578</v>
      </c>
      <c r="K1" s="59" t="s">
        <v>579</v>
      </c>
      <c r="L1" s="59" t="s">
        <v>580</v>
      </c>
      <c r="M1" s="59" t="s">
        <v>581</v>
      </c>
      <c r="N1" s="59" t="s">
        <v>582</v>
      </c>
      <c r="O1" s="59" t="s">
        <v>583</v>
      </c>
      <c r="P1" s="59" t="s">
        <v>584</v>
      </c>
      <c r="Q1" s="59" t="s">
        <v>585</v>
      </c>
      <c r="R1" s="59" t="s">
        <v>586</v>
      </c>
      <c r="S1" s="59" t="s">
        <v>587</v>
      </c>
      <c r="T1" s="59" t="s">
        <v>588</v>
      </c>
      <c r="U1" s="59" t="s">
        <v>589</v>
      </c>
      <c r="V1" s="59" t="s">
        <v>590</v>
      </c>
      <c r="W1" s="59" t="s">
        <v>591</v>
      </c>
      <c r="X1" s="59" t="s">
        <v>592</v>
      </c>
      <c r="Y1" s="59" t="s">
        <v>593</v>
      </c>
      <c r="Z1" s="59" t="s">
        <v>594</v>
      </c>
      <c r="AA1" s="59" t="s">
        <v>581</v>
      </c>
      <c r="AB1" s="59" t="s">
        <v>582</v>
      </c>
      <c r="AC1" s="59" t="s">
        <v>583</v>
      </c>
      <c r="AD1" s="59" t="s">
        <v>584</v>
      </c>
      <c r="AE1" s="59" t="s">
        <v>585</v>
      </c>
      <c r="AF1" s="59" t="s">
        <v>586</v>
      </c>
      <c r="AG1" s="59" t="s">
        <v>587</v>
      </c>
      <c r="AH1" s="59" t="s">
        <v>588</v>
      </c>
      <c r="AI1" s="59" t="s">
        <v>589</v>
      </c>
      <c r="AJ1" s="59" t="s">
        <v>590</v>
      </c>
      <c r="AK1" s="59" t="s">
        <v>591</v>
      </c>
      <c r="AL1" s="59" t="s">
        <v>592</v>
      </c>
      <c r="AM1" s="59" t="s">
        <v>593</v>
      </c>
      <c r="AN1" s="59" t="s">
        <v>594</v>
      </c>
      <c r="AO1" s="59" t="s">
        <v>581</v>
      </c>
      <c r="AP1" s="59" t="s">
        <v>582</v>
      </c>
      <c r="AQ1" s="59" t="s">
        <v>583</v>
      </c>
      <c r="AR1" s="59" t="s">
        <v>584</v>
      </c>
      <c r="AS1" s="59" t="s">
        <v>585</v>
      </c>
      <c r="AT1" s="59" t="s">
        <v>586</v>
      </c>
      <c r="AU1" s="59" t="s">
        <v>587</v>
      </c>
      <c r="AV1" s="59" t="s">
        <v>588</v>
      </c>
      <c r="AW1" s="59" t="s">
        <v>589</v>
      </c>
      <c r="AX1" s="59" t="s">
        <v>590</v>
      </c>
      <c r="AY1" s="59" t="s">
        <v>591</v>
      </c>
      <c r="AZ1" s="59" t="s">
        <v>592</v>
      </c>
      <c r="BA1" s="59" t="s">
        <v>593</v>
      </c>
      <c r="BB1" s="59" t="s">
        <v>594</v>
      </c>
      <c r="BC1" s="59" t="s">
        <v>581</v>
      </c>
      <c r="BD1" s="59" t="s">
        <v>582</v>
      </c>
      <c r="BE1" s="59" t="s">
        <v>583</v>
      </c>
      <c r="BF1" s="59" t="s">
        <v>584</v>
      </c>
      <c r="BG1" s="59" t="s">
        <v>585</v>
      </c>
      <c r="BH1" s="59" t="s">
        <v>586</v>
      </c>
      <c r="BI1" s="59" t="s">
        <v>587</v>
      </c>
      <c r="BJ1" s="59" t="s">
        <v>588</v>
      </c>
      <c r="BK1" s="59" t="s">
        <v>589</v>
      </c>
      <c r="BL1" s="59" t="s">
        <v>590</v>
      </c>
      <c r="BM1" s="59" t="s">
        <v>591</v>
      </c>
      <c r="BN1" s="59" t="s">
        <v>592</v>
      </c>
      <c r="BO1" s="59" t="s">
        <v>593</v>
      </c>
      <c r="BP1" s="59" t="s">
        <v>594</v>
      </c>
      <c r="BQ1" s="59" t="s">
        <v>581</v>
      </c>
      <c r="BR1" s="59" t="s">
        <v>582</v>
      </c>
      <c r="BS1" s="59" t="s">
        <v>583</v>
      </c>
      <c r="BT1" s="59" t="s">
        <v>584</v>
      </c>
      <c r="BU1" s="59" t="s">
        <v>585</v>
      </c>
      <c r="BV1" s="59" t="s">
        <v>586</v>
      </c>
      <c r="BW1" s="59" t="s">
        <v>587</v>
      </c>
      <c r="BX1" s="59" t="s">
        <v>588</v>
      </c>
      <c r="BY1" s="59" t="s">
        <v>589</v>
      </c>
      <c r="BZ1" s="59" t="s">
        <v>590</v>
      </c>
      <c r="CA1" s="59" t="s">
        <v>591</v>
      </c>
      <c r="CB1" s="59" t="s">
        <v>592</v>
      </c>
      <c r="CC1" s="59" t="s">
        <v>593</v>
      </c>
      <c r="CD1" s="59" t="s">
        <v>594</v>
      </c>
      <c r="CE1" s="59" t="s">
        <v>581</v>
      </c>
      <c r="CF1" s="59" t="s">
        <v>582</v>
      </c>
      <c r="CG1" s="59" t="s">
        <v>583</v>
      </c>
      <c r="CH1" s="59" t="s">
        <v>584</v>
      </c>
      <c r="CI1" s="59" t="s">
        <v>585</v>
      </c>
      <c r="CJ1" s="59" t="s">
        <v>586</v>
      </c>
      <c r="CK1" s="59" t="s">
        <v>587</v>
      </c>
      <c r="CL1" s="59" t="s">
        <v>588</v>
      </c>
      <c r="CM1" s="59" t="s">
        <v>589</v>
      </c>
      <c r="CN1" s="59" t="s">
        <v>590</v>
      </c>
      <c r="CO1" s="59" t="s">
        <v>591</v>
      </c>
      <c r="CP1" s="59" t="s">
        <v>592</v>
      </c>
      <c r="CQ1" s="59" t="s">
        <v>593</v>
      </c>
      <c r="CR1" s="59" t="s">
        <v>594</v>
      </c>
      <c r="CS1" s="59" t="s">
        <v>581</v>
      </c>
      <c r="CT1" s="59" t="s">
        <v>582</v>
      </c>
      <c r="CU1" s="59" t="s">
        <v>589</v>
      </c>
      <c r="CV1" s="59" t="s">
        <v>590</v>
      </c>
      <c r="CW1" s="59" t="s">
        <v>591</v>
      </c>
      <c r="CX1" s="59" t="s">
        <v>592</v>
      </c>
      <c r="CY1" s="59" t="s">
        <v>581</v>
      </c>
      <c r="CZ1" s="59" t="s">
        <v>582</v>
      </c>
      <c r="DA1" s="59" t="s">
        <v>589</v>
      </c>
      <c r="DB1" s="59" t="s">
        <v>590</v>
      </c>
      <c r="DC1" s="59" t="s">
        <v>591</v>
      </c>
      <c r="DD1" s="59" t="s">
        <v>592</v>
      </c>
      <c r="DE1" s="59" t="s">
        <v>581</v>
      </c>
      <c r="DF1" s="59" t="s">
        <v>582</v>
      </c>
      <c r="DG1" s="59" t="s">
        <v>589</v>
      </c>
      <c r="DH1" s="59" t="s">
        <v>590</v>
      </c>
      <c r="DI1" s="59" t="s">
        <v>591</v>
      </c>
      <c r="DJ1" s="59" t="s">
        <v>592</v>
      </c>
      <c r="DK1" s="59" t="s">
        <v>595</v>
      </c>
      <c r="DL1" s="59" t="s">
        <v>596</v>
      </c>
      <c r="DM1" s="59" t="s">
        <v>581</v>
      </c>
      <c r="DN1" s="59" t="s">
        <v>582</v>
      </c>
      <c r="DO1" s="59" t="s">
        <v>589</v>
      </c>
      <c r="DP1" s="59" t="s">
        <v>590</v>
      </c>
      <c r="DQ1" s="59" t="s">
        <v>591</v>
      </c>
      <c r="DR1" s="59" t="s">
        <v>592</v>
      </c>
      <c r="DS1" s="59" t="s">
        <v>595</v>
      </c>
      <c r="DT1" s="59" t="s">
        <v>596</v>
      </c>
      <c r="DU1" s="59" t="s">
        <v>581</v>
      </c>
      <c r="DV1" s="59" t="s">
        <v>582</v>
      </c>
      <c r="DW1" s="59" t="s">
        <v>589</v>
      </c>
      <c r="DX1" s="59" t="s">
        <v>590</v>
      </c>
      <c r="DY1" s="59" t="s">
        <v>591</v>
      </c>
      <c r="DZ1" s="59" t="s">
        <v>592</v>
      </c>
      <c r="EA1" s="59" t="s">
        <v>595</v>
      </c>
      <c r="EB1" s="59" t="s">
        <v>596</v>
      </c>
      <c r="EC1" s="59" t="s">
        <v>581</v>
      </c>
      <c r="ED1" s="59" t="s">
        <v>582</v>
      </c>
      <c r="EE1" s="59" t="s">
        <v>589</v>
      </c>
      <c r="EF1" s="59" t="s">
        <v>590</v>
      </c>
      <c r="EG1" s="59" t="s">
        <v>591</v>
      </c>
      <c r="EH1" s="59" t="s">
        <v>592</v>
      </c>
      <c r="EI1" s="59" t="s">
        <v>595</v>
      </c>
      <c r="EJ1" s="59" t="s">
        <v>596</v>
      </c>
      <c r="EK1" s="59" t="s">
        <v>581</v>
      </c>
      <c r="EL1" s="59" t="s">
        <v>582</v>
      </c>
      <c r="EM1" s="59" t="s">
        <v>589</v>
      </c>
      <c r="EN1" s="59" t="s">
        <v>590</v>
      </c>
      <c r="EO1" s="59" t="s">
        <v>591</v>
      </c>
      <c r="EP1" s="59" t="s">
        <v>592</v>
      </c>
      <c r="EQ1" s="59" t="s">
        <v>595</v>
      </c>
      <c r="ER1" s="59" t="s">
        <v>596</v>
      </c>
      <c r="ES1" s="59" t="s">
        <v>581</v>
      </c>
      <c r="ET1" s="59" t="s">
        <v>582</v>
      </c>
      <c r="EU1" s="59" t="s">
        <v>589</v>
      </c>
      <c r="EV1" s="59" t="s">
        <v>590</v>
      </c>
      <c r="EW1" s="59" t="s">
        <v>591</v>
      </c>
      <c r="EX1" s="59" t="s">
        <v>592</v>
      </c>
      <c r="EY1" s="59" t="s">
        <v>595</v>
      </c>
      <c r="EZ1" s="59" t="s">
        <v>596</v>
      </c>
      <c r="FA1" s="59" t="s">
        <v>581</v>
      </c>
      <c r="FB1" s="59" t="s">
        <v>582</v>
      </c>
      <c r="FC1" s="59" t="s">
        <v>589</v>
      </c>
      <c r="FD1" s="59" t="s">
        <v>590</v>
      </c>
      <c r="FE1" s="59" t="s">
        <v>591</v>
      </c>
      <c r="FF1" s="59" t="s">
        <v>592</v>
      </c>
      <c r="FG1" s="59" t="s">
        <v>595</v>
      </c>
      <c r="FH1" s="59" t="s">
        <v>596</v>
      </c>
      <c r="FI1" s="59" t="s">
        <v>581</v>
      </c>
      <c r="FJ1" s="59" t="s">
        <v>582</v>
      </c>
      <c r="FK1" s="59" t="s">
        <v>589</v>
      </c>
      <c r="FL1" s="59" t="s">
        <v>590</v>
      </c>
      <c r="FM1" s="59" t="s">
        <v>591</v>
      </c>
      <c r="FN1" s="59" t="s">
        <v>592</v>
      </c>
      <c r="FO1" s="59" t="s">
        <v>595</v>
      </c>
      <c r="FP1" s="59" t="s">
        <v>596</v>
      </c>
      <c r="FQ1" s="59" t="s">
        <v>581</v>
      </c>
      <c r="FR1" s="59" t="s">
        <v>582</v>
      </c>
      <c r="FS1" s="59" t="s">
        <v>589</v>
      </c>
      <c r="FT1" s="59" t="s">
        <v>590</v>
      </c>
      <c r="FU1" s="59" t="s">
        <v>591</v>
      </c>
      <c r="FV1" s="59" t="s">
        <v>592</v>
      </c>
      <c r="FW1" s="59" t="s">
        <v>595</v>
      </c>
      <c r="FX1" s="59" t="s">
        <v>596</v>
      </c>
      <c r="FY1" s="59" t="s">
        <v>597</v>
      </c>
      <c r="FZ1" s="59" t="s">
        <v>598</v>
      </c>
      <c r="GA1" s="59" t="s">
        <v>599</v>
      </c>
      <c r="GB1" s="59" t="s">
        <v>600</v>
      </c>
      <c r="GC1" s="59" t="s">
        <v>601</v>
      </c>
      <c r="GD1" s="59" t="s">
        <v>602</v>
      </c>
      <c r="GE1" s="59" t="s">
        <v>603</v>
      </c>
      <c r="GF1" s="59" t="s">
        <v>604</v>
      </c>
    </row>
    <row r="2" spans="1:188" s="213" customFormat="1" x14ac:dyDescent="0.15">
      <c r="A2" s="213" t="s">
        <v>654</v>
      </c>
      <c r="B2" s="213">
        <v>4</v>
      </c>
      <c r="C2" s="213" t="s">
        <v>724</v>
      </c>
      <c r="D2" s="213">
        <v>614332136</v>
      </c>
      <c r="E2" s="213">
        <v>92303</v>
      </c>
      <c r="F2" s="213" t="s">
        <v>725</v>
      </c>
      <c r="G2" s="213">
        <v>803094</v>
      </c>
      <c r="H2" s="213">
        <v>730647</v>
      </c>
      <c r="I2" s="213">
        <v>6.8</v>
      </c>
      <c r="J2" s="213" t="s">
        <v>726</v>
      </c>
      <c r="K2" s="213" t="s">
        <v>727</v>
      </c>
      <c r="L2" s="213" t="s">
        <v>656</v>
      </c>
      <c r="M2" s="213" t="s">
        <v>728</v>
      </c>
      <c r="N2" s="213" t="s">
        <v>728</v>
      </c>
      <c r="O2" s="213" t="s">
        <v>729</v>
      </c>
      <c r="P2" s="213" t="s">
        <v>710</v>
      </c>
      <c r="Q2" s="213">
        <v>24.3</v>
      </c>
      <c r="R2" s="213">
        <v>147</v>
      </c>
      <c r="S2" s="213" t="s">
        <v>710</v>
      </c>
      <c r="T2" s="213">
        <v>-9999</v>
      </c>
      <c r="U2" s="213">
        <v>226</v>
      </c>
      <c r="V2" s="213">
        <v>496</v>
      </c>
      <c r="W2" s="213">
        <v>219</v>
      </c>
      <c r="X2" s="213" t="s">
        <v>710</v>
      </c>
      <c r="Y2" s="213">
        <v>0</v>
      </c>
      <c r="Z2" s="213">
        <v>40</v>
      </c>
      <c r="AA2" s="213" t="s">
        <v>730</v>
      </c>
      <c r="AB2" s="213" t="s">
        <v>731</v>
      </c>
      <c r="AC2" s="213" t="s">
        <v>729</v>
      </c>
      <c r="AD2" s="213" t="s">
        <v>732</v>
      </c>
      <c r="AE2" s="213">
        <v>0</v>
      </c>
      <c r="AF2" s="213">
        <v>5</v>
      </c>
      <c r="AG2" s="213" t="s">
        <v>249</v>
      </c>
      <c r="AH2" s="213">
        <v>-9999</v>
      </c>
      <c r="AI2" s="213">
        <v>223</v>
      </c>
      <c r="AJ2" s="213">
        <v>527</v>
      </c>
      <c r="AK2" s="213">
        <v>219</v>
      </c>
      <c r="AL2" s="213" t="s">
        <v>710</v>
      </c>
      <c r="AM2" s="213">
        <v>0</v>
      </c>
      <c r="AN2" s="213">
        <v>40</v>
      </c>
      <c r="AO2" s="213" t="s">
        <v>733</v>
      </c>
      <c r="AP2" s="213" t="s">
        <v>734</v>
      </c>
      <c r="AQ2" s="213">
        <v>1</v>
      </c>
      <c r="AR2" s="213" t="s">
        <v>735</v>
      </c>
      <c r="AS2" s="213">
        <v>0</v>
      </c>
      <c r="AT2" s="213">
        <v>1</v>
      </c>
      <c r="AU2" s="213" t="s">
        <v>249</v>
      </c>
      <c r="AV2" s="213">
        <v>-9999</v>
      </c>
      <c r="AW2" s="213">
        <v>281</v>
      </c>
      <c r="AX2" s="213">
        <v>693</v>
      </c>
      <c r="AY2" s="213">
        <v>277</v>
      </c>
      <c r="AZ2" s="213" t="s">
        <v>710</v>
      </c>
      <c r="BA2" s="213">
        <v>0</v>
      </c>
      <c r="BB2" s="213">
        <v>40</v>
      </c>
      <c r="BC2" s="213" t="s">
        <v>736</v>
      </c>
      <c r="BD2" s="213" t="s">
        <v>734</v>
      </c>
      <c r="BE2" s="213">
        <v>2</v>
      </c>
      <c r="BF2" s="213" t="s">
        <v>735</v>
      </c>
      <c r="BG2" s="213">
        <v>0</v>
      </c>
      <c r="BH2" s="213">
        <v>0</v>
      </c>
      <c r="BI2" s="213" t="s">
        <v>249</v>
      </c>
      <c r="BJ2" s="213">
        <v>-9999</v>
      </c>
      <c r="BK2" s="213">
        <v>114</v>
      </c>
      <c r="BL2" s="213">
        <v>346</v>
      </c>
      <c r="BM2" s="213">
        <v>112</v>
      </c>
      <c r="BN2" s="213" t="s">
        <v>710</v>
      </c>
      <c r="BO2" s="213">
        <v>0</v>
      </c>
      <c r="BP2" s="213">
        <v>40</v>
      </c>
      <c r="BQ2" s="213" t="s">
        <v>737</v>
      </c>
      <c r="BR2" s="213" t="s">
        <v>734</v>
      </c>
      <c r="BS2" s="213">
        <v>3</v>
      </c>
      <c r="BT2" s="213" t="s">
        <v>735</v>
      </c>
      <c r="BU2" s="213">
        <v>0</v>
      </c>
      <c r="BV2" s="213">
        <v>7</v>
      </c>
      <c r="BW2" s="213" t="s">
        <v>249</v>
      </c>
      <c r="BX2" s="213">
        <v>-9999</v>
      </c>
      <c r="BY2" s="213">
        <v>191</v>
      </c>
      <c r="BZ2" s="213">
        <v>457</v>
      </c>
      <c r="CA2" s="213">
        <v>191</v>
      </c>
      <c r="CB2" s="213" t="s">
        <v>710</v>
      </c>
      <c r="CC2" s="213">
        <v>0</v>
      </c>
      <c r="CD2" s="213">
        <v>40</v>
      </c>
      <c r="CE2" s="213" t="s">
        <v>738</v>
      </c>
      <c r="CF2" s="213" t="s">
        <v>734</v>
      </c>
      <c r="CG2" s="213">
        <v>4</v>
      </c>
      <c r="CH2" s="213" t="s">
        <v>735</v>
      </c>
      <c r="CI2" s="213">
        <v>0</v>
      </c>
      <c r="CJ2" s="213">
        <v>4</v>
      </c>
      <c r="CK2" s="213" t="s">
        <v>249</v>
      </c>
      <c r="CL2" s="213">
        <v>-9999</v>
      </c>
      <c r="CM2" s="213">
        <v>153</v>
      </c>
      <c r="CN2" s="213">
        <v>403</v>
      </c>
      <c r="CO2" s="213">
        <v>150</v>
      </c>
      <c r="CP2" s="213" t="s">
        <v>710</v>
      </c>
      <c r="CQ2" s="213">
        <v>0</v>
      </c>
      <c r="CR2" s="213">
        <v>40</v>
      </c>
      <c r="CS2" s="213" t="s">
        <v>739</v>
      </c>
      <c r="CT2" s="213" t="s">
        <v>740</v>
      </c>
      <c r="CU2" s="213">
        <v>125</v>
      </c>
      <c r="CV2" s="213">
        <v>124</v>
      </c>
      <c r="CW2" s="213">
        <v>124</v>
      </c>
      <c r="CX2" s="213" t="s">
        <v>710</v>
      </c>
      <c r="CY2" s="213" t="s">
        <v>741</v>
      </c>
      <c r="CZ2" s="213" t="s">
        <v>740</v>
      </c>
      <c r="DA2" s="213">
        <v>129</v>
      </c>
      <c r="DB2" s="213">
        <v>129</v>
      </c>
      <c r="DC2" s="213">
        <v>128</v>
      </c>
      <c r="DD2" s="213" t="s">
        <v>710</v>
      </c>
      <c r="DE2" s="213" t="s">
        <v>742</v>
      </c>
      <c r="DF2" s="213" t="s">
        <v>743</v>
      </c>
      <c r="DG2" s="213">
        <v>0</v>
      </c>
      <c r="DH2" s="213">
        <v>0</v>
      </c>
      <c r="DI2" s="213">
        <v>0</v>
      </c>
      <c r="DJ2" s="213" t="s">
        <v>249</v>
      </c>
      <c r="DM2" s="213" t="s">
        <v>744</v>
      </c>
      <c r="DN2" s="213" t="s">
        <v>743</v>
      </c>
      <c r="DO2" s="213">
        <v>0</v>
      </c>
      <c r="DP2" s="213">
        <v>0</v>
      </c>
      <c r="DQ2" s="213">
        <v>0</v>
      </c>
      <c r="DR2" s="213" t="s">
        <v>249</v>
      </c>
      <c r="DU2" s="213" t="s">
        <v>745</v>
      </c>
      <c r="DV2" s="213" t="s">
        <v>743</v>
      </c>
      <c r="DW2" s="213">
        <v>0</v>
      </c>
      <c r="DX2" s="213">
        <v>0</v>
      </c>
      <c r="DY2" s="213">
        <v>0</v>
      </c>
      <c r="DZ2" s="213" t="s">
        <v>249</v>
      </c>
      <c r="EC2" s="213" t="s">
        <v>746</v>
      </c>
      <c r="ED2" s="213" t="s">
        <v>743</v>
      </c>
      <c r="EE2" s="213">
        <v>0</v>
      </c>
      <c r="EF2" s="213">
        <v>0</v>
      </c>
      <c r="EG2" s="213">
        <v>0</v>
      </c>
      <c r="EH2" s="213" t="s">
        <v>249</v>
      </c>
      <c r="EK2" s="213" t="s">
        <v>747</v>
      </c>
      <c r="EL2" s="213" t="s">
        <v>743</v>
      </c>
      <c r="EM2" s="213">
        <v>0</v>
      </c>
      <c r="EN2" s="213">
        <v>0</v>
      </c>
      <c r="EO2" s="213">
        <v>0</v>
      </c>
      <c r="EP2" s="213" t="s">
        <v>249</v>
      </c>
      <c r="ES2" s="213" t="s">
        <v>748</v>
      </c>
      <c r="ET2" s="213" t="s">
        <v>743</v>
      </c>
      <c r="EU2" s="213">
        <v>0</v>
      </c>
      <c r="EV2" s="213">
        <v>0</v>
      </c>
      <c r="EW2" s="213">
        <v>0</v>
      </c>
      <c r="EX2" s="213" t="s">
        <v>249</v>
      </c>
      <c r="FA2" s="213" t="s">
        <v>749</v>
      </c>
      <c r="FB2" s="213" t="s">
        <v>743</v>
      </c>
      <c r="FC2" s="213">
        <v>0</v>
      </c>
      <c r="FD2" s="213">
        <v>0</v>
      </c>
      <c r="FE2" s="213">
        <v>0</v>
      </c>
      <c r="FF2" s="213" t="s">
        <v>249</v>
      </c>
      <c r="FI2" s="213" t="s">
        <v>750</v>
      </c>
      <c r="FJ2" s="213" t="s">
        <v>743</v>
      </c>
      <c r="FK2" s="213">
        <v>0</v>
      </c>
      <c r="FL2" s="213">
        <v>0</v>
      </c>
      <c r="FM2" s="213">
        <v>0</v>
      </c>
      <c r="FN2" s="213" t="s">
        <v>249</v>
      </c>
      <c r="FQ2" s="213" t="s">
        <v>751</v>
      </c>
      <c r="FR2" s="213" t="s">
        <v>743</v>
      </c>
      <c r="FS2" s="213">
        <v>0</v>
      </c>
      <c r="FT2" s="213">
        <v>0</v>
      </c>
      <c r="FU2" s="213">
        <v>0</v>
      </c>
      <c r="FV2" s="213" t="s">
        <v>249</v>
      </c>
      <c r="FY2" s="213">
        <v>18.899999999999999</v>
      </c>
      <c r="FZ2" s="213">
        <v>-7.5</v>
      </c>
      <c r="GF2" s="213" t="s">
        <v>752</v>
      </c>
    </row>
    <row r="3" spans="1:188" s="213" customFormat="1" x14ac:dyDescent="0.15">
      <c r="A3" s="213" t="s">
        <v>654</v>
      </c>
      <c r="B3" s="213">
        <v>4</v>
      </c>
      <c r="C3" s="213" t="s">
        <v>753</v>
      </c>
      <c r="D3" s="213">
        <v>614332146</v>
      </c>
      <c r="E3" s="213">
        <v>92303</v>
      </c>
      <c r="F3" s="213" t="s">
        <v>725</v>
      </c>
      <c r="G3" s="213">
        <v>803094</v>
      </c>
      <c r="H3" s="213">
        <v>773527</v>
      </c>
      <c r="I3" s="213">
        <v>6.8</v>
      </c>
      <c r="J3" s="213" t="s">
        <v>754</v>
      </c>
      <c r="K3" s="213" t="s">
        <v>727</v>
      </c>
      <c r="L3" s="213" t="s">
        <v>656</v>
      </c>
      <c r="M3" s="213" t="s">
        <v>728</v>
      </c>
      <c r="N3" s="213" t="s">
        <v>728</v>
      </c>
      <c r="O3" s="213" t="s">
        <v>729</v>
      </c>
      <c r="P3" s="213" t="s">
        <v>710</v>
      </c>
      <c r="Q3" s="213">
        <v>24.3</v>
      </c>
      <c r="R3" s="213">
        <v>151</v>
      </c>
      <c r="S3" s="213" t="s">
        <v>710</v>
      </c>
      <c r="T3" s="213">
        <v>-9999</v>
      </c>
      <c r="U3" s="213">
        <v>213</v>
      </c>
      <c r="V3" s="213">
        <v>475</v>
      </c>
      <c r="W3" s="213">
        <v>208</v>
      </c>
      <c r="X3" s="213" t="s">
        <v>710</v>
      </c>
      <c r="Y3" s="213">
        <v>0</v>
      </c>
      <c r="Z3" s="213">
        <v>40</v>
      </c>
      <c r="AA3" s="213" t="s">
        <v>730</v>
      </c>
      <c r="AB3" s="213" t="s">
        <v>731</v>
      </c>
      <c r="AC3" s="213" t="s">
        <v>729</v>
      </c>
      <c r="AD3" s="213" t="s">
        <v>732</v>
      </c>
      <c r="AE3" s="213">
        <v>0</v>
      </c>
      <c r="AF3" s="213">
        <v>8</v>
      </c>
      <c r="AG3" s="213" t="s">
        <v>249</v>
      </c>
      <c r="AH3" s="213">
        <v>-9999</v>
      </c>
      <c r="AI3" s="213">
        <v>213</v>
      </c>
      <c r="AJ3" s="213">
        <v>506</v>
      </c>
      <c r="AK3" s="213">
        <v>211</v>
      </c>
      <c r="AL3" s="213" t="s">
        <v>710</v>
      </c>
      <c r="AM3" s="213">
        <v>0</v>
      </c>
      <c r="AN3" s="213">
        <v>40</v>
      </c>
      <c r="AO3" s="213" t="s">
        <v>733</v>
      </c>
      <c r="AP3" s="213" t="s">
        <v>734</v>
      </c>
      <c r="AQ3" s="213">
        <v>1</v>
      </c>
      <c r="AR3" s="213" t="s">
        <v>735</v>
      </c>
      <c r="AS3" s="213">
        <v>0</v>
      </c>
      <c r="AT3" s="213">
        <v>9</v>
      </c>
      <c r="AU3" s="213" t="s">
        <v>249</v>
      </c>
      <c r="AV3" s="213">
        <v>-9999</v>
      </c>
      <c r="AW3" s="213">
        <v>271</v>
      </c>
      <c r="AX3" s="213">
        <v>679</v>
      </c>
      <c r="AY3" s="213">
        <v>270</v>
      </c>
      <c r="AZ3" s="213" t="s">
        <v>710</v>
      </c>
      <c r="BA3" s="213">
        <v>0</v>
      </c>
      <c r="BB3" s="213">
        <v>40</v>
      </c>
      <c r="BC3" s="213" t="s">
        <v>736</v>
      </c>
      <c r="BD3" s="213" t="s">
        <v>734</v>
      </c>
      <c r="BE3" s="213">
        <v>2</v>
      </c>
      <c r="BF3" s="213" t="s">
        <v>735</v>
      </c>
      <c r="BG3" s="213">
        <v>0</v>
      </c>
      <c r="BH3" s="213">
        <v>4</v>
      </c>
      <c r="BI3" s="213" t="s">
        <v>249</v>
      </c>
      <c r="BJ3" s="213">
        <v>-9999</v>
      </c>
      <c r="BK3" s="213">
        <v>104</v>
      </c>
      <c r="BL3" s="213">
        <v>320</v>
      </c>
      <c r="BM3" s="213">
        <v>103</v>
      </c>
      <c r="BN3" s="213" t="s">
        <v>710</v>
      </c>
      <c r="BO3" s="213">
        <v>0</v>
      </c>
      <c r="BP3" s="213">
        <v>40</v>
      </c>
      <c r="BQ3" s="213" t="s">
        <v>737</v>
      </c>
      <c r="BR3" s="213" t="s">
        <v>734</v>
      </c>
      <c r="BS3" s="213">
        <v>3</v>
      </c>
      <c r="BT3" s="213" t="s">
        <v>735</v>
      </c>
      <c r="BU3" s="213">
        <v>0</v>
      </c>
      <c r="BV3" s="213">
        <v>6</v>
      </c>
      <c r="BW3" s="213" t="s">
        <v>249</v>
      </c>
      <c r="BX3" s="213">
        <v>-9999</v>
      </c>
      <c r="BY3" s="213">
        <v>197</v>
      </c>
      <c r="BZ3" s="213">
        <v>469</v>
      </c>
      <c r="CA3" s="213">
        <v>196</v>
      </c>
      <c r="CB3" s="213" t="s">
        <v>710</v>
      </c>
      <c r="CC3" s="213">
        <v>0</v>
      </c>
      <c r="CD3" s="213">
        <v>40</v>
      </c>
      <c r="CE3" s="213" t="s">
        <v>738</v>
      </c>
      <c r="CF3" s="213" t="s">
        <v>734</v>
      </c>
      <c r="CG3" s="213">
        <v>4</v>
      </c>
      <c r="CH3" s="213" t="s">
        <v>735</v>
      </c>
      <c r="CI3" s="213">
        <v>0</v>
      </c>
      <c r="CJ3" s="213">
        <v>4</v>
      </c>
      <c r="CK3" s="213" t="s">
        <v>249</v>
      </c>
      <c r="CL3" s="213">
        <v>-9999</v>
      </c>
      <c r="CM3" s="213">
        <v>150</v>
      </c>
      <c r="CN3" s="213">
        <v>394</v>
      </c>
      <c r="CO3" s="213">
        <v>147</v>
      </c>
      <c r="CP3" s="213" t="s">
        <v>710</v>
      </c>
      <c r="CQ3" s="213">
        <v>0</v>
      </c>
      <c r="CR3" s="213">
        <v>40</v>
      </c>
      <c r="CS3" s="213" t="s">
        <v>739</v>
      </c>
      <c r="CT3" s="213" t="s">
        <v>740</v>
      </c>
      <c r="CU3" s="213">
        <v>120</v>
      </c>
      <c r="CV3" s="213">
        <v>119</v>
      </c>
      <c r="CW3" s="213">
        <v>119</v>
      </c>
      <c r="CX3" s="213" t="s">
        <v>710</v>
      </c>
      <c r="CY3" s="213" t="s">
        <v>741</v>
      </c>
      <c r="CZ3" s="213" t="s">
        <v>740</v>
      </c>
      <c r="DA3" s="213">
        <v>122</v>
      </c>
      <c r="DB3" s="213">
        <v>122</v>
      </c>
      <c r="DC3" s="213">
        <v>122</v>
      </c>
      <c r="DD3" s="213" t="s">
        <v>710</v>
      </c>
      <c r="DE3" s="213" t="s">
        <v>742</v>
      </c>
      <c r="DF3" s="213" t="s">
        <v>743</v>
      </c>
      <c r="DG3" s="213">
        <v>0</v>
      </c>
      <c r="DH3" s="213">
        <v>0</v>
      </c>
      <c r="DI3" s="213">
        <v>0</v>
      </c>
      <c r="DJ3" s="213" t="s">
        <v>249</v>
      </c>
      <c r="DM3" s="213" t="s">
        <v>744</v>
      </c>
      <c r="DN3" s="213" t="s">
        <v>743</v>
      </c>
      <c r="DO3" s="213">
        <v>0</v>
      </c>
      <c r="DP3" s="213">
        <v>0</v>
      </c>
      <c r="DQ3" s="213">
        <v>0</v>
      </c>
      <c r="DR3" s="213" t="s">
        <v>249</v>
      </c>
      <c r="DU3" s="213" t="s">
        <v>745</v>
      </c>
      <c r="DV3" s="213" t="s">
        <v>743</v>
      </c>
      <c r="DW3" s="213">
        <v>0</v>
      </c>
      <c r="DX3" s="213">
        <v>0</v>
      </c>
      <c r="DY3" s="213">
        <v>0</v>
      </c>
      <c r="DZ3" s="213" t="s">
        <v>249</v>
      </c>
      <c r="EC3" s="213" t="s">
        <v>746</v>
      </c>
      <c r="ED3" s="213" t="s">
        <v>743</v>
      </c>
      <c r="EE3" s="213">
        <v>0</v>
      </c>
      <c r="EF3" s="213">
        <v>0</v>
      </c>
      <c r="EG3" s="213">
        <v>0</v>
      </c>
      <c r="EH3" s="213" t="s">
        <v>249</v>
      </c>
      <c r="EK3" s="213" t="s">
        <v>747</v>
      </c>
      <c r="EL3" s="213" t="s">
        <v>743</v>
      </c>
      <c r="EM3" s="213">
        <v>0</v>
      </c>
      <c r="EN3" s="213">
        <v>0</v>
      </c>
      <c r="EO3" s="213">
        <v>0</v>
      </c>
      <c r="EP3" s="213" t="s">
        <v>249</v>
      </c>
      <c r="ES3" s="213" t="s">
        <v>748</v>
      </c>
      <c r="ET3" s="213" t="s">
        <v>743</v>
      </c>
      <c r="EU3" s="213">
        <v>0</v>
      </c>
      <c r="EV3" s="213">
        <v>0</v>
      </c>
      <c r="EW3" s="213">
        <v>0</v>
      </c>
      <c r="EX3" s="213" t="s">
        <v>249</v>
      </c>
      <c r="FA3" s="213" t="s">
        <v>749</v>
      </c>
      <c r="FB3" s="213" t="s">
        <v>743</v>
      </c>
      <c r="FC3" s="213">
        <v>0</v>
      </c>
      <c r="FD3" s="213">
        <v>0</v>
      </c>
      <c r="FE3" s="213">
        <v>0</v>
      </c>
      <c r="FF3" s="213" t="s">
        <v>249</v>
      </c>
      <c r="FI3" s="213" t="s">
        <v>750</v>
      </c>
      <c r="FJ3" s="213" t="s">
        <v>743</v>
      </c>
      <c r="FK3" s="213">
        <v>0</v>
      </c>
      <c r="FL3" s="213">
        <v>0</v>
      </c>
      <c r="FM3" s="213">
        <v>0</v>
      </c>
      <c r="FN3" s="213" t="s">
        <v>249</v>
      </c>
      <c r="FQ3" s="213" t="s">
        <v>751</v>
      </c>
      <c r="FR3" s="213" t="s">
        <v>743</v>
      </c>
      <c r="FS3" s="213">
        <v>0</v>
      </c>
      <c r="FT3" s="213">
        <v>0</v>
      </c>
      <c r="FU3" s="213">
        <v>0</v>
      </c>
      <c r="FV3" s="213" t="s">
        <v>249</v>
      </c>
      <c r="FY3" s="213">
        <v>19</v>
      </c>
      <c r="FZ3" s="213">
        <v>-6.7</v>
      </c>
      <c r="GF3" s="213" t="s">
        <v>752</v>
      </c>
    </row>
    <row r="4" spans="1:188" s="213" customFormat="1" x14ac:dyDescent="0.15">
      <c r="A4" s="213" t="s">
        <v>654</v>
      </c>
      <c r="B4" s="213">
        <v>4</v>
      </c>
      <c r="C4" s="213" t="s">
        <v>755</v>
      </c>
      <c r="D4" s="213">
        <v>614332148</v>
      </c>
      <c r="E4" s="213">
        <v>92303</v>
      </c>
      <c r="F4" s="213" t="s">
        <v>725</v>
      </c>
      <c r="G4" s="213">
        <v>803094</v>
      </c>
      <c r="H4" s="213">
        <v>210043140</v>
      </c>
      <c r="I4" s="213">
        <v>6.8</v>
      </c>
      <c r="J4" s="213" t="s">
        <v>756</v>
      </c>
      <c r="K4" s="213" t="s">
        <v>727</v>
      </c>
      <c r="L4" s="213" t="s">
        <v>656</v>
      </c>
      <c r="M4" s="213" t="s">
        <v>728</v>
      </c>
      <c r="N4" s="213" t="s">
        <v>728</v>
      </c>
      <c r="O4" s="213" t="s">
        <v>729</v>
      </c>
      <c r="P4" s="213" t="s">
        <v>710</v>
      </c>
      <c r="Q4" s="213">
        <v>24.5</v>
      </c>
      <c r="R4" s="213">
        <v>151</v>
      </c>
      <c r="S4" s="213" t="s">
        <v>710</v>
      </c>
      <c r="T4" s="213">
        <v>-9999</v>
      </c>
      <c r="U4" s="213">
        <v>215</v>
      </c>
      <c r="V4" s="213">
        <v>466</v>
      </c>
      <c r="W4" s="213">
        <v>208</v>
      </c>
      <c r="X4" s="213" t="s">
        <v>710</v>
      </c>
      <c r="Y4" s="213">
        <v>0</v>
      </c>
      <c r="Z4" s="213">
        <v>40</v>
      </c>
      <c r="AA4" s="213" t="s">
        <v>730</v>
      </c>
      <c r="AB4" s="213" t="s">
        <v>731</v>
      </c>
      <c r="AC4" s="213" t="s">
        <v>729</v>
      </c>
      <c r="AD4" s="213" t="s">
        <v>732</v>
      </c>
      <c r="AE4" s="213">
        <v>0</v>
      </c>
      <c r="AF4" s="213">
        <v>6</v>
      </c>
      <c r="AG4" s="213" t="s">
        <v>249</v>
      </c>
      <c r="AH4" s="213">
        <v>-9999</v>
      </c>
      <c r="AI4" s="213">
        <v>204</v>
      </c>
      <c r="AJ4" s="213">
        <v>486</v>
      </c>
      <c r="AK4" s="213">
        <v>201</v>
      </c>
      <c r="AL4" s="213" t="s">
        <v>710</v>
      </c>
      <c r="AM4" s="213">
        <v>0</v>
      </c>
      <c r="AN4" s="213">
        <v>40</v>
      </c>
      <c r="AO4" s="213" t="s">
        <v>733</v>
      </c>
      <c r="AP4" s="213" t="s">
        <v>734</v>
      </c>
      <c r="AQ4" s="213">
        <v>1</v>
      </c>
      <c r="AR4" s="213" t="s">
        <v>735</v>
      </c>
      <c r="AS4" s="213">
        <v>0</v>
      </c>
      <c r="AT4" s="213">
        <v>0</v>
      </c>
      <c r="AU4" s="213" t="s">
        <v>249</v>
      </c>
      <c r="AV4" s="213">
        <v>-9999</v>
      </c>
      <c r="AW4" s="213">
        <v>284</v>
      </c>
      <c r="AX4" s="213">
        <v>695</v>
      </c>
      <c r="AY4" s="213">
        <v>281</v>
      </c>
      <c r="AZ4" s="213" t="s">
        <v>710</v>
      </c>
      <c r="BA4" s="213">
        <v>0</v>
      </c>
      <c r="BB4" s="213">
        <v>40</v>
      </c>
      <c r="BC4" s="213" t="s">
        <v>736</v>
      </c>
      <c r="BD4" s="213" t="s">
        <v>734</v>
      </c>
      <c r="BE4" s="213">
        <v>2</v>
      </c>
      <c r="BF4" s="213" t="s">
        <v>735</v>
      </c>
      <c r="BG4" s="213">
        <v>0</v>
      </c>
      <c r="BH4" s="213">
        <v>0</v>
      </c>
      <c r="BI4" s="213" t="s">
        <v>249</v>
      </c>
      <c r="BJ4" s="213">
        <v>-9999</v>
      </c>
      <c r="BK4" s="213">
        <v>105</v>
      </c>
      <c r="BL4" s="213">
        <v>331</v>
      </c>
      <c r="BM4" s="213">
        <v>102</v>
      </c>
      <c r="BN4" s="213" t="s">
        <v>710</v>
      </c>
      <c r="BO4" s="213">
        <v>0</v>
      </c>
      <c r="BP4" s="213">
        <v>40</v>
      </c>
      <c r="BQ4" s="213" t="s">
        <v>737</v>
      </c>
      <c r="BR4" s="213" t="s">
        <v>734</v>
      </c>
      <c r="BS4" s="213">
        <v>3</v>
      </c>
      <c r="BT4" s="213" t="s">
        <v>735</v>
      </c>
      <c r="BU4" s="213">
        <v>0</v>
      </c>
      <c r="BV4" s="213">
        <v>7</v>
      </c>
      <c r="BW4" s="213" t="s">
        <v>249</v>
      </c>
      <c r="BX4" s="213">
        <v>-9999</v>
      </c>
      <c r="BY4" s="213">
        <v>180</v>
      </c>
      <c r="BZ4" s="213">
        <v>429</v>
      </c>
      <c r="CA4" s="213">
        <v>179</v>
      </c>
      <c r="CB4" s="213" t="s">
        <v>710</v>
      </c>
      <c r="CC4" s="213">
        <v>0</v>
      </c>
      <c r="CD4" s="213">
        <v>40</v>
      </c>
      <c r="CE4" s="213" t="s">
        <v>738</v>
      </c>
      <c r="CF4" s="213" t="s">
        <v>734</v>
      </c>
      <c r="CG4" s="213">
        <v>4</v>
      </c>
      <c r="CH4" s="213" t="s">
        <v>735</v>
      </c>
      <c r="CI4" s="213">
        <v>0</v>
      </c>
      <c r="CJ4" s="213">
        <v>9</v>
      </c>
      <c r="CK4" s="213" t="s">
        <v>249</v>
      </c>
      <c r="CL4" s="213">
        <v>-9999</v>
      </c>
      <c r="CM4" s="213">
        <v>141</v>
      </c>
      <c r="CN4" s="213">
        <v>366</v>
      </c>
      <c r="CO4" s="213">
        <v>139</v>
      </c>
      <c r="CP4" s="213" t="s">
        <v>710</v>
      </c>
      <c r="CQ4" s="213">
        <v>0</v>
      </c>
      <c r="CR4" s="213">
        <v>40</v>
      </c>
      <c r="CS4" s="213" t="s">
        <v>739</v>
      </c>
      <c r="CT4" s="213" t="s">
        <v>740</v>
      </c>
      <c r="CU4" s="213">
        <v>119</v>
      </c>
      <c r="CV4" s="213">
        <v>119</v>
      </c>
      <c r="CW4" s="213">
        <v>118</v>
      </c>
      <c r="CX4" s="213" t="s">
        <v>710</v>
      </c>
      <c r="CY4" s="213" t="s">
        <v>741</v>
      </c>
      <c r="CZ4" s="213" t="s">
        <v>740</v>
      </c>
      <c r="DA4" s="213">
        <v>118</v>
      </c>
      <c r="DB4" s="213">
        <v>117</v>
      </c>
      <c r="DC4" s="213">
        <v>117</v>
      </c>
      <c r="DD4" s="213" t="s">
        <v>710</v>
      </c>
      <c r="DE4" s="213" t="s">
        <v>742</v>
      </c>
      <c r="DF4" s="213" t="s">
        <v>743</v>
      </c>
      <c r="DG4" s="213">
        <v>0</v>
      </c>
      <c r="DH4" s="213">
        <v>0</v>
      </c>
      <c r="DI4" s="213">
        <v>0</v>
      </c>
      <c r="DJ4" s="213" t="s">
        <v>249</v>
      </c>
      <c r="DM4" s="213" t="s">
        <v>744</v>
      </c>
      <c r="DN4" s="213" t="s">
        <v>743</v>
      </c>
      <c r="DO4" s="213">
        <v>0</v>
      </c>
      <c r="DP4" s="213">
        <v>0</v>
      </c>
      <c r="DQ4" s="213">
        <v>0</v>
      </c>
      <c r="DR4" s="213" t="s">
        <v>249</v>
      </c>
      <c r="DU4" s="213" t="s">
        <v>745</v>
      </c>
      <c r="DV4" s="213" t="s">
        <v>743</v>
      </c>
      <c r="DW4" s="213">
        <v>0</v>
      </c>
      <c r="DX4" s="213">
        <v>0</v>
      </c>
      <c r="DY4" s="213">
        <v>0</v>
      </c>
      <c r="DZ4" s="213" t="s">
        <v>249</v>
      </c>
      <c r="EC4" s="213" t="s">
        <v>746</v>
      </c>
      <c r="ED4" s="213" t="s">
        <v>743</v>
      </c>
      <c r="EE4" s="213">
        <v>0</v>
      </c>
      <c r="EF4" s="213">
        <v>0</v>
      </c>
      <c r="EG4" s="213">
        <v>0</v>
      </c>
      <c r="EH4" s="213" t="s">
        <v>249</v>
      </c>
      <c r="EK4" s="213" t="s">
        <v>747</v>
      </c>
      <c r="EL4" s="213" t="s">
        <v>743</v>
      </c>
      <c r="EM4" s="213">
        <v>0</v>
      </c>
      <c r="EN4" s="213">
        <v>0</v>
      </c>
      <c r="EO4" s="213">
        <v>0</v>
      </c>
      <c r="EP4" s="213" t="s">
        <v>249</v>
      </c>
      <c r="ES4" s="213" t="s">
        <v>748</v>
      </c>
      <c r="ET4" s="213" t="s">
        <v>743</v>
      </c>
      <c r="EU4" s="213">
        <v>0</v>
      </c>
      <c r="EV4" s="213">
        <v>0</v>
      </c>
      <c r="EW4" s="213">
        <v>0</v>
      </c>
      <c r="EX4" s="213" t="s">
        <v>249</v>
      </c>
      <c r="FA4" s="213" t="s">
        <v>749</v>
      </c>
      <c r="FB4" s="213" t="s">
        <v>743</v>
      </c>
      <c r="FC4" s="213">
        <v>0</v>
      </c>
      <c r="FD4" s="213">
        <v>0</v>
      </c>
      <c r="FE4" s="213">
        <v>0</v>
      </c>
      <c r="FF4" s="213" t="s">
        <v>249</v>
      </c>
      <c r="FI4" s="213" t="s">
        <v>750</v>
      </c>
      <c r="FJ4" s="213" t="s">
        <v>743</v>
      </c>
      <c r="FK4" s="213">
        <v>0</v>
      </c>
      <c r="FL4" s="213">
        <v>0</v>
      </c>
      <c r="FM4" s="213">
        <v>0</v>
      </c>
      <c r="FN4" s="213" t="s">
        <v>249</v>
      </c>
      <c r="FQ4" s="213" t="s">
        <v>751</v>
      </c>
      <c r="FR4" s="213" t="s">
        <v>743</v>
      </c>
      <c r="FS4" s="213">
        <v>0</v>
      </c>
      <c r="FT4" s="213">
        <v>0</v>
      </c>
      <c r="FU4" s="213">
        <v>0</v>
      </c>
      <c r="FV4" s="213" t="s">
        <v>249</v>
      </c>
      <c r="FY4" s="213">
        <v>19.399999999999999</v>
      </c>
      <c r="FZ4" s="213">
        <v>-7.7</v>
      </c>
      <c r="GF4" s="213" t="s">
        <v>752</v>
      </c>
    </row>
    <row r="5" spans="1:188" s="213" customFormat="1" x14ac:dyDescent="0.15">
      <c r="A5" s="213" t="s">
        <v>654</v>
      </c>
      <c r="B5" s="213">
        <v>4</v>
      </c>
      <c r="C5" s="213" t="s">
        <v>757</v>
      </c>
      <c r="D5" s="213">
        <v>614332134</v>
      </c>
      <c r="E5" s="213">
        <v>92303</v>
      </c>
      <c r="F5" s="213" t="s">
        <v>725</v>
      </c>
      <c r="G5" s="213">
        <v>803094</v>
      </c>
      <c r="H5" s="213">
        <v>909441</v>
      </c>
      <c r="I5" s="213">
        <v>6.8</v>
      </c>
      <c r="J5" s="213" t="s">
        <v>758</v>
      </c>
      <c r="K5" s="213" t="s">
        <v>727</v>
      </c>
      <c r="L5" s="213" t="s">
        <v>656</v>
      </c>
      <c r="M5" s="213" t="s">
        <v>728</v>
      </c>
      <c r="N5" s="213" t="s">
        <v>728</v>
      </c>
      <c r="O5" s="213" t="s">
        <v>729</v>
      </c>
      <c r="P5" s="213" t="s">
        <v>710</v>
      </c>
      <c r="Q5" s="213">
        <v>23.2</v>
      </c>
      <c r="R5" s="213">
        <v>158</v>
      </c>
      <c r="S5" s="213" t="s">
        <v>710</v>
      </c>
      <c r="T5" s="213">
        <v>-9999</v>
      </c>
      <c r="U5" s="213">
        <v>181</v>
      </c>
      <c r="V5" s="213">
        <v>377</v>
      </c>
      <c r="W5" s="213">
        <v>172</v>
      </c>
      <c r="X5" s="213" t="s">
        <v>710</v>
      </c>
      <c r="Y5" s="213">
        <v>0</v>
      </c>
      <c r="Z5" s="213">
        <v>40</v>
      </c>
      <c r="AA5" s="213" t="s">
        <v>730</v>
      </c>
      <c r="AB5" s="213" t="s">
        <v>731</v>
      </c>
      <c r="AC5" s="213" t="s">
        <v>729</v>
      </c>
      <c r="AD5" s="213" t="s">
        <v>732</v>
      </c>
      <c r="AE5" s="213">
        <v>0</v>
      </c>
      <c r="AF5" s="213">
        <v>8</v>
      </c>
      <c r="AG5" s="213" t="s">
        <v>249</v>
      </c>
      <c r="AH5" s="213">
        <v>-9999</v>
      </c>
      <c r="AI5" s="213">
        <v>183</v>
      </c>
      <c r="AJ5" s="213">
        <v>438</v>
      </c>
      <c r="AK5" s="213">
        <v>180</v>
      </c>
      <c r="AL5" s="213" t="s">
        <v>710</v>
      </c>
      <c r="AM5" s="213">
        <v>0</v>
      </c>
      <c r="AN5" s="213">
        <v>40</v>
      </c>
      <c r="AO5" s="213" t="s">
        <v>733</v>
      </c>
      <c r="AP5" s="213" t="s">
        <v>734</v>
      </c>
      <c r="AQ5" s="213">
        <v>1</v>
      </c>
      <c r="AR5" s="213" t="s">
        <v>735</v>
      </c>
      <c r="AS5" s="213">
        <v>0</v>
      </c>
      <c r="AT5" s="213">
        <v>2</v>
      </c>
      <c r="AU5" s="213" t="s">
        <v>249</v>
      </c>
      <c r="AV5" s="213">
        <v>-9999</v>
      </c>
      <c r="AW5" s="213">
        <v>246</v>
      </c>
      <c r="AX5" s="213">
        <v>611</v>
      </c>
      <c r="AY5" s="213">
        <v>244</v>
      </c>
      <c r="AZ5" s="213" t="s">
        <v>710</v>
      </c>
      <c r="BA5" s="213">
        <v>0</v>
      </c>
      <c r="BB5" s="213">
        <v>40</v>
      </c>
      <c r="BC5" s="213" t="s">
        <v>736</v>
      </c>
      <c r="BD5" s="213" t="s">
        <v>734</v>
      </c>
      <c r="BE5" s="213">
        <v>2</v>
      </c>
      <c r="BF5" s="213" t="s">
        <v>735</v>
      </c>
      <c r="BG5" s="213">
        <v>0</v>
      </c>
      <c r="BH5" s="213">
        <v>7</v>
      </c>
      <c r="BI5" s="213" t="s">
        <v>249</v>
      </c>
      <c r="BJ5" s="213">
        <v>-9999</v>
      </c>
      <c r="BK5" s="213">
        <v>95</v>
      </c>
      <c r="BL5" s="213">
        <v>302</v>
      </c>
      <c r="BM5" s="213">
        <v>93</v>
      </c>
      <c r="BN5" s="213" t="s">
        <v>710</v>
      </c>
      <c r="BO5" s="213">
        <v>0</v>
      </c>
      <c r="BP5" s="213">
        <v>40</v>
      </c>
      <c r="BQ5" s="213" t="s">
        <v>737</v>
      </c>
      <c r="BR5" s="213" t="s">
        <v>734</v>
      </c>
      <c r="BS5" s="213">
        <v>3</v>
      </c>
      <c r="BT5" s="213" t="s">
        <v>735</v>
      </c>
      <c r="BU5" s="213">
        <v>0</v>
      </c>
      <c r="BV5" s="213">
        <v>11</v>
      </c>
      <c r="BW5" s="213" t="s">
        <v>249</v>
      </c>
      <c r="BX5" s="213">
        <v>-9999</v>
      </c>
      <c r="BY5" s="213">
        <v>162</v>
      </c>
      <c r="BZ5" s="213">
        <v>367</v>
      </c>
      <c r="CA5" s="213">
        <v>161</v>
      </c>
      <c r="CB5" s="213" t="s">
        <v>710</v>
      </c>
      <c r="CC5" s="213">
        <v>0</v>
      </c>
      <c r="CD5" s="213">
        <v>40</v>
      </c>
      <c r="CE5" s="213" t="s">
        <v>738</v>
      </c>
      <c r="CF5" s="213" t="s">
        <v>734</v>
      </c>
      <c r="CG5" s="213">
        <v>4</v>
      </c>
      <c r="CH5" s="213" t="s">
        <v>735</v>
      </c>
      <c r="CI5" s="213">
        <v>0</v>
      </c>
      <c r="CJ5" s="213">
        <v>9</v>
      </c>
      <c r="CK5" s="213" t="s">
        <v>249</v>
      </c>
      <c r="CL5" s="213">
        <v>-9999</v>
      </c>
      <c r="CM5" s="213">
        <v>116</v>
      </c>
      <c r="CN5" s="213">
        <v>304</v>
      </c>
      <c r="CO5" s="213">
        <v>114</v>
      </c>
      <c r="CP5" s="213" t="s">
        <v>710</v>
      </c>
      <c r="CQ5" s="213">
        <v>0</v>
      </c>
      <c r="CR5" s="213">
        <v>40</v>
      </c>
      <c r="CS5" s="213" t="s">
        <v>739</v>
      </c>
      <c r="CT5" s="213" t="s">
        <v>740</v>
      </c>
      <c r="CU5" s="213">
        <v>103</v>
      </c>
      <c r="CV5" s="213">
        <v>102</v>
      </c>
      <c r="CW5" s="213">
        <v>102</v>
      </c>
      <c r="CX5" s="213" t="s">
        <v>710</v>
      </c>
      <c r="CY5" s="213" t="s">
        <v>741</v>
      </c>
      <c r="CZ5" s="213" t="s">
        <v>740</v>
      </c>
      <c r="DA5" s="213">
        <v>114</v>
      </c>
      <c r="DB5" s="213">
        <v>114</v>
      </c>
      <c r="DC5" s="213">
        <v>114</v>
      </c>
      <c r="DD5" s="213" t="s">
        <v>710</v>
      </c>
      <c r="DE5" s="213" t="s">
        <v>742</v>
      </c>
      <c r="DF5" s="213" t="s">
        <v>743</v>
      </c>
      <c r="DG5" s="213">
        <v>0</v>
      </c>
      <c r="DH5" s="213">
        <v>0</v>
      </c>
      <c r="DI5" s="213">
        <v>0</v>
      </c>
      <c r="DJ5" s="213" t="s">
        <v>249</v>
      </c>
      <c r="DM5" s="213" t="s">
        <v>744</v>
      </c>
      <c r="DN5" s="213" t="s">
        <v>743</v>
      </c>
      <c r="DO5" s="213">
        <v>0</v>
      </c>
      <c r="DP5" s="213">
        <v>0</v>
      </c>
      <c r="DQ5" s="213">
        <v>0</v>
      </c>
      <c r="DR5" s="213" t="s">
        <v>249</v>
      </c>
      <c r="DU5" s="213" t="s">
        <v>745</v>
      </c>
      <c r="DV5" s="213" t="s">
        <v>743</v>
      </c>
      <c r="DW5" s="213">
        <v>0</v>
      </c>
      <c r="DX5" s="213">
        <v>0</v>
      </c>
      <c r="DY5" s="213">
        <v>0</v>
      </c>
      <c r="DZ5" s="213" t="s">
        <v>249</v>
      </c>
      <c r="EC5" s="213" t="s">
        <v>746</v>
      </c>
      <c r="ED5" s="213" t="s">
        <v>743</v>
      </c>
      <c r="EE5" s="213">
        <v>0</v>
      </c>
      <c r="EF5" s="213">
        <v>0</v>
      </c>
      <c r="EG5" s="213">
        <v>0</v>
      </c>
      <c r="EH5" s="213" t="s">
        <v>249</v>
      </c>
      <c r="EK5" s="213" t="s">
        <v>747</v>
      </c>
      <c r="EL5" s="213" t="s">
        <v>743</v>
      </c>
      <c r="EM5" s="213">
        <v>0</v>
      </c>
      <c r="EN5" s="213">
        <v>0</v>
      </c>
      <c r="EO5" s="213">
        <v>0</v>
      </c>
      <c r="EP5" s="213" t="s">
        <v>249</v>
      </c>
      <c r="ES5" s="213" t="s">
        <v>748</v>
      </c>
      <c r="ET5" s="213" t="s">
        <v>743</v>
      </c>
      <c r="EU5" s="213">
        <v>0</v>
      </c>
      <c r="EV5" s="213">
        <v>0</v>
      </c>
      <c r="EW5" s="213">
        <v>0</v>
      </c>
      <c r="EX5" s="213" t="s">
        <v>249</v>
      </c>
      <c r="FA5" s="213" t="s">
        <v>749</v>
      </c>
      <c r="FB5" s="213" t="s">
        <v>743</v>
      </c>
      <c r="FC5" s="213">
        <v>0</v>
      </c>
      <c r="FD5" s="213">
        <v>0</v>
      </c>
      <c r="FE5" s="213">
        <v>0</v>
      </c>
      <c r="FF5" s="213" t="s">
        <v>249</v>
      </c>
      <c r="FI5" s="213" t="s">
        <v>750</v>
      </c>
      <c r="FJ5" s="213" t="s">
        <v>743</v>
      </c>
      <c r="FK5" s="213">
        <v>0</v>
      </c>
      <c r="FL5" s="213">
        <v>0</v>
      </c>
      <c r="FM5" s="213">
        <v>0</v>
      </c>
      <c r="FN5" s="213" t="s">
        <v>249</v>
      </c>
      <c r="FQ5" s="213" t="s">
        <v>751</v>
      </c>
      <c r="FR5" s="213" t="s">
        <v>743</v>
      </c>
      <c r="FS5" s="213">
        <v>0</v>
      </c>
      <c r="FT5" s="213">
        <v>0</v>
      </c>
      <c r="FU5" s="213">
        <v>0</v>
      </c>
      <c r="FV5" s="213" t="s">
        <v>249</v>
      </c>
      <c r="FY5" s="213">
        <v>17.5</v>
      </c>
      <c r="FZ5" s="213">
        <v>-5.8</v>
      </c>
      <c r="GF5" s="213" t="s">
        <v>752</v>
      </c>
    </row>
    <row r="6" spans="1:188" s="213" customFormat="1" x14ac:dyDescent="0.15">
      <c r="A6" s="213" t="s">
        <v>654</v>
      </c>
      <c r="B6" s="213">
        <v>4</v>
      </c>
      <c r="C6" s="213" t="s">
        <v>759</v>
      </c>
      <c r="D6" s="213">
        <v>614332132</v>
      </c>
      <c r="E6" s="213">
        <v>92303</v>
      </c>
      <c r="F6" s="213" t="s">
        <v>725</v>
      </c>
      <c r="G6" s="213">
        <v>803094</v>
      </c>
      <c r="H6" s="213">
        <v>880243</v>
      </c>
      <c r="I6" s="213">
        <v>6.8</v>
      </c>
      <c r="J6" s="213" t="s">
        <v>760</v>
      </c>
      <c r="K6" s="213" t="s">
        <v>727</v>
      </c>
      <c r="L6" s="213" t="s">
        <v>656</v>
      </c>
      <c r="M6" s="213" t="s">
        <v>728</v>
      </c>
      <c r="N6" s="213" t="s">
        <v>728</v>
      </c>
      <c r="O6" s="213" t="s">
        <v>729</v>
      </c>
      <c r="P6" s="213" t="s">
        <v>710</v>
      </c>
      <c r="Q6" s="213">
        <v>21.6</v>
      </c>
      <c r="R6" s="213">
        <v>177</v>
      </c>
      <c r="S6" s="213" t="s">
        <v>710</v>
      </c>
      <c r="T6" s="213">
        <v>-9999</v>
      </c>
      <c r="U6" s="213">
        <v>212</v>
      </c>
      <c r="V6" s="213">
        <v>483</v>
      </c>
      <c r="W6" s="213">
        <v>207</v>
      </c>
      <c r="X6" s="213" t="s">
        <v>710</v>
      </c>
      <c r="Y6" s="213">
        <v>0</v>
      </c>
      <c r="Z6" s="213">
        <v>40</v>
      </c>
      <c r="AA6" s="213" t="s">
        <v>730</v>
      </c>
      <c r="AB6" s="213" t="s">
        <v>731</v>
      </c>
      <c r="AC6" s="213" t="s">
        <v>729</v>
      </c>
      <c r="AD6" s="213" t="s">
        <v>732</v>
      </c>
      <c r="AE6" s="213">
        <v>0</v>
      </c>
      <c r="AF6" s="213">
        <v>9</v>
      </c>
      <c r="AG6" s="213" t="s">
        <v>249</v>
      </c>
      <c r="AH6" s="213">
        <v>-9999</v>
      </c>
      <c r="AI6" s="213">
        <v>205</v>
      </c>
      <c r="AJ6" s="213">
        <v>490</v>
      </c>
      <c r="AK6" s="213">
        <v>202</v>
      </c>
      <c r="AL6" s="213" t="s">
        <v>710</v>
      </c>
      <c r="AM6" s="213">
        <v>0</v>
      </c>
      <c r="AN6" s="213">
        <v>40</v>
      </c>
      <c r="AO6" s="213" t="s">
        <v>733</v>
      </c>
      <c r="AP6" s="213" t="s">
        <v>734</v>
      </c>
      <c r="AQ6" s="213">
        <v>1</v>
      </c>
      <c r="AR6" s="213" t="s">
        <v>735</v>
      </c>
      <c r="AS6" s="213">
        <v>0</v>
      </c>
      <c r="AT6" s="213">
        <v>25</v>
      </c>
      <c r="AU6" s="213" t="s">
        <v>249</v>
      </c>
      <c r="AV6" s="213">
        <v>-9999</v>
      </c>
      <c r="AW6" s="213">
        <v>287</v>
      </c>
      <c r="AX6" s="213">
        <v>717</v>
      </c>
      <c r="AY6" s="213">
        <v>283</v>
      </c>
      <c r="AZ6" s="213" t="s">
        <v>710</v>
      </c>
      <c r="BA6" s="213">
        <v>0</v>
      </c>
      <c r="BB6" s="213">
        <v>40</v>
      </c>
      <c r="BC6" s="213" t="s">
        <v>736</v>
      </c>
      <c r="BD6" s="213" t="s">
        <v>734</v>
      </c>
      <c r="BE6" s="213">
        <v>2</v>
      </c>
      <c r="BF6" s="213" t="s">
        <v>735</v>
      </c>
      <c r="BG6" s="213">
        <v>0</v>
      </c>
      <c r="BH6" s="213">
        <v>5</v>
      </c>
      <c r="BI6" s="213" t="s">
        <v>249</v>
      </c>
      <c r="BJ6" s="213">
        <v>-9999</v>
      </c>
      <c r="BK6" s="213">
        <v>100</v>
      </c>
      <c r="BL6" s="213">
        <v>322</v>
      </c>
      <c r="BM6" s="213">
        <v>99</v>
      </c>
      <c r="BN6" s="213" t="s">
        <v>710</v>
      </c>
      <c r="BO6" s="213">
        <v>0</v>
      </c>
      <c r="BP6" s="213">
        <v>40</v>
      </c>
      <c r="BQ6" s="213" t="s">
        <v>737</v>
      </c>
      <c r="BR6" s="213" t="s">
        <v>734</v>
      </c>
      <c r="BS6" s="213">
        <v>3</v>
      </c>
      <c r="BT6" s="213" t="s">
        <v>735</v>
      </c>
      <c r="BU6" s="213">
        <v>0</v>
      </c>
      <c r="BV6" s="213">
        <v>10</v>
      </c>
      <c r="BW6" s="213" t="s">
        <v>249</v>
      </c>
      <c r="BX6" s="213">
        <v>-9999</v>
      </c>
      <c r="BY6" s="213">
        <v>179</v>
      </c>
      <c r="BZ6" s="213">
        <v>415</v>
      </c>
      <c r="CA6" s="213">
        <v>177</v>
      </c>
      <c r="CB6" s="213" t="s">
        <v>710</v>
      </c>
      <c r="CC6" s="213">
        <v>0</v>
      </c>
      <c r="CD6" s="213">
        <v>40</v>
      </c>
      <c r="CE6" s="213" t="s">
        <v>738</v>
      </c>
      <c r="CF6" s="213" t="s">
        <v>734</v>
      </c>
      <c r="CG6" s="213">
        <v>4</v>
      </c>
      <c r="CH6" s="213" t="s">
        <v>735</v>
      </c>
      <c r="CI6" s="213">
        <v>0</v>
      </c>
      <c r="CJ6" s="213">
        <v>10</v>
      </c>
      <c r="CK6" s="213" t="s">
        <v>249</v>
      </c>
      <c r="CL6" s="213">
        <v>-9999</v>
      </c>
      <c r="CM6" s="213">
        <v>118</v>
      </c>
      <c r="CN6" s="213">
        <v>312</v>
      </c>
      <c r="CO6" s="213">
        <v>117</v>
      </c>
      <c r="CP6" s="213" t="s">
        <v>710</v>
      </c>
      <c r="CQ6" s="213">
        <v>0</v>
      </c>
      <c r="CR6" s="213">
        <v>40</v>
      </c>
      <c r="CS6" s="213" t="s">
        <v>739</v>
      </c>
      <c r="CT6" s="213" t="s">
        <v>740</v>
      </c>
      <c r="CU6" s="213">
        <v>126</v>
      </c>
      <c r="CV6" s="213">
        <v>125</v>
      </c>
      <c r="CW6" s="213">
        <v>125</v>
      </c>
      <c r="CX6" s="213" t="s">
        <v>710</v>
      </c>
      <c r="CY6" s="213" t="s">
        <v>741</v>
      </c>
      <c r="CZ6" s="213" t="s">
        <v>740</v>
      </c>
      <c r="DA6" s="213">
        <v>129</v>
      </c>
      <c r="DB6" s="213">
        <v>129</v>
      </c>
      <c r="DC6" s="213">
        <v>129</v>
      </c>
      <c r="DD6" s="213" t="s">
        <v>710</v>
      </c>
      <c r="DE6" s="213" t="s">
        <v>742</v>
      </c>
      <c r="DF6" s="213" t="s">
        <v>743</v>
      </c>
      <c r="DG6" s="213">
        <v>0</v>
      </c>
      <c r="DH6" s="213">
        <v>0</v>
      </c>
      <c r="DI6" s="213">
        <v>0</v>
      </c>
      <c r="DJ6" s="213" t="s">
        <v>249</v>
      </c>
      <c r="DM6" s="213" t="s">
        <v>744</v>
      </c>
      <c r="DN6" s="213" t="s">
        <v>743</v>
      </c>
      <c r="DO6" s="213">
        <v>0</v>
      </c>
      <c r="DP6" s="213">
        <v>0</v>
      </c>
      <c r="DQ6" s="213">
        <v>0</v>
      </c>
      <c r="DR6" s="213" t="s">
        <v>249</v>
      </c>
      <c r="DU6" s="213" t="s">
        <v>745</v>
      </c>
      <c r="DV6" s="213" t="s">
        <v>743</v>
      </c>
      <c r="DW6" s="213">
        <v>0</v>
      </c>
      <c r="DX6" s="213">
        <v>0</v>
      </c>
      <c r="DY6" s="213">
        <v>0</v>
      </c>
      <c r="DZ6" s="213" t="s">
        <v>249</v>
      </c>
      <c r="EC6" s="213" t="s">
        <v>746</v>
      </c>
      <c r="ED6" s="213" t="s">
        <v>743</v>
      </c>
      <c r="EE6" s="213">
        <v>0</v>
      </c>
      <c r="EF6" s="213">
        <v>0</v>
      </c>
      <c r="EG6" s="213">
        <v>0</v>
      </c>
      <c r="EH6" s="213" t="s">
        <v>249</v>
      </c>
      <c r="EK6" s="213" t="s">
        <v>747</v>
      </c>
      <c r="EL6" s="213" t="s">
        <v>743</v>
      </c>
      <c r="EM6" s="213">
        <v>0</v>
      </c>
      <c r="EN6" s="213">
        <v>0</v>
      </c>
      <c r="EO6" s="213">
        <v>0</v>
      </c>
      <c r="EP6" s="213" t="s">
        <v>249</v>
      </c>
      <c r="ES6" s="213" t="s">
        <v>748</v>
      </c>
      <c r="ET6" s="213" t="s">
        <v>743</v>
      </c>
      <c r="EU6" s="213">
        <v>0</v>
      </c>
      <c r="EV6" s="213">
        <v>0</v>
      </c>
      <c r="EW6" s="213">
        <v>0</v>
      </c>
      <c r="EX6" s="213" t="s">
        <v>249</v>
      </c>
      <c r="FA6" s="213" t="s">
        <v>749</v>
      </c>
      <c r="FB6" s="213" t="s">
        <v>743</v>
      </c>
      <c r="FC6" s="213">
        <v>0</v>
      </c>
      <c r="FD6" s="213">
        <v>0</v>
      </c>
      <c r="FE6" s="213">
        <v>0</v>
      </c>
      <c r="FF6" s="213" t="s">
        <v>249</v>
      </c>
      <c r="FI6" s="213" t="s">
        <v>750</v>
      </c>
      <c r="FJ6" s="213" t="s">
        <v>743</v>
      </c>
      <c r="FK6" s="213">
        <v>0</v>
      </c>
      <c r="FL6" s="213">
        <v>0</v>
      </c>
      <c r="FM6" s="213">
        <v>0</v>
      </c>
      <c r="FN6" s="213" t="s">
        <v>249</v>
      </c>
      <c r="FQ6" s="213" t="s">
        <v>751</v>
      </c>
      <c r="FR6" s="213" t="s">
        <v>743</v>
      </c>
      <c r="FS6" s="213">
        <v>0</v>
      </c>
      <c r="FT6" s="213">
        <v>0</v>
      </c>
      <c r="FU6" s="213">
        <v>0</v>
      </c>
      <c r="FV6" s="213" t="s">
        <v>249</v>
      </c>
      <c r="FY6" s="213">
        <v>14.8</v>
      </c>
      <c r="FZ6" s="213">
        <v>-9.4</v>
      </c>
      <c r="GF6" s="213" t="s">
        <v>752</v>
      </c>
    </row>
    <row r="7" spans="1:188" s="213" customFormat="1" x14ac:dyDescent="0.15">
      <c r="A7" s="213" t="s">
        <v>654</v>
      </c>
      <c r="B7" s="213">
        <v>4</v>
      </c>
      <c r="C7" s="213" t="s">
        <v>761</v>
      </c>
      <c r="D7" s="213">
        <v>614332137</v>
      </c>
      <c r="E7" s="213">
        <v>92303</v>
      </c>
      <c r="F7" s="213" t="s">
        <v>725</v>
      </c>
      <c r="G7" s="213">
        <v>803094</v>
      </c>
      <c r="H7" s="213">
        <v>210013102</v>
      </c>
      <c r="I7" s="213">
        <v>6.8</v>
      </c>
      <c r="J7" s="213" t="s">
        <v>762</v>
      </c>
      <c r="K7" s="213" t="s">
        <v>727</v>
      </c>
      <c r="L7" s="213" t="s">
        <v>656</v>
      </c>
      <c r="M7" s="213" t="s">
        <v>728</v>
      </c>
      <c r="N7" s="213" t="s">
        <v>728</v>
      </c>
      <c r="O7" s="213" t="s">
        <v>729</v>
      </c>
      <c r="P7" s="213" t="s">
        <v>710</v>
      </c>
      <c r="Q7" s="213">
        <v>23.9</v>
      </c>
      <c r="R7" s="213">
        <v>148</v>
      </c>
      <c r="S7" s="213" t="s">
        <v>710</v>
      </c>
      <c r="T7" s="213">
        <v>-9999</v>
      </c>
      <c r="U7" s="213">
        <v>187</v>
      </c>
      <c r="V7" s="213">
        <v>411</v>
      </c>
      <c r="W7" s="213">
        <v>181</v>
      </c>
      <c r="X7" s="213" t="s">
        <v>710</v>
      </c>
      <c r="Y7" s="213">
        <v>0</v>
      </c>
      <c r="Z7" s="213">
        <v>40</v>
      </c>
      <c r="AA7" s="213" t="s">
        <v>730</v>
      </c>
      <c r="AB7" s="213" t="s">
        <v>731</v>
      </c>
      <c r="AC7" s="213" t="s">
        <v>729</v>
      </c>
      <c r="AD7" s="213" t="s">
        <v>732</v>
      </c>
      <c r="AE7" s="213">
        <v>0</v>
      </c>
      <c r="AF7" s="213">
        <v>9</v>
      </c>
      <c r="AG7" s="213" t="s">
        <v>249</v>
      </c>
      <c r="AH7" s="213">
        <v>-9999</v>
      </c>
      <c r="AI7" s="213">
        <v>190</v>
      </c>
      <c r="AJ7" s="213">
        <v>456</v>
      </c>
      <c r="AK7" s="213">
        <v>186</v>
      </c>
      <c r="AL7" s="213" t="s">
        <v>710</v>
      </c>
      <c r="AM7" s="213">
        <v>0</v>
      </c>
      <c r="AN7" s="213">
        <v>40</v>
      </c>
      <c r="AO7" s="213" t="s">
        <v>733</v>
      </c>
      <c r="AP7" s="213" t="s">
        <v>734</v>
      </c>
      <c r="AQ7" s="213">
        <v>1</v>
      </c>
      <c r="AR7" s="213" t="s">
        <v>735</v>
      </c>
      <c r="AS7" s="213">
        <v>0</v>
      </c>
      <c r="AT7" s="213">
        <v>6</v>
      </c>
      <c r="AU7" s="213" t="s">
        <v>249</v>
      </c>
      <c r="AV7" s="213">
        <v>-9999</v>
      </c>
      <c r="AW7" s="213">
        <v>240</v>
      </c>
      <c r="AX7" s="213">
        <v>598</v>
      </c>
      <c r="AY7" s="213">
        <v>238</v>
      </c>
      <c r="AZ7" s="213" t="s">
        <v>710</v>
      </c>
      <c r="BA7" s="213">
        <v>0</v>
      </c>
      <c r="BB7" s="213">
        <v>40</v>
      </c>
      <c r="BC7" s="213" t="s">
        <v>736</v>
      </c>
      <c r="BD7" s="213" t="s">
        <v>734</v>
      </c>
      <c r="BE7" s="213">
        <v>2</v>
      </c>
      <c r="BF7" s="213" t="s">
        <v>735</v>
      </c>
      <c r="BG7" s="213">
        <v>0</v>
      </c>
      <c r="BH7" s="213">
        <v>3</v>
      </c>
      <c r="BI7" s="213" t="s">
        <v>249</v>
      </c>
      <c r="BJ7" s="213">
        <v>-9999</v>
      </c>
      <c r="BK7" s="213">
        <v>97</v>
      </c>
      <c r="BL7" s="213">
        <v>307</v>
      </c>
      <c r="BM7" s="213">
        <v>95</v>
      </c>
      <c r="BN7" s="213" t="s">
        <v>710</v>
      </c>
      <c r="BO7" s="213">
        <v>0</v>
      </c>
      <c r="BP7" s="213">
        <v>40</v>
      </c>
      <c r="BQ7" s="213" t="s">
        <v>737</v>
      </c>
      <c r="BR7" s="213" t="s">
        <v>734</v>
      </c>
      <c r="BS7" s="213">
        <v>3</v>
      </c>
      <c r="BT7" s="213" t="s">
        <v>735</v>
      </c>
      <c r="BU7" s="213">
        <v>0</v>
      </c>
      <c r="BV7" s="213">
        <v>8</v>
      </c>
      <c r="BW7" s="213" t="s">
        <v>249</v>
      </c>
      <c r="BX7" s="213">
        <v>-9999</v>
      </c>
      <c r="BY7" s="213">
        <v>168</v>
      </c>
      <c r="BZ7" s="213">
        <v>391</v>
      </c>
      <c r="CA7" s="213">
        <v>166</v>
      </c>
      <c r="CB7" s="213" t="s">
        <v>710</v>
      </c>
      <c r="CC7" s="213">
        <v>0</v>
      </c>
      <c r="CD7" s="213">
        <v>40</v>
      </c>
      <c r="CE7" s="213" t="s">
        <v>738</v>
      </c>
      <c r="CF7" s="213" t="s">
        <v>734</v>
      </c>
      <c r="CG7" s="213">
        <v>4</v>
      </c>
      <c r="CH7" s="213" t="s">
        <v>735</v>
      </c>
      <c r="CI7" s="213">
        <v>0</v>
      </c>
      <c r="CJ7" s="213">
        <v>5</v>
      </c>
      <c r="CK7" s="213" t="s">
        <v>249</v>
      </c>
      <c r="CL7" s="213">
        <v>-9999</v>
      </c>
      <c r="CM7" s="213">
        <v>123</v>
      </c>
      <c r="CN7" s="213">
        <v>321</v>
      </c>
      <c r="CO7" s="213">
        <v>120</v>
      </c>
      <c r="CP7" s="213" t="s">
        <v>710</v>
      </c>
      <c r="CQ7" s="213">
        <v>0</v>
      </c>
      <c r="CR7" s="213">
        <v>40</v>
      </c>
      <c r="CS7" s="213" t="s">
        <v>739</v>
      </c>
      <c r="CT7" s="213" t="s">
        <v>740</v>
      </c>
      <c r="CU7" s="213">
        <v>98</v>
      </c>
      <c r="CV7" s="213">
        <v>97</v>
      </c>
      <c r="CW7" s="213">
        <v>98</v>
      </c>
      <c r="CX7" s="213" t="s">
        <v>710</v>
      </c>
      <c r="CY7" s="213" t="s">
        <v>741</v>
      </c>
      <c r="CZ7" s="213" t="s">
        <v>740</v>
      </c>
      <c r="DA7" s="213">
        <v>109</v>
      </c>
      <c r="DB7" s="213">
        <v>108</v>
      </c>
      <c r="DC7" s="213">
        <v>108</v>
      </c>
      <c r="DD7" s="213" t="s">
        <v>710</v>
      </c>
      <c r="DE7" s="213" t="s">
        <v>742</v>
      </c>
      <c r="DF7" s="213" t="s">
        <v>743</v>
      </c>
      <c r="DG7" s="213">
        <v>0</v>
      </c>
      <c r="DH7" s="213">
        <v>0</v>
      </c>
      <c r="DI7" s="213">
        <v>0</v>
      </c>
      <c r="DJ7" s="213" t="s">
        <v>249</v>
      </c>
      <c r="DM7" s="213" t="s">
        <v>744</v>
      </c>
      <c r="DN7" s="213" t="s">
        <v>743</v>
      </c>
      <c r="DO7" s="213">
        <v>0</v>
      </c>
      <c r="DP7" s="213">
        <v>0</v>
      </c>
      <c r="DQ7" s="213">
        <v>0</v>
      </c>
      <c r="DR7" s="213" t="s">
        <v>249</v>
      </c>
      <c r="DU7" s="213" t="s">
        <v>745</v>
      </c>
      <c r="DV7" s="213" t="s">
        <v>743</v>
      </c>
      <c r="DW7" s="213">
        <v>0</v>
      </c>
      <c r="DX7" s="213">
        <v>0</v>
      </c>
      <c r="DY7" s="213">
        <v>0</v>
      </c>
      <c r="DZ7" s="213" t="s">
        <v>249</v>
      </c>
      <c r="EC7" s="213" t="s">
        <v>746</v>
      </c>
      <c r="ED7" s="213" t="s">
        <v>743</v>
      </c>
      <c r="EE7" s="213">
        <v>0</v>
      </c>
      <c r="EF7" s="213">
        <v>0</v>
      </c>
      <c r="EG7" s="213">
        <v>0</v>
      </c>
      <c r="EH7" s="213" t="s">
        <v>249</v>
      </c>
      <c r="EK7" s="213" t="s">
        <v>747</v>
      </c>
      <c r="EL7" s="213" t="s">
        <v>743</v>
      </c>
      <c r="EM7" s="213">
        <v>0</v>
      </c>
      <c r="EN7" s="213">
        <v>0</v>
      </c>
      <c r="EO7" s="213">
        <v>0</v>
      </c>
      <c r="EP7" s="213" t="s">
        <v>249</v>
      </c>
      <c r="ES7" s="213" t="s">
        <v>748</v>
      </c>
      <c r="ET7" s="213" t="s">
        <v>743</v>
      </c>
      <c r="EU7" s="213">
        <v>0</v>
      </c>
      <c r="EV7" s="213">
        <v>0</v>
      </c>
      <c r="EW7" s="213">
        <v>0</v>
      </c>
      <c r="EX7" s="213" t="s">
        <v>249</v>
      </c>
      <c r="FA7" s="213" t="s">
        <v>749</v>
      </c>
      <c r="FB7" s="213" t="s">
        <v>743</v>
      </c>
      <c r="FC7" s="213">
        <v>0</v>
      </c>
      <c r="FD7" s="213">
        <v>0</v>
      </c>
      <c r="FE7" s="213">
        <v>0</v>
      </c>
      <c r="FF7" s="213" t="s">
        <v>249</v>
      </c>
      <c r="FI7" s="213" t="s">
        <v>750</v>
      </c>
      <c r="FJ7" s="213" t="s">
        <v>743</v>
      </c>
      <c r="FK7" s="213">
        <v>0</v>
      </c>
      <c r="FL7" s="213">
        <v>0</v>
      </c>
      <c r="FM7" s="213">
        <v>0</v>
      </c>
      <c r="FN7" s="213" t="s">
        <v>249</v>
      </c>
      <c r="FQ7" s="213" t="s">
        <v>751</v>
      </c>
      <c r="FR7" s="213" t="s">
        <v>743</v>
      </c>
      <c r="FS7" s="213">
        <v>0</v>
      </c>
      <c r="FT7" s="213">
        <v>0</v>
      </c>
      <c r="FU7" s="213">
        <v>0</v>
      </c>
      <c r="FV7" s="213" t="s">
        <v>249</v>
      </c>
      <c r="FY7" s="213">
        <v>16.899999999999999</v>
      </c>
      <c r="FZ7" s="213">
        <v>-9.3000000000000007</v>
      </c>
      <c r="GF7" s="213" t="s">
        <v>752</v>
      </c>
    </row>
    <row r="8" spans="1:188" s="213" customFormat="1" x14ac:dyDescent="0.15">
      <c r="A8" s="213" t="s">
        <v>654</v>
      </c>
      <c r="B8" s="213">
        <v>4</v>
      </c>
      <c r="C8" s="213" t="s">
        <v>763</v>
      </c>
      <c r="D8" s="213">
        <v>614332149</v>
      </c>
      <c r="E8" s="213">
        <v>92303</v>
      </c>
      <c r="F8" s="213" t="s">
        <v>725</v>
      </c>
      <c r="G8" s="213">
        <v>803094</v>
      </c>
      <c r="H8" s="213">
        <v>674169</v>
      </c>
      <c r="I8" s="213">
        <v>6.8</v>
      </c>
      <c r="J8" s="213" t="s">
        <v>764</v>
      </c>
      <c r="K8" s="213" t="s">
        <v>727</v>
      </c>
      <c r="L8" s="213" t="s">
        <v>656</v>
      </c>
      <c r="M8" s="213" t="s">
        <v>728</v>
      </c>
      <c r="N8" s="213" t="s">
        <v>728</v>
      </c>
      <c r="O8" s="213" t="s">
        <v>729</v>
      </c>
      <c r="P8" s="213" t="s">
        <v>710</v>
      </c>
      <c r="Q8" s="213">
        <v>24.5</v>
      </c>
      <c r="R8" s="213">
        <v>145</v>
      </c>
      <c r="S8" s="213" t="s">
        <v>710</v>
      </c>
      <c r="T8" s="213">
        <v>-9999</v>
      </c>
      <c r="U8" s="213">
        <v>212</v>
      </c>
      <c r="V8" s="213">
        <v>464</v>
      </c>
      <c r="W8" s="213">
        <v>205</v>
      </c>
      <c r="X8" s="213" t="s">
        <v>710</v>
      </c>
      <c r="Y8" s="213">
        <v>0</v>
      </c>
      <c r="Z8" s="213">
        <v>40</v>
      </c>
      <c r="AA8" s="213" t="s">
        <v>730</v>
      </c>
      <c r="AB8" s="213" t="s">
        <v>731</v>
      </c>
      <c r="AC8" s="213" t="s">
        <v>729</v>
      </c>
      <c r="AD8" s="213" t="s">
        <v>732</v>
      </c>
      <c r="AE8" s="213">
        <v>0</v>
      </c>
      <c r="AF8" s="213">
        <v>4</v>
      </c>
      <c r="AG8" s="213" t="s">
        <v>249</v>
      </c>
      <c r="AH8" s="213">
        <v>-9999</v>
      </c>
      <c r="AI8" s="213">
        <v>216</v>
      </c>
      <c r="AJ8" s="213">
        <v>514</v>
      </c>
      <c r="AK8" s="213">
        <v>213</v>
      </c>
      <c r="AL8" s="213" t="s">
        <v>710</v>
      </c>
      <c r="AM8" s="213">
        <v>0</v>
      </c>
      <c r="AN8" s="213">
        <v>40</v>
      </c>
      <c r="AO8" s="213" t="s">
        <v>733</v>
      </c>
      <c r="AP8" s="213" t="s">
        <v>734</v>
      </c>
      <c r="AQ8" s="213">
        <v>1</v>
      </c>
      <c r="AR8" s="213" t="s">
        <v>735</v>
      </c>
      <c r="AS8" s="213">
        <v>0</v>
      </c>
      <c r="AT8" s="213">
        <v>2</v>
      </c>
      <c r="AU8" s="213" t="s">
        <v>249</v>
      </c>
      <c r="AV8" s="213">
        <v>-9999</v>
      </c>
      <c r="AW8" s="213">
        <v>282</v>
      </c>
      <c r="AX8" s="213">
        <v>693</v>
      </c>
      <c r="AY8" s="213">
        <v>278</v>
      </c>
      <c r="AZ8" s="213" t="s">
        <v>710</v>
      </c>
      <c r="BA8" s="213">
        <v>0</v>
      </c>
      <c r="BB8" s="213">
        <v>40</v>
      </c>
      <c r="BC8" s="213" t="s">
        <v>736</v>
      </c>
      <c r="BD8" s="213" t="s">
        <v>734</v>
      </c>
      <c r="BE8" s="213">
        <v>2</v>
      </c>
      <c r="BF8" s="213" t="s">
        <v>735</v>
      </c>
      <c r="BG8" s="213">
        <v>0</v>
      </c>
      <c r="BH8" s="213">
        <v>1</v>
      </c>
      <c r="BI8" s="213" t="s">
        <v>249</v>
      </c>
      <c r="BJ8" s="213">
        <v>-9999</v>
      </c>
      <c r="BK8" s="213">
        <v>119</v>
      </c>
      <c r="BL8" s="213">
        <v>358</v>
      </c>
      <c r="BM8" s="213">
        <v>116</v>
      </c>
      <c r="BN8" s="213" t="s">
        <v>710</v>
      </c>
      <c r="BO8" s="213">
        <v>0</v>
      </c>
      <c r="BP8" s="213">
        <v>40</v>
      </c>
      <c r="BQ8" s="213" t="s">
        <v>737</v>
      </c>
      <c r="BR8" s="213" t="s">
        <v>734</v>
      </c>
      <c r="BS8" s="213">
        <v>3</v>
      </c>
      <c r="BT8" s="213" t="s">
        <v>735</v>
      </c>
      <c r="BU8" s="213">
        <v>0</v>
      </c>
      <c r="BV8" s="213">
        <v>8</v>
      </c>
      <c r="BW8" s="213" t="s">
        <v>249</v>
      </c>
      <c r="BX8" s="213">
        <v>-9999</v>
      </c>
      <c r="BY8" s="213">
        <v>174</v>
      </c>
      <c r="BZ8" s="213">
        <v>402</v>
      </c>
      <c r="CA8" s="213">
        <v>172</v>
      </c>
      <c r="CB8" s="213" t="s">
        <v>710</v>
      </c>
      <c r="CC8" s="213">
        <v>0</v>
      </c>
      <c r="CD8" s="213">
        <v>40</v>
      </c>
      <c r="CE8" s="213" t="s">
        <v>738</v>
      </c>
      <c r="CF8" s="213" t="s">
        <v>734</v>
      </c>
      <c r="CG8" s="213">
        <v>4</v>
      </c>
      <c r="CH8" s="213" t="s">
        <v>735</v>
      </c>
      <c r="CI8" s="213">
        <v>0</v>
      </c>
      <c r="CJ8" s="213">
        <v>4</v>
      </c>
      <c r="CK8" s="213" t="s">
        <v>249</v>
      </c>
      <c r="CL8" s="213">
        <v>-9999</v>
      </c>
      <c r="CM8" s="213">
        <v>146</v>
      </c>
      <c r="CN8" s="213">
        <v>381</v>
      </c>
      <c r="CO8" s="213">
        <v>143</v>
      </c>
      <c r="CP8" s="213" t="s">
        <v>710</v>
      </c>
      <c r="CQ8" s="213">
        <v>0</v>
      </c>
      <c r="CR8" s="213">
        <v>40</v>
      </c>
      <c r="CS8" s="213" t="s">
        <v>739</v>
      </c>
      <c r="CT8" s="213" t="s">
        <v>740</v>
      </c>
      <c r="CU8" s="213">
        <v>125</v>
      </c>
      <c r="CV8" s="213">
        <v>124</v>
      </c>
      <c r="CW8" s="213">
        <v>124</v>
      </c>
      <c r="CX8" s="213" t="s">
        <v>710</v>
      </c>
      <c r="CY8" s="213" t="s">
        <v>741</v>
      </c>
      <c r="CZ8" s="213" t="s">
        <v>740</v>
      </c>
      <c r="DA8" s="213">
        <v>119</v>
      </c>
      <c r="DB8" s="213">
        <v>119</v>
      </c>
      <c r="DC8" s="213">
        <v>119</v>
      </c>
      <c r="DD8" s="213" t="s">
        <v>710</v>
      </c>
      <c r="DE8" s="213" t="s">
        <v>742</v>
      </c>
      <c r="DF8" s="213" t="s">
        <v>743</v>
      </c>
      <c r="DG8" s="213">
        <v>0</v>
      </c>
      <c r="DH8" s="213">
        <v>0</v>
      </c>
      <c r="DI8" s="213">
        <v>0</v>
      </c>
      <c r="DJ8" s="213" t="s">
        <v>249</v>
      </c>
      <c r="DM8" s="213" t="s">
        <v>744</v>
      </c>
      <c r="DN8" s="213" t="s">
        <v>743</v>
      </c>
      <c r="DO8" s="213">
        <v>0</v>
      </c>
      <c r="DP8" s="213">
        <v>0</v>
      </c>
      <c r="DQ8" s="213">
        <v>0</v>
      </c>
      <c r="DR8" s="213" t="s">
        <v>249</v>
      </c>
      <c r="DU8" s="213" t="s">
        <v>745</v>
      </c>
      <c r="DV8" s="213" t="s">
        <v>743</v>
      </c>
      <c r="DW8" s="213">
        <v>0</v>
      </c>
      <c r="DX8" s="213">
        <v>0</v>
      </c>
      <c r="DY8" s="213">
        <v>0</v>
      </c>
      <c r="DZ8" s="213" t="s">
        <v>249</v>
      </c>
      <c r="EC8" s="213" t="s">
        <v>746</v>
      </c>
      <c r="ED8" s="213" t="s">
        <v>743</v>
      </c>
      <c r="EE8" s="213">
        <v>0</v>
      </c>
      <c r="EF8" s="213">
        <v>0</v>
      </c>
      <c r="EG8" s="213">
        <v>0</v>
      </c>
      <c r="EH8" s="213" t="s">
        <v>249</v>
      </c>
      <c r="EK8" s="213" t="s">
        <v>747</v>
      </c>
      <c r="EL8" s="213" t="s">
        <v>743</v>
      </c>
      <c r="EM8" s="213">
        <v>0</v>
      </c>
      <c r="EN8" s="213">
        <v>0</v>
      </c>
      <c r="EO8" s="213">
        <v>0</v>
      </c>
      <c r="EP8" s="213" t="s">
        <v>249</v>
      </c>
      <c r="ES8" s="213" t="s">
        <v>748</v>
      </c>
      <c r="ET8" s="213" t="s">
        <v>743</v>
      </c>
      <c r="EU8" s="213">
        <v>0</v>
      </c>
      <c r="EV8" s="213">
        <v>0</v>
      </c>
      <c r="EW8" s="213">
        <v>0</v>
      </c>
      <c r="EX8" s="213" t="s">
        <v>249</v>
      </c>
      <c r="FA8" s="213" t="s">
        <v>749</v>
      </c>
      <c r="FB8" s="213" t="s">
        <v>743</v>
      </c>
      <c r="FC8" s="213">
        <v>0</v>
      </c>
      <c r="FD8" s="213">
        <v>0</v>
      </c>
      <c r="FE8" s="213">
        <v>0</v>
      </c>
      <c r="FF8" s="213" t="s">
        <v>249</v>
      </c>
      <c r="FI8" s="213" t="s">
        <v>750</v>
      </c>
      <c r="FJ8" s="213" t="s">
        <v>743</v>
      </c>
      <c r="FK8" s="213">
        <v>0</v>
      </c>
      <c r="FL8" s="213">
        <v>0</v>
      </c>
      <c r="FM8" s="213">
        <v>0</v>
      </c>
      <c r="FN8" s="213" t="s">
        <v>249</v>
      </c>
      <c r="FQ8" s="213" t="s">
        <v>751</v>
      </c>
      <c r="FR8" s="213" t="s">
        <v>743</v>
      </c>
      <c r="FS8" s="213">
        <v>0</v>
      </c>
      <c r="FT8" s="213">
        <v>0</v>
      </c>
      <c r="FU8" s="213">
        <v>0</v>
      </c>
      <c r="FV8" s="213" t="s">
        <v>249</v>
      </c>
      <c r="FY8" s="213">
        <v>17.3</v>
      </c>
      <c r="FZ8" s="213">
        <v>-8.8000000000000007</v>
      </c>
      <c r="GF8" s="213" t="s">
        <v>752</v>
      </c>
    </row>
    <row r="9" spans="1:188" s="213" customFormat="1" x14ac:dyDescent="0.15">
      <c r="A9" s="213" t="s">
        <v>654</v>
      </c>
      <c r="B9" s="213">
        <v>4</v>
      </c>
      <c r="C9" s="213" t="s">
        <v>765</v>
      </c>
      <c r="D9" s="213">
        <v>614332145</v>
      </c>
      <c r="E9" s="213">
        <v>92303</v>
      </c>
      <c r="F9" s="213" t="s">
        <v>725</v>
      </c>
      <c r="G9" s="213">
        <v>803094</v>
      </c>
      <c r="H9" s="213">
        <v>631549</v>
      </c>
      <c r="I9" s="213">
        <v>6.8</v>
      </c>
      <c r="J9" s="213" t="s">
        <v>766</v>
      </c>
      <c r="K9" s="213" t="s">
        <v>727</v>
      </c>
      <c r="L9" s="213" t="s">
        <v>656</v>
      </c>
      <c r="M9" s="213" t="s">
        <v>728</v>
      </c>
      <c r="N9" s="213" t="s">
        <v>728</v>
      </c>
      <c r="O9" s="213" t="s">
        <v>729</v>
      </c>
      <c r="P9" s="213" t="s">
        <v>710</v>
      </c>
      <c r="Q9" s="213">
        <v>24.6</v>
      </c>
      <c r="R9" s="213">
        <v>152</v>
      </c>
      <c r="S9" s="213" t="s">
        <v>710</v>
      </c>
      <c r="T9" s="213">
        <v>-9999</v>
      </c>
      <c r="U9" s="213">
        <v>224</v>
      </c>
      <c r="V9" s="213">
        <v>489</v>
      </c>
      <c r="W9" s="213">
        <v>216</v>
      </c>
      <c r="X9" s="213" t="s">
        <v>710</v>
      </c>
      <c r="Y9" s="213">
        <v>0</v>
      </c>
      <c r="Z9" s="213">
        <v>40</v>
      </c>
      <c r="AA9" s="213" t="s">
        <v>730</v>
      </c>
      <c r="AB9" s="213" t="s">
        <v>731</v>
      </c>
      <c r="AC9" s="213" t="s">
        <v>729</v>
      </c>
      <c r="AD9" s="213" t="s">
        <v>732</v>
      </c>
      <c r="AE9" s="213">
        <v>0</v>
      </c>
      <c r="AF9" s="213">
        <v>11</v>
      </c>
      <c r="AG9" s="213" t="s">
        <v>249</v>
      </c>
      <c r="AH9" s="213">
        <v>-9999</v>
      </c>
      <c r="AI9" s="213">
        <v>196</v>
      </c>
      <c r="AJ9" s="213">
        <v>465</v>
      </c>
      <c r="AK9" s="213">
        <v>194</v>
      </c>
      <c r="AL9" s="213" t="s">
        <v>710</v>
      </c>
      <c r="AM9" s="213">
        <v>0</v>
      </c>
      <c r="AN9" s="213">
        <v>40</v>
      </c>
      <c r="AO9" s="213" t="s">
        <v>733</v>
      </c>
      <c r="AP9" s="213" t="s">
        <v>734</v>
      </c>
      <c r="AQ9" s="213">
        <v>1</v>
      </c>
      <c r="AR9" s="213" t="s">
        <v>735</v>
      </c>
      <c r="AS9" s="213">
        <v>0</v>
      </c>
      <c r="AT9" s="213">
        <v>5</v>
      </c>
      <c r="AU9" s="213" t="s">
        <v>249</v>
      </c>
      <c r="AV9" s="213">
        <v>-9999</v>
      </c>
      <c r="AW9" s="213">
        <v>275</v>
      </c>
      <c r="AX9" s="213">
        <v>679</v>
      </c>
      <c r="AY9" s="213">
        <v>272</v>
      </c>
      <c r="AZ9" s="213" t="s">
        <v>710</v>
      </c>
      <c r="BA9" s="213">
        <v>0</v>
      </c>
      <c r="BB9" s="213">
        <v>40</v>
      </c>
      <c r="BC9" s="213" t="s">
        <v>736</v>
      </c>
      <c r="BD9" s="213" t="s">
        <v>734</v>
      </c>
      <c r="BE9" s="213">
        <v>2</v>
      </c>
      <c r="BF9" s="213" t="s">
        <v>735</v>
      </c>
      <c r="BG9" s="213">
        <v>0</v>
      </c>
      <c r="BH9" s="213">
        <v>-1</v>
      </c>
      <c r="BI9" s="213" t="s">
        <v>249</v>
      </c>
      <c r="BJ9" s="213">
        <v>-9999</v>
      </c>
      <c r="BK9" s="213">
        <v>109</v>
      </c>
      <c r="BL9" s="213">
        <v>343</v>
      </c>
      <c r="BM9" s="213">
        <v>108</v>
      </c>
      <c r="BN9" s="213" t="s">
        <v>710</v>
      </c>
      <c r="BO9" s="213">
        <v>0</v>
      </c>
      <c r="BP9" s="213">
        <v>40</v>
      </c>
      <c r="BQ9" s="213" t="s">
        <v>737</v>
      </c>
      <c r="BR9" s="213" t="s">
        <v>734</v>
      </c>
      <c r="BS9" s="213">
        <v>3</v>
      </c>
      <c r="BT9" s="213" t="s">
        <v>735</v>
      </c>
      <c r="BU9" s="213">
        <v>0</v>
      </c>
      <c r="BV9" s="213">
        <v>9</v>
      </c>
      <c r="BW9" s="213" t="s">
        <v>249</v>
      </c>
      <c r="BX9" s="213">
        <v>-9999</v>
      </c>
      <c r="BY9" s="213">
        <v>167</v>
      </c>
      <c r="BZ9" s="213">
        <v>390</v>
      </c>
      <c r="CA9" s="213">
        <v>167</v>
      </c>
      <c r="CB9" s="213" t="s">
        <v>710</v>
      </c>
      <c r="CC9" s="213">
        <v>0</v>
      </c>
      <c r="CD9" s="213">
        <v>40</v>
      </c>
      <c r="CE9" s="213" t="s">
        <v>738</v>
      </c>
      <c r="CF9" s="213" t="s">
        <v>734</v>
      </c>
      <c r="CG9" s="213">
        <v>4</v>
      </c>
      <c r="CH9" s="213" t="s">
        <v>735</v>
      </c>
      <c r="CI9" s="213">
        <v>0</v>
      </c>
      <c r="CJ9" s="213">
        <v>6</v>
      </c>
      <c r="CK9" s="213" t="s">
        <v>249</v>
      </c>
      <c r="CL9" s="213">
        <v>-9999</v>
      </c>
      <c r="CM9" s="213">
        <v>141</v>
      </c>
      <c r="CN9" s="213">
        <v>365</v>
      </c>
      <c r="CO9" s="213">
        <v>138</v>
      </c>
      <c r="CP9" s="213" t="s">
        <v>710</v>
      </c>
      <c r="CQ9" s="213">
        <v>0</v>
      </c>
      <c r="CR9" s="213">
        <v>40</v>
      </c>
      <c r="CS9" s="213" t="s">
        <v>739</v>
      </c>
      <c r="CT9" s="213" t="s">
        <v>740</v>
      </c>
      <c r="CU9" s="213">
        <v>120</v>
      </c>
      <c r="CV9" s="213">
        <v>120</v>
      </c>
      <c r="CW9" s="213">
        <v>119</v>
      </c>
      <c r="CX9" s="213" t="s">
        <v>710</v>
      </c>
      <c r="CY9" s="213" t="s">
        <v>741</v>
      </c>
      <c r="CZ9" s="213" t="s">
        <v>740</v>
      </c>
      <c r="DA9" s="213">
        <v>100</v>
      </c>
      <c r="DB9" s="213">
        <v>100</v>
      </c>
      <c r="DC9" s="213">
        <v>100</v>
      </c>
      <c r="DD9" s="213" t="s">
        <v>710</v>
      </c>
      <c r="DE9" s="213" t="s">
        <v>742</v>
      </c>
      <c r="DF9" s="213" t="s">
        <v>743</v>
      </c>
      <c r="DG9" s="213">
        <v>0</v>
      </c>
      <c r="DH9" s="213">
        <v>0</v>
      </c>
      <c r="DI9" s="213">
        <v>0</v>
      </c>
      <c r="DJ9" s="213" t="s">
        <v>249</v>
      </c>
      <c r="DM9" s="213" t="s">
        <v>744</v>
      </c>
      <c r="DN9" s="213" t="s">
        <v>743</v>
      </c>
      <c r="DO9" s="213">
        <v>0</v>
      </c>
      <c r="DP9" s="213">
        <v>0</v>
      </c>
      <c r="DQ9" s="213">
        <v>0</v>
      </c>
      <c r="DR9" s="213" t="s">
        <v>249</v>
      </c>
      <c r="DU9" s="213" t="s">
        <v>745</v>
      </c>
      <c r="DV9" s="213" t="s">
        <v>743</v>
      </c>
      <c r="DW9" s="213">
        <v>0</v>
      </c>
      <c r="DX9" s="213">
        <v>0</v>
      </c>
      <c r="DY9" s="213">
        <v>0</v>
      </c>
      <c r="DZ9" s="213" t="s">
        <v>249</v>
      </c>
      <c r="EC9" s="213" t="s">
        <v>746</v>
      </c>
      <c r="ED9" s="213" t="s">
        <v>743</v>
      </c>
      <c r="EE9" s="213">
        <v>0</v>
      </c>
      <c r="EF9" s="213">
        <v>0</v>
      </c>
      <c r="EG9" s="213">
        <v>0</v>
      </c>
      <c r="EH9" s="213" t="s">
        <v>249</v>
      </c>
      <c r="EK9" s="213" t="s">
        <v>747</v>
      </c>
      <c r="EL9" s="213" t="s">
        <v>743</v>
      </c>
      <c r="EM9" s="213">
        <v>0</v>
      </c>
      <c r="EN9" s="213">
        <v>0</v>
      </c>
      <c r="EO9" s="213">
        <v>0</v>
      </c>
      <c r="EP9" s="213" t="s">
        <v>249</v>
      </c>
      <c r="ES9" s="213" t="s">
        <v>748</v>
      </c>
      <c r="ET9" s="213" t="s">
        <v>743</v>
      </c>
      <c r="EU9" s="213">
        <v>0</v>
      </c>
      <c r="EV9" s="213">
        <v>0</v>
      </c>
      <c r="EW9" s="213">
        <v>0</v>
      </c>
      <c r="EX9" s="213" t="s">
        <v>249</v>
      </c>
      <c r="FA9" s="213" t="s">
        <v>749</v>
      </c>
      <c r="FB9" s="213" t="s">
        <v>743</v>
      </c>
      <c r="FC9" s="213">
        <v>0</v>
      </c>
      <c r="FD9" s="213">
        <v>0</v>
      </c>
      <c r="FE9" s="213">
        <v>0</v>
      </c>
      <c r="FF9" s="213" t="s">
        <v>249</v>
      </c>
      <c r="FI9" s="213" t="s">
        <v>750</v>
      </c>
      <c r="FJ9" s="213" t="s">
        <v>743</v>
      </c>
      <c r="FK9" s="213">
        <v>0</v>
      </c>
      <c r="FL9" s="213">
        <v>0</v>
      </c>
      <c r="FM9" s="213">
        <v>0</v>
      </c>
      <c r="FN9" s="213" t="s">
        <v>249</v>
      </c>
      <c r="FQ9" s="213" t="s">
        <v>751</v>
      </c>
      <c r="FR9" s="213" t="s">
        <v>743</v>
      </c>
      <c r="FS9" s="213">
        <v>0</v>
      </c>
      <c r="FT9" s="213">
        <v>0</v>
      </c>
      <c r="FU9" s="213">
        <v>0</v>
      </c>
      <c r="FV9" s="213" t="s">
        <v>249</v>
      </c>
      <c r="FY9" s="213">
        <v>22.5</v>
      </c>
      <c r="FZ9" s="213">
        <v>-12.3</v>
      </c>
      <c r="GF9" s="213" t="s">
        <v>752</v>
      </c>
    </row>
    <row r="10" spans="1:188" s="213" customFormat="1" x14ac:dyDescent="0.15">
      <c r="A10" s="213" t="s">
        <v>654</v>
      </c>
      <c r="B10" s="213">
        <v>4</v>
      </c>
      <c r="C10" s="213" t="s">
        <v>767</v>
      </c>
      <c r="D10" s="213">
        <v>614332151</v>
      </c>
      <c r="E10" s="213">
        <v>92303</v>
      </c>
      <c r="F10" s="213" t="s">
        <v>725</v>
      </c>
      <c r="G10" s="213">
        <v>803094</v>
      </c>
      <c r="H10" s="213">
        <v>736909</v>
      </c>
      <c r="I10" s="213">
        <v>6.8</v>
      </c>
      <c r="J10" s="213" t="s">
        <v>768</v>
      </c>
      <c r="K10" s="213" t="s">
        <v>727</v>
      </c>
      <c r="L10" s="213" t="s">
        <v>656</v>
      </c>
      <c r="M10" s="213" t="s">
        <v>728</v>
      </c>
      <c r="N10" s="213" t="s">
        <v>728</v>
      </c>
      <c r="O10" s="213" t="s">
        <v>729</v>
      </c>
      <c r="P10" s="213" t="s">
        <v>710</v>
      </c>
      <c r="Q10" s="213">
        <v>24.4</v>
      </c>
      <c r="R10" s="213">
        <v>146</v>
      </c>
      <c r="S10" s="213" t="s">
        <v>710</v>
      </c>
      <c r="T10" s="213">
        <v>-9999</v>
      </c>
      <c r="U10" s="213">
        <v>199</v>
      </c>
      <c r="V10" s="213">
        <v>435</v>
      </c>
      <c r="W10" s="213">
        <v>190</v>
      </c>
      <c r="X10" s="213" t="s">
        <v>710</v>
      </c>
      <c r="Y10" s="213">
        <v>0</v>
      </c>
      <c r="Z10" s="213">
        <v>40</v>
      </c>
      <c r="AA10" s="213" t="s">
        <v>730</v>
      </c>
      <c r="AB10" s="213" t="s">
        <v>731</v>
      </c>
      <c r="AC10" s="213" t="s">
        <v>729</v>
      </c>
      <c r="AD10" s="213" t="s">
        <v>732</v>
      </c>
      <c r="AE10" s="213">
        <v>0</v>
      </c>
      <c r="AF10" s="213">
        <v>6</v>
      </c>
      <c r="AG10" s="213" t="s">
        <v>249</v>
      </c>
      <c r="AH10" s="213">
        <v>-9999</v>
      </c>
      <c r="AI10" s="213">
        <v>197</v>
      </c>
      <c r="AJ10" s="213">
        <v>470</v>
      </c>
      <c r="AK10" s="213">
        <v>195</v>
      </c>
      <c r="AL10" s="213" t="s">
        <v>710</v>
      </c>
      <c r="AM10" s="213">
        <v>0</v>
      </c>
      <c r="AN10" s="213">
        <v>40</v>
      </c>
      <c r="AO10" s="213" t="s">
        <v>733</v>
      </c>
      <c r="AP10" s="213" t="s">
        <v>734</v>
      </c>
      <c r="AQ10" s="213">
        <v>1</v>
      </c>
      <c r="AR10" s="213" t="s">
        <v>735</v>
      </c>
      <c r="AS10" s="213">
        <v>0</v>
      </c>
      <c r="AT10" s="213">
        <v>3</v>
      </c>
      <c r="AU10" s="213" t="s">
        <v>249</v>
      </c>
      <c r="AV10" s="213">
        <v>-9999</v>
      </c>
      <c r="AW10" s="213">
        <v>269</v>
      </c>
      <c r="AX10" s="213">
        <v>668</v>
      </c>
      <c r="AY10" s="213">
        <v>266</v>
      </c>
      <c r="AZ10" s="213" t="s">
        <v>710</v>
      </c>
      <c r="BA10" s="213">
        <v>0</v>
      </c>
      <c r="BB10" s="213">
        <v>40</v>
      </c>
      <c r="BC10" s="213" t="s">
        <v>736</v>
      </c>
      <c r="BD10" s="213" t="s">
        <v>734</v>
      </c>
      <c r="BE10" s="213">
        <v>2</v>
      </c>
      <c r="BF10" s="213" t="s">
        <v>735</v>
      </c>
      <c r="BG10" s="213">
        <v>0</v>
      </c>
      <c r="BH10" s="213">
        <v>3</v>
      </c>
      <c r="BI10" s="213" t="s">
        <v>249</v>
      </c>
      <c r="BJ10" s="213">
        <v>-9999</v>
      </c>
      <c r="BK10" s="213">
        <v>97</v>
      </c>
      <c r="BL10" s="213">
        <v>306</v>
      </c>
      <c r="BM10" s="213">
        <v>95</v>
      </c>
      <c r="BN10" s="213" t="s">
        <v>710</v>
      </c>
      <c r="BO10" s="213">
        <v>0</v>
      </c>
      <c r="BP10" s="213">
        <v>40</v>
      </c>
      <c r="BQ10" s="213" t="s">
        <v>737</v>
      </c>
      <c r="BR10" s="213" t="s">
        <v>734</v>
      </c>
      <c r="BS10" s="213">
        <v>3</v>
      </c>
      <c r="BT10" s="213" t="s">
        <v>735</v>
      </c>
      <c r="BU10" s="213">
        <v>0</v>
      </c>
      <c r="BV10" s="213">
        <v>5</v>
      </c>
      <c r="BW10" s="213" t="s">
        <v>249</v>
      </c>
      <c r="BX10" s="213">
        <v>-9999</v>
      </c>
      <c r="BY10" s="213">
        <v>161</v>
      </c>
      <c r="BZ10" s="213">
        <v>392</v>
      </c>
      <c r="CA10" s="213">
        <v>162</v>
      </c>
      <c r="CB10" s="213" t="s">
        <v>710</v>
      </c>
      <c r="CC10" s="213">
        <v>0</v>
      </c>
      <c r="CD10" s="213">
        <v>40</v>
      </c>
      <c r="CE10" s="213" t="s">
        <v>738</v>
      </c>
      <c r="CF10" s="213" t="s">
        <v>734</v>
      </c>
      <c r="CG10" s="213">
        <v>4</v>
      </c>
      <c r="CH10" s="213" t="s">
        <v>735</v>
      </c>
      <c r="CI10" s="213">
        <v>0</v>
      </c>
      <c r="CJ10" s="213">
        <v>10</v>
      </c>
      <c r="CK10" s="213" t="s">
        <v>249</v>
      </c>
      <c r="CL10" s="213">
        <v>-9999</v>
      </c>
      <c r="CM10" s="213">
        <v>148</v>
      </c>
      <c r="CN10" s="213">
        <v>379</v>
      </c>
      <c r="CO10" s="213">
        <v>145</v>
      </c>
      <c r="CP10" s="213" t="s">
        <v>710</v>
      </c>
      <c r="CQ10" s="213">
        <v>0</v>
      </c>
      <c r="CR10" s="213">
        <v>40</v>
      </c>
      <c r="CS10" s="213" t="s">
        <v>739</v>
      </c>
      <c r="CT10" s="213" t="s">
        <v>740</v>
      </c>
      <c r="CU10" s="213">
        <v>124</v>
      </c>
      <c r="CV10" s="213">
        <v>124</v>
      </c>
      <c r="CW10" s="213">
        <v>124</v>
      </c>
      <c r="CX10" s="213" t="s">
        <v>710</v>
      </c>
      <c r="CY10" s="213" t="s">
        <v>741</v>
      </c>
      <c r="CZ10" s="213" t="s">
        <v>740</v>
      </c>
      <c r="DA10" s="213">
        <v>110</v>
      </c>
      <c r="DB10" s="213">
        <v>110</v>
      </c>
      <c r="DC10" s="213">
        <v>109</v>
      </c>
      <c r="DD10" s="213" t="s">
        <v>710</v>
      </c>
      <c r="DE10" s="213" t="s">
        <v>742</v>
      </c>
      <c r="DF10" s="213" t="s">
        <v>743</v>
      </c>
      <c r="DG10" s="213">
        <v>0</v>
      </c>
      <c r="DH10" s="213">
        <v>0</v>
      </c>
      <c r="DI10" s="213">
        <v>0</v>
      </c>
      <c r="DJ10" s="213" t="s">
        <v>249</v>
      </c>
      <c r="DM10" s="213" t="s">
        <v>744</v>
      </c>
      <c r="DN10" s="213" t="s">
        <v>743</v>
      </c>
      <c r="DO10" s="213">
        <v>0</v>
      </c>
      <c r="DP10" s="213">
        <v>0</v>
      </c>
      <c r="DQ10" s="213">
        <v>0</v>
      </c>
      <c r="DR10" s="213" t="s">
        <v>249</v>
      </c>
      <c r="DU10" s="213" t="s">
        <v>745</v>
      </c>
      <c r="DV10" s="213" t="s">
        <v>743</v>
      </c>
      <c r="DW10" s="213">
        <v>0</v>
      </c>
      <c r="DX10" s="213">
        <v>0</v>
      </c>
      <c r="DY10" s="213">
        <v>0</v>
      </c>
      <c r="DZ10" s="213" t="s">
        <v>249</v>
      </c>
      <c r="EC10" s="213" t="s">
        <v>746</v>
      </c>
      <c r="ED10" s="213" t="s">
        <v>743</v>
      </c>
      <c r="EE10" s="213">
        <v>0</v>
      </c>
      <c r="EF10" s="213">
        <v>0</v>
      </c>
      <c r="EG10" s="213">
        <v>0</v>
      </c>
      <c r="EH10" s="213" t="s">
        <v>249</v>
      </c>
      <c r="EK10" s="213" t="s">
        <v>747</v>
      </c>
      <c r="EL10" s="213" t="s">
        <v>743</v>
      </c>
      <c r="EM10" s="213">
        <v>0</v>
      </c>
      <c r="EN10" s="213">
        <v>0</v>
      </c>
      <c r="EO10" s="213">
        <v>0</v>
      </c>
      <c r="EP10" s="213" t="s">
        <v>249</v>
      </c>
      <c r="ES10" s="213" t="s">
        <v>748</v>
      </c>
      <c r="ET10" s="213" t="s">
        <v>743</v>
      </c>
      <c r="EU10" s="213">
        <v>0</v>
      </c>
      <c r="EV10" s="213">
        <v>0</v>
      </c>
      <c r="EW10" s="213">
        <v>0</v>
      </c>
      <c r="EX10" s="213" t="s">
        <v>249</v>
      </c>
      <c r="FA10" s="213" t="s">
        <v>749</v>
      </c>
      <c r="FB10" s="213" t="s">
        <v>743</v>
      </c>
      <c r="FC10" s="213">
        <v>0</v>
      </c>
      <c r="FD10" s="213">
        <v>0</v>
      </c>
      <c r="FE10" s="213">
        <v>0</v>
      </c>
      <c r="FF10" s="213" t="s">
        <v>249</v>
      </c>
      <c r="FI10" s="213" t="s">
        <v>750</v>
      </c>
      <c r="FJ10" s="213" t="s">
        <v>743</v>
      </c>
      <c r="FK10" s="213">
        <v>0</v>
      </c>
      <c r="FL10" s="213">
        <v>0</v>
      </c>
      <c r="FM10" s="213">
        <v>0</v>
      </c>
      <c r="FN10" s="213" t="s">
        <v>249</v>
      </c>
      <c r="FQ10" s="213" t="s">
        <v>751</v>
      </c>
      <c r="FR10" s="213" t="s">
        <v>743</v>
      </c>
      <c r="FS10" s="213">
        <v>0</v>
      </c>
      <c r="FT10" s="213">
        <v>0</v>
      </c>
      <c r="FU10" s="213">
        <v>0</v>
      </c>
      <c r="FV10" s="213" t="s">
        <v>249</v>
      </c>
      <c r="FY10" s="213">
        <v>18.3</v>
      </c>
      <c r="FZ10" s="213">
        <v>-6.9</v>
      </c>
      <c r="GF10" s="213" t="s">
        <v>752</v>
      </c>
    </row>
    <row r="11" spans="1:188" s="213" customFormat="1" x14ac:dyDescent="0.15">
      <c r="A11" s="213" t="s">
        <v>654</v>
      </c>
      <c r="B11" s="213">
        <v>4</v>
      </c>
      <c r="C11" s="213" t="s">
        <v>769</v>
      </c>
      <c r="D11" s="213">
        <v>614332135</v>
      </c>
      <c r="E11" s="213">
        <v>92303</v>
      </c>
      <c r="F11" s="213" t="s">
        <v>725</v>
      </c>
      <c r="G11" s="213">
        <v>803094</v>
      </c>
      <c r="H11" s="213">
        <v>914633</v>
      </c>
      <c r="I11" s="213">
        <v>6.8</v>
      </c>
      <c r="J11" s="213" t="s">
        <v>770</v>
      </c>
      <c r="K11" s="213" t="s">
        <v>727</v>
      </c>
      <c r="L11" s="213" t="s">
        <v>656</v>
      </c>
      <c r="M11" s="213" t="s">
        <v>728</v>
      </c>
      <c r="N11" s="213" t="s">
        <v>728</v>
      </c>
      <c r="O11" s="213" t="s">
        <v>729</v>
      </c>
      <c r="P11" s="213" t="s">
        <v>710</v>
      </c>
      <c r="Q11" s="213">
        <v>25</v>
      </c>
      <c r="R11" s="213">
        <v>152</v>
      </c>
      <c r="S11" s="213" t="s">
        <v>710</v>
      </c>
      <c r="T11" s="213">
        <v>-9999</v>
      </c>
      <c r="U11" s="213">
        <v>218</v>
      </c>
      <c r="V11" s="213">
        <v>471</v>
      </c>
      <c r="W11" s="213">
        <v>212</v>
      </c>
      <c r="X11" s="213" t="s">
        <v>710</v>
      </c>
      <c r="Y11" s="213">
        <v>0</v>
      </c>
      <c r="Z11" s="213">
        <v>40</v>
      </c>
      <c r="AA11" s="213" t="s">
        <v>730</v>
      </c>
      <c r="AB11" s="213" t="s">
        <v>731</v>
      </c>
      <c r="AC11" s="213" t="s">
        <v>729</v>
      </c>
      <c r="AD11" s="213" t="s">
        <v>732</v>
      </c>
      <c r="AE11" s="213">
        <v>0</v>
      </c>
      <c r="AF11" s="213">
        <v>9</v>
      </c>
      <c r="AG11" s="213" t="s">
        <v>249</v>
      </c>
      <c r="AH11" s="213">
        <v>-9999</v>
      </c>
      <c r="AI11" s="213">
        <v>223</v>
      </c>
      <c r="AJ11" s="213">
        <v>530</v>
      </c>
      <c r="AK11" s="213">
        <v>220</v>
      </c>
      <c r="AL11" s="213" t="s">
        <v>710</v>
      </c>
      <c r="AM11" s="213">
        <v>0</v>
      </c>
      <c r="AN11" s="213">
        <v>40</v>
      </c>
      <c r="AO11" s="213" t="s">
        <v>733</v>
      </c>
      <c r="AP11" s="213" t="s">
        <v>734</v>
      </c>
      <c r="AQ11" s="213">
        <v>1</v>
      </c>
      <c r="AR11" s="213" t="s">
        <v>735</v>
      </c>
      <c r="AS11" s="213">
        <v>0</v>
      </c>
      <c r="AT11" s="213">
        <v>13</v>
      </c>
      <c r="AU11" s="213" t="s">
        <v>249</v>
      </c>
      <c r="AV11" s="213">
        <v>-9999</v>
      </c>
      <c r="AW11" s="213">
        <v>285</v>
      </c>
      <c r="AX11" s="213">
        <v>708</v>
      </c>
      <c r="AY11" s="213">
        <v>282</v>
      </c>
      <c r="AZ11" s="213" t="s">
        <v>710</v>
      </c>
      <c r="BA11" s="213">
        <v>0</v>
      </c>
      <c r="BB11" s="213">
        <v>40</v>
      </c>
      <c r="BC11" s="213" t="s">
        <v>736</v>
      </c>
      <c r="BD11" s="213" t="s">
        <v>734</v>
      </c>
      <c r="BE11" s="213">
        <v>2</v>
      </c>
      <c r="BF11" s="213" t="s">
        <v>735</v>
      </c>
      <c r="BG11" s="213">
        <v>0</v>
      </c>
      <c r="BH11" s="213">
        <v>7</v>
      </c>
      <c r="BI11" s="213" t="s">
        <v>249</v>
      </c>
      <c r="BJ11" s="213">
        <v>-9999</v>
      </c>
      <c r="BK11" s="213">
        <v>110</v>
      </c>
      <c r="BL11" s="213">
        <v>342</v>
      </c>
      <c r="BM11" s="213">
        <v>108</v>
      </c>
      <c r="BN11" s="213" t="s">
        <v>710</v>
      </c>
      <c r="BO11" s="213">
        <v>0</v>
      </c>
      <c r="BP11" s="213">
        <v>40</v>
      </c>
      <c r="BQ11" s="213" t="s">
        <v>737</v>
      </c>
      <c r="BR11" s="213" t="s">
        <v>734</v>
      </c>
      <c r="BS11" s="213">
        <v>3</v>
      </c>
      <c r="BT11" s="213" t="s">
        <v>735</v>
      </c>
      <c r="BU11" s="213">
        <v>0</v>
      </c>
      <c r="BV11" s="213">
        <v>7</v>
      </c>
      <c r="BW11" s="213" t="s">
        <v>249</v>
      </c>
      <c r="BX11" s="213">
        <v>-9999</v>
      </c>
      <c r="BY11" s="213">
        <v>183</v>
      </c>
      <c r="BZ11" s="213">
        <v>434</v>
      </c>
      <c r="CA11" s="213">
        <v>182</v>
      </c>
      <c r="CB11" s="213" t="s">
        <v>710</v>
      </c>
      <c r="CC11" s="213">
        <v>0</v>
      </c>
      <c r="CD11" s="213">
        <v>40</v>
      </c>
      <c r="CE11" s="213" t="s">
        <v>738</v>
      </c>
      <c r="CF11" s="213" t="s">
        <v>734</v>
      </c>
      <c r="CG11" s="213">
        <v>4</v>
      </c>
      <c r="CH11" s="213" t="s">
        <v>735</v>
      </c>
      <c r="CI11" s="213">
        <v>0</v>
      </c>
      <c r="CJ11" s="213">
        <v>8</v>
      </c>
      <c r="CK11" s="213" t="s">
        <v>249</v>
      </c>
      <c r="CL11" s="213">
        <v>-9999</v>
      </c>
      <c r="CM11" s="213">
        <v>149</v>
      </c>
      <c r="CN11" s="213">
        <v>386</v>
      </c>
      <c r="CO11" s="213">
        <v>146</v>
      </c>
      <c r="CP11" s="213" t="s">
        <v>710</v>
      </c>
      <c r="CQ11" s="213">
        <v>0</v>
      </c>
      <c r="CR11" s="213">
        <v>40</v>
      </c>
      <c r="CS11" s="213" t="s">
        <v>739</v>
      </c>
      <c r="CT11" s="213" t="s">
        <v>740</v>
      </c>
      <c r="CU11" s="213">
        <v>120</v>
      </c>
      <c r="CV11" s="213">
        <v>120</v>
      </c>
      <c r="CW11" s="213">
        <v>119</v>
      </c>
      <c r="CX11" s="213" t="s">
        <v>710</v>
      </c>
      <c r="CY11" s="213" t="s">
        <v>741</v>
      </c>
      <c r="CZ11" s="213" t="s">
        <v>740</v>
      </c>
      <c r="DA11" s="213">
        <v>116</v>
      </c>
      <c r="DB11" s="213">
        <v>116</v>
      </c>
      <c r="DC11" s="213">
        <v>116</v>
      </c>
      <c r="DD11" s="213" t="s">
        <v>710</v>
      </c>
      <c r="DE11" s="213" t="s">
        <v>742</v>
      </c>
      <c r="DF11" s="213" t="s">
        <v>743</v>
      </c>
      <c r="DG11" s="213">
        <v>0</v>
      </c>
      <c r="DH11" s="213">
        <v>0</v>
      </c>
      <c r="DI11" s="213">
        <v>0</v>
      </c>
      <c r="DJ11" s="213" t="s">
        <v>249</v>
      </c>
      <c r="DM11" s="213" t="s">
        <v>744</v>
      </c>
      <c r="DN11" s="213" t="s">
        <v>743</v>
      </c>
      <c r="DO11" s="213">
        <v>0</v>
      </c>
      <c r="DP11" s="213">
        <v>0</v>
      </c>
      <c r="DQ11" s="213">
        <v>0</v>
      </c>
      <c r="DR11" s="213" t="s">
        <v>249</v>
      </c>
      <c r="DU11" s="213" t="s">
        <v>745</v>
      </c>
      <c r="DV11" s="213" t="s">
        <v>743</v>
      </c>
      <c r="DW11" s="213">
        <v>0</v>
      </c>
      <c r="DX11" s="213">
        <v>0</v>
      </c>
      <c r="DY11" s="213">
        <v>0</v>
      </c>
      <c r="DZ11" s="213" t="s">
        <v>249</v>
      </c>
      <c r="EC11" s="213" t="s">
        <v>746</v>
      </c>
      <c r="ED11" s="213" t="s">
        <v>743</v>
      </c>
      <c r="EE11" s="213">
        <v>0</v>
      </c>
      <c r="EF11" s="213">
        <v>0</v>
      </c>
      <c r="EG11" s="213">
        <v>0</v>
      </c>
      <c r="EH11" s="213" t="s">
        <v>249</v>
      </c>
      <c r="EK11" s="213" t="s">
        <v>747</v>
      </c>
      <c r="EL11" s="213" t="s">
        <v>743</v>
      </c>
      <c r="EM11" s="213">
        <v>0</v>
      </c>
      <c r="EN11" s="213">
        <v>0</v>
      </c>
      <c r="EO11" s="213">
        <v>0</v>
      </c>
      <c r="EP11" s="213" t="s">
        <v>249</v>
      </c>
      <c r="ES11" s="213" t="s">
        <v>748</v>
      </c>
      <c r="ET11" s="213" t="s">
        <v>743</v>
      </c>
      <c r="EU11" s="213">
        <v>0</v>
      </c>
      <c r="EV11" s="213">
        <v>0</v>
      </c>
      <c r="EW11" s="213">
        <v>0</v>
      </c>
      <c r="EX11" s="213" t="s">
        <v>249</v>
      </c>
      <c r="FA11" s="213" t="s">
        <v>749</v>
      </c>
      <c r="FB11" s="213" t="s">
        <v>743</v>
      </c>
      <c r="FC11" s="213">
        <v>0</v>
      </c>
      <c r="FD11" s="213">
        <v>0</v>
      </c>
      <c r="FE11" s="213">
        <v>0</v>
      </c>
      <c r="FF11" s="213" t="s">
        <v>249</v>
      </c>
      <c r="FI11" s="213" t="s">
        <v>750</v>
      </c>
      <c r="FJ11" s="213" t="s">
        <v>743</v>
      </c>
      <c r="FK11" s="213">
        <v>0</v>
      </c>
      <c r="FL11" s="213">
        <v>0</v>
      </c>
      <c r="FM11" s="213">
        <v>0</v>
      </c>
      <c r="FN11" s="213" t="s">
        <v>249</v>
      </c>
      <c r="FQ11" s="213" t="s">
        <v>751</v>
      </c>
      <c r="FR11" s="213" t="s">
        <v>743</v>
      </c>
      <c r="FS11" s="213">
        <v>0</v>
      </c>
      <c r="FT11" s="213">
        <v>0</v>
      </c>
      <c r="FU11" s="213">
        <v>0</v>
      </c>
      <c r="FV11" s="213" t="s">
        <v>249</v>
      </c>
      <c r="FY11" s="213">
        <v>18.600000000000001</v>
      </c>
      <c r="FZ11" s="213">
        <v>-8.6</v>
      </c>
      <c r="GF11" s="213" t="s">
        <v>752</v>
      </c>
    </row>
    <row r="12" spans="1:188" x14ac:dyDescent="0.15">
      <c r="D12" s="39"/>
      <c r="J12" s="161"/>
    </row>
    <row r="13" spans="1:188" x14ac:dyDescent="0.15">
      <c r="J13" s="161"/>
    </row>
    <row r="14" spans="1:188" x14ac:dyDescent="0.15">
      <c r="J14" s="161"/>
    </row>
    <row r="15" spans="1:188" x14ac:dyDescent="0.15">
      <c r="A15" s="190"/>
      <c r="B15" s="190"/>
      <c r="C15" s="190"/>
      <c r="D15" s="190"/>
      <c r="E15" s="190"/>
      <c r="F15" s="190"/>
      <c r="G15" s="190"/>
      <c r="H15" s="190"/>
      <c r="I15" s="190"/>
      <c r="J15" s="191"/>
      <c r="K15" s="190"/>
      <c r="L15" s="190"/>
      <c r="M15" s="190"/>
      <c r="N15" s="190"/>
      <c r="O15" s="190"/>
      <c r="P15" s="190"/>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c r="BO15" s="190"/>
      <c r="BP15" s="190"/>
      <c r="BQ15" s="190"/>
      <c r="BR15" s="190"/>
      <c r="BS15" s="190"/>
      <c r="BT15" s="190"/>
      <c r="BU15" s="190"/>
      <c r="BV15" s="190"/>
      <c r="BW15" s="190"/>
      <c r="BX15" s="190"/>
      <c r="BY15" s="190"/>
      <c r="BZ15" s="190"/>
      <c r="CA15" s="190"/>
      <c r="CB15" s="190"/>
      <c r="CC15" s="190"/>
      <c r="CD15" s="190"/>
      <c r="CE15" s="190"/>
      <c r="CF15" s="190"/>
      <c r="CG15" s="190"/>
      <c r="CH15" s="190"/>
      <c r="CI15" s="190"/>
      <c r="CJ15" s="190"/>
      <c r="CK15" s="190"/>
      <c r="CL15" s="190"/>
    </row>
    <row r="16" spans="1:188" x14ac:dyDescent="0.15">
      <c r="A16" s="190"/>
      <c r="B16" s="190"/>
      <c r="C16" s="190"/>
      <c r="D16" s="190"/>
      <c r="E16" s="190"/>
      <c r="F16" s="190"/>
      <c r="G16" s="190"/>
      <c r="H16" s="190"/>
      <c r="I16" s="190"/>
      <c r="J16" s="191"/>
      <c r="K16" s="190"/>
      <c r="L16" s="190"/>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0"/>
      <c r="BT16" s="190"/>
      <c r="BU16" s="190"/>
      <c r="BV16" s="190"/>
      <c r="BW16" s="190"/>
      <c r="BX16" s="190"/>
      <c r="BY16" s="190"/>
      <c r="BZ16" s="190"/>
      <c r="CA16" s="190"/>
      <c r="CB16" s="190"/>
      <c r="CC16" s="190"/>
      <c r="CD16" s="190"/>
      <c r="CE16" s="190"/>
      <c r="CF16" s="190"/>
      <c r="CG16" s="190"/>
      <c r="CH16" s="190"/>
      <c r="CI16" s="190"/>
      <c r="CJ16" s="190"/>
      <c r="CK16" s="190"/>
      <c r="CL16" s="190"/>
    </row>
    <row r="17" spans="1:90" x14ac:dyDescent="0.15">
      <c r="A17" s="190"/>
      <c r="B17" s="190"/>
      <c r="C17" s="190"/>
      <c r="D17" s="190"/>
      <c r="E17" s="190"/>
      <c r="F17" s="190"/>
      <c r="G17" s="190"/>
      <c r="H17" s="190"/>
      <c r="I17" s="190"/>
      <c r="J17" s="191"/>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c r="BO17" s="190"/>
      <c r="BP17" s="190"/>
      <c r="BQ17" s="190"/>
      <c r="BR17" s="190"/>
      <c r="BS17" s="190"/>
      <c r="BT17" s="190"/>
      <c r="BU17" s="190"/>
      <c r="BV17" s="190"/>
      <c r="BW17" s="190"/>
      <c r="BX17" s="190"/>
      <c r="BY17" s="190"/>
      <c r="BZ17" s="190"/>
      <c r="CA17" s="190"/>
      <c r="CB17" s="190"/>
      <c r="CC17" s="190"/>
      <c r="CD17" s="190"/>
      <c r="CE17" s="190"/>
      <c r="CF17" s="190"/>
      <c r="CG17" s="190"/>
      <c r="CH17" s="190"/>
      <c r="CI17" s="190"/>
      <c r="CJ17" s="190"/>
      <c r="CK17" s="190"/>
      <c r="CL17" s="190"/>
    </row>
    <row r="18" spans="1:90" x14ac:dyDescent="0.15">
      <c r="A18" s="190"/>
      <c r="B18" s="190"/>
      <c r="C18" s="190"/>
      <c r="D18" s="190"/>
      <c r="E18" s="190"/>
      <c r="F18" s="190"/>
      <c r="G18" s="190"/>
      <c r="H18" s="190"/>
      <c r="I18" s="190"/>
      <c r="J18" s="191"/>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90"/>
      <c r="BT18" s="190"/>
      <c r="BU18" s="190"/>
      <c r="BV18" s="190"/>
      <c r="BW18" s="190"/>
      <c r="BX18" s="190"/>
      <c r="BY18" s="190"/>
      <c r="BZ18" s="190"/>
      <c r="CA18" s="190"/>
      <c r="CB18" s="190"/>
      <c r="CC18" s="190"/>
      <c r="CD18" s="190"/>
      <c r="CE18" s="190"/>
      <c r="CF18" s="190"/>
      <c r="CG18" s="190"/>
      <c r="CH18" s="190"/>
      <c r="CI18" s="190"/>
      <c r="CJ18" s="190"/>
      <c r="CK18" s="190"/>
      <c r="CL18" s="190"/>
    </row>
    <row r="19" spans="1:90" x14ac:dyDescent="0.15">
      <c r="A19" s="190"/>
      <c r="B19" s="190"/>
      <c r="C19" s="190"/>
      <c r="D19" s="190"/>
      <c r="E19" s="190"/>
      <c r="F19" s="190"/>
      <c r="G19" s="190"/>
      <c r="H19" s="190"/>
      <c r="I19" s="190"/>
      <c r="J19" s="191"/>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0"/>
      <c r="BK19" s="190"/>
      <c r="BL19" s="190"/>
      <c r="BM19" s="190"/>
      <c r="BN19" s="190"/>
      <c r="BO19" s="190"/>
      <c r="BP19" s="190"/>
      <c r="BQ19" s="190"/>
      <c r="BR19" s="190"/>
      <c r="BS19" s="190"/>
      <c r="BT19" s="190"/>
      <c r="BU19" s="190"/>
      <c r="BV19" s="190"/>
      <c r="BW19" s="190"/>
      <c r="BX19" s="190"/>
      <c r="BY19" s="190"/>
      <c r="BZ19" s="190"/>
      <c r="CA19" s="190"/>
      <c r="CB19" s="190"/>
      <c r="CC19" s="190"/>
      <c r="CD19" s="190"/>
      <c r="CE19" s="190"/>
      <c r="CF19" s="190"/>
      <c r="CG19" s="190"/>
      <c r="CH19" s="190"/>
      <c r="CI19" s="190"/>
      <c r="CJ19" s="190"/>
      <c r="CK19" s="190"/>
      <c r="CL19" s="190"/>
    </row>
    <row r="20" spans="1:90" x14ac:dyDescent="0.15">
      <c r="A20" s="190"/>
      <c r="B20" s="190"/>
      <c r="C20" s="190"/>
      <c r="D20" s="190"/>
      <c r="E20" s="190"/>
      <c r="F20" s="190"/>
      <c r="G20" s="190"/>
      <c r="H20" s="190"/>
      <c r="I20" s="190"/>
      <c r="J20" s="191"/>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90"/>
      <c r="CA20" s="190"/>
      <c r="CB20" s="190"/>
      <c r="CC20" s="190"/>
      <c r="CD20" s="190"/>
      <c r="CE20" s="190"/>
      <c r="CF20" s="190"/>
      <c r="CG20" s="190"/>
      <c r="CH20" s="190"/>
      <c r="CI20" s="190"/>
      <c r="CJ20" s="190"/>
      <c r="CK20" s="190"/>
      <c r="CL20" s="190"/>
    </row>
  </sheetData>
  <phoneticPr fontId="4" type="noConversion"/>
  <pageMargins left="0.51181102362204722" right="0.51181102362204722" top="0.98425196850393704" bottom="0.98425196850393704" header="0.23622047244094491" footer="0.23622047244094491"/>
  <pageSetup scale="27" orientation="landscape" r:id="rId1"/>
  <headerFooter alignWithMargins="0">
    <oddHeader>&amp;LPart No.: 700-5700
Batch No(s).: 1001506040
Cartridge No. (LSP): 92300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F203"/>
  <sheetViews>
    <sheetView zoomScaleNormal="100" workbookViewId="0">
      <selection activeCell="E32" sqref="E32"/>
    </sheetView>
  </sheetViews>
  <sheetFormatPr baseColWidth="10" defaultColWidth="9.5" defaultRowHeight="13" x14ac:dyDescent="0.15"/>
  <cols>
    <col min="1" max="1" width="23.6640625" style="59" bestFit="1" customWidth="1"/>
    <col min="2" max="2" width="13.5" style="59" bestFit="1" customWidth="1"/>
    <col min="3" max="3" width="15.5" style="59" bestFit="1" customWidth="1"/>
    <col min="4" max="4" width="12.33203125" style="59" bestFit="1" customWidth="1"/>
    <col min="5" max="5" width="13.6640625" style="59" bestFit="1" customWidth="1"/>
    <col min="6" max="6" width="16.1640625" style="59" bestFit="1" customWidth="1"/>
    <col min="7" max="7" width="13.6640625" style="59" bestFit="1" customWidth="1"/>
    <col min="8" max="8" width="10.83203125" style="59" bestFit="1" customWidth="1"/>
    <col min="9" max="9" width="11.6640625" style="59" bestFit="1" customWidth="1"/>
    <col min="10" max="10" width="14.5" style="59" bestFit="1" customWidth="1"/>
    <col min="11" max="11" width="6.5" style="59" bestFit="1" customWidth="1"/>
    <col min="12" max="12" width="19.6640625" style="59" bestFit="1" customWidth="1"/>
    <col min="13" max="13" width="12.6640625" style="59" bestFit="1" customWidth="1"/>
    <col min="14" max="14" width="6.33203125" style="59" bestFit="1" customWidth="1"/>
    <col min="15" max="15" width="7.6640625" style="59" bestFit="1" customWidth="1"/>
    <col min="16" max="16" width="13.33203125" style="59" bestFit="1" customWidth="1"/>
    <col min="17" max="17" width="5.1640625" style="59" bestFit="1" customWidth="1"/>
    <col min="18" max="18" width="6.33203125" style="59" bestFit="1" customWidth="1"/>
    <col min="19" max="19" width="8.33203125" style="59" bestFit="1" customWidth="1"/>
    <col min="20" max="20" width="13.6640625" style="59" bestFit="1" customWidth="1"/>
    <col min="21" max="23" width="9.5" style="59" bestFit="1" customWidth="1"/>
    <col min="24" max="24" width="17.83203125" style="59" bestFit="1" customWidth="1"/>
    <col min="25" max="25" width="19.6640625" style="59" bestFit="1" customWidth="1"/>
    <col min="26" max="26" width="6.83203125" style="59" bestFit="1" customWidth="1"/>
    <col min="27" max="27" width="13.1640625" style="59" bestFit="1" customWidth="1"/>
    <col min="28" max="28" width="6.33203125" style="59" bestFit="1" customWidth="1"/>
    <col min="29" max="29" width="7.6640625" style="59" bestFit="1" customWidth="1"/>
    <col min="30" max="30" width="13.33203125" style="59" bestFit="1" customWidth="1"/>
    <col min="31" max="31" width="3.1640625" style="59" bestFit="1" customWidth="1"/>
    <col min="32" max="32" width="6.33203125" style="59" bestFit="1" customWidth="1"/>
    <col min="33" max="33" width="8.33203125" style="59" bestFit="1" customWidth="1"/>
    <col min="34" max="34" width="13.6640625" style="59" bestFit="1" customWidth="1"/>
    <col min="35" max="37" width="9.5" style="59" bestFit="1" customWidth="1"/>
    <col min="38" max="38" width="17.83203125" style="59" bestFit="1" customWidth="1"/>
    <col min="39" max="39" width="19.6640625" style="59" bestFit="1" customWidth="1"/>
    <col min="40" max="40" width="6.83203125" style="59" bestFit="1" customWidth="1"/>
    <col min="41" max="41" width="12.6640625" style="59" bestFit="1" customWidth="1"/>
    <col min="42" max="42" width="6.33203125" style="59" bestFit="1" customWidth="1"/>
    <col min="43" max="43" width="7.83203125" style="59" bestFit="1" customWidth="1"/>
    <col min="44" max="44" width="13.33203125" style="59" bestFit="1" customWidth="1"/>
    <col min="45" max="45" width="3" style="59" bestFit="1" customWidth="1"/>
    <col min="46" max="46" width="6.33203125" style="59" bestFit="1" customWidth="1"/>
    <col min="47" max="47" width="8.33203125" style="59" bestFit="1" customWidth="1"/>
    <col min="48" max="48" width="13.6640625" style="59" bestFit="1" customWidth="1"/>
    <col min="49" max="51" width="9.5" style="59" bestFit="1" customWidth="1"/>
    <col min="52" max="52" width="17.83203125" style="59" bestFit="1" customWidth="1"/>
    <col min="53" max="53" width="19.6640625" style="59" bestFit="1" customWidth="1"/>
    <col min="54" max="54" width="6.83203125" style="59" bestFit="1" customWidth="1"/>
    <col min="55" max="55" width="12.6640625" style="59" bestFit="1" customWidth="1"/>
    <col min="56" max="56" width="6.33203125" style="59" bestFit="1" customWidth="1"/>
    <col min="57" max="57" width="7.83203125" style="59" bestFit="1" customWidth="1"/>
    <col min="58" max="58" width="13.33203125" style="59" bestFit="1" customWidth="1"/>
    <col min="59" max="59" width="3" style="59" bestFit="1" customWidth="1"/>
    <col min="60" max="60" width="6.33203125" style="59" bestFit="1" customWidth="1"/>
    <col min="61" max="61" width="8.33203125" style="59" bestFit="1" customWidth="1"/>
    <col min="62" max="62" width="13.6640625" style="59" bestFit="1" customWidth="1"/>
    <col min="63" max="65" width="9.5" style="59" bestFit="1" customWidth="1"/>
    <col min="66" max="66" width="17.83203125" style="59" bestFit="1" customWidth="1"/>
    <col min="67" max="67" width="19.6640625" style="59" bestFit="1" customWidth="1"/>
    <col min="68" max="68" width="6.83203125" style="59" bestFit="1" customWidth="1"/>
    <col min="69" max="69" width="12.6640625" style="59" bestFit="1" customWidth="1"/>
    <col min="70" max="70" width="6.33203125" style="59" bestFit="1" customWidth="1"/>
    <col min="71" max="71" width="7.83203125" style="59" bestFit="1" customWidth="1"/>
    <col min="72" max="72" width="13.33203125" style="59" bestFit="1" customWidth="1"/>
    <col min="73" max="73" width="3" style="59" bestFit="1" customWidth="1"/>
    <col min="74" max="74" width="6.33203125" style="59" bestFit="1" customWidth="1"/>
    <col min="75" max="75" width="8.33203125" style="59" bestFit="1" customWidth="1"/>
    <col min="76" max="76" width="13.6640625" style="59" bestFit="1" customWidth="1"/>
    <col min="77" max="79" width="9.5" style="59" bestFit="1" customWidth="1"/>
    <col min="80" max="80" width="17.83203125" style="59" bestFit="1" customWidth="1"/>
    <col min="81" max="81" width="19.6640625" style="59" bestFit="1" customWidth="1"/>
    <col min="82" max="82" width="6.83203125" style="59" bestFit="1" customWidth="1"/>
    <col min="83" max="83" width="12.6640625" style="59" bestFit="1" customWidth="1"/>
    <col min="84" max="84" width="6.33203125" style="59" bestFit="1" customWidth="1"/>
    <col min="85" max="85" width="7.83203125" style="59" bestFit="1" customWidth="1"/>
    <col min="86" max="86" width="13.33203125" style="59" bestFit="1" customWidth="1"/>
    <col min="87" max="87" width="3" style="59" bestFit="1" customWidth="1"/>
    <col min="88" max="88" width="6.33203125" style="59" bestFit="1" customWidth="1"/>
    <col min="89" max="89" width="8.33203125" style="59" bestFit="1" customWidth="1"/>
    <col min="90" max="90" width="13.6640625" style="59" bestFit="1" customWidth="1"/>
    <col min="91" max="93" width="9.5" style="59" bestFit="1" customWidth="1"/>
    <col min="94" max="94" width="17.83203125" style="59" bestFit="1" customWidth="1"/>
    <col min="95" max="95" width="19.6640625" style="59" bestFit="1" customWidth="1"/>
    <col min="96" max="96" width="6.83203125" style="59" bestFit="1" customWidth="1"/>
    <col min="97" max="97" width="12.6640625" style="59" bestFit="1" customWidth="1"/>
    <col min="98" max="98" width="6.33203125" style="59" bestFit="1" customWidth="1"/>
    <col min="99" max="101" width="9.5" style="59" bestFit="1" customWidth="1"/>
    <col min="102" max="102" width="17.83203125" style="59" bestFit="1" customWidth="1"/>
    <col min="103" max="103" width="12.6640625" style="59" bestFit="1" customWidth="1"/>
    <col min="104" max="104" width="6.33203125" style="59" bestFit="1" customWidth="1"/>
    <col min="105" max="107" width="9.5" style="59" bestFit="1" customWidth="1"/>
    <col min="108" max="108" width="17.83203125" style="59" bestFit="1" customWidth="1"/>
    <col min="109" max="109" width="12.6640625" style="59" bestFit="1" customWidth="1"/>
    <col min="110" max="110" width="10.33203125" style="59" bestFit="1" customWidth="1"/>
    <col min="111" max="113" width="9.5" style="59" bestFit="1" customWidth="1"/>
    <col min="114" max="114" width="17.83203125" style="59" bestFit="1" customWidth="1"/>
    <col min="115" max="115" width="20.5" style="59" bestFit="1" customWidth="1"/>
    <col min="116" max="116" width="15.5" style="59" bestFit="1" customWidth="1"/>
    <col min="117" max="117" width="12.6640625" style="59" bestFit="1" customWidth="1"/>
    <col min="118" max="118" width="10.33203125" style="59" bestFit="1" customWidth="1"/>
    <col min="119" max="121" width="9.5" style="59" bestFit="1" customWidth="1"/>
    <col min="122" max="122" width="17.83203125" style="59" bestFit="1" customWidth="1"/>
    <col min="123" max="123" width="20.5" style="59" bestFit="1" customWidth="1"/>
    <col min="124" max="124" width="15.5" style="59" bestFit="1" customWidth="1"/>
    <col min="125" max="125" width="12.6640625" style="59" bestFit="1" customWidth="1"/>
    <col min="126" max="126" width="10.33203125" style="59" bestFit="1" customWidth="1"/>
    <col min="127" max="129" width="9.5" style="59" bestFit="1" customWidth="1"/>
    <col min="130" max="130" width="17.83203125" style="59" bestFit="1" customWidth="1"/>
    <col min="131" max="131" width="20.5" style="59" bestFit="1" customWidth="1"/>
    <col min="132" max="132" width="15.5" style="59" bestFit="1" customWidth="1"/>
    <col min="133" max="133" width="12.6640625" style="59" bestFit="1" customWidth="1"/>
    <col min="134" max="134" width="10.33203125" style="59" bestFit="1" customWidth="1"/>
    <col min="135" max="137" width="9.5" style="59" bestFit="1" customWidth="1"/>
    <col min="138" max="138" width="17.83203125" style="59" bestFit="1" customWidth="1"/>
    <col min="139" max="139" width="20.5" style="59" bestFit="1" customWidth="1"/>
    <col min="140" max="140" width="15.5" style="59" bestFit="1" customWidth="1"/>
    <col min="141" max="141" width="13.83203125" style="59" bestFit="1" customWidth="1"/>
    <col min="142" max="142" width="10.33203125" style="59" bestFit="1" customWidth="1"/>
    <col min="143" max="145" width="9.5" style="59" bestFit="1" customWidth="1"/>
    <col min="146" max="146" width="17.83203125" style="59" bestFit="1" customWidth="1"/>
    <col min="147" max="147" width="20.5" style="59" bestFit="1" customWidth="1"/>
    <col min="148" max="148" width="15.5" style="59" bestFit="1" customWidth="1"/>
    <col min="149" max="149" width="13.83203125" style="59" bestFit="1" customWidth="1"/>
    <col min="150" max="150" width="10.33203125" style="59" bestFit="1" customWidth="1"/>
    <col min="151" max="153" width="9.5" style="59" bestFit="1" customWidth="1"/>
    <col min="154" max="154" width="17.83203125" style="59" bestFit="1" customWidth="1"/>
    <col min="155" max="155" width="20.5" style="59" bestFit="1" customWidth="1"/>
    <col min="156" max="156" width="15.5" style="59" bestFit="1" customWidth="1"/>
    <col min="157" max="157" width="13.83203125" style="59" bestFit="1" customWidth="1"/>
    <col min="158" max="158" width="10.33203125" style="59" bestFit="1" customWidth="1"/>
    <col min="159" max="161" width="9.5" style="59" bestFit="1" customWidth="1"/>
    <col min="162" max="162" width="17.83203125" style="59" bestFit="1" customWidth="1"/>
    <col min="163" max="163" width="20.5" style="59" bestFit="1" customWidth="1"/>
    <col min="164" max="164" width="15.5" style="59" bestFit="1" customWidth="1"/>
    <col min="165" max="165" width="15.6640625" style="59" bestFit="1" customWidth="1"/>
    <col min="166" max="166" width="10.33203125" style="59" bestFit="1" customWidth="1"/>
    <col min="167" max="169" width="9.5" style="59" bestFit="1" customWidth="1"/>
    <col min="170" max="170" width="17.83203125" style="59" bestFit="1" customWidth="1"/>
    <col min="171" max="171" width="20.5" style="59" bestFit="1" customWidth="1"/>
    <col min="172" max="172" width="15.5" style="59" bestFit="1" customWidth="1"/>
    <col min="173" max="173" width="15.6640625" style="59" bestFit="1" customWidth="1"/>
    <col min="174" max="174" width="10.33203125" style="59" bestFit="1" customWidth="1"/>
    <col min="175" max="177" width="9.5" style="59" bestFit="1" customWidth="1"/>
    <col min="178" max="178" width="17.83203125" style="59" bestFit="1" customWidth="1"/>
    <col min="179" max="179" width="20.5" style="59" bestFit="1" customWidth="1"/>
    <col min="180" max="180" width="15.5" style="59" bestFit="1" customWidth="1"/>
    <col min="181" max="181" width="17.6640625" style="59" bestFit="1" customWidth="1"/>
    <col min="182" max="182" width="17" style="59" bestFit="1" customWidth="1"/>
    <col min="183" max="183" width="5" style="59" bestFit="1" customWidth="1"/>
    <col min="184" max="184" width="9.1640625" style="59" bestFit="1" customWidth="1"/>
    <col min="185" max="185" width="16.1640625" style="59" bestFit="1" customWidth="1"/>
    <col min="186" max="186" width="14.6640625" style="59" bestFit="1" customWidth="1"/>
    <col min="187" max="187" width="16" style="59" bestFit="1" customWidth="1"/>
    <col min="188" max="188" width="20.83203125" style="59" bestFit="1" customWidth="1"/>
    <col min="189" max="189" width="9.5" style="59" customWidth="1"/>
    <col min="190" max="16384" width="9.5" style="59"/>
  </cols>
  <sheetData>
    <row r="1" spans="1:188" x14ac:dyDescent="0.15">
      <c r="A1" s="59" t="s">
        <v>569</v>
      </c>
      <c r="B1" s="59" t="s">
        <v>570</v>
      </c>
      <c r="C1" s="59" t="s">
        <v>571</v>
      </c>
      <c r="D1" s="59" t="s">
        <v>572</v>
      </c>
      <c r="E1" s="59" t="s">
        <v>573</v>
      </c>
      <c r="F1" s="59" t="s">
        <v>574</v>
      </c>
      <c r="G1" s="59" t="s">
        <v>575</v>
      </c>
      <c r="H1" s="59" t="s">
        <v>576</v>
      </c>
      <c r="I1" s="59" t="s">
        <v>577</v>
      </c>
      <c r="J1" s="59" t="s">
        <v>578</v>
      </c>
      <c r="K1" s="59" t="s">
        <v>579</v>
      </c>
      <c r="L1" s="59" t="s">
        <v>580</v>
      </c>
      <c r="M1" s="59" t="s">
        <v>581</v>
      </c>
      <c r="N1" s="59" t="s">
        <v>582</v>
      </c>
      <c r="O1" s="59" t="s">
        <v>583</v>
      </c>
      <c r="P1" s="59" t="s">
        <v>584</v>
      </c>
      <c r="Q1" s="59" t="s">
        <v>585</v>
      </c>
      <c r="R1" s="59" t="s">
        <v>586</v>
      </c>
      <c r="S1" s="59" t="s">
        <v>587</v>
      </c>
      <c r="T1" s="59" t="s">
        <v>588</v>
      </c>
      <c r="U1" s="59" t="s">
        <v>589</v>
      </c>
      <c r="V1" s="59" t="s">
        <v>590</v>
      </c>
      <c r="W1" s="59" t="s">
        <v>591</v>
      </c>
      <c r="X1" s="59" t="s">
        <v>592</v>
      </c>
      <c r="Y1" s="59" t="s">
        <v>593</v>
      </c>
      <c r="Z1" s="59" t="s">
        <v>594</v>
      </c>
      <c r="AA1" s="59" t="s">
        <v>581</v>
      </c>
      <c r="AB1" s="59" t="s">
        <v>582</v>
      </c>
      <c r="AC1" s="59" t="s">
        <v>583</v>
      </c>
      <c r="AD1" s="59" t="s">
        <v>584</v>
      </c>
      <c r="AE1" s="59" t="s">
        <v>585</v>
      </c>
      <c r="AF1" s="59" t="s">
        <v>586</v>
      </c>
      <c r="AG1" s="59" t="s">
        <v>587</v>
      </c>
      <c r="AH1" s="59" t="s">
        <v>588</v>
      </c>
      <c r="AI1" s="59" t="s">
        <v>589</v>
      </c>
      <c r="AJ1" s="59" t="s">
        <v>590</v>
      </c>
      <c r="AK1" s="59" t="s">
        <v>591</v>
      </c>
      <c r="AL1" s="59" t="s">
        <v>592</v>
      </c>
      <c r="AM1" s="59" t="s">
        <v>593</v>
      </c>
      <c r="AN1" s="59" t="s">
        <v>594</v>
      </c>
      <c r="AO1" s="59" t="s">
        <v>581</v>
      </c>
      <c r="AP1" s="59" t="s">
        <v>582</v>
      </c>
      <c r="AQ1" s="59" t="s">
        <v>583</v>
      </c>
      <c r="AR1" s="59" t="s">
        <v>584</v>
      </c>
      <c r="AS1" s="59" t="s">
        <v>585</v>
      </c>
      <c r="AT1" s="59" t="s">
        <v>586</v>
      </c>
      <c r="AU1" s="59" t="s">
        <v>587</v>
      </c>
      <c r="AV1" s="59" t="s">
        <v>588</v>
      </c>
      <c r="AW1" s="59" t="s">
        <v>589</v>
      </c>
      <c r="AX1" s="59" t="s">
        <v>590</v>
      </c>
      <c r="AY1" s="59" t="s">
        <v>591</v>
      </c>
      <c r="AZ1" s="59" t="s">
        <v>592</v>
      </c>
      <c r="BA1" s="59" t="s">
        <v>593</v>
      </c>
      <c r="BB1" s="59" t="s">
        <v>594</v>
      </c>
      <c r="BC1" s="59" t="s">
        <v>581</v>
      </c>
      <c r="BD1" s="59" t="s">
        <v>582</v>
      </c>
      <c r="BE1" s="59" t="s">
        <v>583</v>
      </c>
      <c r="BF1" s="59" t="s">
        <v>584</v>
      </c>
      <c r="BG1" s="59" t="s">
        <v>585</v>
      </c>
      <c r="BH1" s="59" t="s">
        <v>586</v>
      </c>
      <c r="BI1" s="59" t="s">
        <v>587</v>
      </c>
      <c r="BJ1" s="59" t="s">
        <v>588</v>
      </c>
      <c r="BK1" s="59" t="s">
        <v>589</v>
      </c>
      <c r="BL1" s="59" t="s">
        <v>590</v>
      </c>
      <c r="BM1" s="59" t="s">
        <v>591</v>
      </c>
      <c r="BN1" s="59" t="s">
        <v>592</v>
      </c>
      <c r="BO1" s="59" t="s">
        <v>593</v>
      </c>
      <c r="BP1" s="59" t="s">
        <v>594</v>
      </c>
      <c r="BQ1" s="59" t="s">
        <v>581</v>
      </c>
      <c r="BR1" s="59" t="s">
        <v>582</v>
      </c>
      <c r="BS1" s="59" t="s">
        <v>583</v>
      </c>
      <c r="BT1" s="59" t="s">
        <v>584</v>
      </c>
      <c r="BU1" s="59" t="s">
        <v>585</v>
      </c>
      <c r="BV1" s="59" t="s">
        <v>586</v>
      </c>
      <c r="BW1" s="59" t="s">
        <v>587</v>
      </c>
      <c r="BX1" s="59" t="s">
        <v>588</v>
      </c>
      <c r="BY1" s="59" t="s">
        <v>589</v>
      </c>
      <c r="BZ1" s="59" t="s">
        <v>590</v>
      </c>
      <c r="CA1" s="59" t="s">
        <v>591</v>
      </c>
      <c r="CB1" s="59" t="s">
        <v>592</v>
      </c>
      <c r="CC1" s="59" t="s">
        <v>593</v>
      </c>
      <c r="CD1" s="59" t="s">
        <v>594</v>
      </c>
      <c r="CE1" s="59" t="s">
        <v>581</v>
      </c>
      <c r="CF1" s="59" t="s">
        <v>582</v>
      </c>
      <c r="CG1" s="59" t="s">
        <v>583</v>
      </c>
      <c r="CH1" s="59" t="s">
        <v>584</v>
      </c>
      <c r="CI1" s="59" t="s">
        <v>585</v>
      </c>
      <c r="CJ1" s="59" t="s">
        <v>586</v>
      </c>
      <c r="CK1" s="59" t="s">
        <v>587</v>
      </c>
      <c r="CL1" s="59" t="s">
        <v>588</v>
      </c>
      <c r="CM1" s="59" t="s">
        <v>589</v>
      </c>
      <c r="CN1" s="59" t="s">
        <v>590</v>
      </c>
      <c r="CO1" s="59" t="s">
        <v>591</v>
      </c>
      <c r="CP1" s="59" t="s">
        <v>592</v>
      </c>
      <c r="CQ1" s="59" t="s">
        <v>593</v>
      </c>
      <c r="CR1" s="59" t="s">
        <v>594</v>
      </c>
      <c r="CS1" s="59" t="s">
        <v>581</v>
      </c>
      <c r="CT1" s="59" t="s">
        <v>582</v>
      </c>
      <c r="CU1" s="59" t="s">
        <v>589</v>
      </c>
      <c r="CV1" s="59" t="s">
        <v>590</v>
      </c>
      <c r="CW1" s="59" t="s">
        <v>591</v>
      </c>
      <c r="CX1" s="59" t="s">
        <v>592</v>
      </c>
      <c r="CY1" s="59" t="s">
        <v>581</v>
      </c>
      <c r="CZ1" s="59" t="s">
        <v>582</v>
      </c>
      <c r="DA1" s="59" t="s">
        <v>589</v>
      </c>
      <c r="DB1" s="59" t="s">
        <v>590</v>
      </c>
      <c r="DC1" s="59" t="s">
        <v>591</v>
      </c>
      <c r="DD1" s="59" t="s">
        <v>592</v>
      </c>
      <c r="DE1" s="59" t="s">
        <v>581</v>
      </c>
      <c r="DF1" s="59" t="s">
        <v>582</v>
      </c>
      <c r="DG1" s="59" t="s">
        <v>589</v>
      </c>
      <c r="DH1" s="59" t="s">
        <v>590</v>
      </c>
      <c r="DI1" s="59" t="s">
        <v>591</v>
      </c>
      <c r="DJ1" s="59" t="s">
        <v>592</v>
      </c>
      <c r="DK1" s="59" t="s">
        <v>595</v>
      </c>
      <c r="DL1" s="59" t="s">
        <v>596</v>
      </c>
      <c r="DM1" s="59" t="s">
        <v>581</v>
      </c>
      <c r="DN1" s="59" t="s">
        <v>582</v>
      </c>
      <c r="DO1" s="59" t="s">
        <v>589</v>
      </c>
      <c r="DP1" s="59" t="s">
        <v>590</v>
      </c>
      <c r="DQ1" s="59" t="s">
        <v>591</v>
      </c>
      <c r="DR1" s="59" t="s">
        <v>592</v>
      </c>
      <c r="DS1" s="59" t="s">
        <v>595</v>
      </c>
      <c r="DT1" s="59" t="s">
        <v>596</v>
      </c>
      <c r="DU1" s="59" t="s">
        <v>581</v>
      </c>
      <c r="DV1" s="59" t="s">
        <v>582</v>
      </c>
      <c r="DW1" s="59" t="s">
        <v>589</v>
      </c>
      <c r="DX1" s="59" t="s">
        <v>590</v>
      </c>
      <c r="DY1" s="59" t="s">
        <v>591</v>
      </c>
      <c r="DZ1" s="59" t="s">
        <v>592</v>
      </c>
      <c r="EA1" s="59" t="s">
        <v>595</v>
      </c>
      <c r="EB1" s="59" t="s">
        <v>596</v>
      </c>
      <c r="EC1" s="59" t="s">
        <v>581</v>
      </c>
      <c r="ED1" s="59" t="s">
        <v>582</v>
      </c>
      <c r="EE1" s="59" t="s">
        <v>589</v>
      </c>
      <c r="EF1" s="59" t="s">
        <v>590</v>
      </c>
      <c r="EG1" s="59" t="s">
        <v>591</v>
      </c>
      <c r="EH1" s="59" t="s">
        <v>592</v>
      </c>
      <c r="EI1" s="59" t="s">
        <v>595</v>
      </c>
      <c r="EJ1" s="59" t="s">
        <v>596</v>
      </c>
      <c r="EK1" s="59" t="s">
        <v>581</v>
      </c>
      <c r="EL1" s="59" t="s">
        <v>582</v>
      </c>
      <c r="EM1" s="59" t="s">
        <v>589</v>
      </c>
      <c r="EN1" s="59" t="s">
        <v>590</v>
      </c>
      <c r="EO1" s="59" t="s">
        <v>591</v>
      </c>
      <c r="EP1" s="59" t="s">
        <v>592</v>
      </c>
      <c r="EQ1" s="59" t="s">
        <v>595</v>
      </c>
      <c r="ER1" s="59" t="s">
        <v>596</v>
      </c>
      <c r="ES1" s="59" t="s">
        <v>581</v>
      </c>
      <c r="ET1" s="59" t="s">
        <v>582</v>
      </c>
      <c r="EU1" s="59" t="s">
        <v>589</v>
      </c>
      <c r="EV1" s="59" t="s">
        <v>590</v>
      </c>
      <c r="EW1" s="59" t="s">
        <v>591</v>
      </c>
      <c r="EX1" s="59" t="s">
        <v>592</v>
      </c>
      <c r="EY1" s="59" t="s">
        <v>595</v>
      </c>
      <c r="EZ1" s="59" t="s">
        <v>596</v>
      </c>
      <c r="FA1" s="59" t="s">
        <v>581</v>
      </c>
      <c r="FB1" s="59" t="s">
        <v>582</v>
      </c>
      <c r="FC1" s="59" t="s">
        <v>589</v>
      </c>
      <c r="FD1" s="59" t="s">
        <v>590</v>
      </c>
      <c r="FE1" s="59" t="s">
        <v>591</v>
      </c>
      <c r="FF1" s="59" t="s">
        <v>592</v>
      </c>
      <c r="FG1" s="59" t="s">
        <v>595</v>
      </c>
      <c r="FH1" s="59" t="s">
        <v>596</v>
      </c>
      <c r="FI1" s="59" t="s">
        <v>581</v>
      </c>
      <c r="FJ1" s="59" t="s">
        <v>582</v>
      </c>
      <c r="FK1" s="59" t="s">
        <v>589</v>
      </c>
      <c r="FL1" s="59" t="s">
        <v>590</v>
      </c>
      <c r="FM1" s="59" t="s">
        <v>591</v>
      </c>
      <c r="FN1" s="59" t="s">
        <v>592</v>
      </c>
      <c r="FO1" s="59" t="s">
        <v>595</v>
      </c>
      <c r="FP1" s="59" t="s">
        <v>596</v>
      </c>
      <c r="FQ1" s="59" t="s">
        <v>581</v>
      </c>
      <c r="FR1" s="59" t="s">
        <v>582</v>
      </c>
      <c r="FS1" s="59" t="s">
        <v>589</v>
      </c>
      <c r="FT1" s="59" t="s">
        <v>590</v>
      </c>
      <c r="FU1" s="59" t="s">
        <v>591</v>
      </c>
      <c r="FV1" s="59" t="s">
        <v>592</v>
      </c>
      <c r="FW1" s="59" t="s">
        <v>595</v>
      </c>
      <c r="FX1" s="59" t="s">
        <v>596</v>
      </c>
      <c r="FY1" s="59" t="s">
        <v>597</v>
      </c>
      <c r="FZ1" s="59" t="s">
        <v>598</v>
      </c>
      <c r="GA1" s="59" t="s">
        <v>599</v>
      </c>
      <c r="GB1" s="59" t="s">
        <v>600</v>
      </c>
      <c r="GC1" s="59" t="s">
        <v>601</v>
      </c>
      <c r="GD1" s="59" t="s">
        <v>602</v>
      </c>
      <c r="GE1" s="59" t="s">
        <v>603</v>
      </c>
      <c r="GF1" s="59" t="s">
        <v>604</v>
      </c>
    </row>
    <row r="2" spans="1:188" s="213" customFormat="1" x14ac:dyDescent="0.15">
      <c r="A2" s="213" t="s">
        <v>654</v>
      </c>
      <c r="B2" s="213">
        <v>4</v>
      </c>
      <c r="C2" s="213" t="s">
        <v>771</v>
      </c>
      <c r="D2" s="213">
        <v>614332262</v>
      </c>
      <c r="E2" s="213">
        <v>92303</v>
      </c>
      <c r="F2" s="213" t="s">
        <v>725</v>
      </c>
      <c r="G2" s="213">
        <v>847922</v>
      </c>
      <c r="H2" s="213">
        <v>604077</v>
      </c>
      <c r="I2" s="213">
        <v>6.8</v>
      </c>
      <c r="J2" s="213" t="s">
        <v>772</v>
      </c>
      <c r="K2" s="213" t="s">
        <v>727</v>
      </c>
      <c r="L2" s="213" t="s">
        <v>656</v>
      </c>
      <c r="M2" s="213" t="s">
        <v>728</v>
      </c>
      <c r="N2" s="213" t="s">
        <v>728</v>
      </c>
      <c r="O2" s="213" t="s">
        <v>729</v>
      </c>
      <c r="P2" s="213" t="s">
        <v>710</v>
      </c>
      <c r="Q2" s="213">
        <v>26.3</v>
      </c>
      <c r="R2" s="213">
        <v>128</v>
      </c>
      <c r="S2" s="213" t="s">
        <v>710</v>
      </c>
      <c r="T2" s="213">
        <v>-9999</v>
      </c>
      <c r="U2" s="213">
        <v>193</v>
      </c>
      <c r="V2" s="213">
        <v>420</v>
      </c>
      <c r="W2" s="213">
        <v>190</v>
      </c>
      <c r="X2" s="213" t="s">
        <v>710</v>
      </c>
      <c r="Y2" s="213">
        <v>0</v>
      </c>
      <c r="Z2" s="213">
        <v>40</v>
      </c>
      <c r="AA2" s="213" t="s">
        <v>730</v>
      </c>
      <c r="AB2" s="213" t="s">
        <v>731</v>
      </c>
      <c r="AC2" s="213" t="s">
        <v>729</v>
      </c>
      <c r="AD2" s="213" t="s">
        <v>732</v>
      </c>
      <c r="AE2" s="213">
        <v>0</v>
      </c>
      <c r="AF2" s="213">
        <v>6</v>
      </c>
      <c r="AG2" s="213" t="s">
        <v>249</v>
      </c>
      <c r="AH2" s="213">
        <v>-9999</v>
      </c>
      <c r="AI2" s="213">
        <v>198</v>
      </c>
      <c r="AJ2" s="213">
        <v>473</v>
      </c>
      <c r="AK2" s="213">
        <v>197</v>
      </c>
      <c r="AL2" s="213" t="s">
        <v>710</v>
      </c>
      <c r="AM2" s="213">
        <v>0</v>
      </c>
      <c r="AN2" s="213">
        <v>40</v>
      </c>
      <c r="AO2" s="213" t="s">
        <v>733</v>
      </c>
      <c r="AP2" s="213" t="s">
        <v>734</v>
      </c>
      <c r="AQ2" s="213">
        <v>1</v>
      </c>
      <c r="AR2" s="213" t="s">
        <v>735</v>
      </c>
      <c r="AS2" s="213">
        <v>0</v>
      </c>
      <c r="AT2" s="213">
        <v>11</v>
      </c>
      <c r="AU2" s="213" t="s">
        <v>249</v>
      </c>
      <c r="AV2" s="213">
        <v>-9999</v>
      </c>
      <c r="AW2" s="213">
        <v>235</v>
      </c>
      <c r="AX2" s="213">
        <v>572</v>
      </c>
      <c r="AY2" s="213">
        <v>234</v>
      </c>
      <c r="AZ2" s="213" t="s">
        <v>710</v>
      </c>
      <c r="BA2" s="213">
        <v>0</v>
      </c>
      <c r="BB2" s="213">
        <v>40</v>
      </c>
      <c r="BC2" s="213" t="s">
        <v>736</v>
      </c>
      <c r="BD2" s="213" t="s">
        <v>734</v>
      </c>
      <c r="BE2" s="213">
        <v>2</v>
      </c>
      <c r="BF2" s="213" t="s">
        <v>735</v>
      </c>
      <c r="BG2" s="213">
        <v>0</v>
      </c>
      <c r="BH2" s="213">
        <v>-1</v>
      </c>
      <c r="BI2" s="213" t="s">
        <v>249</v>
      </c>
      <c r="BJ2" s="213">
        <v>-9999</v>
      </c>
      <c r="BK2" s="213">
        <v>104</v>
      </c>
      <c r="BL2" s="213">
        <v>321</v>
      </c>
      <c r="BM2" s="213">
        <v>103</v>
      </c>
      <c r="BN2" s="213" t="s">
        <v>710</v>
      </c>
      <c r="BO2" s="213">
        <v>0</v>
      </c>
      <c r="BP2" s="213">
        <v>40</v>
      </c>
      <c r="BQ2" s="213" t="s">
        <v>737</v>
      </c>
      <c r="BR2" s="213" t="s">
        <v>734</v>
      </c>
      <c r="BS2" s="213">
        <v>3</v>
      </c>
      <c r="BT2" s="213" t="s">
        <v>735</v>
      </c>
      <c r="BU2" s="213">
        <v>0</v>
      </c>
      <c r="BV2" s="213">
        <v>-1</v>
      </c>
      <c r="BW2" s="213" t="s">
        <v>249</v>
      </c>
      <c r="BX2" s="213">
        <v>-9999</v>
      </c>
      <c r="BY2" s="213">
        <v>173</v>
      </c>
      <c r="BZ2" s="213">
        <v>411</v>
      </c>
      <c r="CA2" s="213">
        <v>173</v>
      </c>
      <c r="CB2" s="213" t="s">
        <v>710</v>
      </c>
      <c r="CC2" s="213">
        <v>0</v>
      </c>
      <c r="CD2" s="213">
        <v>40</v>
      </c>
      <c r="CE2" s="213" t="s">
        <v>738</v>
      </c>
      <c r="CF2" s="213" t="s">
        <v>734</v>
      </c>
      <c r="CG2" s="213">
        <v>4</v>
      </c>
      <c r="CH2" s="213" t="s">
        <v>735</v>
      </c>
      <c r="CI2" s="213">
        <v>0</v>
      </c>
      <c r="CJ2" s="213">
        <v>4</v>
      </c>
      <c r="CK2" s="213" t="s">
        <v>249</v>
      </c>
      <c r="CL2" s="213">
        <v>-9999</v>
      </c>
      <c r="CM2" s="213">
        <v>154</v>
      </c>
      <c r="CN2" s="213">
        <v>403</v>
      </c>
      <c r="CO2" s="213">
        <v>152</v>
      </c>
      <c r="CP2" s="213" t="s">
        <v>710</v>
      </c>
      <c r="CQ2" s="213">
        <v>0</v>
      </c>
      <c r="CR2" s="213">
        <v>40</v>
      </c>
      <c r="CS2" s="213" t="s">
        <v>739</v>
      </c>
      <c r="CT2" s="213" t="s">
        <v>740</v>
      </c>
      <c r="CU2" s="213">
        <v>119</v>
      </c>
      <c r="CV2" s="213">
        <v>118</v>
      </c>
      <c r="CW2" s="213">
        <v>118</v>
      </c>
      <c r="CX2" s="213" t="s">
        <v>710</v>
      </c>
      <c r="CY2" s="213" t="s">
        <v>741</v>
      </c>
      <c r="CZ2" s="213" t="s">
        <v>740</v>
      </c>
      <c r="DA2" s="213">
        <v>112</v>
      </c>
      <c r="DB2" s="213">
        <v>112</v>
      </c>
      <c r="DC2" s="213">
        <v>111</v>
      </c>
      <c r="DD2" s="213" t="s">
        <v>710</v>
      </c>
      <c r="DE2" s="213" t="s">
        <v>742</v>
      </c>
      <c r="DF2" s="213" t="s">
        <v>743</v>
      </c>
      <c r="DG2" s="213">
        <v>0</v>
      </c>
      <c r="DH2" s="213">
        <v>0</v>
      </c>
      <c r="DI2" s="213">
        <v>0</v>
      </c>
      <c r="DJ2" s="213" t="s">
        <v>249</v>
      </c>
      <c r="DM2" s="213" t="s">
        <v>744</v>
      </c>
      <c r="DN2" s="213" t="s">
        <v>743</v>
      </c>
      <c r="DO2" s="213">
        <v>0</v>
      </c>
      <c r="DP2" s="213">
        <v>0</v>
      </c>
      <c r="DQ2" s="213">
        <v>0</v>
      </c>
      <c r="DR2" s="213" t="s">
        <v>249</v>
      </c>
      <c r="DU2" s="213" t="s">
        <v>745</v>
      </c>
      <c r="DV2" s="213" t="s">
        <v>743</v>
      </c>
      <c r="DW2" s="213">
        <v>0</v>
      </c>
      <c r="DX2" s="213">
        <v>0</v>
      </c>
      <c r="DY2" s="213">
        <v>0</v>
      </c>
      <c r="DZ2" s="213" t="s">
        <v>249</v>
      </c>
      <c r="EC2" s="213" t="s">
        <v>746</v>
      </c>
      <c r="ED2" s="213" t="s">
        <v>743</v>
      </c>
      <c r="EE2" s="213">
        <v>0</v>
      </c>
      <c r="EF2" s="213">
        <v>0</v>
      </c>
      <c r="EG2" s="213">
        <v>0</v>
      </c>
      <c r="EH2" s="213" t="s">
        <v>249</v>
      </c>
      <c r="EK2" s="213" t="s">
        <v>747</v>
      </c>
      <c r="EL2" s="213" t="s">
        <v>743</v>
      </c>
      <c r="EM2" s="213">
        <v>0</v>
      </c>
      <c r="EN2" s="213">
        <v>0</v>
      </c>
      <c r="EO2" s="213">
        <v>0</v>
      </c>
      <c r="EP2" s="213" t="s">
        <v>249</v>
      </c>
      <c r="ES2" s="213" t="s">
        <v>748</v>
      </c>
      <c r="ET2" s="213" t="s">
        <v>743</v>
      </c>
      <c r="EU2" s="213">
        <v>0</v>
      </c>
      <c r="EV2" s="213">
        <v>0</v>
      </c>
      <c r="EW2" s="213">
        <v>0</v>
      </c>
      <c r="EX2" s="213" t="s">
        <v>249</v>
      </c>
      <c r="FA2" s="213" t="s">
        <v>749</v>
      </c>
      <c r="FB2" s="213" t="s">
        <v>743</v>
      </c>
      <c r="FC2" s="213">
        <v>0</v>
      </c>
      <c r="FD2" s="213">
        <v>0</v>
      </c>
      <c r="FE2" s="213">
        <v>0</v>
      </c>
      <c r="FF2" s="213" t="s">
        <v>249</v>
      </c>
      <c r="FI2" s="213" t="s">
        <v>750</v>
      </c>
      <c r="FJ2" s="213" t="s">
        <v>743</v>
      </c>
      <c r="FK2" s="213">
        <v>0</v>
      </c>
      <c r="FL2" s="213">
        <v>0</v>
      </c>
      <c r="FM2" s="213">
        <v>0</v>
      </c>
      <c r="FN2" s="213" t="s">
        <v>249</v>
      </c>
      <c r="FQ2" s="213" t="s">
        <v>751</v>
      </c>
      <c r="FR2" s="213" t="s">
        <v>743</v>
      </c>
      <c r="FS2" s="213">
        <v>0</v>
      </c>
      <c r="FT2" s="213">
        <v>0</v>
      </c>
      <c r="FU2" s="213">
        <v>0</v>
      </c>
      <c r="FV2" s="213" t="s">
        <v>249</v>
      </c>
      <c r="FY2" s="213">
        <v>19.2</v>
      </c>
      <c r="FZ2" s="213">
        <v>-10.1</v>
      </c>
      <c r="GF2" s="213" t="s">
        <v>752</v>
      </c>
    </row>
    <row r="3" spans="1:188" s="213" customFormat="1" x14ac:dyDescent="0.15">
      <c r="A3" s="213" t="s">
        <v>654</v>
      </c>
      <c r="B3" s="213">
        <v>4</v>
      </c>
      <c r="C3" s="213" t="s">
        <v>773</v>
      </c>
      <c r="D3" s="213">
        <v>614332258</v>
      </c>
      <c r="E3" s="213">
        <v>92303</v>
      </c>
      <c r="F3" s="213" t="s">
        <v>725</v>
      </c>
      <c r="G3" s="213">
        <v>847922</v>
      </c>
      <c r="H3" s="213">
        <v>210015588</v>
      </c>
      <c r="I3" s="213">
        <v>6.8</v>
      </c>
      <c r="J3" s="213" t="s">
        <v>774</v>
      </c>
      <c r="K3" s="213" t="s">
        <v>727</v>
      </c>
      <c r="L3" s="213" t="s">
        <v>656</v>
      </c>
      <c r="M3" s="213" t="s">
        <v>728</v>
      </c>
      <c r="N3" s="213" t="s">
        <v>728</v>
      </c>
      <c r="O3" s="213" t="s">
        <v>729</v>
      </c>
      <c r="P3" s="213" t="s">
        <v>710</v>
      </c>
      <c r="Q3" s="213">
        <v>24</v>
      </c>
      <c r="R3" s="213">
        <v>143</v>
      </c>
      <c r="S3" s="213" t="s">
        <v>710</v>
      </c>
      <c r="T3" s="213">
        <v>-9999</v>
      </c>
      <c r="U3" s="213">
        <v>209</v>
      </c>
      <c r="V3" s="213">
        <v>461</v>
      </c>
      <c r="W3" s="213">
        <v>205</v>
      </c>
      <c r="X3" s="213" t="s">
        <v>710</v>
      </c>
      <c r="Y3" s="213">
        <v>0</v>
      </c>
      <c r="Z3" s="213">
        <v>40</v>
      </c>
      <c r="AA3" s="213" t="s">
        <v>730</v>
      </c>
      <c r="AB3" s="213" t="s">
        <v>731</v>
      </c>
      <c r="AC3" s="213" t="s">
        <v>729</v>
      </c>
      <c r="AD3" s="213" t="s">
        <v>732</v>
      </c>
      <c r="AE3" s="213">
        <v>0</v>
      </c>
      <c r="AF3" s="213">
        <v>6</v>
      </c>
      <c r="AG3" s="213" t="s">
        <v>249</v>
      </c>
      <c r="AH3" s="213">
        <v>-9999</v>
      </c>
      <c r="AI3" s="213">
        <v>171</v>
      </c>
      <c r="AJ3" s="213">
        <v>409</v>
      </c>
      <c r="AK3" s="213">
        <v>169</v>
      </c>
      <c r="AL3" s="213" t="s">
        <v>710</v>
      </c>
      <c r="AM3" s="213">
        <v>0</v>
      </c>
      <c r="AN3" s="213">
        <v>40</v>
      </c>
      <c r="AO3" s="213" t="s">
        <v>733</v>
      </c>
      <c r="AP3" s="213" t="s">
        <v>734</v>
      </c>
      <c r="AQ3" s="213">
        <v>1</v>
      </c>
      <c r="AR3" s="213" t="s">
        <v>735</v>
      </c>
      <c r="AS3" s="213">
        <v>0</v>
      </c>
      <c r="AT3" s="213">
        <v>0</v>
      </c>
      <c r="AU3" s="213" t="s">
        <v>249</v>
      </c>
      <c r="AV3" s="213">
        <v>-9999</v>
      </c>
      <c r="AW3" s="213">
        <v>237</v>
      </c>
      <c r="AX3" s="213">
        <v>592</v>
      </c>
      <c r="AY3" s="213">
        <v>235</v>
      </c>
      <c r="AZ3" s="213" t="s">
        <v>710</v>
      </c>
      <c r="BA3" s="213">
        <v>0</v>
      </c>
      <c r="BB3" s="213">
        <v>40</v>
      </c>
      <c r="BC3" s="213" t="s">
        <v>736</v>
      </c>
      <c r="BD3" s="213" t="s">
        <v>734</v>
      </c>
      <c r="BE3" s="213">
        <v>2</v>
      </c>
      <c r="BF3" s="213" t="s">
        <v>735</v>
      </c>
      <c r="BG3" s="213">
        <v>0</v>
      </c>
      <c r="BH3" s="213">
        <v>3</v>
      </c>
      <c r="BI3" s="213" t="s">
        <v>249</v>
      </c>
      <c r="BJ3" s="213">
        <v>-9999</v>
      </c>
      <c r="BK3" s="213">
        <v>102</v>
      </c>
      <c r="BL3" s="213">
        <v>312</v>
      </c>
      <c r="BM3" s="213">
        <v>99</v>
      </c>
      <c r="BN3" s="213" t="s">
        <v>710</v>
      </c>
      <c r="BO3" s="213">
        <v>0</v>
      </c>
      <c r="BP3" s="213">
        <v>40</v>
      </c>
      <c r="BQ3" s="213" t="s">
        <v>737</v>
      </c>
      <c r="BR3" s="213" t="s">
        <v>734</v>
      </c>
      <c r="BS3" s="213">
        <v>3</v>
      </c>
      <c r="BT3" s="213" t="s">
        <v>735</v>
      </c>
      <c r="BU3" s="213">
        <v>0</v>
      </c>
      <c r="BV3" s="213">
        <v>3</v>
      </c>
      <c r="BW3" s="213" t="s">
        <v>249</v>
      </c>
      <c r="BX3" s="213">
        <v>-9999</v>
      </c>
      <c r="BY3" s="213">
        <v>188</v>
      </c>
      <c r="BZ3" s="213">
        <v>452</v>
      </c>
      <c r="CA3" s="213">
        <v>188</v>
      </c>
      <c r="CB3" s="213" t="s">
        <v>710</v>
      </c>
      <c r="CC3" s="213">
        <v>0</v>
      </c>
      <c r="CD3" s="213">
        <v>40</v>
      </c>
      <c r="CE3" s="213" t="s">
        <v>738</v>
      </c>
      <c r="CF3" s="213" t="s">
        <v>734</v>
      </c>
      <c r="CG3" s="213">
        <v>4</v>
      </c>
      <c r="CH3" s="213" t="s">
        <v>735</v>
      </c>
      <c r="CI3" s="213">
        <v>0</v>
      </c>
      <c r="CJ3" s="213">
        <v>4</v>
      </c>
      <c r="CK3" s="213" t="s">
        <v>249</v>
      </c>
      <c r="CL3" s="213">
        <v>-9999</v>
      </c>
      <c r="CM3" s="213">
        <v>129</v>
      </c>
      <c r="CN3" s="213">
        <v>337</v>
      </c>
      <c r="CO3" s="213">
        <v>127</v>
      </c>
      <c r="CP3" s="213" t="s">
        <v>710</v>
      </c>
      <c r="CQ3" s="213">
        <v>0</v>
      </c>
      <c r="CR3" s="213">
        <v>40</v>
      </c>
      <c r="CS3" s="213" t="s">
        <v>739</v>
      </c>
      <c r="CT3" s="213" t="s">
        <v>740</v>
      </c>
      <c r="CU3" s="213">
        <v>102</v>
      </c>
      <c r="CV3" s="213">
        <v>101</v>
      </c>
      <c r="CW3" s="213">
        <v>101</v>
      </c>
      <c r="CX3" s="213" t="s">
        <v>710</v>
      </c>
      <c r="CY3" s="213" t="s">
        <v>741</v>
      </c>
      <c r="CZ3" s="213" t="s">
        <v>740</v>
      </c>
      <c r="DA3" s="213">
        <v>115</v>
      </c>
      <c r="DB3" s="213">
        <v>114</v>
      </c>
      <c r="DC3" s="213">
        <v>114</v>
      </c>
      <c r="DD3" s="213" t="s">
        <v>710</v>
      </c>
      <c r="DE3" s="213" t="s">
        <v>742</v>
      </c>
      <c r="DF3" s="213" t="s">
        <v>743</v>
      </c>
      <c r="DG3" s="213">
        <v>0</v>
      </c>
      <c r="DH3" s="213">
        <v>0</v>
      </c>
      <c r="DI3" s="213">
        <v>0</v>
      </c>
      <c r="DJ3" s="213" t="s">
        <v>249</v>
      </c>
      <c r="DM3" s="213" t="s">
        <v>744</v>
      </c>
      <c r="DN3" s="213" t="s">
        <v>743</v>
      </c>
      <c r="DO3" s="213">
        <v>0</v>
      </c>
      <c r="DP3" s="213">
        <v>0</v>
      </c>
      <c r="DQ3" s="213">
        <v>0</v>
      </c>
      <c r="DR3" s="213" t="s">
        <v>249</v>
      </c>
      <c r="DU3" s="213" t="s">
        <v>745</v>
      </c>
      <c r="DV3" s="213" t="s">
        <v>743</v>
      </c>
      <c r="DW3" s="213">
        <v>0</v>
      </c>
      <c r="DX3" s="213">
        <v>0</v>
      </c>
      <c r="DY3" s="213">
        <v>0</v>
      </c>
      <c r="DZ3" s="213" t="s">
        <v>249</v>
      </c>
      <c r="EC3" s="213" t="s">
        <v>746</v>
      </c>
      <c r="ED3" s="213" t="s">
        <v>743</v>
      </c>
      <c r="EE3" s="213">
        <v>0</v>
      </c>
      <c r="EF3" s="213">
        <v>0</v>
      </c>
      <c r="EG3" s="213">
        <v>0</v>
      </c>
      <c r="EH3" s="213" t="s">
        <v>249</v>
      </c>
      <c r="EK3" s="213" t="s">
        <v>747</v>
      </c>
      <c r="EL3" s="213" t="s">
        <v>743</v>
      </c>
      <c r="EM3" s="213">
        <v>0</v>
      </c>
      <c r="EN3" s="213">
        <v>0</v>
      </c>
      <c r="EO3" s="213">
        <v>0</v>
      </c>
      <c r="EP3" s="213" t="s">
        <v>249</v>
      </c>
      <c r="ES3" s="213" t="s">
        <v>748</v>
      </c>
      <c r="ET3" s="213" t="s">
        <v>743</v>
      </c>
      <c r="EU3" s="213">
        <v>0</v>
      </c>
      <c r="EV3" s="213">
        <v>0</v>
      </c>
      <c r="EW3" s="213">
        <v>0</v>
      </c>
      <c r="EX3" s="213" t="s">
        <v>249</v>
      </c>
      <c r="FA3" s="213" t="s">
        <v>749</v>
      </c>
      <c r="FB3" s="213" t="s">
        <v>743</v>
      </c>
      <c r="FC3" s="213">
        <v>0</v>
      </c>
      <c r="FD3" s="213">
        <v>0</v>
      </c>
      <c r="FE3" s="213">
        <v>0</v>
      </c>
      <c r="FF3" s="213" t="s">
        <v>249</v>
      </c>
      <c r="FI3" s="213" t="s">
        <v>750</v>
      </c>
      <c r="FJ3" s="213" t="s">
        <v>743</v>
      </c>
      <c r="FK3" s="213">
        <v>0</v>
      </c>
      <c r="FL3" s="213">
        <v>0</v>
      </c>
      <c r="FM3" s="213">
        <v>0</v>
      </c>
      <c r="FN3" s="213" t="s">
        <v>249</v>
      </c>
      <c r="FQ3" s="213" t="s">
        <v>751</v>
      </c>
      <c r="FR3" s="213" t="s">
        <v>743</v>
      </c>
      <c r="FS3" s="213">
        <v>0</v>
      </c>
      <c r="FT3" s="213">
        <v>0</v>
      </c>
      <c r="FU3" s="213">
        <v>0</v>
      </c>
      <c r="FV3" s="213" t="s">
        <v>249</v>
      </c>
      <c r="FY3" s="213">
        <v>21.6</v>
      </c>
      <c r="FZ3" s="213">
        <v>-10.199999999999999</v>
      </c>
      <c r="GF3" s="213" t="s">
        <v>752</v>
      </c>
    </row>
    <row r="4" spans="1:188" s="213" customFormat="1" x14ac:dyDescent="0.15">
      <c r="A4" s="213" t="s">
        <v>654</v>
      </c>
      <c r="B4" s="213">
        <v>4</v>
      </c>
      <c r="C4" s="213" t="s">
        <v>775</v>
      </c>
      <c r="D4" s="213">
        <v>614332256</v>
      </c>
      <c r="E4" s="213">
        <v>92303</v>
      </c>
      <c r="F4" s="213" t="s">
        <v>725</v>
      </c>
      <c r="G4" s="213">
        <v>847922</v>
      </c>
      <c r="H4" s="213">
        <v>660764</v>
      </c>
      <c r="I4" s="213">
        <v>6.8</v>
      </c>
      <c r="J4" s="213" t="s">
        <v>776</v>
      </c>
      <c r="K4" s="213" t="s">
        <v>727</v>
      </c>
      <c r="L4" s="213" t="s">
        <v>656</v>
      </c>
      <c r="M4" s="213" t="s">
        <v>728</v>
      </c>
      <c r="N4" s="213" t="s">
        <v>728</v>
      </c>
      <c r="O4" s="213" t="s">
        <v>729</v>
      </c>
      <c r="P4" s="213" t="s">
        <v>710</v>
      </c>
      <c r="Q4" s="213">
        <v>23.9</v>
      </c>
      <c r="R4" s="213">
        <v>135</v>
      </c>
      <c r="S4" s="213" t="s">
        <v>710</v>
      </c>
      <c r="T4" s="213">
        <v>-9999</v>
      </c>
      <c r="U4" s="213">
        <v>186</v>
      </c>
      <c r="V4" s="213">
        <v>404</v>
      </c>
      <c r="W4" s="213">
        <v>181</v>
      </c>
      <c r="X4" s="213" t="s">
        <v>710</v>
      </c>
      <c r="Y4" s="213">
        <v>0</v>
      </c>
      <c r="Z4" s="213">
        <v>40</v>
      </c>
      <c r="AA4" s="213" t="s">
        <v>730</v>
      </c>
      <c r="AB4" s="213" t="s">
        <v>731</v>
      </c>
      <c r="AC4" s="213" t="s">
        <v>729</v>
      </c>
      <c r="AD4" s="213" t="s">
        <v>732</v>
      </c>
      <c r="AE4" s="213">
        <v>0</v>
      </c>
      <c r="AF4" s="213">
        <v>5</v>
      </c>
      <c r="AG4" s="213" t="s">
        <v>249</v>
      </c>
      <c r="AH4" s="213">
        <v>-9999</v>
      </c>
      <c r="AI4" s="213">
        <v>199</v>
      </c>
      <c r="AJ4" s="213">
        <v>470</v>
      </c>
      <c r="AK4" s="213">
        <v>195</v>
      </c>
      <c r="AL4" s="213" t="s">
        <v>710</v>
      </c>
      <c r="AM4" s="213">
        <v>0</v>
      </c>
      <c r="AN4" s="213">
        <v>40</v>
      </c>
      <c r="AO4" s="213" t="s">
        <v>733</v>
      </c>
      <c r="AP4" s="213" t="s">
        <v>734</v>
      </c>
      <c r="AQ4" s="213">
        <v>1</v>
      </c>
      <c r="AR4" s="213" t="s">
        <v>735</v>
      </c>
      <c r="AS4" s="213">
        <v>0</v>
      </c>
      <c r="AT4" s="213">
        <v>22</v>
      </c>
      <c r="AU4" s="213" t="s">
        <v>249</v>
      </c>
      <c r="AV4" s="213">
        <v>-9999</v>
      </c>
      <c r="AW4" s="213">
        <v>266</v>
      </c>
      <c r="AX4" s="213">
        <v>646</v>
      </c>
      <c r="AY4" s="213">
        <v>261</v>
      </c>
      <c r="AZ4" s="213" t="s">
        <v>710</v>
      </c>
      <c r="BA4" s="213">
        <v>0</v>
      </c>
      <c r="BB4" s="213">
        <v>40</v>
      </c>
      <c r="BC4" s="213" t="s">
        <v>736</v>
      </c>
      <c r="BD4" s="213" t="s">
        <v>734</v>
      </c>
      <c r="BE4" s="213">
        <v>2</v>
      </c>
      <c r="BF4" s="213" t="s">
        <v>735</v>
      </c>
      <c r="BG4" s="213">
        <v>0</v>
      </c>
      <c r="BH4" s="213">
        <v>0</v>
      </c>
      <c r="BI4" s="213" t="s">
        <v>249</v>
      </c>
      <c r="BJ4" s="213">
        <v>-9999</v>
      </c>
      <c r="BK4" s="213">
        <v>110</v>
      </c>
      <c r="BL4" s="213">
        <v>333</v>
      </c>
      <c r="BM4" s="213">
        <v>108</v>
      </c>
      <c r="BN4" s="213" t="s">
        <v>710</v>
      </c>
      <c r="BO4" s="213">
        <v>0</v>
      </c>
      <c r="BP4" s="213">
        <v>40</v>
      </c>
      <c r="BQ4" s="213" t="s">
        <v>737</v>
      </c>
      <c r="BR4" s="213" t="s">
        <v>734</v>
      </c>
      <c r="BS4" s="213">
        <v>3</v>
      </c>
      <c r="BT4" s="213" t="s">
        <v>735</v>
      </c>
      <c r="BU4" s="213">
        <v>0</v>
      </c>
      <c r="BV4" s="213">
        <v>5</v>
      </c>
      <c r="BW4" s="213" t="s">
        <v>249</v>
      </c>
      <c r="BX4" s="213">
        <v>-9999</v>
      </c>
      <c r="BY4" s="213">
        <v>188</v>
      </c>
      <c r="BZ4" s="213">
        <v>423</v>
      </c>
      <c r="CA4" s="213">
        <v>185</v>
      </c>
      <c r="CB4" s="213" t="s">
        <v>710</v>
      </c>
      <c r="CC4" s="213">
        <v>0</v>
      </c>
      <c r="CD4" s="213">
        <v>40</v>
      </c>
      <c r="CE4" s="213" t="s">
        <v>738</v>
      </c>
      <c r="CF4" s="213" t="s">
        <v>734</v>
      </c>
      <c r="CG4" s="213">
        <v>4</v>
      </c>
      <c r="CH4" s="213" t="s">
        <v>735</v>
      </c>
      <c r="CI4" s="213">
        <v>0</v>
      </c>
      <c r="CJ4" s="213">
        <v>6</v>
      </c>
      <c r="CK4" s="213" t="s">
        <v>249</v>
      </c>
      <c r="CL4" s="213">
        <v>-9999</v>
      </c>
      <c r="CM4" s="213">
        <v>152</v>
      </c>
      <c r="CN4" s="213">
        <v>396</v>
      </c>
      <c r="CO4" s="213">
        <v>149</v>
      </c>
      <c r="CP4" s="213" t="s">
        <v>710</v>
      </c>
      <c r="CQ4" s="213">
        <v>0</v>
      </c>
      <c r="CR4" s="213">
        <v>40</v>
      </c>
      <c r="CS4" s="213" t="s">
        <v>739</v>
      </c>
      <c r="CT4" s="213" t="s">
        <v>740</v>
      </c>
      <c r="CU4" s="213">
        <v>125</v>
      </c>
      <c r="CV4" s="213">
        <v>125</v>
      </c>
      <c r="CW4" s="213">
        <v>125</v>
      </c>
      <c r="CX4" s="213" t="s">
        <v>710</v>
      </c>
      <c r="CY4" s="213" t="s">
        <v>741</v>
      </c>
      <c r="CZ4" s="213" t="s">
        <v>740</v>
      </c>
      <c r="DA4" s="213">
        <v>129</v>
      </c>
      <c r="DB4" s="213">
        <v>129</v>
      </c>
      <c r="DC4" s="213">
        <v>128</v>
      </c>
      <c r="DD4" s="213" t="s">
        <v>710</v>
      </c>
      <c r="DE4" s="213" t="s">
        <v>742</v>
      </c>
      <c r="DF4" s="213" t="s">
        <v>743</v>
      </c>
      <c r="DG4" s="213">
        <v>0</v>
      </c>
      <c r="DH4" s="213">
        <v>0</v>
      </c>
      <c r="DI4" s="213">
        <v>0</v>
      </c>
      <c r="DJ4" s="213" t="s">
        <v>249</v>
      </c>
      <c r="DM4" s="213" t="s">
        <v>744</v>
      </c>
      <c r="DN4" s="213" t="s">
        <v>743</v>
      </c>
      <c r="DO4" s="213">
        <v>0</v>
      </c>
      <c r="DP4" s="213">
        <v>0</v>
      </c>
      <c r="DQ4" s="213">
        <v>0</v>
      </c>
      <c r="DR4" s="213" t="s">
        <v>249</v>
      </c>
      <c r="DU4" s="213" t="s">
        <v>745</v>
      </c>
      <c r="DV4" s="213" t="s">
        <v>743</v>
      </c>
      <c r="DW4" s="213">
        <v>0</v>
      </c>
      <c r="DX4" s="213">
        <v>0</v>
      </c>
      <c r="DY4" s="213">
        <v>0</v>
      </c>
      <c r="DZ4" s="213" t="s">
        <v>249</v>
      </c>
      <c r="EC4" s="213" t="s">
        <v>746</v>
      </c>
      <c r="ED4" s="213" t="s">
        <v>743</v>
      </c>
      <c r="EE4" s="213">
        <v>0</v>
      </c>
      <c r="EF4" s="213">
        <v>0</v>
      </c>
      <c r="EG4" s="213">
        <v>0</v>
      </c>
      <c r="EH4" s="213" t="s">
        <v>249</v>
      </c>
      <c r="EK4" s="213" t="s">
        <v>747</v>
      </c>
      <c r="EL4" s="213" t="s">
        <v>743</v>
      </c>
      <c r="EM4" s="213">
        <v>0</v>
      </c>
      <c r="EN4" s="213">
        <v>0</v>
      </c>
      <c r="EO4" s="213">
        <v>0</v>
      </c>
      <c r="EP4" s="213" t="s">
        <v>249</v>
      </c>
      <c r="ES4" s="213" t="s">
        <v>748</v>
      </c>
      <c r="ET4" s="213" t="s">
        <v>743</v>
      </c>
      <c r="EU4" s="213">
        <v>0</v>
      </c>
      <c r="EV4" s="213">
        <v>0</v>
      </c>
      <c r="EW4" s="213">
        <v>0</v>
      </c>
      <c r="EX4" s="213" t="s">
        <v>249</v>
      </c>
      <c r="FA4" s="213" t="s">
        <v>749</v>
      </c>
      <c r="FB4" s="213" t="s">
        <v>743</v>
      </c>
      <c r="FC4" s="213">
        <v>0</v>
      </c>
      <c r="FD4" s="213">
        <v>0</v>
      </c>
      <c r="FE4" s="213">
        <v>0</v>
      </c>
      <c r="FF4" s="213" t="s">
        <v>249</v>
      </c>
      <c r="FI4" s="213" t="s">
        <v>750</v>
      </c>
      <c r="FJ4" s="213" t="s">
        <v>743</v>
      </c>
      <c r="FK4" s="213">
        <v>0</v>
      </c>
      <c r="FL4" s="213">
        <v>0</v>
      </c>
      <c r="FM4" s="213">
        <v>0</v>
      </c>
      <c r="FN4" s="213" t="s">
        <v>249</v>
      </c>
      <c r="FQ4" s="213" t="s">
        <v>751</v>
      </c>
      <c r="FR4" s="213" t="s">
        <v>743</v>
      </c>
      <c r="FS4" s="213">
        <v>0</v>
      </c>
      <c r="FT4" s="213">
        <v>0</v>
      </c>
      <c r="FU4" s="213">
        <v>0</v>
      </c>
      <c r="FV4" s="213" t="s">
        <v>249</v>
      </c>
      <c r="FY4" s="213">
        <v>15.6</v>
      </c>
      <c r="FZ4" s="213">
        <v>-5.7</v>
      </c>
      <c r="GF4" s="213" t="s">
        <v>752</v>
      </c>
    </row>
    <row r="5" spans="1:188" s="213" customFormat="1" x14ac:dyDescent="0.15">
      <c r="A5" s="213" t="s">
        <v>654</v>
      </c>
      <c r="B5" s="213">
        <v>4</v>
      </c>
      <c r="C5" s="213" t="s">
        <v>777</v>
      </c>
      <c r="D5" s="213">
        <v>614332260</v>
      </c>
      <c r="E5" s="213">
        <v>92303</v>
      </c>
      <c r="F5" s="213" t="s">
        <v>725</v>
      </c>
      <c r="G5" s="213">
        <v>847922</v>
      </c>
      <c r="H5" s="213">
        <v>617583</v>
      </c>
      <c r="I5" s="213">
        <v>6.8</v>
      </c>
      <c r="J5" s="213" t="s">
        <v>778</v>
      </c>
      <c r="K5" s="213" t="s">
        <v>727</v>
      </c>
      <c r="L5" s="213" t="s">
        <v>656</v>
      </c>
      <c r="M5" s="213" t="s">
        <v>728</v>
      </c>
      <c r="N5" s="213" t="s">
        <v>728</v>
      </c>
      <c r="O5" s="213" t="s">
        <v>729</v>
      </c>
      <c r="P5" s="213" t="s">
        <v>710</v>
      </c>
      <c r="Q5" s="213">
        <v>23.7</v>
      </c>
      <c r="R5" s="213">
        <v>133</v>
      </c>
      <c r="S5" s="213" t="s">
        <v>710</v>
      </c>
      <c r="T5" s="213">
        <v>-9999</v>
      </c>
      <c r="U5" s="213">
        <v>209</v>
      </c>
      <c r="V5" s="213">
        <v>444</v>
      </c>
      <c r="W5" s="213">
        <v>197</v>
      </c>
      <c r="X5" s="213" t="s">
        <v>710</v>
      </c>
      <c r="Y5" s="213">
        <v>0</v>
      </c>
      <c r="Z5" s="213">
        <v>40</v>
      </c>
      <c r="AA5" s="213" t="s">
        <v>730</v>
      </c>
      <c r="AB5" s="213" t="s">
        <v>731</v>
      </c>
      <c r="AC5" s="213" t="s">
        <v>729</v>
      </c>
      <c r="AD5" s="213" t="s">
        <v>732</v>
      </c>
      <c r="AE5" s="213">
        <v>0</v>
      </c>
      <c r="AF5" s="213">
        <v>3</v>
      </c>
      <c r="AG5" s="213" t="s">
        <v>249</v>
      </c>
      <c r="AH5" s="213">
        <v>-9999</v>
      </c>
      <c r="AI5" s="213">
        <v>197</v>
      </c>
      <c r="AJ5" s="213">
        <v>469</v>
      </c>
      <c r="AK5" s="213">
        <v>191</v>
      </c>
      <c r="AL5" s="213" t="s">
        <v>710</v>
      </c>
      <c r="AM5" s="213">
        <v>0</v>
      </c>
      <c r="AN5" s="213">
        <v>40</v>
      </c>
      <c r="AO5" s="213" t="s">
        <v>733</v>
      </c>
      <c r="AP5" s="213" t="s">
        <v>734</v>
      </c>
      <c r="AQ5" s="213">
        <v>1</v>
      </c>
      <c r="AR5" s="213" t="s">
        <v>735</v>
      </c>
      <c r="AS5" s="213">
        <v>0</v>
      </c>
      <c r="AT5" s="213">
        <v>-1</v>
      </c>
      <c r="AU5" s="213" t="s">
        <v>249</v>
      </c>
      <c r="AV5" s="213">
        <v>-9999</v>
      </c>
      <c r="AW5" s="213">
        <v>265</v>
      </c>
      <c r="AX5" s="213">
        <v>651</v>
      </c>
      <c r="AY5" s="213">
        <v>260</v>
      </c>
      <c r="AZ5" s="213" t="s">
        <v>710</v>
      </c>
      <c r="BA5" s="213">
        <v>0</v>
      </c>
      <c r="BB5" s="213">
        <v>40</v>
      </c>
      <c r="BC5" s="213" t="s">
        <v>736</v>
      </c>
      <c r="BD5" s="213" t="s">
        <v>734</v>
      </c>
      <c r="BE5" s="213">
        <v>2</v>
      </c>
      <c r="BF5" s="213" t="s">
        <v>735</v>
      </c>
      <c r="BG5" s="213">
        <v>0</v>
      </c>
      <c r="BH5" s="213">
        <v>0</v>
      </c>
      <c r="BI5" s="213" t="s">
        <v>249</v>
      </c>
      <c r="BJ5" s="213">
        <v>-9999</v>
      </c>
      <c r="BK5" s="213">
        <v>90</v>
      </c>
      <c r="BL5" s="213">
        <v>279</v>
      </c>
      <c r="BM5" s="213">
        <v>87</v>
      </c>
      <c r="BN5" s="213" t="s">
        <v>710</v>
      </c>
      <c r="BO5" s="213">
        <v>0</v>
      </c>
      <c r="BP5" s="213">
        <v>40</v>
      </c>
      <c r="BQ5" s="213" t="s">
        <v>737</v>
      </c>
      <c r="BR5" s="213" t="s">
        <v>734</v>
      </c>
      <c r="BS5" s="213">
        <v>3</v>
      </c>
      <c r="BT5" s="213" t="s">
        <v>735</v>
      </c>
      <c r="BU5" s="213">
        <v>0</v>
      </c>
      <c r="BV5" s="213">
        <v>2</v>
      </c>
      <c r="BW5" s="213" t="s">
        <v>249</v>
      </c>
      <c r="BX5" s="213">
        <v>-9999</v>
      </c>
      <c r="BY5" s="213">
        <v>172</v>
      </c>
      <c r="BZ5" s="213">
        <v>397</v>
      </c>
      <c r="CA5" s="213">
        <v>170</v>
      </c>
      <c r="CB5" s="213" t="s">
        <v>710</v>
      </c>
      <c r="CC5" s="213">
        <v>0</v>
      </c>
      <c r="CD5" s="213">
        <v>40</v>
      </c>
      <c r="CE5" s="213" t="s">
        <v>738</v>
      </c>
      <c r="CF5" s="213" t="s">
        <v>734</v>
      </c>
      <c r="CG5" s="213">
        <v>4</v>
      </c>
      <c r="CH5" s="213" t="s">
        <v>735</v>
      </c>
      <c r="CI5" s="213">
        <v>0</v>
      </c>
      <c r="CJ5" s="213">
        <v>2</v>
      </c>
      <c r="CK5" s="213" t="s">
        <v>249</v>
      </c>
      <c r="CL5" s="213">
        <v>-9999</v>
      </c>
      <c r="CM5" s="213">
        <v>146</v>
      </c>
      <c r="CN5" s="213">
        <v>389</v>
      </c>
      <c r="CO5" s="213">
        <v>142</v>
      </c>
      <c r="CP5" s="213" t="s">
        <v>710</v>
      </c>
      <c r="CQ5" s="213">
        <v>0</v>
      </c>
      <c r="CR5" s="213">
        <v>40</v>
      </c>
      <c r="CS5" s="213" t="s">
        <v>739</v>
      </c>
      <c r="CT5" s="213" t="s">
        <v>740</v>
      </c>
      <c r="CU5" s="213">
        <v>126</v>
      </c>
      <c r="CV5" s="213">
        <v>126</v>
      </c>
      <c r="CW5" s="213">
        <v>125</v>
      </c>
      <c r="CX5" s="213" t="s">
        <v>710</v>
      </c>
      <c r="CY5" s="213" t="s">
        <v>741</v>
      </c>
      <c r="CZ5" s="213" t="s">
        <v>740</v>
      </c>
      <c r="DA5" s="213">
        <v>112</v>
      </c>
      <c r="DB5" s="213">
        <v>112</v>
      </c>
      <c r="DC5" s="213">
        <v>111</v>
      </c>
      <c r="DD5" s="213" t="s">
        <v>710</v>
      </c>
      <c r="DE5" s="213" t="s">
        <v>742</v>
      </c>
      <c r="DF5" s="213" t="s">
        <v>743</v>
      </c>
      <c r="DG5" s="213">
        <v>0</v>
      </c>
      <c r="DH5" s="213">
        <v>0</v>
      </c>
      <c r="DI5" s="213">
        <v>0</v>
      </c>
      <c r="DJ5" s="213" t="s">
        <v>249</v>
      </c>
      <c r="DM5" s="213" t="s">
        <v>744</v>
      </c>
      <c r="DN5" s="213" t="s">
        <v>743</v>
      </c>
      <c r="DO5" s="213">
        <v>0</v>
      </c>
      <c r="DP5" s="213">
        <v>0</v>
      </c>
      <c r="DQ5" s="213">
        <v>0</v>
      </c>
      <c r="DR5" s="213" t="s">
        <v>249</v>
      </c>
      <c r="DU5" s="213" t="s">
        <v>745</v>
      </c>
      <c r="DV5" s="213" t="s">
        <v>743</v>
      </c>
      <c r="DW5" s="213">
        <v>0</v>
      </c>
      <c r="DX5" s="213">
        <v>0</v>
      </c>
      <c r="DY5" s="213">
        <v>0</v>
      </c>
      <c r="DZ5" s="213" t="s">
        <v>249</v>
      </c>
      <c r="EC5" s="213" t="s">
        <v>746</v>
      </c>
      <c r="ED5" s="213" t="s">
        <v>743</v>
      </c>
      <c r="EE5" s="213">
        <v>0</v>
      </c>
      <c r="EF5" s="213">
        <v>0</v>
      </c>
      <c r="EG5" s="213">
        <v>0</v>
      </c>
      <c r="EH5" s="213" t="s">
        <v>249</v>
      </c>
      <c r="EK5" s="213" t="s">
        <v>747</v>
      </c>
      <c r="EL5" s="213" t="s">
        <v>743</v>
      </c>
      <c r="EM5" s="213">
        <v>0</v>
      </c>
      <c r="EN5" s="213">
        <v>0</v>
      </c>
      <c r="EO5" s="213">
        <v>0</v>
      </c>
      <c r="EP5" s="213" t="s">
        <v>249</v>
      </c>
      <c r="ES5" s="213" t="s">
        <v>748</v>
      </c>
      <c r="ET5" s="213" t="s">
        <v>743</v>
      </c>
      <c r="EU5" s="213">
        <v>0</v>
      </c>
      <c r="EV5" s="213">
        <v>0</v>
      </c>
      <c r="EW5" s="213">
        <v>0</v>
      </c>
      <c r="EX5" s="213" t="s">
        <v>249</v>
      </c>
      <c r="FA5" s="213" t="s">
        <v>749</v>
      </c>
      <c r="FB5" s="213" t="s">
        <v>743</v>
      </c>
      <c r="FC5" s="213">
        <v>0</v>
      </c>
      <c r="FD5" s="213">
        <v>0</v>
      </c>
      <c r="FE5" s="213">
        <v>0</v>
      </c>
      <c r="FF5" s="213" t="s">
        <v>249</v>
      </c>
      <c r="FI5" s="213" t="s">
        <v>750</v>
      </c>
      <c r="FJ5" s="213" t="s">
        <v>743</v>
      </c>
      <c r="FK5" s="213">
        <v>0</v>
      </c>
      <c r="FL5" s="213">
        <v>0</v>
      </c>
      <c r="FM5" s="213">
        <v>0</v>
      </c>
      <c r="FN5" s="213" t="s">
        <v>249</v>
      </c>
      <c r="FQ5" s="213" t="s">
        <v>751</v>
      </c>
      <c r="FR5" s="213" t="s">
        <v>743</v>
      </c>
      <c r="FS5" s="213">
        <v>0</v>
      </c>
      <c r="FT5" s="213">
        <v>0</v>
      </c>
      <c r="FU5" s="213">
        <v>0</v>
      </c>
      <c r="FV5" s="213" t="s">
        <v>249</v>
      </c>
      <c r="FY5" s="213">
        <v>18.5</v>
      </c>
      <c r="FZ5" s="213">
        <v>-9.8000000000000007</v>
      </c>
      <c r="GF5" s="213" t="s">
        <v>752</v>
      </c>
    </row>
    <row r="6" spans="1:188" s="213" customFormat="1" x14ac:dyDescent="0.15">
      <c r="A6" s="213" t="s">
        <v>654</v>
      </c>
      <c r="B6" s="213">
        <v>4</v>
      </c>
      <c r="C6" s="213" t="s">
        <v>779</v>
      </c>
      <c r="D6" s="213">
        <v>614332264</v>
      </c>
      <c r="E6" s="213">
        <v>92303</v>
      </c>
      <c r="F6" s="213" t="s">
        <v>725</v>
      </c>
      <c r="G6" s="213">
        <v>847922</v>
      </c>
      <c r="H6" s="213">
        <v>725382</v>
      </c>
      <c r="I6" s="213">
        <v>6.8</v>
      </c>
      <c r="J6" s="213" t="s">
        <v>780</v>
      </c>
      <c r="K6" s="213" t="s">
        <v>727</v>
      </c>
      <c r="L6" s="213" t="s">
        <v>656</v>
      </c>
      <c r="M6" s="213" t="s">
        <v>728</v>
      </c>
      <c r="N6" s="213" t="s">
        <v>728</v>
      </c>
      <c r="O6" s="213" t="s">
        <v>729</v>
      </c>
      <c r="P6" s="213" t="s">
        <v>710</v>
      </c>
      <c r="Q6" s="213">
        <v>27.1</v>
      </c>
      <c r="R6" s="213">
        <v>123</v>
      </c>
      <c r="S6" s="213" t="s">
        <v>710</v>
      </c>
      <c r="T6" s="213">
        <v>-9999</v>
      </c>
      <c r="U6" s="213">
        <v>196</v>
      </c>
      <c r="V6" s="213">
        <v>426</v>
      </c>
      <c r="W6" s="213">
        <v>193</v>
      </c>
      <c r="X6" s="213" t="s">
        <v>710</v>
      </c>
      <c r="Y6" s="213">
        <v>0</v>
      </c>
      <c r="Z6" s="213">
        <v>40</v>
      </c>
      <c r="AA6" s="213" t="s">
        <v>730</v>
      </c>
      <c r="AB6" s="213" t="s">
        <v>731</v>
      </c>
      <c r="AC6" s="213" t="s">
        <v>729</v>
      </c>
      <c r="AD6" s="213" t="s">
        <v>732</v>
      </c>
      <c r="AE6" s="213">
        <v>0</v>
      </c>
      <c r="AF6" s="213">
        <v>4</v>
      </c>
      <c r="AG6" s="213" t="s">
        <v>249</v>
      </c>
      <c r="AH6" s="213">
        <v>-9999</v>
      </c>
      <c r="AI6" s="213">
        <v>204</v>
      </c>
      <c r="AJ6" s="213">
        <v>484</v>
      </c>
      <c r="AK6" s="213">
        <v>202</v>
      </c>
      <c r="AL6" s="213" t="s">
        <v>710</v>
      </c>
      <c r="AM6" s="213">
        <v>0</v>
      </c>
      <c r="AN6" s="213">
        <v>40</v>
      </c>
      <c r="AO6" s="213" t="s">
        <v>733</v>
      </c>
      <c r="AP6" s="213" t="s">
        <v>734</v>
      </c>
      <c r="AQ6" s="213">
        <v>1</v>
      </c>
      <c r="AR6" s="213" t="s">
        <v>735</v>
      </c>
      <c r="AS6" s="213">
        <v>0</v>
      </c>
      <c r="AT6" s="213">
        <v>6</v>
      </c>
      <c r="AU6" s="213" t="s">
        <v>249</v>
      </c>
      <c r="AV6" s="213">
        <v>-9999</v>
      </c>
      <c r="AW6" s="213">
        <v>272</v>
      </c>
      <c r="AX6" s="213">
        <v>668</v>
      </c>
      <c r="AY6" s="213">
        <v>270</v>
      </c>
      <c r="AZ6" s="213" t="s">
        <v>710</v>
      </c>
      <c r="BA6" s="213">
        <v>0</v>
      </c>
      <c r="BB6" s="213">
        <v>40</v>
      </c>
      <c r="BC6" s="213" t="s">
        <v>736</v>
      </c>
      <c r="BD6" s="213" t="s">
        <v>734</v>
      </c>
      <c r="BE6" s="213">
        <v>2</v>
      </c>
      <c r="BF6" s="213" t="s">
        <v>735</v>
      </c>
      <c r="BG6" s="213">
        <v>0</v>
      </c>
      <c r="BH6" s="213">
        <v>1</v>
      </c>
      <c r="BI6" s="213" t="s">
        <v>249</v>
      </c>
      <c r="BJ6" s="213">
        <v>-9999</v>
      </c>
      <c r="BK6" s="213">
        <v>99</v>
      </c>
      <c r="BL6" s="213">
        <v>302</v>
      </c>
      <c r="BM6" s="213">
        <v>97</v>
      </c>
      <c r="BN6" s="213" t="s">
        <v>710</v>
      </c>
      <c r="BO6" s="213">
        <v>0</v>
      </c>
      <c r="BP6" s="213">
        <v>40</v>
      </c>
      <c r="BQ6" s="213" t="s">
        <v>737</v>
      </c>
      <c r="BR6" s="213" t="s">
        <v>734</v>
      </c>
      <c r="BS6" s="213">
        <v>3</v>
      </c>
      <c r="BT6" s="213" t="s">
        <v>735</v>
      </c>
      <c r="BU6" s="213">
        <v>0</v>
      </c>
      <c r="BV6" s="213">
        <v>9</v>
      </c>
      <c r="BW6" s="213" t="s">
        <v>249</v>
      </c>
      <c r="BX6" s="213">
        <v>-9999</v>
      </c>
      <c r="BY6" s="213">
        <v>164</v>
      </c>
      <c r="BZ6" s="213">
        <v>367</v>
      </c>
      <c r="CA6" s="213">
        <v>163</v>
      </c>
      <c r="CB6" s="213" t="s">
        <v>710</v>
      </c>
      <c r="CC6" s="213">
        <v>0</v>
      </c>
      <c r="CD6" s="213">
        <v>40</v>
      </c>
      <c r="CE6" s="213" t="s">
        <v>738</v>
      </c>
      <c r="CF6" s="213" t="s">
        <v>734</v>
      </c>
      <c r="CG6" s="213">
        <v>4</v>
      </c>
      <c r="CH6" s="213" t="s">
        <v>735</v>
      </c>
      <c r="CI6" s="213">
        <v>0</v>
      </c>
      <c r="CJ6" s="213">
        <v>1</v>
      </c>
      <c r="CK6" s="213" t="s">
        <v>249</v>
      </c>
      <c r="CL6" s="213">
        <v>-9999</v>
      </c>
      <c r="CM6" s="213">
        <v>143</v>
      </c>
      <c r="CN6" s="213">
        <v>382</v>
      </c>
      <c r="CO6" s="213">
        <v>140</v>
      </c>
      <c r="CP6" s="213" t="s">
        <v>710</v>
      </c>
      <c r="CQ6" s="213">
        <v>0</v>
      </c>
      <c r="CR6" s="213">
        <v>40</v>
      </c>
      <c r="CS6" s="213" t="s">
        <v>739</v>
      </c>
      <c r="CT6" s="213" t="s">
        <v>740</v>
      </c>
      <c r="CU6" s="213">
        <v>123</v>
      </c>
      <c r="CV6" s="213">
        <v>123</v>
      </c>
      <c r="CW6" s="213">
        <v>122</v>
      </c>
      <c r="CX6" s="213" t="s">
        <v>710</v>
      </c>
      <c r="CY6" s="213" t="s">
        <v>741</v>
      </c>
      <c r="CZ6" s="213" t="s">
        <v>740</v>
      </c>
      <c r="DA6" s="213">
        <v>109</v>
      </c>
      <c r="DB6" s="213">
        <v>109</v>
      </c>
      <c r="DC6" s="213">
        <v>109</v>
      </c>
      <c r="DD6" s="213" t="s">
        <v>710</v>
      </c>
      <c r="DE6" s="213" t="s">
        <v>742</v>
      </c>
      <c r="DF6" s="213" t="s">
        <v>743</v>
      </c>
      <c r="DG6" s="213">
        <v>0</v>
      </c>
      <c r="DH6" s="213">
        <v>0</v>
      </c>
      <c r="DI6" s="213">
        <v>0</v>
      </c>
      <c r="DJ6" s="213" t="s">
        <v>249</v>
      </c>
      <c r="DM6" s="213" t="s">
        <v>744</v>
      </c>
      <c r="DN6" s="213" t="s">
        <v>743</v>
      </c>
      <c r="DO6" s="213">
        <v>0</v>
      </c>
      <c r="DP6" s="213">
        <v>0</v>
      </c>
      <c r="DQ6" s="213">
        <v>0</v>
      </c>
      <c r="DR6" s="213" t="s">
        <v>249</v>
      </c>
      <c r="DU6" s="213" t="s">
        <v>745</v>
      </c>
      <c r="DV6" s="213" t="s">
        <v>743</v>
      </c>
      <c r="DW6" s="213">
        <v>0</v>
      </c>
      <c r="DX6" s="213">
        <v>0</v>
      </c>
      <c r="DY6" s="213">
        <v>0</v>
      </c>
      <c r="DZ6" s="213" t="s">
        <v>249</v>
      </c>
      <c r="EC6" s="213" t="s">
        <v>746</v>
      </c>
      <c r="ED6" s="213" t="s">
        <v>743</v>
      </c>
      <c r="EE6" s="213">
        <v>0</v>
      </c>
      <c r="EF6" s="213">
        <v>0</v>
      </c>
      <c r="EG6" s="213">
        <v>0</v>
      </c>
      <c r="EH6" s="213" t="s">
        <v>249</v>
      </c>
      <c r="EK6" s="213" t="s">
        <v>747</v>
      </c>
      <c r="EL6" s="213" t="s">
        <v>743</v>
      </c>
      <c r="EM6" s="213">
        <v>0</v>
      </c>
      <c r="EN6" s="213">
        <v>0</v>
      </c>
      <c r="EO6" s="213">
        <v>0</v>
      </c>
      <c r="EP6" s="213" t="s">
        <v>249</v>
      </c>
      <c r="ES6" s="213" t="s">
        <v>748</v>
      </c>
      <c r="ET6" s="213" t="s">
        <v>743</v>
      </c>
      <c r="EU6" s="213">
        <v>0</v>
      </c>
      <c r="EV6" s="213">
        <v>0</v>
      </c>
      <c r="EW6" s="213">
        <v>0</v>
      </c>
      <c r="EX6" s="213" t="s">
        <v>249</v>
      </c>
      <c r="FA6" s="213" t="s">
        <v>749</v>
      </c>
      <c r="FB6" s="213" t="s">
        <v>743</v>
      </c>
      <c r="FC6" s="213">
        <v>0</v>
      </c>
      <c r="FD6" s="213">
        <v>0</v>
      </c>
      <c r="FE6" s="213">
        <v>0</v>
      </c>
      <c r="FF6" s="213" t="s">
        <v>249</v>
      </c>
      <c r="FI6" s="213" t="s">
        <v>750</v>
      </c>
      <c r="FJ6" s="213" t="s">
        <v>743</v>
      </c>
      <c r="FK6" s="213">
        <v>0</v>
      </c>
      <c r="FL6" s="213">
        <v>0</v>
      </c>
      <c r="FM6" s="213">
        <v>0</v>
      </c>
      <c r="FN6" s="213" t="s">
        <v>249</v>
      </c>
      <c r="FQ6" s="213" t="s">
        <v>751</v>
      </c>
      <c r="FR6" s="213" t="s">
        <v>743</v>
      </c>
      <c r="FS6" s="213">
        <v>0</v>
      </c>
      <c r="FT6" s="213">
        <v>0</v>
      </c>
      <c r="FU6" s="213">
        <v>0</v>
      </c>
      <c r="FV6" s="213" t="s">
        <v>249</v>
      </c>
      <c r="FY6" s="213">
        <v>21.5</v>
      </c>
      <c r="FZ6" s="213">
        <v>-9.5</v>
      </c>
      <c r="GF6" s="213" t="s">
        <v>752</v>
      </c>
    </row>
    <row r="7" spans="1:188" s="213" customFormat="1" x14ac:dyDescent="0.15">
      <c r="A7" s="213" t="s">
        <v>654</v>
      </c>
      <c r="B7" s="213">
        <v>4</v>
      </c>
      <c r="C7" s="213" t="s">
        <v>781</v>
      </c>
      <c r="D7" s="213">
        <v>614332263</v>
      </c>
      <c r="E7" s="213">
        <v>92303</v>
      </c>
      <c r="F7" s="213" t="s">
        <v>725</v>
      </c>
      <c r="G7" s="213">
        <v>847922</v>
      </c>
      <c r="H7" s="213">
        <v>710982</v>
      </c>
      <c r="I7" s="213">
        <v>6.8</v>
      </c>
      <c r="J7" s="213" t="s">
        <v>782</v>
      </c>
      <c r="K7" s="213" t="s">
        <v>727</v>
      </c>
      <c r="L7" s="213" t="s">
        <v>656</v>
      </c>
      <c r="M7" s="213" t="s">
        <v>728</v>
      </c>
      <c r="N7" s="213" t="s">
        <v>728</v>
      </c>
      <c r="O7" s="213" t="s">
        <v>729</v>
      </c>
      <c r="P7" s="213" t="s">
        <v>710</v>
      </c>
      <c r="Q7" s="213">
        <v>23.6</v>
      </c>
      <c r="R7" s="213">
        <v>139</v>
      </c>
      <c r="S7" s="213" t="s">
        <v>710</v>
      </c>
      <c r="T7" s="213">
        <v>-9999</v>
      </c>
      <c r="U7" s="213">
        <v>217</v>
      </c>
      <c r="V7" s="213">
        <v>475</v>
      </c>
      <c r="W7" s="213">
        <v>212</v>
      </c>
      <c r="X7" s="213" t="s">
        <v>710</v>
      </c>
      <c r="Y7" s="213">
        <v>0</v>
      </c>
      <c r="Z7" s="213">
        <v>40</v>
      </c>
      <c r="AA7" s="213" t="s">
        <v>730</v>
      </c>
      <c r="AB7" s="213" t="s">
        <v>731</v>
      </c>
      <c r="AC7" s="213" t="s">
        <v>729</v>
      </c>
      <c r="AD7" s="213" t="s">
        <v>732</v>
      </c>
      <c r="AE7" s="213">
        <v>0</v>
      </c>
      <c r="AF7" s="213">
        <v>8</v>
      </c>
      <c r="AG7" s="213" t="s">
        <v>249</v>
      </c>
      <c r="AH7" s="213">
        <v>-9999</v>
      </c>
      <c r="AI7" s="213">
        <v>188</v>
      </c>
      <c r="AJ7" s="213">
        <v>449</v>
      </c>
      <c r="AK7" s="213">
        <v>186</v>
      </c>
      <c r="AL7" s="213" t="s">
        <v>710</v>
      </c>
      <c r="AM7" s="213">
        <v>0</v>
      </c>
      <c r="AN7" s="213">
        <v>40</v>
      </c>
      <c r="AO7" s="213" t="s">
        <v>733</v>
      </c>
      <c r="AP7" s="213" t="s">
        <v>734</v>
      </c>
      <c r="AQ7" s="213">
        <v>1</v>
      </c>
      <c r="AR7" s="213" t="s">
        <v>735</v>
      </c>
      <c r="AS7" s="213">
        <v>0</v>
      </c>
      <c r="AT7" s="213">
        <v>-6</v>
      </c>
      <c r="AU7" s="213" t="s">
        <v>249</v>
      </c>
      <c r="AV7" s="213">
        <v>-9999</v>
      </c>
      <c r="AW7" s="213">
        <v>262</v>
      </c>
      <c r="AX7" s="213">
        <v>650</v>
      </c>
      <c r="AY7" s="213">
        <v>261</v>
      </c>
      <c r="AZ7" s="213" t="s">
        <v>710</v>
      </c>
      <c r="BA7" s="213">
        <v>0</v>
      </c>
      <c r="BB7" s="213">
        <v>40</v>
      </c>
      <c r="BC7" s="213" t="s">
        <v>736</v>
      </c>
      <c r="BD7" s="213" t="s">
        <v>734</v>
      </c>
      <c r="BE7" s="213">
        <v>2</v>
      </c>
      <c r="BF7" s="213" t="s">
        <v>735</v>
      </c>
      <c r="BG7" s="213">
        <v>0</v>
      </c>
      <c r="BH7" s="213">
        <v>3</v>
      </c>
      <c r="BI7" s="213" t="s">
        <v>249</v>
      </c>
      <c r="BJ7" s="213">
        <v>-9999</v>
      </c>
      <c r="BK7" s="213">
        <v>101</v>
      </c>
      <c r="BL7" s="213">
        <v>320</v>
      </c>
      <c r="BM7" s="213">
        <v>99</v>
      </c>
      <c r="BN7" s="213" t="s">
        <v>710</v>
      </c>
      <c r="BO7" s="213">
        <v>0</v>
      </c>
      <c r="BP7" s="213">
        <v>40</v>
      </c>
      <c r="BQ7" s="213" t="s">
        <v>737</v>
      </c>
      <c r="BR7" s="213" t="s">
        <v>734</v>
      </c>
      <c r="BS7" s="213">
        <v>3</v>
      </c>
      <c r="BT7" s="213" t="s">
        <v>735</v>
      </c>
      <c r="BU7" s="213">
        <v>0</v>
      </c>
      <c r="BV7" s="213">
        <v>3</v>
      </c>
      <c r="BW7" s="213" t="s">
        <v>249</v>
      </c>
      <c r="BX7" s="213">
        <v>-9999</v>
      </c>
      <c r="BY7" s="213">
        <v>199</v>
      </c>
      <c r="BZ7" s="213">
        <v>475</v>
      </c>
      <c r="CA7" s="213">
        <v>200</v>
      </c>
      <c r="CB7" s="213" t="s">
        <v>710</v>
      </c>
      <c r="CC7" s="213">
        <v>0</v>
      </c>
      <c r="CD7" s="213">
        <v>40</v>
      </c>
      <c r="CE7" s="213" t="s">
        <v>738</v>
      </c>
      <c r="CF7" s="213" t="s">
        <v>734</v>
      </c>
      <c r="CG7" s="213">
        <v>4</v>
      </c>
      <c r="CH7" s="213" t="s">
        <v>735</v>
      </c>
      <c r="CI7" s="213">
        <v>0</v>
      </c>
      <c r="CJ7" s="213">
        <v>3</v>
      </c>
      <c r="CK7" s="213" t="s">
        <v>249</v>
      </c>
      <c r="CL7" s="213">
        <v>-9999</v>
      </c>
      <c r="CM7" s="213">
        <v>139</v>
      </c>
      <c r="CN7" s="213">
        <v>362</v>
      </c>
      <c r="CO7" s="213">
        <v>137</v>
      </c>
      <c r="CP7" s="213" t="s">
        <v>710</v>
      </c>
      <c r="CQ7" s="213">
        <v>0</v>
      </c>
      <c r="CR7" s="213">
        <v>40</v>
      </c>
      <c r="CS7" s="213" t="s">
        <v>739</v>
      </c>
      <c r="CT7" s="213" t="s">
        <v>740</v>
      </c>
      <c r="CU7" s="213">
        <v>121</v>
      </c>
      <c r="CV7" s="213">
        <v>121</v>
      </c>
      <c r="CW7" s="213">
        <v>121</v>
      </c>
      <c r="CX7" s="213" t="s">
        <v>710</v>
      </c>
      <c r="CY7" s="213" t="s">
        <v>741</v>
      </c>
      <c r="CZ7" s="213" t="s">
        <v>740</v>
      </c>
      <c r="DA7" s="213">
        <v>128</v>
      </c>
      <c r="DB7" s="213">
        <v>127</v>
      </c>
      <c r="DC7" s="213">
        <v>127</v>
      </c>
      <c r="DD7" s="213" t="s">
        <v>710</v>
      </c>
      <c r="DE7" s="213" t="s">
        <v>742</v>
      </c>
      <c r="DF7" s="213" t="s">
        <v>743</v>
      </c>
      <c r="DG7" s="213">
        <v>0</v>
      </c>
      <c r="DH7" s="213">
        <v>0</v>
      </c>
      <c r="DI7" s="213">
        <v>0</v>
      </c>
      <c r="DJ7" s="213" t="s">
        <v>249</v>
      </c>
      <c r="DM7" s="213" t="s">
        <v>744</v>
      </c>
      <c r="DN7" s="213" t="s">
        <v>743</v>
      </c>
      <c r="DO7" s="213">
        <v>0</v>
      </c>
      <c r="DP7" s="213">
        <v>0</v>
      </c>
      <c r="DQ7" s="213">
        <v>0</v>
      </c>
      <c r="DR7" s="213" t="s">
        <v>249</v>
      </c>
      <c r="DU7" s="213" t="s">
        <v>745</v>
      </c>
      <c r="DV7" s="213" t="s">
        <v>743</v>
      </c>
      <c r="DW7" s="213">
        <v>0</v>
      </c>
      <c r="DX7" s="213">
        <v>0</v>
      </c>
      <c r="DY7" s="213">
        <v>0</v>
      </c>
      <c r="DZ7" s="213" t="s">
        <v>249</v>
      </c>
      <c r="EC7" s="213" t="s">
        <v>746</v>
      </c>
      <c r="ED7" s="213" t="s">
        <v>743</v>
      </c>
      <c r="EE7" s="213">
        <v>0</v>
      </c>
      <c r="EF7" s="213">
        <v>0</v>
      </c>
      <c r="EG7" s="213">
        <v>0</v>
      </c>
      <c r="EH7" s="213" t="s">
        <v>249</v>
      </c>
      <c r="EK7" s="213" t="s">
        <v>747</v>
      </c>
      <c r="EL7" s="213" t="s">
        <v>743</v>
      </c>
      <c r="EM7" s="213">
        <v>0</v>
      </c>
      <c r="EN7" s="213">
        <v>0</v>
      </c>
      <c r="EO7" s="213">
        <v>0</v>
      </c>
      <c r="EP7" s="213" t="s">
        <v>249</v>
      </c>
      <c r="ES7" s="213" t="s">
        <v>748</v>
      </c>
      <c r="ET7" s="213" t="s">
        <v>743</v>
      </c>
      <c r="EU7" s="213">
        <v>0</v>
      </c>
      <c r="EV7" s="213">
        <v>0</v>
      </c>
      <c r="EW7" s="213">
        <v>0</v>
      </c>
      <c r="EX7" s="213" t="s">
        <v>249</v>
      </c>
      <c r="FA7" s="213" t="s">
        <v>749</v>
      </c>
      <c r="FB7" s="213" t="s">
        <v>743</v>
      </c>
      <c r="FC7" s="213">
        <v>0</v>
      </c>
      <c r="FD7" s="213">
        <v>0</v>
      </c>
      <c r="FE7" s="213">
        <v>0</v>
      </c>
      <c r="FF7" s="213" t="s">
        <v>249</v>
      </c>
      <c r="FI7" s="213" t="s">
        <v>750</v>
      </c>
      <c r="FJ7" s="213" t="s">
        <v>743</v>
      </c>
      <c r="FK7" s="213">
        <v>0</v>
      </c>
      <c r="FL7" s="213">
        <v>0</v>
      </c>
      <c r="FM7" s="213">
        <v>0</v>
      </c>
      <c r="FN7" s="213" t="s">
        <v>249</v>
      </c>
      <c r="FQ7" s="213" t="s">
        <v>751</v>
      </c>
      <c r="FR7" s="213" t="s">
        <v>743</v>
      </c>
      <c r="FS7" s="213">
        <v>0</v>
      </c>
      <c r="FT7" s="213">
        <v>0</v>
      </c>
      <c r="FU7" s="213">
        <v>0</v>
      </c>
      <c r="FV7" s="213" t="s">
        <v>249</v>
      </c>
      <c r="FY7" s="213">
        <v>22</v>
      </c>
      <c r="FZ7" s="213">
        <v>-12.1</v>
      </c>
      <c r="GF7" s="213" t="s">
        <v>752</v>
      </c>
    </row>
    <row r="8" spans="1:188" s="213" customFormat="1" x14ac:dyDescent="0.15">
      <c r="A8" s="213" t="s">
        <v>654</v>
      </c>
      <c r="B8" s="213">
        <v>4</v>
      </c>
      <c r="C8" s="213" t="s">
        <v>783</v>
      </c>
      <c r="D8" s="213">
        <v>614332261</v>
      </c>
      <c r="E8" s="213">
        <v>92303</v>
      </c>
      <c r="F8" s="213" t="s">
        <v>725</v>
      </c>
      <c r="G8" s="213">
        <v>847922</v>
      </c>
      <c r="H8" s="213">
        <v>912152</v>
      </c>
      <c r="I8" s="213">
        <v>6.8</v>
      </c>
      <c r="J8" s="213" t="s">
        <v>784</v>
      </c>
      <c r="K8" s="213" t="s">
        <v>727</v>
      </c>
      <c r="L8" s="213" t="s">
        <v>656</v>
      </c>
      <c r="M8" s="213" t="s">
        <v>728</v>
      </c>
      <c r="N8" s="213" t="s">
        <v>728</v>
      </c>
      <c r="O8" s="213" t="s">
        <v>729</v>
      </c>
      <c r="P8" s="213" t="s">
        <v>710</v>
      </c>
      <c r="Q8" s="213">
        <v>23.3</v>
      </c>
      <c r="R8" s="213">
        <v>149</v>
      </c>
      <c r="S8" s="213" t="s">
        <v>710</v>
      </c>
      <c r="T8" s="213">
        <v>-9999</v>
      </c>
      <c r="U8" s="213">
        <v>204</v>
      </c>
      <c r="V8" s="213">
        <v>452</v>
      </c>
      <c r="W8" s="213">
        <v>195</v>
      </c>
      <c r="X8" s="213" t="s">
        <v>710</v>
      </c>
      <c r="Y8" s="213">
        <v>0</v>
      </c>
      <c r="Z8" s="213">
        <v>40</v>
      </c>
      <c r="AA8" s="213" t="s">
        <v>730</v>
      </c>
      <c r="AB8" s="213" t="s">
        <v>731</v>
      </c>
      <c r="AC8" s="213" t="s">
        <v>729</v>
      </c>
      <c r="AD8" s="213" t="s">
        <v>732</v>
      </c>
      <c r="AE8" s="213">
        <v>0</v>
      </c>
      <c r="AF8" s="213">
        <v>5</v>
      </c>
      <c r="AG8" s="213" t="s">
        <v>249</v>
      </c>
      <c r="AH8" s="213">
        <v>-9999</v>
      </c>
      <c r="AI8" s="213">
        <v>209</v>
      </c>
      <c r="AJ8" s="213">
        <v>493</v>
      </c>
      <c r="AK8" s="213">
        <v>206</v>
      </c>
      <c r="AL8" s="213" t="s">
        <v>710</v>
      </c>
      <c r="AM8" s="213">
        <v>0</v>
      </c>
      <c r="AN8" s="213">
        <v>40</v>
      </c>
      <c r="AO8" s="213" t="s">
        <v>733</v>
      </c>
      <c r="AP8" s="213" t="s">
        <v>734</v>
      </c>
      <c r="AQ8" s="213">
        <v>1</v>
      </c>
      <c r="AR8" s="213" t="s">
        <v>735</v>
      </c>
      <c r="AS8" s="213">
        <v>0</v>
      </c>
      <c r="AT8" s="213">
        <v>1</v>
      </c>
      <c r="AU8" s="213" t="s">
        <v>249</v>
      </c>
      <c r="AV8" s="213">
        <v>-9999</v>
      </c>
      <c r="AW8" s="213">
        <v>269</v>
      </c>
      <c r="AX8" s="213">
        <v>664</v>
      </c>
      <c r="AY8" s="213">
        <v>265</v>
      </c>
      <c r="AZ8" s="213" t="s">
        <v>710</v>
      </c>
      <c r="BA8" s="213">
        <v>0</v>
      </c>
      <c r="BB8" s="213">
        <v>40</v>
      </c>
      <c r="BC8" s="213" t="s">
        <v>736</v>
      </c>
      <c r="BD8" s="213" t="s">
        <v>734</v>
      </c>
      <c r="BE8" s="213">
        <v>2</v>
      </c>
      <c r="BF8" s="213" t="s">
        <v>735</v>
      </c>
      <c r="BG8" s="213">
        <v>0</v>
      </c>
      <c r="BH8" s="213">
        <v>1</v>
      </c>
      <c r="BI8" s="213" t="s">
        <v>249</v>
      </c>
      <c r="BJ8" s="213">
        <v>-9999</v>
      </c>
      <c r="BK8" s="213">
        <v>103</v>
      </c>
      <c r="BL8" s="213">
        <v>335</v>
      </c>
      <c r="BM8" s="213">
        <v>101</v>
      </c>
      <c r="BN8" s="213" t="s">
        <v>710</v>
      </c>
      <c r="BO8" s="213">
        <v>0</v>
      </c>
      <c r="BP8" s="213">
        <v>40</v>
      </c>
      <c r="BQ8" s="213" t="s">
        <v>737</v>
      </c>
      <c r="BR8" s="213" t="s">
        <v>734</v>
      </c>
      <c r="BS8" s="213">
        <v>3</v>
      </c>
      <c r="BT8" s="213" t="s">
        <v>735</v>
      </c>
      <c r="BU8" s="213">
        <v>0</v>
      </c>
      <c r="BV8" s="213">
        <v>2</v>
      </c>
      <c r="BW8" s="213" t="s">
        <v>249</v>
      </c>
      <c r="BX8" s="213">
        <v>-9999</v>
      </c>
      <c r="BY8" s="213">
        <v>182</v>
      </c>
      <c r="BZ8" s="213">
        <v>432</v>
      </c>
      <c r="CA8" s="213">
        <v>181</v>
      </c>
      <c r="CB8" s="213" t="s">
        <v>710</v>
      </c>
      <c r="CC8" s="213">
        <v>0</v>
      </c>
      <c r="CD8" s="213">
        <v>40</v>
      </c>
      <c r="CE8" s="213" t="s">
        <v>738</v>
      </c>
      <c r="CF8" s="213" t="s">
        <v>734</v>
      </c>
      <c r="CG8" s="213">
        <v>4</v>
      </c>
      <c r="CH8" s="213" t="s">
        <v>735</v>
      </c>
      <c r="CI8" s="213">
        <v>0</v>
      </c>
      <c r="CJ8" s="213">
        <v>4</v>
      </c>
      <c r="CK8" s="213" t="s">
        <v>249</v>
      </c>
      <c r="CL8" s="213">
        <v>-9999</v>
      </c>
      <c r="CM8" s="213">
        <v>144</v>
      </c>
      <c r="CN8" s="213">
        <v>384</v>
      </c>
      <c r="CO8" s="213">
        <v>141</v>
      </c>
      <c r="CP8" s="213" t="s">
        <v>710</v>
      </c>
      <c r="CQ8" s="213">
        <v>0</v>
      </c>
      <c r="CR8" s="213">
        <v>40</v>
      </c>
      <c r="CS8" s="213" t="s">
        <v>739</v>
      </c>
      <c r="CT8" s="213" t="s">
        <v>740</v>
      </c>
      <c r="CU8" s="213">
        <v>123</v>
      </c>
      <c r="CV8" s="213">
        <v>123</v>
      </c>
      <c r="CW8" s="213">
        <v>122</v>
      </c>
      <c r="CX8" s="213" t="s">
        <v>710</v>
      </c>
      <c r="CY8" s="213" t="s">
        <v>741</v>
      </c>
      <c r="CZ8" s="213" t="s">
        <v>740</v>
      </c>
      <c r="DA8" s="213">
        <v>120</v>
      </c>
      <c r="DB8" s="213">
        <v>120</v>
      </c>
      <c r="DC8" s="213">
        <v>120</v>
      </c>
      <c r="DD8" s="213" t="s">
        <v>710</v>
      </c>
      <c r="DE8" s="213" t="s">
        <v>742</v>
      </c>
      <c r="DF8" s="213" t="s">
        <v>743</v>
      </c>
      <c r="DG8" s="213">
        <v>0</v>
      </c>
      <c r="DH8" s="213">
        <v>0</v>
      </c>
      <c r="DI8" s="213">
        <v>0</v>
      </c>
      <c r="DJ8" s="213" t="s">
        <v>249</v>
      </c>
      <c r="DM8" s="213" t="s">
        <v>744</v>
      </c>
      <c r="DN8" s="213" t="s">
        <v>743</v>
      </c>
      <c r="DO8" s="213">
        <v>0</v>
      </c>
      <c r="DP8" s="213">
        <v>0</v>
      </c>
      <c r="DQ8" s="213">
        <v>0</v>
      </c>
      <c r="DR8" s="213" t="s">
        <v>249</v>
      </c>
      <c r="DU8" s="213" t="s">
        <v>745</v>
      </c>
      <c r="DV8" s="213" t="s">
        <v>743</v>
      </c>
      <c r="DW8" s="213">
        <v>0</v>
      </c>
      <c r="DX8" s="213">
        <v>0</v>
      </c>
      <c r="DY8" s="213">
        <v>0</v>
      </c>
      <c r="DZ8" s="213" t="s">
        <v>249</v>
      </c>
      <c r="EC8" s="213" t="s">
        <v>746</v>
      </c>
      <c r="ED8" s="213" t="s">
        <v>743</v>
      </c>
      <c r="EE8" s="213">
        <v>0</v>
      </c>
      <c r="EF8" s="213">
        <v>0</v>
      </c>
      <c r="EG8" s="213">
        <v>0</v>
      </c>
      <c r="EH8" s="213" t="s">
        <v>249</v>
      </c>
      <c r="EK8" s="213" t="s">
        <v>747</v>
      </c>
      <c r="EL8" s="213" t="s">
        <v>743</v>
      </c>
      <c r="EM8" s="213">
        <v>0</v>
      </c>
      <c r="EN8" s="213">
        <v>0</v>
      </c>
      <c r="EO8" s="213">
        <v>0</v>
      </c>
      <c r="EP8" s="213" t="s">
        <v>249</v>
      </c>
      <c r="ES8" s="213" t="s">
        <v>748</v>
      </c>
      <c r="ET8" s="213" t="s">
        <v>743</v>
      </c>
      <c r="EU8" s="213">
        <v>0</v>
      </c>
      <c r="EV8" s="213">
        <v>0</v>
      </c>
      <c r="EW8" s="213">
        <v>0</v>
      </c>
      <c r="EX8" s="213" t="s">
        <v>249</v>
      </c>
      <c r="FA8" s="213" t="s">
        <v>749</v>
      </c>
      <c r="FB8" s="213" t="s">
        <v>743</v>
      </c>
      <c r="FC8" s="213">
        <v>0</v>
      </c>
      <c r="FD8" s="213">
        <v>0</v>
      </c>
      <c r="FE8" s="213">
        <v>0</v>
      </c>
      <c r="FF8" s="213" t="s">
        <v>249</v>
      </c>
      <c r="FI8" s="213" t="s">
        <v>750</v>
      </c>
      <c r="FJ8" s="213" t="s">
        <v>743</v>
      </c>
      <c r="FK8" s="213">
        <v>0</v>
      </c>
      <c r="FL8" s="213">
        <v>0</v>
      </c>
      <c r="FM8" s="213">
        <v>0</v>
      </c>
      <c r="FN8" s="213" t="s">
        <v>249</v>
      </c>
      <c r="FQ8" s="213" t="s">
        <v>751</v>
      </c>
      <c r="FR8" s="213" t="s">
        <v>743</v>
      </c>
      <c r="FS8" s="213">
        <v>0</v>
      </c>
      <c r="FT8" s="213">
        <v>0</v>
      </c>
      <c r="FU8" s="213">
        <v>0</v>
      </c>
      <c r="FV8" s="213" t="s">
        <v>249</v>
      </c>
      <c r="FY8" s="213">
        <v>16</v>
      </c>
      <c r="FZ8" s="213">
        <v>-12.7</v>
      </c>
      <c r="GF8" s="213" t="s">
        <v>752</v>
      </c>
    </row>
    <row r="9" spans="1:188" s="213" customFormat="1" x14ac:dyDescent="0.15">
      <c r="A9" s="213" t="s">
        <v>654</v>
      </c>
      <c r="B9" s="213">
        <v>4</v>
      </c>
      <c r="C9" s="213" t="s">
        <v>792</v>
      </c>
      <c r="D9" s="213">
        <v>614332245</v>
      </c>
      <c r="E9" s="213">
        <v>92303</v>
      </c>
      <c r="F9" s="213" t="s">
        <v>725</v>
      </c>
      <c r="G9" s="213">
        <v>847922</v>
      </c>
      <c r="H9" s="213">
        <v>730163</v>
      </c>
      <c r="I9" s="213">
        <v>6.8</v>
      </c>
      <c r="J9" s="213" t="s">
        <v>793</v>
      </c>
      <c r="K9" s="213" t="s">
        <v>727</v>
      </c>
      <c r="L9" s="213" t="s">
        <v>656</v>
      </c>
      <c r="M9" s="213" t="s">
        <v>728</v>
      </c>
      <c r="N9" s="213" t="s">
        <v>728</v>
      </c>
      <c r="O9" s="213" t="s">
        <v>729</v>
      </c>
      <c r="P9" s="213" t="s">
        <v>710</v>
      </c>
      <c r="Q9" s="213">
        <v>25.8</v>
      </c>
      <c r="R9" s="213">
        <v>137</v>
      </c>
      <c r="S9" s="213" t="s">
        <v>710</v>
      </c>
      <c r="T9" s="213">
        <v>-9999</v>
      </c>
      <c r="U9" s="213">
        <v>191</v>
      </c>
      <c r="V9" s="213">
        <v>404</v>
      </c>
      <c r="W9" s="213">
        <v>187</v>
      </c>
      <c r="X9" s="213" t="s">
        <v>710</v>
      </c>
      <c r="Y9" s="213">
        <v>0</v>
      </c>
      <c r="Z9" s="213">
        <v>40</v>
      </c>
      <c r="AA9" s="213" t="s">
        <v>730</v>
      </c>
      <c r="AB9" s="213" t="s">
        <v>731</v>
      </c>
      <c r="AC9" s="213" t="s">
        <v>729</v>
      </c>
      <c r="AD9" s="213" t="s">
        <v>732</v>
      </c>
      <c r="AE9" s="213">
        <v>0</v>
      </c>
      <c r="AF9" s="213">
        <v>3</v>
      </c>
      <c r="AG9" s="213" t="s">
        <v>249</v>
      </c>
      <c r="AH9" s="213">
        <v>-9999</v>
      </c>
      <c r="AI9" s="213">
        <v>175</v>
      </c>
      <c r="AJ9" s="213">
        <v>413</v>
      </c>
      <c r="AK9" s="213">
        <v>174</v>
      </c>
      <c r="AL9" s="213" t="s">
        <v>710</v>
      </c>
      <c r="AM9" s="213">
        <v>0</v>
      </c>
      <c r="AN9" s="213">
        <v>40</v>
      </c>
      <c r="AO9" s="213" t="s">
        <v>733</v>
      </c>
      <c r="AP9" s="213" t="s">
        <v>734</v>
      </c>
      <c r="AQ9" s="213">
        <v>1</v>
      </c>
      <c r="AR9" s="213" t="s">
        <v>735</v>
      </c>
      <c r="AS9" s="213">
        <v>0</v>
      </c>
      <c r="AT9" s="213">
        <v>-11</v>
      </c>
      <c r="AU9" s="213" t="s">
        <v>249</v>
      </c>
      <c r="AV9" s="213">
        <v>-9999</v>
      </c>
      <c r="AW9" s="213">
        <v>248</v>
      </c>
      <c r="AX9" s="213">
        <v>622</v>
      </c>
      <c r="AY9" s="213">
        <v>246</v>
      </c>
      <c r="AZ9" s="213" t="s">
        <v>710</v>
      </c>
      <c r="BA9" s="213">
        <v>0</v>
      </c>
      <c r="BB9" s="213">
        <v>40</v>
      </c>
      <c r="BC9" s="213" t="s">
        <v>736</v>
      </c>
      <c r="BD9" s="213" t="s">
        <v>734</v>
      </c>
      <c r="BE9" s="213">
        <v>2</v>
      </c>
      <c r="BF9" s="213" t="s">
        <v>735</v>
      </c>
      <c r="BG9" s="213">
        <v>0</v>
      </c>
      <c r="BH9" s="213">
        <v>0</v>
      </c>
      <c r="BI9" s="213" t="s">
        <v>249</v>
      </c>
      <c r="BJ9" s="213">
        <v>-9999</v>
      </c>
      <c r="BK9" s="213">
        <v>93</v>
      </c>
      <c r="BL9" s="213">
        <v>286</v>
      </c>
      <c r="BM9" s="213">
        <v>91</v>
      </c>
      <c r="BN9" s="213" t="s">
        <v>710</v>
      </c>
      <c r="BO9" s="213">
        <v>0</v>
      </c>
      <c r="BP9" s="213">
        <v>40</v>
      </c>
      <c r="BQ9" s="213" t="s">
        <v>737</v>
      </c>
      <c r="BR9" s="213" t="s">
        <v>734</v>
      </c>
      <c r="BS9" s="213">
        <v>3</v>
      </c>
      <c r="BT9" s="213" t="s">
        <v>735</v>
      </c>
      <c r="BU9" s="213">
        <v>0</v>
      </c>
      <c r="BV9" s="213">
        <v>2</v>
      </c>
      <c r="BW9" s="213" t="s">
        <v>249</v>
      </c>
      <c r="BX9" s="213">
        <v>-9999</v>
      </c>
      <c r="BY9" s="213">
        <v>147</v>
      </c>
      <c r="BZ9" s="213">
        <v>352</v>
      </c>
      <c r="CA9" s="213">
        <v>148</v>
      </c>
      <c r="CB9" s="213" t="s">
        <v>710</v>
      </c>
      <c r="CC9" s="213">
        <v>0</v>
      </c>
      <c r="CD9" s="213">
        <v>40</v>
      </c>
      <c r="CE9" s="213" t="s">
        <v>738</v>
      </c>
      <c r="CF9" s="213" t="s">
        <v>734</v>
      </c>
      <c r="CG9" s="213">
        <v>4</v>
      </c>
      <c r="CH9" s="213" t="s">
        <v>735</v>
      </c>
      <c r="CI9" s="213">
        <v>0</v>
      </c>
      <c r="CJ9" s="213">
        <v>6</v>
      </c>
      <c r="CK9" s="213" t="s">
        <v>249</v>
      </c>
      <c r="CL9" s="213">
        <v>-9999</v>
      </c>
      <c r="CM9" s="213">
        <v>109</v>
      </c>
      <c r="CN9" s="213">
        <v>298</v>
      </c>
      <c r="CO9" s="213">
        <v>108</v>
      </c>
      <c r="CP9" s="213" t="s">
        <v>710</v>
      </c>
      <c r="CQ9" s="213">
        <v>0</v>
      </c>
      <c r="CR9" s="213">
        <v>40</v>
      </c>
      <c r="CS9" s="213" t="s">
        <v>739</v>
      </c>
      <c r="CT9" s="213" t="s">
        <v>740</v>
      </c>
      <c r="CU9" s="213">
        <v>90</v>
      </c>
      <c r="CV9" s="213">
        <v>90</v>
      </c>
      <c r="CW9" s="213">
        <v>90</v>
      </c>
      <c r="CX9" s="213" t="s">
        <v>710</v>
      </c>
      <c r="CY9" s="213" t="s">
        <v>741</v>
      </c>
      <c r="CZ9" s="213" t="s">
        <v>740</v>
      </c>
      <c r="DA9" s="213">
        <v>91</v>
      </c>
      <c r="DB9" s="213">
        <v>91</v>
      </c>
      <c r="DC9" s="213">
        <v>91</v>
      </c>
      <c r="DD9" s="213" t="s">
        <v>710</v>
      </c>
      <c r="DE9" s="213" t="s">
        <v>742</v>
      </c>
      <c r="DF9" s="213" t="s">
        <v>743</v>
      </c>
      <c r="DG9" s="213">
        <v>0</v>
      </c>
      <c r="DH9" s="213">
        <v>0</v>
      </c>
      <c r="DI9" s="213">
        <v>0</v>
      </c>
      <c r="DJ9" s="213" t="s">
        <v>249</v>
      </c>
      <c r="DM9" s="213" t="s">
        <v>744</v>
      </c>
      <c r="DN9" s="213" t="s">
        <v>743</v>
      </c>
      <c r="DO9" s="213">
        <v>0</v>
      </c>
      <c r="DP9" s="213">
        <v>0</v>
      </c>
      <c r="DQ9" s="213">
        <v>0</v>
      </c>
      <c r="DR9" s="213" t="s">
        <v>249</v>
      </c>
      <c r="DU9" s="213" t="s">
        <v>745</v>
      </c>
      <c r="DV9" s="213" t="s">
        <v>743</v>
      </c>
      <c r="DW9" s="213">
        <v>0</v>
      </c>
      <c r="DX9" s="213">
        <v>0</v>
      </c>
      <c r="DY9" s="213">
        <v>0</v>
      </c>
      <c r="DZ9" s="213" t="s">
        <v>249</v>
      </c>
      <c r="EC9" s="213" t="s">
        <v>746</v>
      </c>
      <c r="ED9" s="213" t="s">
        <v>743</v>
      </c>
      <c r="EE9" s="213">
        <v>0</v>
      </c>
      <c r="EF9" s="213">
        <v>0</v>
      </c>
      <c r="EG9" s="213">
        <v>0</v>
      </c>
      <c r="EH9" s="213" t="s">
        <v>249</v>
      </c>
      <c r="EK9" s="213" t="s">
        <v>747</v>
      </c>
      <c r="EL9" s="213" t="s">
        <v>743</v>
      </c>
      <c r="EM9" s="213">
        <v>0</v>
      </c>
      <c r="EN9" s="213">
        <v>0</v>
      </c>
      <c r="EO9" s="213">
        <v>0</v>
      </c>
      <c r="EP9" s="213" t="s">
        <v>249</v>
      </c>
      <c r="ES9" s="213" t="s">
        <v>748</v>
      </c>
      <c r="ET9" s="213" t="s">
        <v>743</v>
      </c>
      <c r="EU9" s="213">
        <v>0</v>
      </c>
      <c r="EV9" s="213">
        <v>0</v>
      </c>
      <c r="EW9" s="213">
        <v>0</v>
      </c>
      <c r="EX9" s="213" t="s">
        <v>249</v>
      </c>
      <c r="FA9" s="213" t="s">
        <v>749</v>
      </c>
      <c r="FB9" s="213" t="s">
        <v>743</v>
      </c>
      <c r="FC9" s="213">
        <v>0</v>
      </c>
      <c r="FD9" s="213">
        <v>0</v>
      </c>
      <c r="FE9" s="213">
        <v>0</v>
      </c>
      <c r="FF9" s="213" t="s">
        <v>249</v>
      </c>
      <c r="FI9" s="213" t="s">
        <v>750</v>
      </c>
      <c r="FJ9" s="213" t="s">
        <v>743</v>
      </c>
      <c r="FK9" s="213">
        <v>0</v>
      </c>
      <c r="FL9" s="213">
        <v>0</v>
      </c>
      <c r="FM9" s="213">
        <v>0</v>
      </c>
      <c r="FN9" s="213" t="s">
        <v>249</v>
      </c>
      <c r="FQ9" s="213" t="s">
        <v>751</v>
      </c>
      <c r="FR9" s="213" t="s">
        <v>743</v>
      </c>
      <c r="FS9" s="213">
        <v>0</v>
      </c>
      <c r="FT9" s="213">
        <v>0</v>
      </c>
      <c r="FU9" s="213">
        <v>0</v>
      </c>
      <c r="FV9" s="213" t="s">
        <v>249</v>
      </c>
      <c r="FY9" s="213">
        <v>15.5</v>
      </c>
      <c r="FZ9" s="213">
        <v>-12.3</v>
      </c>
      <c r="GF9" s="213" t="s">
        <v>752</v>
      </c>
    </row>
    <row r="10" spans="1:188" s="213" customFormat="1" x14ac:dyDescent="0.15">
      <c r="A10" s="213" t="s">
        <v>654</v>
      </c>
      <c r="B10" s="213">
        <v>4</v>
      </c>
      <c r="C10" s="213" t="s">
        <v>785</v>
      </c>
      <c r="D10" s="213">
        <v>614332267</v>
      </c>
      <c r="E10" s="213">
        <v>92303</v>
      </c>
      <c r="F10" s="213" t="s">
        <v>725</v>
      </c>
      <c r="G10" s="213">
        <v>847922</v>
      </c>
      <c r="H10" s="213">
        <v>892236</v>
      </c>
      <c r="I10" s="213">
        <v>6.8</v>
      </c>
      <c r="J10" s="213" t="s">
        <v>786</v>
      </c>
      <c r="K10" s="213" t="s">
        <v>727</v>
      </c>
      <c r="L10" s="213" t="s">
        <v>656</v>
      </c>
      <c r="M10" s="213" t="s">
        <v>728</v>
      </c>
      <c r="N10" s="213" t="s">
        <v>728</v>
      </c>
      <c r="O10" s="213" t="s">
        <v>729</v>
      </c>
      <c r="P10" s="213" t="s">
        <v>710</v>
      </c>
      <c r="Q10" s="213">
        <v>25</v>
      </c>
      <c r="R10" s="213">
        <v>147</v>
      </c>
      <c r="S10" s="213" t="s">
        <v>710</v>
      </c>
      <c r="T10" s="213">
        <v>-9999</v>
      </c>
      <c r="U10" s="213">
        <v>213</v>
      </c>
      <c r="V10" s="213">
        <v>466</v>
      </c>
      <c r="W10" s="213">
        <v>208</v>
      </c>
      <c r="X10" s="213" t="s">
        <v>710</v>
      </c>
      <c r="Y10" s="213">
        <v>0</v>
      </c>
      <c r="Z10" s="213">
        <v>40</v>
      </c>
      <c r="AA10" s="213" t="s">
        <v>730</v>
      </c>
      <c r="AB10" s="213" t="s">
        <v>731</v>
      </c>
      <c r="AC10" s="213" t="s">
        <v>729</v>
      </c>
      <c r="AD10" s="213" t="s">
        <v>732</v>
      </c>
      <c r="AE10" s="213">
        <v>0</v>
      </c>
      <c r="AF10" s="213">
        <v>5</v>
      </c>
      <c r="AG10" s="213" t="s">
        <v>249</v>
      </c>
      <c r="AH10" s="213">
        <v>-9999</v>
      </c>
      <c r="AI10" s="213">
        <v>216</v>
      </c>
      <c r="AJ10" s="213">
        <v>515</v>
      </c>
      <c r="AK10" s="213">
        <v>214</v>
      </c>
      <c r="AL10" s="213" t="s">
        <v>710</v>
      </c>
      <c r="AM10" s="213">
        <v>0</v>
      </c>
      <c r="AN10" s="213">
        <v>40</v>
      </c>
      <c r="AO10" s="213" t="s">
        <v>733</v>
      </c>
      <c r="AP10" s="213" t="s">
        <v>734</v>
      </c>
      <c r="AQ10" s="213">
        <v>1</v>
      </c>
      <c r="AR10" s="213" t="s">
        <v>735</v>
      </c>
      <c r="AS10" s="213">
        <v>0</v>
      </c>
      <c r="AT10" s="213">
        <v>3</v>
      </c>
      <c r="AU10" s="213" t="s">
        <v>249</v>
      </c>
      <c r="AV10" s="213">
        <v>-9999</v>
      </c>
      <c r="AW10" s="213">
        <v>268</v>
      </c>
      <c r="AX10" s="213">
        <v>662</v>
      </c>
      <c r="AY10" s="213">
        <v>266</v>
      </c>
      <c r="AZ10" s="213" t="s">
        <v>710</v>
      </c>
      <c r="BA10" s="213">
        <v>0</v>
      </c>
      <c r="BB10" s="213">
        <v>40</v>
      </c>
      <c r="BC10" s="213" t="s">
        <v>736</v>
      </c>
      <c r="BD10" s="213" t="s">
        <v>734</v>
      </c>
      <c r="BE10" s="213">
        <v>2</v>
      </c>
      <c r="BF10" s="213" t="s">
        <v>735</v>
      </c>
      <c r="BG10" s="213">
        <v>0</v>
      </c>
      <c r="BH10" s="213">
        <v>4</v>
      </c>
      <c r="BI10" s="213" t="s">
        <v>249</v>
      </c>
      <c r="BJ10" s="213">
        <v>-9999</v>
      </c>
      <c r="BK10" s="213">
        <v>110</v>
      </c>
      <c r="BL10" s="213">
        <v>331</v>
      </c>
      <c r="BM10" s="213">
        <v>109</v>
      </c>
      <c r="BN10" s="213" t="s">
        <v>710</v>
      </c>
      <c r="BO10" s="213">
        <v>0</v>
      </c>
      <c r="BP10" s="213">
        <v>40</v>
      </c>
      <c r="BQ10" s="213" t="s">
        <v>737</v>
      </c>
      <c r="BR10" s="213" t="s">
        <v>734</v>
      </c>
      <c r="BS10" s="213">
        <v>3</v>
      </c>
      <c r="BT10" s="213" t="s">
        <v>735</v>
      </c>
      <c r="BU10" s="213">
        <v>0</v>
      </c>
      <c r="BV10" s="213">
        <v>4</v>
      </c>
      <c r="BW10" s="213" t="s">
        <v>249</v>
      </c>
      <c r="BX10" s="213">
        <v>-9999</v>
      </c>
      <c r="BY10" s="213">
        <v>195</v>
      </c>
      <c r="BZ10" s="213">
        <v>468</v>
      </c>
      <c r="CA10" s="213">
        <v>193</v>
      </c>
      <c r="CB10" s="213" t="s">
        <v>710</v>
      </c>
      <c r="CC10" s="213">
        <v>0</v>
      </c>
      <c r="CD10" s="213">
        <v>40</v>
      </c>
      <c r="CE10" s="213" t="s">
        <v>738</v>
      </c>
      <c r="CF10" s="213" t="s">
        <v>734</v>
      </c>
      <c r="CG10" s="213">
        <v>4</v>
      </c>
      <c r="CH10" s="213" t="s">
        <v>735</v>
      </c>
      <c r="CI10" s="213">
        <v>0</v>
      </c>
      <c r="CJ10" s="213">
        <v>6</v>
      </c>
      <c r="CK10" s="213" t="s">
        <v>249</v>
      </c>
      <c r="CL10" s="213">
        <v>-9999</v>
      </c>
      <c r="CM10" s="213">
        <v>133</v>
      </c>
      <c r="CN10" s="213">
        <v>344</v>
      </c>
      <c r="CO10" s="213">
        <v>130</v>
      </c>
      <c r="CP10" s="213" t="s">
        <v>710</v>
      </c>
      <c r="CQ10" s="213">
        <v>0</v>
      </c>
      <c r="CR10" s="213">
        <v>40</v>
      </c>
      <c r="CS10" s="213" t="s">
        <v>739</v>
      </c>
      <c r="CT10" s="213" t="s">
        <v>740</v>
      </c>
      <c r="CU10" s="213">
        <v>106</v>
      </c>
      <c r="CV10" s="213">
        <v>105</v>
      </c>
      <c r="CW10" s="213">
        <v>105</v>
      </c>
      <c r="CX10" s="213" t="s">
        <v>710</v>
      </c>
      <c r="CY10" s="213" t="s">
        <v>741</v>
      </c>
      <c r="CZ10" s="213" t="s">
        <v>740</v>
      </c>
      <c r="DA10" s="213">
        <v>116</v>
      </c>
      <c r="DB10" s="213">
        <v>116</v>
      </c>
      <c r="DC10" s="213">
        <v>115</v>
      </c>
      <c r="DD10" s="213" t="s">
        <v>710</v>
      </c>
      <c r="DE10" s="213" t="s">
        <v>742</v>
      </c>
      <c r="DF10" s="213" t="s">
        <v>743</v>
      </c>
      <c r="DG10" s="213">
        <v>0</v>
      </c>
      <c r="DH10" s="213">
        <v>0</v>
      </c>
      <c r="DI10" s="213">
        <v>0</v>
      </c>
      <c r="DJ10" s="213" t="s">
        <v>249</v>
      </c>
      <c r="DM10" s="213" t="s">
        <v>744</v>
      </c>
      <c r="DN10" s="213" t="s">
        <v>743</v>
      </c>
      <c r="DO10" s="213">
        <v>0</v>
      </c>
      <c r="DP10" s="213">
        <v>0</v>
      </c>
      <c r="DQ10" s="213">
        <v>0</v>
      </c>
      <c r="DR10" s="213" t="s">
        <v>249</v>
      </c>
      <c r="DU10" s="213" t="s">
        <v>745</v>
      </c>
      <c r="DV10" s="213" t="s">
        <v>743</v>
      </c>
      <c r="DW10" s="213">
        <v>0</v>
      </c>
      <c r="DX10" s="213">
        <v>0</v>
      </c>
      <c r="DY10" s="213">
        <v>0</v>
      </c>
      <c r="DZ10" s="213" t="s">
        <v>249</v>
      </c>
      <c r="EC10" s="213" t="s">
        <v>746</v>
      </c>
      <c r="ED10" s="213" t="s">
        <v>743</v>
      </c>
      <c r="EE10" s="213">
        <v>0</v>
      </c>
      <c r="EF10" s="213">
        <v>0</v>
      </c>
      <c r="EG10" s="213">
        <v>0</v>
      </c>
      <c r="EH10" s="213" t="s">
        <v>249</v>
      </c>
      <c r="EK10" s="213" t="s">
        <v>747</v>
      </c>
      <c r="EL10" s="213" t="s">
        <v>743</v>
      </c>
      <c r="EM10" s="213">
        <v>0</v>
      </c>
      <c r="EN10" s="213">
        <v>0</v>
      </c>
      <c r="EO10" s="213">
        <v>0</v>
      </c>
      <c r="EP10" s="213" t="s">
        <v>249</v>
      </c>
      <c r="ES10" s="213" t="s">
        <v>748</v>
      </c>
      <c r="ET10" s="213" t="s">
        <v>743</v>
      </c>
      <c r="EU10" s="213">
        <v>0</v>
      </c>
      <c r="EV10" s="213">
        <v>0</v>
      </c>
      <c r="EW10" s="213">
        <v>0</v>
      </c>
      <c r="EX10" s="213" t="s">
        <v>249</v>
      </c>
      <c r="FA10" s="213" t="s">
        <v>749</v>
      </c>
      <c r="FB10" s="213" t="s">
        <v>743</v>
      </c>
      <c r="FC10" s="213">
        <v>0</v>
      </c>
      <c r="FD10" s="213">
        <v>0</v>
      </c>
      <c r="FE10" s="213">
        <v>0</v>
      </c>
      <c r="FF10" s="213" t="s">
        <v>249</v>
      </c>
      <c r="FI10" s="213" t="s">
        <v>750</v>
      </c>
      <c r="FJ10" s="213" t="s">
        <v>743</v>
      </c>
      <c r="FK10" s="213">
        <v>0</v>
      </c>
      <c r="FL10" s="213">
        <v>0</v>
      </c>
      <c r="FM10" s="213">
        <v>0</v>
      </c>
      <c r="FN10" s="213" t="s">
        <v>249</v>
      </c>
      <c r="FQ10" s="213" t="s">
        <v>751</v>
      </c>
      <c r="FR10" s="213" t="s">
        <v>743</v>
      </c>
      <c r="FS10" s="213">
        <v>0</v>
      </c>
      <c r="FT10" s="213">
        <v>0</v>
      </c>
      <c r="FU10" s="213">
        <v>0</v>
      </c>
      <c r="FV10" s="213" t="s">
        <v>249</v>
      </c>
      <c r="FY10" s="213">
        <v>18.899999999999999</v>
      </c>
      <c r="FZ10" s="213">
        <v>-7.3</v>
      </c>
      <c r="GF10" s="213" t="s">
        <v>752</v>
      </c>
    </row>
    <row r="11" spans="1:188" s="213" customFormat="1" x14ac:dyDescent="0.15">
      <c r="A11" s="213" t="s">
        <v>654</v>
      </c>
      <c r="B11" s="213">
        <v>4</v>
      </c>
      <c r="C11" s="213" t="s">
        <v>787</v>
      </c>
      <c r="D11" s="213">
        <v>614332259</v>
      </c>
      <c r="E11" s="213">
        <v>92303</v>
      </c>
      <c r="F11" s="213" t="s">
        <v>725</v>
      </c>
      <c r="G11" s="213">
        <v>847922</v>
      </c>
      <c r="H11" s="213">
        <v>210096147</v>
      </c>
      <c r="I11" s="213">
        <v>6.8</v>
      </c>
      <c r="J11" s="213" t="s">
        <v>788</v>
      </c>
      <c r="K11" s="213" t="s">
        <v>727</v>
      </c>
      <c r="L11" s="213" t="s">
        <v>656</v>
      </c>
      <c r="M11" s="213" t="s">
        <v>728</v>
      </c>
      <c r="N11" s="213" t="s">
        <v>728</v>
      </c>
      <c r="O11" s="213" t="s">
        <v>729</v>
      </c>
      <c r="P11" s="213" t="s">
        <v>710</v>
      </c>
      <c r="Q11" s="213">
        <v>24.2</v>
      </c>
      <c r="R11" s="213">
        <v>143</v>
      </c>
      <c r="S11" s="213" t="s">
        <v>710</v>
      </c>
      <c r="T11" s="213">
        <v>-9999</v>
      </c>
      <c r="U11" s="213">
        <v>184</v>
      </c>
      <c r="V11" s="213">
        <v>394</v>
      </c>
      <c r="W11" s="213">
        <v>179</v>
      </c>
      <c r="X11" s="213" t="s">
        <v>710</v>
      </c>
      <c r="Y11" s="213">
        <v>0</v>
      </c>
      <c r="Z11" s="213">
        <v>40</v>
      </c>
      <c r="AA11" s="213" t="s">
        <v>730</v>
      </c>
      <c r="AB11" s="213" t="s">
        <v>731</v>
      </c>
      <c r="AC11" s="213" t="s">
        <v>729</v>
      </c>
      <c r="AD11" s="213" t="s">
        <v>732</v>
      </c>
      <c r="AE11" s="213">
        <v>0</v>
      </c>
      <c r="AF11" s="213">
        <v>5</v>
      </c>
      <c r="AG11" s="213" t="s">
        <v>249</v>
      </c>
      <c r="AH11" s="213">
        <v>-9999</v>
      </c>
      <c r="AI11" s="213">
        <v>157</v>
      </c>
      <c r="AJ11" s="213">
        <v>372</v>
      </c>
      <c r="AK11" s="213">
        <v>155</v>
      </c>
      <c r="AL11" s="213" t="s">
        <v>710</v>
      </c>
      <c r="AM11" s="213">
        <v>0</v>
      </c>
      <c r="AN11" s="213">
        <v>40</v>
      </c>
      <c r="AO11" s="213" t="s">
        <v>733</v>
      </c>
      <c r="AP11" s="213" t="s">
        <v>734</v>
      </c>
      <c r="AQ11" s="213">
        <v>1</v>
      </c>
      <c r="AR11" s="213" t="s">
        <v>735</v>
      </c>
      <c r="AS11" s="213">
        <v>0</v>
      </c>
      <c r="AT11" s="213">
        <v>8</v>
      </c>
      <c r="AU11" s="213" t="s">
        <v>249</v>
      </c>
      <c r="AV11" s="213">
        <v>-9999</v>
      </c>
      <c r="AW11" s="213">
        <v>212</v>
      </c>
      <c r="AX11" s="213">
        <v>520</v>
      </c>
      <c r="AY11" s="213">
        <v>210</v>
      </c>
      <c r="AZ11" s="213" t="s">
        <v>710</v>
      </c>
      <c r="BA11" s="213">
        <v>0</v>
      </c>
      <c r="BB11" s="213">
        <v>40</v>
      </c>
      <c r="BC11" s="213" t="s">
        <v>736</v>
      </c>
      <c r="BD11" s="213" t="s">
        <v>734</v>
      </c>
      <c r="BE11" s="213">
        <v>2</v>
      </c>
      <c r="BF11" s="213" t="s">
        <v>735</v>
      </c>
      <c r="BG11" s="213">
        <v>0</v>
      </c>
      <c r="BH11" s="213">
        <v>3</v>
      </c>
      <c r="BI11" s="213" t="s">
        <v>249</v>
      </c>
      <c r="BJ11" s="213">
        <v>-9999</v>
      </c>
      <c r="BK11" s="213">
        <v>99</v>
      </c>
      <c r="BL11" s="213">
        <v>298</v>
      </c>
      <c r="BM11" s="213">
        <v>97</v>
      </c>
      <c r="BN11" s="213" t="s">
        <v>710</v>
      </c>
      <c r="BO11" s="213">
        <v>0</v>
      </c>
      <c r="BP11" s="213">
        <v>40</v>
      </c>
      <c r="BQ11" s="213" t="s">
        <v>737</v>
      </c>
      <c r="BR11" s="213" t="s">
        <v>734</v>
      </c>
      <c r="BS11" s="213">
        <v>3</v>
      </c>
      <c r="BT11" s="213" t="s">
        <v>735</v>
      </c>
      <c r="BU11" s="213">
        <v>0</v>
      </c>
      <c r="BV11" s="213">
        <v>6</v>
      </c>
      <c r="BW11" s="213" t="s">
        <v>249</v>
      </c>
      <c r="BX11" s="213">
        <v>-9999</v>
      </c>
      <c r="BY11" s="213">
        <v>164</v>
      </c>
      <c r="BZ11" s="213">
        <v>363</v>
      </c>
      <c r="CA11" s="213">
        <v>163</v>
      </c>
      <c r="CB11" s="213" t="s">
        <v>710</v>
      </c>
      <c r="CC11" s="213">
        <v>0</v>
      </c>
      <c r="CD11" s="213">
        <v>40</v>
      </c>
      <c r="CE11" s="213" t="s">
        <v>738</v>
      </c>
      <c r="CF11" s="213" t="s">
        <v>734</v>
      </c>
      <c r="CG11" s="213">
        <v>4</v>
      </c>
      <c r="CH11" s="213" t="s">
        <v>735</v>
      </c>
      <c r="CI11" s="213">
        <v>0</v>
      </c>
      <c r="CJ11" s="213">
        <v>8</v>
      </c>
      <c r="CK11" s="213" t="s">
        <v>249</v>
      </c>
      <c r="CL11" s="213">
        <v>-9999</v>
      </c>
      <c r="CM11" s="213">
        <v>112</v>
      </c>
      <c r="CN11" s="213">
        <v>289</v>
      </c>
      <c r="CO11" s="213">
        <v>110</v>
      </c>
      <c r="CP11" s="213" t="s">
        <v>710</v>
      </c>
      <c r="CQ11" s="213">
        <v>0</v>
      </c>
      <c r="CR11" s="213">
        <v>40</v>
      </c>
      <c r="CS11" s="213" t="s">
        <v>739</v>
      </c>
      <c r="CT11" s="213" t="s">
        <v>740</v>
      </c>
      <c r="CU11" s="213">
        <v>95</v>
      </c>
      <c r="CV11" s="213">
        <v>94</v>
      </c>
      <c r="CW11" s="213">
        <v>94</v>
      </c>
      <c r="CX11" s="213" t="s">
        <v>710</v>
      </c>
      <c r="CY11" s="213" t="s">
        <v>741</v>
      </c>
      <c r="CZ11" s="213" t="s">
        <v>740</v>
      </c>
      <c r="DA11" s="213">
        <v>113</v>
      </c>
      <c r="DB11" s="213">
        <v>113</v>
      </c>
      <c r="DC11" s="213">
        <v>112</v>
      </c>
      <c r="DD11" s="213" t="s">
        <v>710</v>
      </c>
      <c r="DE11" s="213" t="s">
        <v>742</v>
      </c>
      <c r="DF11" s="213" t="s">
        <v>743</v>
      </c>
      <c r="DG11" s="213">
        <v>0</v>
      </c>
      <c r="DH11" s="213">
        <v>0</v>
      </c>
      <c r="DI11" s="213">
        <v>0</v>
      </c>
      <c r="DJ11" s="213" t="s">
        <v>249</v>
      </c>
      <c r="DM11" s="213" t="s">
        <v>744</v>
      </c>
      <c r="DN11" s="213" t="s">
        <v>743</v>
      </c>
      <c r="DO11" s="213">
        <v>0</v>
      </c>
      <c r="DP11" s="213">
        <v>0</v>
      </c>
      <c r="DQ11" s="213">
        <v>0</v>
      </c>
      <c r="DR11" s="213" t="s">
        <v>249</v>
      </c>
      <c r="DU11" s="213" t="s">
        <v>745</v>
      </c>
      <c r="DV11" s="213" t="s">
        <v>743</v>
      </c>
      <c r="DW11" s="213">
        <v>0</v>
      </c>
      <c r="DX11" s="213">
        <v>0</v>
      </c>
      <c r="DY11" s="213">
        <v>0</v>
      </c>
      <c r="DZ11" s="213" t="s">
        <v>249</v>
      </c>
      <c r="EC11" s="213" t="s">
        <v>746</v>
      </c>
      <c r="ED11" s="213" t="s">
        <v>743</v>
      </c>
      <c r="EE11" s="213">
        <v>0</v>
      </c>
      <c r="EF11" s="213">
        <v>0</v>
      </c>
      <c r="EG11" s="213">
        <v>0</v>
      </c>
      <c r="EH11" s="213" t="s">
        <v>249</v>
      </c>
      <c r="EK11" s="213" t="s">
        <v>747</v>
      </c>
      <c r="EL11" s="213" t="s">
        <v>743</v>
      </c>
      <c r="EM11" s="213">
        <v>0</v>
      </c>
      <c r="EN11" s="213">
        <v>0</v>
      </c>
      <c r="EO11" s="213">
        <v>0</v>
      </c>
      <c r="EP11" s="213" t="s">
        <v>249</v>
      </c>
      <c r="ES11" s="213" t="s">
        <v>748</v>
      </c>
      <c r="ET11" s="213" t="s">
        <v>743</v>
      </c>
      <c r="EU11" s="213">
        <v>0</v>
      </c>
      <c r="EV11" s="213">
        <v>0</v>
      </c>
      <c r="EW11" s="213">
        <v>0</v>
      </c>
      <c r="EX11" s="213" t="s">
        <v>249</v>
      </c>
      <c r="FA11" s="213" t="s">
        <v>749</v>
      </c>
      <c r="FB11" s="213" t="s">
        <v>743</v>
      </c>
      <c r="FC11" s="213">
        <v>0</v>
      </c>
      <c r="FD11" s="213">
        <v>0</v>
      </c>
      <c r="FE11" s="213">
        <v>0</v>
      </c>
      <c r="FF11" s="213" t="s">
        <v>249</v>
      </c>
      <c r="FI11" s="213" t="s">
        <v>750</v>
      </c>
      <c r="FJ11" s="213" t="s">
        <v>743</v>
      </c>
      <c r="FK11" s="213">
        <v>0</v>
      </c>
      <c r="FL11" s="213">
        <v>0</v>
      </c>
      <c r="FM11" s="213">
        <v>0</v>
      </c>
      <c r="FN11" s="213" t="s">
        <v>249</v>
      </c>
      <c r="FQ11" s="213" t="s">
        <v>751</v>
      </c>
      <c r="FR11" s="213" t="s">
        <v>743</v>
      </c>
      <c r="FS11" s="213">
        <v>0</v>
      </c>
      <c r="FT11" s="213">
        <v>0</v>
      </c>
      <c r="FU11" s="213">
        <v>0</v>
      </c>
      <c r="FV11" s="213" t="s">
        <v>249</v>
      </c>
      <c r="FY11" s="213">
        <v>17.100000000000001</v>
      </c>
      <c r="FZ11" s="213">
        <v>-8</v>
      </c>
      <c r="GF11" s="213" t="s">
        <v>752</v>
      </c>
    </row>
    <row r="12" spans="1:188" s="213" customFormat="1" x14ac:dyDescent="0.15">
      <c r="A12" s="213" t="s">
        <v>654</v>
      </c>
      <c r="B12" s="213">
        <v>4</v>
      </c>
      <c r="C12" s="213" t="s">
        <v>814</v>
      </c>
      <c r="D12" s="213">
        <v>614333120</v>
      </c>
      <c r="E12" s="213">
        <v>92303</v>
      </c>
      <c r="F12" s="213" t="s">
        <v>725</v>
      </c>
      <c r="G12" s="213">
        <v>847922</v>
      </c>
      <c r="H12" s="213">
        <v>897302</v>
      </c>
      <c r="I12" s="213">
        <v>6.8</v>
      </c>
      <c r="J12" s="213" t="s">
        <v>815</v>
      </c>
      <c r="K12" s="213" t="s">
        <v>727</v>
      </c>
      <c r="L12" s="213" t="s">
        <v>656</v>
      </c>
      <c r="M12" s="213" t="s">
        <v>728</v>
      </c>
      <c r="N12" s="213" t="s">
        <v>728</v>
      </c>
      <c r="O12" s="213" t="s">
        <v>729</v>
      </c>
      <c r="P12" s="213" t="s">
        <v>710</v>
      </c>
      <c r="Q12" s="213">
        <v>24.4</v>
      </c>
      <c r="R12" s="213">
        <v>140</v>
      </c>
      <c r="S12" s="213" t="s">
        <v>710</v>
      </c>
      <c r="T12" s="213">
        <v>-9999</v>
      </c>
      <c r="U12" s="213">
        <v>260</v>
      </c>
      <c r="V12" s="213">
        <v>561</v>
      </c>
      <c r="W12" s="213">
        <v>255</v>
      </c>
      <c r="X12" s="213" t="s">
        <v>710</v>
      </c>
      <c r="Y12" s="213">
        <v>0</v>
      </c>
      <c r="Z12" s="213">
        <v>40</v>
      </c>
      <c r="AA12" s="213" t="s">
        <v>730</v>
      </c>
      <c r="AB12" s="213" t="s">
        <v>731</v>
      </c>
      <c r="AC12" s="213" t="s">
        <v>729</v>
      </c>
      <c r="AD12" s="213" t="s">
        <v>732</v>
      </c>
      <c r="AE12" s="213">
        <v>0</v>
      </c>
      <c r="AF12" s="213">
        <v>6</v>
      </c>
      <c r="AG12" s="213" t="s">
        <v>249</v>
      </c>
      <c r="AH12" s="213">
        <v>-9999</v>
      </c>
      <c r="AI12" s="213">
        <v>199</v>
      </c>
      <c r="AJ12" s="213">
        <v>476</v>
      </c>
      <c r="AK12" s="213">
        <v>197</v>
      </c>
      <c r="AL12" s="213" t="s">
        <v>710</v>
      </c>
      <c r="AM12" s="213">
        <v>0</v>
      </c>
      <c r="AN12" s="213">
        <v>40</v>
      </c>
      <c r="AO12" s="213" t="s">
        <v>733</v>
      </c>
      <c r="AP12" s="213" t="s">
        <v>734</v>
      </c>
      <c r="AQ12" s="213">
        <v>1</v>
      </c>
      <c r="AR12" s="213" t="s">
        <v>735</v>
      </c>
      <c r="AS12" s="213">
        <v>0</v>
      </c>
      <c r="AT12" s="213">
        <v>3</v>
      </c>
      <c r="AU12" s="213" t="s">
        <v>249</v>
      </c>
      <c r="AV12" s="213">
        <v>-9999</v>
      </c>
      <c r="AW12" s="213">
        <v>274</v>
      </c>
      <c r="AX12" s="213">
        <v>674</v>
      </c>
      <c r="AY12" s="213">
        <v>272</v>
      </c>
      <c r="AZ12" s="213" t="s">
        <v>710</v>
      </c>
      <c r="BA12" s="213">
        <v>0</v>
      </c>
      <c r="BB12" s="213">
        <v>40</v>
      </c>
      <c r="BC12" s="213" t="s">
        <v>736</v>
      </c>
      <c r="BD12" s="213" t="s">
        <v>734</v>
      </c>
      <c r="BE12" s="213">
        <v>2</v>
      </c>
      <c r="BF12" s="213" t="s">
        <v>735</v>
      </c>
      <c r="BG12" s="213">
        <v>0</v>
      </c>
      <c r="BH12" s="213">
        <v>1</v>
      </c>
      <c r="BI12" s="213" t="s">
        <v>249</v>
      </c>
      <c r="BJ12" s="213">
        <v>-9999</v>
      </c>
      <c r="BK12" s="213">
        <v>127</v>
      </c>
      <c r="BL12" s="213">
        <v>392</v>
      </c>
      <c r="BM12" s="213">
        <v>124</v>
      </c>
      <c r="BN12" s="213" t="s">
        <v>710</v>
      </c>
      <c r="BO12" s="213">
        <v>0</v>
      </c>
      <c r="BP12" s="213">
        <v>40</v>
      </c>
      <c r="BQ12" s="213" t="s">
        <v>737</v>
      </c>
      <c r="BR12" s="213" t="s">
        <v>734</v>
      </c>
      <c r="BS12" s="213">
        <v>3</v>
      </c>
      <c r="BT12" s="213" t="s">
        <v>735</v>
      </c>
      <c r="BU12" s="213">
        <v>0</v>
      </c>
      <c r="BV12" s="213">
        <v>6</v>
      </c>
      <c r="BW12" s="213" t="s">
        <v>249</v>
      </c>
      <c r="BX12" s="213">
        <v>-9999</v>
      </c>
      <c r="BY12" s="213">
        <v>174</v>
      </c>
      <c r="BZ12" s="213">
        <v>422</v>
      </c>
      <c r="CA12" s="213">
        <v>174</v>
      </c>
      <c r="CB12" s="213" t="s">
        <v>710</v>
      </c>
      <c r="CC12" s="213">
        <v>0</v>
      </c>
      <c r="CD12" s="213">
        <v>40</v>
      </c>
      <c r="CE12" s="213" t="s">
        <v>738</v>
      </c>
      <c r="CF12" s="213" t="s">
        <v>734</v>
      </c>
      <c r="CG12" s="213">
        <v>4</v>
      </c>
      <c r="CH12" s="213" t="s">
        <v>735</v>
      </c>
      <c r="CI12" s="213">
        <v>0</v>
      </c>
      <c r="CJ12" s="213">
        <v>7</v>
      </c>
      <c r="CK12" s="213" t="s">
        <v>249</v>
      </c>
      <c r="CL12" s="213">
        <v>-9999</v>
      </c>
      <c r="CM12" s="213">
        <v>155</v>
      </c>
      <c r="CN12" s="213">
        <v>403</v>
      </c>
      <c r="CO12" s="213">
        <v>153</v>
      </c>
      <c r="CP12" s="213" t="s">
        <v>710</v>
      </c>
      <c r="CQ12" s="213">
        <v>0</v>
      </c>
      <c r="CR12" s="213">
        <v>40</v>
      </c>
      <c r="CS12" s="213" t="s">
        <v>739</v>
      </c>
      <c r="CT12" s="213" t="s">
        <v>740</v>
      </c>
      <c r="CU12" s="213">
        <v>104</v>
      </c>
      <c r="CV12" s="213">
        <v>104</v>
      </c>
      <c r="CW12" s="213">
        <v>104</v>
      </c>
      <c r="CX12" s="213" t="s">
        <v>710</v>
      </c>
      <c r="CY12" s="213" t="s">
        <v>741</v>
      </c>
      <c r="CZ12" s="213" t="s">
        <v>740</v>
      </c>
      <c r="DA12" s="213">
        <v>112</v>
      </c>
      <c r="DB12" s="213">
        <v>112</v>
      </c>
      <c r="DC12" s="213">
        <v>112</v>
      </c>
      <c r="DD12" s="213" t="s">
        <v>710</v>
      </c>
      <c r="DE12" s="213" t="s">
        <v>742</v>
      </c>
      <c r="DF12" s="213" t="s">
        <v>743</v>
      </c>
      <c r="DG12" s="213">
        <v>0</v>
      </c>
      <c r="DH12" s="213">
        <v>0</v>
      </c>
      <c r="DI12" s="213">
        <v>0</v>
      </c>
      <c r="DJ12" s="213" t="s">
        <v>249</v>
      </c>
      <c r="DM12" s="213" t="s">
        <v>744</v>
      </c>
      <c r="DN12" s="213" t="s">
        <v>743</v>
      </c>
      <c r="DO12" s="213">
        <v>0</v>
      </c>
      <c r="DP12" s="213">
        <v>0</v>
      </c>
      <c r="DQ12" s="213">
        <v>0</v>
      </c>
      <c r="DR12" s="213" t="s">
        <v>249</v>
      </c>
      <c r="DU12" s="213" t="s">
        <v>745</v>
      </c>
      <c r="DV12" s="213" t="s">
        <v>743</v>
      </c>
      <c r="DW12" s="213">
        <v>0</v>
      </c>
      <c r="DX12" s="213">
        <v>0</v>
      </c>
      <c r="DY12" s="213">
        <v>0</v>
      </c>
      <c r="DZ12" s="213" t="s">
        <v>249</v>
      </c>
      <c r="EC12" s="213" t="s">
        <v>746</v>
      </c>
      <c r="ED12" s="213" t="s">
        <v>743</v>
      </c>
      <c r="EE12" s="213">
        <v>0</v>
      </c>
      <c r="EF12" s="213">
        <v>0</v>
      </c>
      <c r="EG12" s="213">
        <v>0</v>
      </c>
      <c r="EH12" s="213" t="s">
        <v>249</v>
      </c>
      <c r="EK12" s="213" t="s">
        <v>747</v>
      </c>
      <c r="EL12" s="213" t="s">
        <v>743</v>
      </c>
      <c r="EM12" s="213">
        <v>0</v>
      </c>
      <c r="EN12" s="213">
        <v>0</v>
      </c>
      <c r="EO12" s="213">
        <v>0</v>
      </c>
      <c r="EP12" s="213" t="s">
        <v>249</v>
      </c>
      <c r="ES12" s="213" t="s">
        <v>748</v>
      </c>
      <c r="ET12" s="213" t="s">
        <v>743</v>
      </c>
      <c r="EU12" s="213">
        <v>0</v>
      </c>
      <c r="EV12" s="213">
        <v>0</v>
      </c>
      <c r="EW12" s="213">
        <v>0</v>
      </c>
      <c r="EX12" s="213" t="s">
        <v>249</v>
      </c>
      <c r="FA12" s="213" t="s">
        <v>749</v>
      </c>
      <c r="FB12" s="213" t="s">
        <v>743</v>
      </c>
      <c r="FC12" s="213">
        <v>0</v>
      </c>
      <c r="FD12" s="213">
        <v>0</v>
      </c>
      <c r="FE12" s="213">
        <v>0</v>
      </c>
      <c r="FF12" s="213" t="s">
        <v>249</v>
      </c>
      <c r="FI12" s="213" t="s">
        <v>750</v>
      </c>
      <c r="FJ12" s="213" t="s">
        <v>743</v>
      </c>
      <c r="FK12" s="213">
        <v>0</v>
      </c>
      <c r="FL12" s="213">
        <v>0</v>
      </c>
      <c r="FM12" s="213">
        <v>0</v>
      </c>
      <c r="FN12" s="213" t="s">
        <v>249</v>
      </c>
      <c r="FQ12" s="213" t="s">
        <v>751</v>
      </c>
      <c r="FR12" s="213" t="s">
        <v>743</v>
      </c>
      <c r="FS12" s="213">
        <v>0</v>
      </c>
      <c r="FT12" s="213">
        <v>0</v>
      </c>
      <c r="FU12" s="213">
        <v>0</v>
      </c>
      <c r="FV12" s="213" t="s">
        <v>249</v>
      </c>
      <c r="FY12" s="213">
        <v>17.2</v>
      </c>
      <c r="FZ12" s="213">
        <v>-8.1</v>
      </c>
      <c r="GF12" s="213" t="s">
        <v>752</v>
      </c>
    </row>
    <row r="13" spans="1:188" s="213" customFormat="1" x14ac:dyDescent="0.15">
      <c r="A13" s="213" t="s">
        <v>654</v>
      </c>
      <c r="B13" s="213">
        <v>4</v>
      </c>
      <c r="C13" s="213" t="s">
        <v>816</v>
      </c>
      <c r="D13" s="213">
        <v>614332906</v>
      </c>
      <c r="E13" s="213">
        <v>92303</v>
      </c>
      <c r="F13" s="213" t="s">
        <v>725</v>
      </c>
      <c r="G13" s="213">
        <v>847922</v>
      </c>
      <c r="H13" s="213">
        <v>210097747</v>
      </c>
      <c r="I13" s="213">
        <v>6.8</v>
      </c>
      <c r="J13" s="213" t="s">
        <v>817</v>
      </c>
      <c r="K13" s="213" t="s">
        <v>727</v>
      </c>
      <c r="L13" s="213" t="s">
        <v>656</v>
      </c>
      <c r="M13" s="213" t="s">
        <v>728</v>
      </c>
      <c r="N13" s="213" t="s">
        <v>728</v>
      </c>
      <c r="O13" s="213" t="s">
        <v>729</v>
      </c>
      <c r="P13" s="213" t="s">
        <v>710</v>
      </c>
      <c r="Q13" s="213">
        <v>24.4</v>
      </c>
      <c r="R13" s="213">
        <v>146</v>
      </c>
      <c r="S13" s="213" t="s">
        <v>710</v>
      </c>
      <c r="T13" s="213">
        <v>-9999</v>
      </c>
      <c r="U13" s="213">
        <v>191</v>
      </c>
      <c r="V13" s="213">
        <v>420</v>
      </c>
      <c r="W13" s="213">
        <v>185</v>
      </c>
      <c r="X13" s="213" t="s">
        <v>710</v>
      </c>
      <c r="Y13" s="213">
        <v>0</v>
      </c>
      <c r="Z13" s="213">
        <v>40</v>
      </c>
      <c r="AA13" s="213" t="s">
        <v>730</v>
      </c>
      <c r="AB13" s="213" t="s">
        <v>731</v>
      </c>
      <c r="AC13" s="213" t="s">
        <v>729</v>
      </c>
      <c r="AD13" s="213" t="s">
        <v>732</v>
      </c>
      <c r="AE13" s="213">
        <v>0</v>
      </c>
      <c r="AF13" s="213">
        <v>2</v>
      </c>
      <c r="AG13" s="213" t="s">
        <v>249</v>
      </c>
      <c r="AH13" s="213">
        <v>-9999</v>
      </c>
      <c r="AI13" s="213">
        <v>193</v>
      </c>
      <c r="AJ13" s="213">
        <v>458</v>
      </c>
      <c r="AK13" s="213">
        <v>191</v>
      </c>
      <c r="AL13" s="213" t="s">
        <v>710</v>
      </c>
      <c r="AM13" s="213">
        <v>0</v>
      </c>
      <c r="AN13" s="213">
        <v>40</v>
      </c>
      <c r="AO13" s="213" t="s">
        <v>733</v>
      </c>
      <c r="AP13" s="213" t="s">
        <v>734</v>
      </c>
      <c r="AQ13" s="213">
        <v>1</v>
      </c>
      <c r="AR13" s="213" t="s">
        <v>735</v>
      </c>
      <c r="AS13" s="213">
        <v>0</v>
      </c>
      <c r="AT13" s="213">
        <v>1</v>
      </c>
      <c r="AU13" s="213" t="s">
        <v>249</v>
      </c>
      <c r="AV13" s="213">
        <v>-9999</v>
      </c>
      <c r="AW13" s="213">
        <v>253</v>
      </c>
      <c r="AX13" s="213">
        <v>626</v>
      </c>
      <c r="AY13" s="213">
        <v>252</v>
      </c>
      <c r="AZ13" s="213" t="s">
        <v>710</v>
      </c>
      <c r="BA13" s="213">
        <v>0</v>
      </c>
      <c r="BB13" s="213">
        <v>40</v>
      </c>
      <c r="BC13" s="213" t="s">
        <v>736</v>
      </c>
      <c r="BD13" s="213" t="s">
        <v>734</v>
      </c>
      <c r="BE13" s="213">
        <v>2</v>
      </c>
      <c r="BF13" s="213" t="s">
        <v>735</v>
      </c>
      <c r="BG13" s="213">
        <v>0</v>
      </c>
      <c r="BH13" s="213">
        <v>0</v>
      </c>
      <c r="BI13" s="213" t="s">
        <v>249</v>
      </c>
      <c r="BJ13" s="213">
        <v>-9999</v>
      </c>
      <c r="BK13" s="213">
        <v>107</v>
      </c>
      <c r="BL13" s="213">
        <v>331</v>
      </c>
      <c r="BM13" s="213">
        <v>105</v>
      </c>
      <c r="BN13" s="213" t="s">
        <v>710</v>
      </c>
      <c r="BO13" s="213">
        <v>0</v>
      </c>
      <c r="BP13" s="213">
        <v>40</v>
      </c>
      <c r="BQ13" s="213" t="s">
        <v>737</v>
      </c>
      <c r="BR13" s="213" t="s">
        <v>734</v>
      </c>
      <c r="BS13" s="213">
        <v>3</v>
      </c>
      <c r="BT13" s="213" t="s">
        <v>735</v>
      </c>
      <c r="BU13" s="213">
        <v>0</v>
      </c>
      <c r="BV13" s="213">
        <v>8</v>
      </c>
      <c r="BW13" s="213" t="s">
        <v>249</v>
      </c>
      <c r="BX13" s="213">
        <v>-9999</v>
      </c>
      <c r="BY13" s="213">
        <v>166</v>
      </c>
      <c r="BZ13" s="213">
        <v>379</v>
      </c>
      <c r="CA13" s="213">
        <v>166</v>
      </c>
      <c r="CB13" s="213" t="s">
        <v>710</v>
      </c>
      <c r="CC13" s="213">
        <v>0</v>
      </c>
      <c r="CD13" s="213">
        <v>40</v>
      </c>
      <c r="CE13" s="213" t="s">
        <v>738</v>
      </c>
      <c r="CF13" s="213" t="s">
        <v>734</v>
      </c>
      <c r="CG13" s="213">
        <v>4</v>
      </c>
      <c r="CH13" s="213" t="s">
        <v>735</v>
      </c>
      <c r="CI13" s="213">
        <v>0</v>
      </c>
      <c r="CJ13" s="213">
        <v>7</v>
      </c>
      <c r="CK13" s="213" t="s">
        <v>249</v>
      </c>
      <c r="CL13" s="213">
        <v>-9999</v>
      </c>
      <c r="CM13" s="213">
        <v>132</v>
      </c>
      <c r="CN13" s="213">
        <v>343</v>
      </c>
      <c r="CO13" s="213">
        <v>130</v>
      </c>
      <c r="CP13" s="213" t="s">
        <v>710</v>
      </c>
      <c r="CQ13" s="213">
        <v>0</v>
      </c>
      <c r="CR13" s="213">
        <v>40</v>
      </c>
      <c r="CS13" s="213" t="s">
        <v>739</v>
      </c>
      <c r="CT13" s="213" t="s">
        <v>740</v>
      </c>
      <c r="CU13" s="213">
        <v>121</v>
      </c>
      <c r="CV13" s="213">
        <v>121</v>
      </c>
      <c r="CW13" s="213">
        <v>120</v>
      </c>
      <c r="CX13" s="213" t="s">
        <v>710</v>
      </c>
      <c r="CY13" s="213" t="s">
        <v>741</v>
      </c>
      <c r="CZ13" s="213" t="s">
        <v>740</v>
      </c>
      <c r="DA13" s="213">
        <v>121</v>
      </c>
      <c r="DB13" s="213">
        <v>121</v>
      </c>
      <c r="DC13" s="213">
        <v>121</v>
      </c>
      <c r="DD13" s="213" t="s">
        <v>710</v>
      </c>
      <c r="DE13" s="213" t="s">
        <v>742</v>
      </c>
      <c r="DF13" s="213" t="s">
        <v>743</v>
      </c>
      <c r="DG13" s="213">
        <v>0</v>
      </c>
      <c r="DH13" s="213">
        <v>0</v>
      </c>
      <c r="DI13" s="213">
        <v>0</v>
      </c>
      <c r="DJ13" s="213" t="s">
        <v>249</v>
      </c>
      <c r="DM13" s="213" t="s">
        <v>744</v>
      </c>
      <c r="DN13" s="213" t="s">
        <v>743</v>
      </c>
      <c r="DO13" s="213">
        <v>0</v>
      </c>
      <c r="DP13" s="213">
        <v>0</v>
      </c>
      <c r="DQ13" s="213">
        <v>0</v>
      </c>
      <c r="DR13" s="213" t="s">
        <v>249</v>
      </c>
      <c r="DU13" s="213" t="s">
        <v>745</v>
      </c>
      <c r="DV13" s="213" t="s">
        <v>743</v>
      </c>
      <c r="DW13" s="213">
        <v>0</v>
      </c>
      <c r="DX13" s="213">
        <v>0</v>
      </c>
      <c r="DY13" s="213">
        <v>0</v>
      </c>
      <c r="DZ13" s="213" t="s">
        <v>249</v>
      </c>
      <c r="EC13" s="213" t="s">
        <v>746</v>
      </c>
      <c r="ED13" s="213" t="s">
        <v>743</v>
      </c>
      <c r="EE13" s="213">
        <v>0</v>
      </c>
      <c r="EF13" s="213">
        <v>0</v>
      </c>
      <c r="EG13" s="213">
        <v>0</v>
      </c>
      <c r="EH13" s="213" t="s">
        <v>249</v>
      </c>
      <c r="EK13" s="213" t="s">
        <v>747</v>
      </c>
      <c r="EL13" s="213" t="s">
        <v>743</v>
      </c>
      <c r="EM13" s="213">
        <v>0</v>
      </c>
      <c r="EN13" s="213">
        <v>0</v>
      </c>
      <c r="EO13" s="213">
        <v>0</v>
      </c>
      <c r="EP13" s="213" t="s">
        <v>249</v>
      </c>
      <c r="ES13" s="213" t="s">
        <v>748</v>
      </c>
      <c r="ET13" s="213" t="s">
        <v>743</v>
      </c>
      <c r="EU13" s="213">
        <v>0</v>
      </c>
      <c r="EV13" s="213">
        <v>0</v>
      </c>
      <c r="EW13" s="213">
        <v>0</v>
      </c>
      <c r="EX13" s="213" t="s">
        <v>249</v>
      </c>
      <c r="FA13" s="213" t="s">
        <v>749</v>
      </c>
      <c r="FB13" s="213" t="s">
        <v>743</v>
      </c>
      <c r="FC13" s="213">
        <v>0</v>
      </c>
      <c r="FD13" s="213">
        <v>0</v>
      </c>
      <c r="FE13" s="213">
        <v>0</v>
      </c>
      <c r="FF13" s="213" t="s">
        <v>249</v>
      </c>
      <c r="FI13" s="213" t="s">
        <v>750</v>
      </c>
      <c r="FJ13" s="213" t="s">
        <v>743</v>
      </c>
      <c r="FK13" s="213">
        <v>0</v>
      </c>
      <c r="FL13" s="213">
        <v>0</v>
      </c>
      <c r="FM13" s="213">
        <v>0</v>
      </c>
      <c r="FN13" s="213" t="s">
        <v>249</v>
      </c>
      <c r="FQ13" s="213" t="s">
        <v>751</v>
      </c>
      <c r="FR13" s="213" t="s">
        <v>743</v>
      </c>
      <c r="FS13" s="213">
        <v>0</v>
      </c>
      <c r="FT13" s="213">
        <v>0</v>
      </c>
      <c r="FU13" s="213">
        <v>0</v>
      </c>
      <c r="FV13" s="213" t="s">
        <v>249</v>
      </c>
      <c r="FY13" s="213">
        <v>17</v>
      </c>
      <c r="FZ13" s="213">
        <v>-4.5</v>
      </c>
      <c r="GF13" s="213" t="s">
        <v>752</v>
      </c>
    </row>
    <row r="14" spans="1:188" s="213" customFormat="1" x14ac:dyDescent="0.15">
      <c r="A14" s="213" t="s">
        <v>654</v>
      </c>
      <c r="B14" s="213">
        <v>4</v>
      </c>
      <c r="C14" s="213" t="s">
        <v>818</v>
      </c>
      <c r="D14" s="213">
        <v>614333486</v>
      </c>
      <c r="E14" s="213">
        <v>92303</v>
      </c>
      <c r="F14" s="213" t="s">
        <v>725</v>
      </c>
      <c r="G14" s="213">
        <v>847922</v>
      </c>
      <c r="H14" s="213">
        <v>210013071</v>
      </c>
      <c r="I14" s="213">
        <v>6.8</v>
      </c>
      <c r="J14" s="213" t="s">
        <v>819</v>
      </c>
      <c r="K14" s="213" t="s">
        <v>727</v>
      </c>
      <c r="L14" s="213" t="s">
        <v>656</v>
      </c>
      <c r="M14" s="213" t="s">
        <v>728</v>
      </c>
      <c r="N14" s="213" t="s">
        <v>728</v>
      </c>
      <c r="O14" s="213" t="s">
        <v>729</v>
      </c>
      <c r="P14" s="213" t="s">
        <v>710</v>
      </c>
      <c r="Q14" s="213">
        <v>24.4</v>
      </c>
      <c r="R14" s="213">
        <v>156</v>
      </c>
      <c r="S14" s="213" t="s">
        <v>710</v>
      </c>
      <c r="T14" s="213">
        <v>-9999</v>
      </c>
      <c r="U14" s="213">
        <v>210</v>
      </c>
      <c r="V14" s="213">
        <v>460</v>
      </c>
      <c r="W14" s="213">
        <v>205</v>
      </c>
      <c r="X14" s="213" t="s">
        <v>710</v>
      </c>
      <c r="Y14" s="213">
        <v>0</v>
      </c>
      <c r="Z14" s="213">
        <v>40</v>
      </c>
      <c r="AA14" s="213" t="s">
        <v>730</v>
      </c>
      <c r="AB14" s="213" t="s">
        <v>731</v>
      </c>
      <c r="AC14" s="213" t="s">
        <v>729</v>
      </c>
      <c r="AD14" s="213" t="s">
        <v>732</v>
      </c>
      <c r="AE14" s="213">
        <v>0</v>
      </c>
      <c r="AF14" s="213">
        <v>5</v>
      </c>
      <c r="AG14" s="213" t="s">
        <v>249</v>
      </c>
      <c r="AH14" s="213">
        <v>-9999</v>
      </c>
      <c r="AI14" s="213">
        <v>201</v>
      </c>
      <c r="AJ14" s="213">
        <v>480</v>
      </c>
      <c r="AK14" s="213">
        <v>199</v>
      </c>
      <c r="AL14" s="213" t="s">
        <v>710</v>
      </c>
      <c r="AM14" s="213">
        <v>0</v>
      </c>
      <c r="AN14" s="213">
        <v>40</v>
      </c>
      <c r="AO14" s="213" t="s">
        <v>733</v>
      </c>
      <c r="AP14" s="213" t="s">
        <v>734</v>
      </c>
      <c r="AQ14" s="213">
        <v>1</v>
      </c>
      <c r="AR14" s="213" t="s">
        <v>735</v>
      </c>
      <c r="AS14" s="213">
        <v>0</v>
      </c>
      <c r="AT14" s="213">
        <v>6</v>
      </c>
      <c r="AU14" s="213" t="s">
        <v>249</v>
      </c>
      <c r="AV14" s="213">
        <v>-9999</v>
      </c>
      <c r="AW14" s="213">
        <v>263</v>
      </c>
      <c r="AX14" s="213">
        <v>653</v>
      </c>
      <c r="AY14" s="213">
        <v>260</v>
      </c>
      <c r="AZ14" s="213" t="s">
        <v>710</v>
      </c>
      <c r="BA14" s="213">
        <v>0</v>
      </c>
      <c r="BB14" s="213">
        <v>40</v>
      </c>
      <c r="BC14" s="213" t="s">
        <v>736</v>
      </c>
      <c r="BD14" s="213" t="s">
        <v>734</v>
      </c>
      <c r="BE14" s="213">
        <v>2</v>
      </c>
      <c r="BF14" s="213" t="s">
        <v>735</v>
      </c>
      <c r="BG14" s="213">
        <v>0</v>
      </c>
      <c r="BH14" s="213">
        <v>3</v>
      </c>
      <c r="BI14" s="213" t="s">
        <v>249</v>
      </c>
      <c r="BJ14" s="213">
        <v>-9999</v>
      </c>
      <c r="BK14" s="213">
        <v>110</v>
      </c>
      <c r="BL14" s="213">
        <v>340</v>
      </c>
      <c r="BM14" s="213">
        <v>108</v>
      </c>
      <c r="BN14" s="213" t="s">
        <v>710</v>
      </c>
      <c r="BO14" s="213">
        <v>0</v>
      </c>
      <c r="BP14" s="213">
        <v>40</v>
      </c>
      <c r="BQ14" s="213" t="s">
        <v>737</v>
      </c>
      <c r="BR14" s="213" t="s">
        <v>734</v>
      </c>
      <c r="BS14" s="213">
        <v>3</v>
      </c>
      <c r="BT14" s="213" t="s">
        <v>735</v>
      </c>
      <c r="BU14" s="213">
        <v>0</v>
      </c>
      <c r="BV14" s="213">
        <v>10</v>
      </c>
      <c r="BW14" s="213" t="s">
        <v>249</v>
      </c>
      <c r="BX14" s="213">
        <v>-9999</v>
      </c>
      <c r="BY14" s="213">
        <v>158</v>
      </c>
      <c r="BZ14" s="213">
        <v>387</v>
      </c>
      <c r="CA14" s="213">
        <v>158</v>
      </c>
      <c r="CB14" s="213" t="s">
        <v>710</v>
      </c>
      <c r="CC14" s="213">
        <v>0</v>
      </c>
      <c r="CD14" s="213">
        <v>40</v>
      </c>
      <c r="CE14" s="213" t="s">
        <v>738</v>
      </c>
      <c r="CF14" s="213" t="s">
        <v>734</v>
      </c>
      <c r="CG14" s="213">
        <v>4</v>
      </c>
      <c r="CH14" s="213" t="s">
        <v>735</v>
      </c>
      <c r="CI14" s="213">
        <v>0</v>
      </c>
      <c r="CJ14" s="213">
        <v>6</v>
      </c>
      <c r="CK14" s="213" t="s">
        <v>249</v>
      </c>
      <c r="CL14" s="213">
        <v>-9999</v>
      </c>
      <c r="CM14" s="213">
        <v>144</v>
      </c>
      <c r="CN14" s="213">
        <v>377</v>
      </c>
      <c r="CO14" s="213">
        <v>142</v>
      </c>
      <c r="CP14" s="213" t="s">
        <v>710</v>
      </c>
      <c r="CQ14" s="213">
        <v>0</v>
      </c>
      <c r="CR14" s="213">
        <v>40</v>
      </c>
      <c r="CS14" s="213" t="s">
        <v>739</v>
      </c>
      <c r="CT14" s="213" t="s">
        <v>740</v>
      </c>
      <c r="CU14" s="213">
        <v>113</v>
      </c>
      <c r="CV14" s="213">
        <v>112</v>
      </c>
      <c r="CW14" s="213">
        <v>112</v>
      </c>
      <c r="CX14" s="213" t="s">
        <v>710</v>
      </c>
      <c r="CY14" s="213" t="s">
        <v>741</v>
      </c>
      <c r="CZ14" s="213" t="s">
        <v>740</v>
      </c>
      <c r="DA14" s="213">
        <v>99</v>
      </c>
      <c r="DB14" s="213">
        <v>99</v>
      </c>
      <c r="DC14" s="213">
        <v>99</v>
      </c>
      <c r="DD14" s="213" t="s">
        <v>710</v>
      </c>
      <c r="DE14" s="213" t="s">
        <v>742</v>
      </c>
      <c r="DF14" s="213" t="s">
        <v>743</v>
      </c>
      <c r="DG14" s="213">
        <v>0</v>
      </c>
      <c r="DH14" s="213">
        <v>0</v>
      </c>
      <c r="DI14" s="213">
        <v>0</v>
      </c>
      <c r="DJ14" s="213" t="s">
        <v>249</v>
      </c>
      <c r="DM14" s="213" t="s">
        <v>744</v>
      </c>
      <c r="DN14" s="213" t="s">
        <v>743</v>
      </c>
      <c r="DO14" s="213">
        <v>0</v>
      </c>
      <c r="DP14" s="213">
        <v>0</v>
      </c>
      <c r="DQ14" s="213">
        <v>0</v>
      </c>
      <c r="DR14" s="213" t="s">
        <v>249</v>
      </c>
      <c r="DU14" s="213" t="s">
        <v>745</v>
      </c>
      <c r="DV14" s="213" t="s">
        <v>743</v>
      </c>
      <c r="DW14" s="213">
        <v>0</v>
      </c>
      <c r="DX14" s="213">
        <v>0</v>
      </c>
      <c r="DY14" s="213">
        <v>0</v>
      </c>
      <c r="DZ14" s="213" t="s">
        <v>249</v>
      </c>
      <c r="EC14" s="213" t="s">
        <v>746</v>
      </c>
      <c r="ED14" s="213" t="s">
        <v>743</v>
      </c>
      <c r="EE14" s="213">
        <v>0</v>
      </c>
      <c r="EF14" s="213">
        <v>0</v>
      </c>
      <c r="EG14" s="213">
        <v>0</v>
      </c>
      <c r="EH14" s="213" t="s">
        <v>249</v>
      </c>
      <c r="EK14" s="213" t="s">
        <v>747</v>
      </c>
      <c r="EL14" s="213" t="s">
        <v>743</v>
      </c>
      <c r="EM14" s="213">
        <v>0</v>
      </c>
      <c r="EN14" s="213">
        <v>0</v>
      </c>
      <c r="EO14" s="213">
        <v>0</v>
      </c>
      <c r="EP14" s="213" t="s">
        <v>249</v>
      </c>
      <c r="ES14" s="213" t="s">
        <v>748</v>
      </c>
      <c r="ET14" s="213" t="s">
        <v>743</v>
      </c>
      <c r="EU14" s="213">
        <v>0</v>
      </c>
      <c r="EV14" s="213">
        <v>0</v>
      </c>
      <c r="EW14" s="213">
        <v>0</v>
      </c>
      <c r="EX14" s="213" t="s">
        <v>249</v>
      </c>
      <c r="FA14" s="213" t="s">
        <v>749</v>
      </c>
      <c r="FB14" s="213" t="s">
        <v>743</v>
      </c>
      <c r="FC14" s="213">
        <v>0</v>
      </c>
      <c r="FD14" s="213">
        <v>0</v>
      </c>
      <c r="FE14" s="213">
        <v>0</v>
      </c>
      <c r="FF14" s="213" t="s">
        <v>249</v>
      </c>
      <c r="FI14" s="213" t="s">
        <v>750</v>
      </c>
      <c r="FJ14" s="213" t="s">
        <v>743</v>
      </c>
      <c r="FK14" s="213">
        <v>0</v>
      </c>
      <c r="FL14" s="213">
        <v>0</v>
      </c>
      <c r="FM14" s="213">
        <v>0</v>
      </c>
      <c r="FN14" s="213" t="s">
        <v>249</v>
      </c>
      <c r="FQ14" s="213" t="s">
        <v>751</v>
      </c>
      <c r="FR14" s="213" t="s">
        <v>743</v>
      </c>
      <c r="FS14" s="213">
        <v>0</v>
      </c>
      <c r="FT14" s="213">
        <v>0</v>
      </c>
      <c r="FU14" s="213">
        <v>0</v>
      </c>
      <c r="FV14" s="213" t="s">
        <v>249</v>
      </c>
      <c r="FY14" s="213">
        <v>19.600000000000001</v>
      </c>
      <c r="FZ14" s="213">
        <v>-8.3000000000000007</v>
      </c>
      <c r="GF14" s="213" t="s">
        <v>752</v>
      </c>
    </row>
    <row r="15" spans="1:188" s="213" customFormat="1" x14ac:dyDescent="0.15">
      <c r="A15" s="213" t="s">
        <v>654</v>
      </c>
      <c r="B15" s="213">
        <v>4</v>
      </c>
      <c r="C15" s="213" t="s">
        <v>820</v>
      </c>
      <c r="D15" s="213">
        <v>614333754</v>
      </c>
      <c r="E15" s="213">
        <v>92303</v>
      </c>
      <c r="F15" s="213" t="s">
        <v>725</v>
      </c>
      <c r="G15" s="213">
        <v>847922</v>
      </c>
      <c r="H15" s="213">
        <v>657194</v>
      </c>
      <c r="I15" s="213">
        <v>6.8</v>
      </c>
      <c r="J15" s="213" t="s">
        <v>821</v>
      </c>
      <c r="K15" s="213" t="s">
        <v>727</v>
      </c>
      <c r="L15" s="213" t="s">
        <v>656</v>
      </c>
      <c r="M15" s="213" t="s">
        <v>728</v>
      </c>
      <c r="N15" s="213" t="s">
        <v>728</v>
      </c>
      <c r="O15" s="213" t="s">
        <v>729</v>
      </c>
      <c r="P15" s="213" t="s">
        <v>710</v>
      </c>
      <c r="Q15" s="213">
        <v>24.1</v>
      </c>
      <c r="R15" s="213">
        <v>162</v>
      </c>
      <c r="S15" s="213" t="s">
        <v>710</v>
      </c>
      <c r="T15" s="213">
        <v>-9999</v>
      </c>
      <c r="U15" s="213">
        <v>217</v>
      </c>
      <c r="V15" s="213">
        <v>474</v>
      </c>
      <c r="W15" s="213">
        <v>207</v>
      </c>
      <c r="X15" s="213" t="s">
        <v>710</v>
      </c>
      <c r="Y15" s="213">
        <v>0</v>
      </c>
      <c r="Z15" s="213">
        <v>40</v>
      </c>
      <c r="AA15" s="213" t="s">
        <v>730</v>
      </c>
      <c r="AB15" s="213" t="s">
        <v>731</v>
      </c>
      <c r="AC15" s="213" t="s">
        <v>729</v>
      </c>
      <c r="AD15" s="213" t="s">
        <v>732</v>
      </c>
      <c r="AE15" s="213">
        <v>0</v>
      </c>
      <c r="AF15" s="213">
        <v>4</v>
      </c>
      <c r="AG15" s="213" t="s">
        <v>249</v>
      </c>
      <c r="AH15" s="213">
        <v>-9999</v>
      </c>
      <c r="AI15" s="213">
        <v>190</v>
      </c>
      <c r="AJ15" s="213">
        <v>451</v>
      </c>
      <c r="AK15" s="213">
        <v>187</v>
      </c>
      <c r="AL15" s="213" t="s">
        <v>710</v>
      </c>
      <c r="AM15" s="213">
        <v>0</v>
      </c>
      <c r="AN15" s="213">
        <v>40</v>
      </c>
      <c r="AO15" s="213" t="s">
        <v>733</v>
      </c>
      <c r="AP15" s="213" t="s">
        <v>734</v>
      </c>
      <c r="AQ15" s="213">
        <v>1</v>
      </c>
      <c r="AR15" s="213" t="s">
        <v>735</v>
      </c>
      <c r="AS15" s="213">
        <v>0</v>
      </c>
      <c r="AT15" s="213">
        <v>1</v>
      </c>
      <c r="AU15" s="213" t="s">
        <v>249</v>
      </c>
      <c r="AV15" s="213">
        <v>-9999</v>
      </c>
      <c r="AW15" s="213">
        <v>260</v>
      </c>
      <c r="AX15" s="213">
        <v>641</v>
      </c>
      <c r="AY15" s="213">
        <v>256</v>
      </c>
      <c r="AZ15" s="213" t="s">
        <v>710</v>
      </c>
      <c r="BA15" s="213">
        <v>0</v>
      </c>
      <c r="BB15" s="213">
        <v>40</v>
      </c>
      <c r="BC15" s="213" t="s">
        <v>736</v>
      </c>
      <c r="BD15" s="213" t="s">
        <v>734</v>
      </c>
      <c r="BE15" s="213">
        <v>2</v>
      </c>
      <c r="BF15" s="213" t="s">
        <v>735</v>
      </c>
      <c r="BG15" s="213">
        <v>0</v>
      </c>
      <c r="BH15" s="213">
        <v>5</v>
      </c>
      <c r="BI15" s="213" t="s">
        <v>249</v>
      </c>
      <c r="BJ15" s="213">
        <v>-9999</v>
      </c>
      <c r="BK15" s="213">
        <v>109</v>
      </c>
      <c r="BL15" s="213">
        <v>328</v>
      </c>
      <c r="BM15" s="213">
        <v>107</v>
      </c>
      <c r="BN15" s="213" t="s">
        <v>710</v>
      </c>
      <c r="BO15" s="213">
        <v>0</v>
      </c>
      <c r="BP15" s="213">
        <v>40</v>
      </c>
      <c r="BQ15" s="213" t="s">
        <v>737</v>
      </c>
      <c r="BR15" s="213" t="s">
        <v>734</v>
      </c>
      <c r="BS15" s="213">
        <v>3</v>
      </c>
      <c r="BT15" s="213" t="s">
        <v>735</v>
      </c>
      <c r="BU15" s="213">
        <v>0</v>
      </c>
      <c r="BV15" s="213">
        <v>9</v>
      </c>
      <c r="BW15" s="213" t="s">
        <v>249</v>
      </c>
      <c r="BX15" s="213">
        <v>-9999</v>
      </c>
      <c r="BY15" s="213">
        <v>150</v>
      </c>
      <c r="BZ15" s="213">
        <v>363</v>
      </c>
      <c r="CA15" s="213">
        <v>150</v>
      </c>
      <c r="CB15" s="213" t="s">
        <v>710</v>
      </c>
      <c r="CC15" s="213">
        <v>0</v>
      </c>
      <c r="CD15" s="213">
        <v>40</v>
      </c>
      <c r="CE15" s="213" t="s">
        <v>738</v>
      </c>
      <c r="CF15" s="213" t="s">
        <v>734</v>
      </c>
      <c r="CG15" s="213">
        <v>4</v>
      </c>
      <c r="CH15" s="213" t="s">
        <v>735</v>
      </c>
      <c r="CI15" s="213">
        <v>0</v>
      </c>
      <c r="CJ15" s="213">
        <v>3</v>
      </c>
      <c r="CK15" s="213" t="s">
        <v>249</v>
      </c>
      <c r="CL15" s="213">
        <v>-9999</v>
      </c>
      <c r="CM15" s="213">
        <v>144</v>
      </c>
      <c r="CN15" s="213">
        <v>375</v>
      </c>
      <c r="CO15" s="213">
        <v>142</v>
      </c>
      <c r="CP15" s="213" t="s">
        <v>710</v>
      </c>
      <c r="CQ15" s="213">
        <v>0</v>
      </c>
      <c r="CR15" s="213">
        <v>40</v>
      </c>
      <c r="CS15" s="213" t="s">
        <v>739</v>
      </c>
      <c r="CT15" s="213" t="s">
        <v>740</v>
      </c>
      <c r="CU15" s="213">
        <v>114</v>
      </c>
      <c r="CV15" s="213">
        <v>113</v>
      </c>
      <c r="CW15" s="213">
        <v>113</v>
      </c>
      <c r="CX15" s="213" t="s">
        <v>710</v>
      </c>
      <c r="CY15" s="213" t="s">
        <v>741</v>
      </c>
      <c r="CZ15" s="213" t="s">
        <v>740</v>
      </c>
      <c r="DA15" s="213">
        <v>92</v>
      </c>
      <c r="DB15" s="213">
        <v>92</v>
      </c>
      <c r="DC15" s="213">
        <v>92</v>
      </c>
      <c r="DD15" s="213" t="s">
        <v>710</v>
      </c>
      <c r="DE15" s="213" t="s">
        <v>742</v>
      </c>
      <c r="DF15" s="213" t="s">
        <v>743</v>
      </c>
      <c r="DG15" s="213">
        <v>0</v>
      </c>
      <c r="DH15" s="213">
        <v>0</v>
      </c>
      <c r="DI15" s="213">
        <v>0</v>
      </c>
      <c r="DJ15" s="213" t="s">
        <v>249</v>
      </c>
      <c r="DM15" s="213" t="s">
        <v>744</v>
      </c>
      <c r="DN15" s="213" t="s">
        <v>743</v>
      </c>
      <c r="DO15" s="213">
        <v>0</v>
      </c>
      <c r="DP15" s="213">
        <v>0</v>
      </c>
      <c r="DQ15" s="213">
        <v>0</v>
      </c>
      <c r="DR15" s="213" t="s">
        <v>249</v>
      </c>
      <c r="DU15" s="213" t="s">
        <v>745</v>
      </c>
      <c r="DV15" s="213" t="s">
        <v>743</v>
      </c>
      <c r="DW15" s="213">
        <v>0</v>
      </c>
      <c r="DX15" s="213">
        <v>0</v>
      </c>
      <c r="DY15" s="213">
        <v>0</v>
      </c>
      <c r="DZ15" s="213" t="s">
        <v>249</v>
      </c>
      <c r="EC15" s="213" t="s">
        <v>746</v>
      </c>
      <c r="ED15" s="213" t="s">
        <v>743</v>
      </c>
      <c r="EE15" s="213">
        <v>0</v>
      </c>
      <c r="EF15" s="213">
        <v>0</v>
      </c>
      <c r="EG15" s="213">
        <v>0</v>
      </c>
      <c r="EH15" s="213" t="s">
        <v>249</v>
      </c>
      <c r="EK15" s="213" t="s">
        <v>747</v>
      </c>
      <c r="EL15" s="213" t="s">
        <v>743</v>
      </c>
      <c r="EM15" s="213">
        <v>0</v>
      </c>
      <c r="EN15" s="213">
        <v>0</v>
      </c>
      <c r="EO15" s="213">
        <v>0</v>
      </c>
      <c r="EP15" s="213" t="s">
        <v>249</v>
      </c>
      <c r="ES15" s="213" t="s">
        <v>748</v>
      </c>
      <c r="ET15" s="213" t="s">
        <v>743</v>
      </c>
      <c r="EU15" s="213">
        <v>0</v>
      </c>
      <c r="EV15" s="213">
        <v>0</v>
      </c>
      <c r="EW15" s="213">
        <v>0</v>
      </c>
      <c r="EX15" s="213" t="s">
        <v>249</v>
      </c>
      <c r="FA15" s="213" t="s">
        <v>749</v>
      </c>
      <c r="FB15" s="213" t="s">
        <v>743</v>
      </c>
      <c r="FC15" s="213">
        <v>0</v>
      </c>
      <c r="FD15" s="213">
        <v>0</v>
      </c>
      <c r="FE15" s="213">
        <v>0</v>
      </c>
      <c r="FF15" s="213" t="s">
        <v>249</v>
      </c>
      <c r="FI15" s="213" t="s">
        <v>750</v>
      </c>
      <c r="FJ15" s="213" t="s">
        <v>743</v>
      </c>
      <c r="FK15" s="213">
        <v>0</v>
      </c>
      <c r="FL15" s="213">
        <v>0</v>
      </c>
      <c r="FM15" s="213">
        <v>0</v>
      </c>
      <c r="FN15" s="213" t="s">
        <v>249</v>
      </c>
      <c r="FQ15" s="213" t="s">
        <v>751</v>
      </c>
      <c r="FR15" s="213" t="s">
        <v>743</v>
      </c>
      <c r="FS15" s="213">
        <v>0</v>
      </c>
      <c r="FT15" s="213">
        <v>0</v>
      </c>
      <c r="FU15" s="213">
        <v>0</v>
      </c>
      <c r="FV15" s="213" t="s">
        <v>249</v>
      </c>
      <c r="FY15" s="213">
        <v>21.1</v>
      </c>
      <c r="FZ15" s="213">
        <v>-9</v>
      </c>
      <c r="GF15" s="213" t="s">
        <v>752</v>
      </c>
    </row>
    <row r="16" spans="1:188" s="213" customFormat="1" x14ac:dyDescent="0.15">
      <c r="A16" s="213" t="s">
        <v>654</v>
      </c>
      <c r="B16" s="213">
        <v>4</v>
      </c>
      <c r="C16" s="213" t="s">
        <v>822</v>
      </c>
      <c r="D16" s="213">
        <v>614332568</v>
      </c>
      <c r="E16" s="213">
        <v>92303</v>
      </c>
      <c r="F16" s="213" t="s">
        <v>725</v>
      </c>
      <c r="G16" s="213">
        <v>847922</v>
      </c>
      <c r="H16" s="213">
        <v>702829</v>
      </c>
      <c r="I16" s="213">
        <v>6.8</v>
      </c>
      <c r="J16" s="213" t="s">
        <v>823</v>
      </c>
      <c r="K16" s="213" t="s">
        <v>727</v>
      </c>
      <c r="L16" s="213" t="s">
        <v>656</v>
      </c>
      <c r="M16" s="213" t="s">
        <v>728</v>
      </c>
      <c r="N16" s="213" t="s">
        <v>728</v>
      </c>
      <c r="O16" s="213" t="s">
        <v>729</v>
      </c>
      <c r="P16" s="213" t="s">
        <v>710</v>
      </c>
      <c r="Q16" s="213">
        <v>24.2</v>
      </c>
      <c r="R16" s="213">
        <v>154</v>
      </c>
      <c r="S16" s="213" t="s">
        <v>710</v>
      </c>
      <c r="T16" s="213">
        <v>-9999</v>
      </c>
      <c r="U16" s="213">
        <v>235</v>
      </c>
      <c r="V16" s="213">
        <v>523</v>
      </c>
      <c r="W16" s="213">
        <v>229</v>
      </c>
      <c r="X16" s="213" t="s">
        <v>710</v>
      </c>
      <c r="Y16" s="213">
        <v>0</v>
      </c>
      <c r="Z16" s="213">
        <v>40</v>
      </c>
      <c r="AA16" s="213" t="s">
        <v>730</v>
      </c>
      <c r="AB16" s="213" t="s">
        <v>731</v>
      </c>
      <c r="AC16" s="213" t="s">
        <v>729</v>
      </c>
      <c r="AD16" s="213" t="s">
        <v>732</v>
      </c>
      <c r="AE16" s="213">
        <v>0</v>
      </c>
      <c r="AF16" s="213">
        <v>7</v>
      </c>
      <c r="AG16" s="213" t="s">
        <v>249</v>
      </c>
      <c r="AH16" s="213">
        <v>-9999</v>
      </c>
      <c r="AI16" s="213">
        <v>207</v>
      </c>
      <c r="AJ16" s="213">
        <v>492</v>
      </c>
      <c r="AK16" s="213">
        <v>205</v>
      </c>
      <c r="AL16" s="213" t="s">
        <v>710</v>
      </c>
      <c r="AM16" s="213">
        <v>0</v>
      </c>
      <c r="AN16" s="213">
        <v>40</v>
      </c>
      <c r="AO16" s="213" t="s">
        <v>733</v>
      </c>
      <c r="AP16" s="213" t="s">
        <v>734</v>
      </c>
      <c r="AQ16" s="213">
        <v>1</v>
      </c>
      <c r="AR16" s="213" t="s">
        <v>735</v>
      </c>
      <c r="AS16" s="213">
        <v>0</v>
      </c>
      <c r="AT16" s="213">
        <v>10</v>
      </c>
      <c r="AU16" s="213" t="s">
        <v>249</v>
      </c>
      <c r="AV16" s="213">
        <v>-9999</v>
      </c>
      <c r="AW16" s="213">
        <v>261</v>
      </c>
      <c r="AX16" s="213">
        <v>645</v>
      </c>
      <c r="AY16" s="213">
        <v>259</v>
      </c>
      <c r="AZ16" s="213" t="s">
        <v>710</v>
      </c>
      <c r="BA16" s="213">
        <v>0</v>
      </c>
      <c r="BB16" s="213">
        <v>40</v>
      </c>
      <c r="BC16" s="213" t="s">
        <v>736</v>
      </c>
      <c r="BD16" s="213" t="s">
        <v>734</v>
      </c>
      <c r="BE16" s="213">
        <v>2</v>
      </c>
      <c r="BF16" s="213" t="s">
        <v>735</v>
      </c>
      <c r="BG16" s="213">
        <v>0</v>
      </c>
      <c r="BH16" s="213">
        <v>2</v>
      </c>
      <c r="BI16" s="213" t="s">
        <v>249</v>
      </c>
      <c r="BJ16" s="213">
        <v>-9999</v>
      </c>
      <c r="BK16" s="213">
        <v>120</v>
      </c>
      <c r="BL16" s="213">
        <v>366</v>
      </c>
      <c r="BM16" s="213">
        <v>119</v>
      </c>
      <c r="BN16" s="213" t="s">
        <v>710</v>
      </c>
      <c r="BO16" s="213">
        <v>0</v>
      </c>
      <c r="BP16" s="213">
        <v>40</v>
      </c>
      <c r="BQ16" s="213" t="s">
        <v>737</v>
      </c>
      <c r="BR16" s="213" t="s">
        <v>734</v>
      </c>
      <c r="BS16" s="213">
        <v>3</v>
      </c>
      <c r="BT16" s="213" t="s">
        <v>735</v>
      </c>
      <c r="BU16" s="213">
        <v>0</v>
      </c>
      <c r="BV16" s="213">
        <v>6</v>
      </c>
      <c r="BW16" s="213" t="s">
        <v>249</v>
      </c>
      <c r="BX16" s="213">
        <v>-9999</v>
      </c>
      <c r="BY16" s="213">
        <v>182</v>
      </c>
      <c r="BZ16" s="213">
        <v>438</v>
      </c>
      <c r="CA16" s="213">
        <v>182</v>
      </c>
      <c r="CB16" s="213" t="s">
        <v>710</v>
      </c>
      <c r="CC16" s="213">
        <v>0</v>
      </c>
      <c r="CD16" s="213">
        <v>40</v>
      </c>
      <c r="CE16" s="213" t="s">
        <v>738</v>
      </c>
      <c r="CF16" s="213" t="s">
        <v>734</v>
      </c>
      <c r="CG16" s="213">
        <v>4</v>
      </c>
      <c r="CH16" s="213" t="s">
        <v>735</v>
      </c>
      <c r="CI16" s="213">
        <v>0</v>
      </c>
      <c r="CJ16" s="213">
        <v>5</v>
      </c>
      <c r="CK16" s="213" t="s">
        <v>249</v>
      </c>
      <c r="CL16" s="213">
        <v>-9999</v>
      </c>
      <c r="CM16" s="213">
        <v>158</v>
      </c>
      <c r="CN16" s="213">
        <v>414</v>
      </c>
      <c r="CO16" s="213">
        <v>156</v>
      </c>
      <c r="CP16" s="213" t="s">
        <v>710</v>
      </c>
      <c r="CQ16" s="213">
        <v>0</v>
      </c>
      <c r="CR16" s="213">
        <v>40</v>
      </c>
      <c r="CS16" s="213" t="s">
        <v>739</v>
      </c>
      <c r="CT16" s="213" t="s">
        <v>740</v>
      </c>
      <c r="CU16" s="213">
        <v>139</v>
      </c>
      <c r="CV16" s="213">
        <v>138</v>
      </c>
      <c r="CW16" s="213">
        <v>138</v>
      </c>
      <c r="CX16" s="213" t="s">
        <v>710</v>
      </c>
      <c r="CY16" s="213" t="s">
        <v>741</v>
      </c>
      <c r="CZ16" s="213" t="s">
        <v>740</v>
      </c>
      <c r="DA16" s="213">
        <v>119</v>
      </c>
      <c r="DB16" s="213">
        <v>119</v>
      </c>
      <c r="DC16" s="213">
        <v>119</v>
      </c>
      <c r="DD16" s="213" t="s">
        <v>710</v>
      </c>
      <c r="DE16" s="213" t="s">
        <v>742</v>
      </c>
      <c r="DF16" s="213" t="s">
        <v>743</v>
      </c>
      <c r="DG16" s="213">
        <v>0</v>
      </c>
      <c r="DH16" s="213">
        <v>0</v>
      </c>
      <c r="DI16" s="213">
        <v>0</v>
      </c>
      <c r="DJ16" s="213" t="s">
        <v>249</v>
      </c>
      <c r="DM16" s="213" t="s">
        <v>744</v>
      </c>
      <c r="DN16" s="213" t="s">
        <v>743</v>
      </c>
      <c r="DO16" s="213">
        <v>0</v>
      </c>
      <c r="DP16" s="213">
        <v>0</v>
      </c>
      <c r="DQ16" s="213">
        <v>0</v>
      </c>
      <c r="DR16" s="213" t="s">
        <v>249</v>
      </c>
      <c r="DU16" s="213" t="s">
        <v>745</v>
      </c>
      <c r="DV16" s="213" t="s">
        <v>743</v>
      </c>
      <c r="DW16" s="213">
        <v>0</v>
      </c>
      <c r="DX16" s="213">
        <v>0</v>
      </c>
      <c r="DY16" s="213">
        <v>0</v>
      </c>
      <c r="DZ16" s="213" t="s">
        <v>249</v>
      </c>
      <c r="EC16" s="213" t="s">
        <v>746</v>
      </c>
      <c r="ED16" s="213" t="s">
        <v>743</v>
      </c>
      <c r="EE16" s="213">
        <v>0</v>
      </c>
      <c r="EF16" s="213">
        <v>0</v>
      </c>
      <c r="EG16" s="213">
        <v>0</v>
      </c>
      <c r="EH16" s="213" t="s">
        <v>249</v>
      </c>
      <c r="EK16" s="213" t="s">
        <v>747</v>
      </c>
      <c r="EL16" s="213" t="s">
        <v>743</v>
      </c>
      <c r="EM16" s="213">
        <v>0</v>
      </c>
      <c r="EN16" s="213">
        <v>0</v>
      </c>
      <c r="EO16" s="213">
        <v>0</v>
      </c>
      <c r="EP16" s="213" t="s">
        <v>249</v>
      </c>
      <c r="ES16" s="213" t="s">
        <v>748</v>
      </c>
      <c r="ET16" s="213" t="s">
        <v>743</v>
      </c>
      <c r="EU16" s="213">
        <v>0</v>
      </c>
      <c r="EV16" s="213">
        <v>0</v>
      </c>
      <c r="EW16" s="213">
        <v>0</v>
      </c>
      <c r="EX16" s="213" t="s">
        <v>249</v>
      </c>
      <c r="FA16" s="213" t="s">
        <v>749</v>
      </c>
      <c r="FB16" s="213" t="s">
        <v>743</v>
      </c>
      <c r="FC16" s="213">
        <v>0</v>
      </c>
      <c r="FD16" s="213">
        <v>0</v>
      </c>
      <c r="FE16" s="213">
        <v>0</v>
      </c>
      <c r="FF16" s="213" t="s">
        <v>249</v>
      </c>
      <c r="FI16" s="213" t="s">
        <v>750</v>
      </c>
      <c r="FJ16" s="213" t="s">
        <v>743</v>
      </c>
      <c r="FK16" s="213">
        <v>0</v>
      </c>
      <c r="FL16" s="213">
        <v>0</v>
      </c>
      <c r="FM16" s="213">
        <v>0</v>
      </c>
      <c r="FN16" s="213" t="s">
        <v>249</v>
      </c>
      <c r="FQ16" s="213" t="s">
        <v>751</v>
      </c>
      <c r="FR16" s="213" t="s">
        <v>743</v>
      </c>
      <c r="FS16" s="213">
        <v>0</v>
      </c>
      <c r="FT16" s="213">
        <v>0</v>
      </c>
      <c r="FU16" s="213">
        <v>0</v>
      </c>
      <c r="FV16" s="213" t="s">
        <v>249</v>
      </c>
      <c r="FY16" s="213">
        <v>17.600000000000001</v>
      </c>
      <c r="FZ16" s="213">
        <v>-7.9</v>
      </c>
      <c r="GF16" s="213" t="s">
        <v>752</v>
      </c>
    </row>
    <row r="17" spans="1:188" s="213" customFormat="1" x14ac:dyDescent="0.15">
      <c r="A17" s="213" t="s">
        <v>654</v>
      </c>
      <c r="B17" s="213">
        <v>4</v>
      </c>
      <c r="C17" s="213" t="s">
        <v>824</v>
      </c>
      <c r="D17" s="213">
        <v>614333339</v>
      </c>
      <c r="E17" s="213">
        <v>92303</v>
      </c>
      <c r="F17" s="213" t="s">
        <v>725</v>
      </c>
      <c r="G17" s="213">
        <v>847922</v>
      </c>
      <c r="H17" s="213">
        <v>750444</v>
      </c>
      <c r="I17" s="213">
        <v>6.8</v>
      </c>
      <c r="J17" s="213" t="s">
        <v>825</v>
      </c>
      <c r="K17" s="213" t="s">
        <v>727</v>
      </c>
      <c r="L17" s="213" t="s">
        <v>656</v>
      </c>
      <c r="M17" s="213" t="s">
        <v>728</v>
      </c>
      <c r="N17" s="213" t="s">
        <v>728</v>
      </c>
      <c r="O17" s="213" t="s">
        <v>729</v>
      </c>
      <c r="P17" s="213" t="s">
        <v>710</v>
      </c>
      <c r="Q17" s="213">
        <v>28.3</v>
      </c>
      <c r="R17" s="213">
        <v>128</v>
      </c>
      <c r="S17" s="213" t="s">
        <v>710</v>
      </c>
      <c r="T17" s="213">
        <v>-9999</v>
      </c>
      <c r="U17" s="213">
        <v>217</v>
      </c>
      <c r="V17" s="213">
        <v>472</v>
      </c>
      <c r="W17" s="213">
        <v>208</v>
      </c>
      <c r="X17" s="213" t="s">
        <v>710</v>
      </c>
      <c r="Y17" s="213">
        <v>0</v>
      </c>
      <c r="Z17" s="213">
        <v>40</v>
      </c>
      <c r="AA17" s="213" t="s">
        <v>730</v>
      </c>
      <c r="AB17" s="213" t="s">
        <v>731</v>
      </c>
      <c r="AC17" s="213" t="s">
        <v>729</v>
      </c>
      <c r="AD17" s="213" t="s">
        <v>732</v>
      </c>
      <c r="AE17" s="213">
        <v>0</v>
      </c>
      <c r="AF17" s="213">
        <v>2</v>
      </c>
      <c r="AG17" s="213" t="s">
        <v>249</v>
      </c>
      <c r="AH17" s="213">
        <v>-9999</v>
      </c>
      <c r="AI17" s="213">
        <v>199</v>
      </c>
      <c r="AJ17" s="213">
        <v>477</v>
      </c>
      <c r="AK17" s="213">
        <v>197</v>
      </c>
      <c r="AL17" s="213" t="s">
        <v>710</v>
      </c>
      <c r="AM17" s="213">
        <v>0</v>
      </c>
      <c r="AN17" s="213">
        <v>40</v>
      </c>
      <c r="AO17" s="213" t="s">
        <v>733</v>
      </c>
      <c r="AP17" s="213" t="s">
        <v>734</v>
      </c>
      <c r="AQ17" s="213">
        <v>1</v>
      </c>
      <c r="AR17" s="213" t="s">
        <v>735</v>
      </c>
      <c r="AS17" s="213">
        <v>0</v>
      </c>
      <c r="AT17" s="213">
        <v>-9</v>
      </c>
      <c r="AU17" s="213" t="s">
        <v>249</v>
      </c>
      <c r="AV17" s="213">
        <v>-9999</v>
      </c>
      <c r="AW17" s="213">
        <v>255</v>
      </c>
      <c r="AX17" s="213">
        <v>624</v>
      </c>
      <c r="AY17" s="213">
        <v>253</v>
      </c>
      <c r="AZ17" s="213" t="s">
        <v>710</v>
      </c>
      <c r="BA17" s="213">
        <v>0</v>
      </c>
      <c r="BB17" s="213">
        <v>40</v>
      </c>
      <c r="BC17" s="213" t="s">
        <v>736</v>
      </c>
      <c r="BD17" s="213" t="s">
        <v>734</v>
      </c>
      <c r="BE17" s="213">
        <v>2</v>
      </c>
      <c r="BF17" s="213" t="s">
        <v>735</v>
      </c>
      <c r="BG17" s="213">
        <v>0</v>
      </c>
      <c r="BH17" s="213">
        <v>1</v>
      </c>
      <c r="BI17" s="213" t="s">
        <v>249</v>
      </c>
      <c r="BJ17" s="213">
        <v>-9999</v>
      </c>
      <c r="BK17" s="213">
        <v>111</v>
      </c>
      <c r="BL17" s="213">
        <v>344</v>
      </c>
      <c r="BM17" s="213">
        <v>110</v>
      </c>
      <c r="BN17" s="213" t="s">
        <v>710</v>
      </c>
      <c r="BO17" s="213">
        <v>0</v>
      </c>
      <c r="BP17" s="213">
        <v>40</v>
      </c>
      <c r="BQ17" s="213" t="s">
        <v>737</v>
      </c>
      <c r="BR17" s="213" t="s">
        <v>734</v>
      </c>
      <c r="BS17" s="213">
        <v>3</v>
      </c>
      <c r="BT17" s="213" t="s">
        <v>735</v>
      </c>
      <c r="BU17" s="213">
        <v>0</v>
      </c>
      <c r="BV17" s="213">
        <v>6</v>
      </c>
      <c r="BW17" s="213" t="s">
        <v>249</v>
      </c>
      <c r="BX17" s="213">
        <v>-9999</v>
      </c>
      <c r="BY17" s="213">
        <v>172</v>
      </c>
      <c r="BZ17" s="213">
        <v>404</v>
      </c>
      <c r="CA17" s="213">
        <v>170</v>
      </c>
      <c r="CB17" s="213" t="s">
        <v>710</v>
      </c>
      <c r="CC17" s="213">
        <v>0</v>
      </c>
      <c r="CD17" s="213">
        <v>40</v>
      </c>
      <c r="CE17" s="213" t="s">
        <v>738</v>
      </c>
      <c r="CF17" s="213" t="s">
        <v>734</v>
      </c>
      <c r="CG17" s="213">
        <v>4</v>
      </c>
      <c r="CH17" s="213" t="s">
        <v>735</v>
      </c>
      <c r="CI17" s="213">
        <v>0</v>
      </c>
      <c r="CJ17" s="213">
        <v>8</v>
      </c>
      <c r="CK17" s="213" t="s">
        <v>249</v>
      </c>
      <c r="CL17" s="213">
        <v>-9999</v>
      </c>
      <c r="CM17" s="213">
        <v>145</v>
      </c>
      <c r="CN17" s="213">
        <v>376</v>
      </c>
      <c r="CO17" s="213">
        <v>143</v>
      </c>
      <c r="CP17" s="213" t="s">
        <v>710</v>
      </c>
      <c r="CQ17" s="213">
        <v>0</v>
      </c>
      <c r="CR17" s="213">
        <v>40</v>
      </c>
      <c r="CS17" s="213" t="s">
        <v>739</v>
      </c>
      <c r="CT17" s="213" t="s">
        <v>740</v>
      </c>
      <c r="CU17" s="213">
        <v>111</v>
      </c>
      <c r="CV17" s="213">
        <v>111</v>
      </c>
      <c r="CW17" s="213">
        <v>112</v>
      </c>
      <c r="CX17" s="213" t="s">
        <v>710</v>
      </c>
      <c r="CY17" s="213" t="s">
        <v>741</v>
      </c>
      <c r="CZ17" s="213" t="s">
        <v>740</v>
      </c>
      <c r="DA17" s="213">
        <v>96</v>
      </c>
      <c r="DB17" s="213">
        <v>96</v>
      </c>
      <c r="DC17" s="213">
        <v>95</v>
      </c>
      <c r="DD17" s="213" t="s">
        <v>710</v>
      </c>
      <c r="DE17" s="213" t="s">
        <v>742</v>
      </c>
      <c r="DF17" s="213" t="s">
        <v>743</v>
      </c>
      <c r="DG17" s="213">
        <v>0</v>
      </c>
      <c r="DH17" s="213">
        <v>0</v>
      </c>
      <c r="DI17" s="213">
        <v>0</v>
      </c>
      <c r="DJ17" s="213" t="s">
        <v>249</v>
      </c>
      <c r="DM17" s="213" t="s">
        <v>744</v>
      </c>
      <c r="DN17" s="213" t="s">
        <v>743</v>
      </c>
      <c r="DO17" s="213">
        <v>0</v>
      </c>
      <c r="DP17" s="213">
        <v>0</v>
      </c>
      <c r="DQ17" s="213">
        <v>0</v>
      </c>
      <c r="DR17" s="213" t="s">
        <v>249</v>
      </c>
      <c r="DU17" s="213" t="s">
        <v>745</v>
      </c>
      <c r="DV17" s="213" t="s">
        <v>743</v>
      </c>
      <c r="DW17" s="213">
        <v>0</v>
      </c>
      <c r="DX17" s="213">
        <v>0</v>
      </c>
      <c r="DY17" s="213">
        <v>0</v>
      </c>
      <c r="DZ17" s="213" t="s">
        <v>249</v>
      </c>
      <c r="EC17" s="213" t="s">
        <v>746</v>
      </c>
      <c r="ED17" s="213" t="s">
        <v>743</v>
      </c>
      <c r="EE17" s="213">
        <v>0</v>
      </c>
      <c r="EF17" s="213">
        <v>0</v>
      </c>
      <c r="EG17" s="213">
        <v>0</v>
      </c>
      <c r="EH17" s="213" t="s">
        <v>249</v>
      </c>
      <c r="EK17" s="213" t="s">
        <v>747</v>
      </c>
      <c r="EL17" s="213" t="s">
        <v>743</v>
      </c>
      <c r="EM17" s="213">
        <v>0</v>
      </c>
      <c r="EN17" s="213">
        <v>0</v>
      </c>
      <c r="EO17" s="213">
        <v>0</v>
      </c>
      <c r="EP17" s="213" t="s">
        <v>249</v>
      </c>
      <c r="ES17" s="213" t="s">
        <v>748</v>
      </c>
      <c r="ET17" s="213" t="s">
        <v>743</v>
      </c>
      <c r="EU17" s="213">
        <v>0</v>
      </c>
      <c r="EV17" s="213">
        <v>0</v>
      </c>
      <c r="EW17" s="213">
        <v>0</v>
      </c>
      <c r="EX17" s="213" t="s">
        <v>249</v>
      </c>
      <c r="FA17" s="213" t="s">
        <v>749</v>
      </c>
      <c r="FB17" s="213" t="s">
        <v>743</v>
      </c>
      <c r="FC17" s="213">
        <v>0</v>
      </c>
      <c r="FD17" s="213">
        <v>0</v>
      </c>
      <c r="FE17" s="213">
        <v>0</v>
      </c>
      <c r="FF17" s="213" t="s">
        <v>249</v>
      </c>
      <c r="FI17" s="213" t="s">
        <v>750</v>
      </c>
      <c r="FJ17" s="213" t="s">
        <v>743</v>
      </c>
      <c r="FK17" s="213">
        <v>0</v>
      </c>
      <c r="FL17" s="213">
        <v>0</v>
      </c>
      <c r="FM17" s="213">
        <v>0</v>
      </c>
      <c r="FN17" s="213" t="s">
        <v>249</v>
      </c>
      <c r="FQ17" s="213" t="s">
        <v>751</v>
      </c>
      <c r="FR17" s="213" t="s">
        <v>743</v>
      </c>
      <c r="FS17" s="213">
        <v>0</v>
      </c>
      <c r="FT17" s="213">
        <v>0</v>
      </c>
      <c r="FU17" s="213">
        <v>0</v>
      </c>
      <c r="FV17" s="213" t="s">
        <v>249</v>
      </c>
      <c r="FY17" s="213">
        <v>18.5</v>
      </c>
      <c r="FZ17" s="213">
        <v>-7.4</v>
      </c>
      <c r="GF17" s="213" t="s">
        <v>752</v>
      </c>
    </row>
    <row r="18" spans="1:188" s="213" customFormat="1" x14ac:dyDescent="0.15">
      <c r="A18" s="213" t="s">
        <v>654</v>
      </c>
      <c r="B18" s="213">
        <v>4</v>
      </c>
      <c r="C18" s="213" t="s">
        <v>826</v>
      </c>
      <c r="D18" s="213">
        <v>614332989</v>
      </c>
      <c r="E18" s="213">
        <v>92303</v>
      </c>
      <c r="F18" s="213" t="s">
        <v>725</v>
      </c>
      <c r="G18" s="213">
        <v>847922</v>
      </c>
      <c r="H18" s="213">
        <v>220000161</v>
      </c>
      <c r="I18" s="213">
        <v>6.8</v>
      </c>
      <c r="J18" s="213" t="s">
        <v>827</v>
      </c>
      <c r="K18" s="213" t="s">
        <v>727</v>
      </c>
      <c r="L18" s="213" t="s">
        <v>656</v>
      </c>
      <c r="M18" s="213" t="s">
        <v>728</v>
      </c>
      <c r="N18" s="213" t="s">
        <v>728</v>
      </c>
      <c r="O18" s="213" t="s">
        <v>729</v>
      </c>
      <c r="P18" s="213" t="s">
        <v>710</v>
      </c>
      <c r="Q18" s="213">
        <v>25.3</v>
      </c>
      <c r="R18" s="213">
        <v>133</v>
      </c>
      <c r="S18" s="213" t="s">
        <v>710</v>
      </c>
      <c r="T18" s="213">
        <v>-9999</v>
      </c>
      <c r="U18" s="213">
        <v>229</v>
      </c>
      <c r="V18" s="213">
        <v>492</v>
      </c>
      <c r="W18" s="213">
        <v>218</v>
      </c>
      <c r="X18" s="213" t="s">
        <v>710</v>
      </c>
      <c r="Y18" s="213">
        <v>0</v>
      </c>
      <c r="Z18" s="213">
        <v>40</v>
      </c>
      <c r="AA18" s="213" t="s">
        <v>730</v>
      </c>
      <c r="AB18" s="213" t="s">
        <v>731</v>
      </c>
      <c r="AC18" s="213" t="s">
        <v>729</v>
      </c>
      <c r="AD18" s="213" t="s">
        <v>732</v>
      </c>
      <c r="AE18" s="213">
        <v>0</v>
      </c>
      <c r="AF18" s="213">
        <v>8</v>
      </c>
      <c r="AG18" s="213" t="s">
        <v>249</v>
      </c>
      <c r="AH18" s="213">
        <v>-9999</v>
      </c>
      <c r="AI18" s="213">
        <v>188</v>
      </c>
      <c r="AJ18" s="213">
        <v>448</v>
      </c>
      <c r="AK18" s="213">
        <v>186</v>
      </c>
      <c r="AL18" s="213" t="s">
        <v>710</v>
      </c>
      <c r="AM18" s="213">
        <v>0</v>
      </c>
      <c r="AN18" s="213">
        <v>40</v>
      </c>
      <c r="AO18" s="213" t="s">
        <v>733</v>
      </c>
      <c r="AP18" s="213" t="s">
        <v>734</v>
      </c>
      <c r="AQ18" s="213">
        <v>1</v>
      </c>
      <c r="AR18" s="213" t="s">
        <v>735</v>
      </c>
      <c r="AS18" s="213">
        <v>0</v>
      </c>
      <c r="AT18" s="213">
        <v>-7</v>
      </c>
      <c r="AU18" s="213" t="s">
        <v>249</v>
      </c>
      <c r="AV18" s="213">
        <v>-9999</v>
      </c>
      <c r="AW18" s="213">
        <v>270</v>
      </c>
      <c r="AX18" s="213">
        <v>668</v>
      </c>
      <c r="AY18" s="213">
        <v>266</v>
      </c>
      <c r="AZ18" s="213" t="s">
        <v>710</v>
      </c>
      <c r="BA18" s="213">
        <v>0</v>
      </c>
      <c r="BB18" s="213">
        <v>40</v>
      </c>
      <c r="BC18" s="213" t="s">
        <v>736</v>
      </c>
      <c r="BD18" s="213" t="s">
        <v>734</v>
      </c>
      <c r="BE18" s="213">
        <v>2</v>
      </c>
      <c r="BF18" s="213" t="s">
        <v>735</v>
      </c>
      <c r="BG18" s="213">
        <v>0</v>
      </c>
      <c r="BH18" s="213">
        <v>0</v>
      </c>
      <c r="BI18" s="213" t="s">
        <v>249</v>
      </c>
      <c r="BJ18" s="213">
        <v>-9999</v>
      </c>
      <c r="BK18" s="213">
        <v>107</v>
      </c>
      <c r="BL18" s="213">
        <v>319</v>
      </c>
      <c r="BM18" s="213">
        <v>105</v>
      </c>
      <c r="BN18" s="213" t="s">
        <v>710</v>
      </c>
      <c r="BO18" s="213">
        <v>0</v>
      </c>
      <c r="BP18" s="213">
        <v>40</v>
      </c>
      <c r="BQ18" s="213" t="s">
        <v>737</v>
      </c>
      <c r="BR18" s="213" t="s">
        <v>734</v>
      </c>
      <c r="BS18" s="213">
        <v>3</v>
      </c>
      <c r="BT18" s="213" t="s">
        <v>735</v>
      </c>
      <c r="BU18" s="213">
        <v>0</v>
      </c>
      <c r="BV18" s="213">
        <v>8</v>
      </c>
      <c r="BW18" s="213" t="s">
        <v>249</v>
      </c>
      <c r="BX18" s="213">
        <v>-9999</v>
      </c>
      <c r="BY18" s="213">
        <v>155</v>
      </c>
      <c r="BZ18" s="213">
        <v>365</v>
      </c>
      <c r="CA18" s="213">
        <v>154</v>
      </c>
      <c r="CB18" s="213" t="s">
        <v>710</v>
      </c>
      <c r="CC18" s="213">
        <v>0</v>
      </c>
      <c r="CD18" s="213">
        <v>40</v>
      </c>
      <c r="CE18" s="213" t="s">
        <v>738</v>
      </c>
      <c r="CF18" s="213" t="s">
        <v>734</v>
      </c>
      <c r="CG18" s="213">
        <v>4</v>
      </c>
      <c r="CH18" s="213" t="s">
        <v>735</v>
      </c>
      <c r="CI18" s="213">
        <v>0</v>
      </c>
      <c r="CJ18" s="213">
        <v>2</v>
      </c>
      <c r="CK18" s="213" t="s">
        <v>249</v>
      </c>
      <c r="CL18" s="213">
        <v>-9999</v>
      </c>
      <c r="CM18" s="213">
        <v>133</v>
      </c>
      <c r="CN18" s="213">
        <v>348</v>
      </c>
      <c r="CO18" s="213">
        <v>130</v>
      </c>
      <c r="CP18" s="213" t="s">
        <v>710</v>
      </c>
      <c r="CQ18" s="213">
        <v>0</v>
      </c>
      <c r="CR18" s="213">
        <v>40</v>
      </c>
      <c r="CS18" s="213" t="s">
        <v>739</v>
      </c>
      <c r="CT18" s="213" t="s">
        <v>740</v>
      </c>
      <c r="CU18" s="213">
        <v>107</v>
      </c>
      <c r="CV18" s="213">
        <v>106</v>
      </c>
      <c r="CW18" s="213">
        <v>106</v>
      </c>
      <c r="CX18" s="213" t="s">
        <v>710</v>
      </c>
      <c r="CY18" s="213" t="s">
        <v>741</v>
      </c>
      <c r="CZ18" s="213" t="s">
        <v>740</v>
      </c>
      <c r="DA18" s="213">
        <v>97</v>
      </c>
      <c r="DB18" s="213">
        <v>96</v>
      </c>
      <c r="DC18" s="213">
        <v>96</v>
      </c>
      <c r="DD18" s="213" t="s">
        <v>710</v>
      </c>
      <c r="DE18" s="213" t="s">
        <v>742</v>
      </c>
      <c r="DF18" s="213" t="s">
        <v>743</v>
      </c>
      <c r="DG18" s="213">
        <v>0</v>
      </c>
      <c r="DH18" s="213">
        <v>0</v>
      </c>
      <c r="DI18" s="213">
        <v>0</v>
      </c>
      <c r="DJ18" s="213" t="s">
        <v>249</v>
      </c>
      <c r="DM18" s="213" t="s">
        <v>744</v>
      </c>
      <c r="DN18" s="213" t="s">
        <v>743</v>
      </c>
      <c r="DO18" s="213">
        <v>0</v>
      </c>
      <c r="DP18" s="213">
        <v>0</v>
      </c>
      <c r="DQ18" s="213">
        <v>0</v>
      </c>
      <c r="DR18" s="213" t="s">
        <v>249</v>
      </c>
      <c r="DU18" s="213" t="s">
        <v>745</v>
      </c>
      <c r="DV18" s="213" t="s">
        <v>743</v>
      </c>
      <c r="DW18" s="213">
        <v>0</v>
      </c>
      <c r="DX18" s="213">
        <v>0</v>
      </c>
      <c r="DY18" s="213">
        <v>0</v>
      </c>
      <c r="DZ18" s="213" t="s">
        <v>249</v>
      </c>
      <c r="EC18" s="213" t="s">
        <v>746</v>
      </c>
      <c r="ED18" s="213" t="s">
        <v>743</v>
      </c>
      <c r="EE18" s="213">
        <v>0</v>
      </c>
      <c r="EF18" s="213">
        <v>0</v>
      </c>
      <c r="EG18" s="213">
        <v>0</v>
      </c>
      <c r="EH18" s="213" t="s">
        <v>249</v>
      </c>
      <c r="EK18" s="213" t="s">
        <v>747</v>
      </c>
      <c r="EL18" s="213" t="s">
        <v>743</v>
      </c>
      <c r="EM18" s="213">
        <v>0</v>
      </c>
      <c r="EN18" s="213">
        <v>0</v>
      </c>
      <c r="EO18" s="213">
        <v>0</v>
      </c>
      <c r="EP18" s="213" t="s">
        <v>249</v>
      </c>
      <c r="ES18" s="213" t="s">
        <v>748</v>
      </c>
      <c r="ET18" s="213" t="s">
        <v>743</v>
      </c>
      <c r="EU18" s="213">
        <v>0</v>
      </c>
      <c r="EV18" s="213">
        <v>0</v>
      </c>
      <c r="EW18" s="213">
        <v>0</v>
      </c>
      <c r="EX18" s="213" t="s">
        <v>249</v>
      </c>
      <c r="FA18" s="213" t="s">
        <v>749</v>
      </c>
      <c r="FB18" s="213" t="s">
        <v>743</v>
      </c>
      <c r="FC18" s="213">
        <v>0</v>
      </c>
      <c r="FD18" s="213">
        <v>0</v>
      </c>
      <c r="FE18" s="213">
        <v>0</v>
      </c>
      <c r="FF18" s="213" t="s">
        <v>249</v>
      </c>
      <c r="FI18" s="213" t="s">
        <v>750</v>
      </c>
      <c r="FJ18" s="213" t="s">
        <v>743</v>
      </c>
      <c r="FK18" s="213">
        <v>0</v>
      </c>
      <c r="FL18" s="213">
        <v>0</v>
      </c>
      <c r="FM18" s="213">
        <v>0</v>
      </c>
      <c r="FN18" s="213" t="s">
        <v>249</v>
      </c>
      <c r="FQ18" s="213" t="s">
        <v>751</v>
      </c>
      <c r="FR18" s="213" t="s">
        <v>743</v>
      </c>
      <c r="FS18" s="213">
        <v>0</v>
      </c>
      <c r="FT18" s="213">
        <v>0</v>
      </c>
      <c r="FU18" s="213">
        <v>0</v>
      </c>
      <c r="FV18" s="213" t="s">
        <v>249</v>
      </c>
      <c r="FY18" s="213">
        <v>19.8</v>
      </c>
      <c r="FZ18" s="213">
        <v>-8.1999999999999993</v>
      </c>
      <c r="GF18" s="213" t="s">
        <v>752</v>
      </c>
    </row>
    <row r="19" spans="1:188" s="213" customFormat="1" x14ac:dyDescent="0.15">
      <c r="A19" s="213" t="s">
        <v>654</v>
      </c>
      <c r="B19" s="213">
        <v>4</v>
      </c>
      <c r="C19" s="213" t="s">
        <v>828</v>
      </c>
      <c r="D19" s="213">
        <v>614332693</v>
      </c>
      <c r="E19" s="213">
        <v>92303</v>
      </c>
      <c r="F19" s="213" t="s">
        <v>725</v>
      </c>
      <c r="G19" s="213">
        <v>847922</v>
      </c>
      <c r="H19" s="213">
        <v>760491</v>
      </c>
      <c r="I19" s="213">
        <v>6.8</v>
      </c>
      <c r="J19" s="213" t="s">
        <v>829</v>
      </c>
      <c r="K19" s="213" t="s">
        <v>727</v>
      </c>
      <c r="L19" s="213" t="s">
        <v>656</v>
      </c>
      <c r="M19" s="213" t="s">
        <v>728</v>
      </c>
      <c r="N19" s="213" t="s">
        <v>728</v>
      </c>
      <c r="O19" s="213" t="s">
        <v>729</v>
      </c>
      <c r="P19" s="213" t="s">
        <v>710</v>
      </c>
      <c r="Q19" s="213">
        <v>24.5</v>
      </c>
      <c r="R19" s="213">
        <v>140</v>
      </c>
      <c r="S19" s="213" t="s">
        <v>710</v>
      </c>
      <c r="T19" s="213">
        <v>-9999</v>
      </c>
      <c r="U19" s="213">
        <v>216</v>
      </c>
      <c r="V19" s="213">
        <v>470</v>
      </c>
      <c r="W19" s="213">
        <v>209</v>
      </c>
      <c r="X19" s="213" t="s">
        <v>710</v>
      </c>
      <c r="Y19" s="213">
        <v>0</v>
      </c>
      <c r="Z19" s="213">
        <v>40</v>
      </c>
      <c r="AA19" s="213" t="s">
        <v>730</v>
      </c>
      <c r="AB19" s="213" t="s">
        <v>731</v>
      </c>
      <c r="AC19" s="213" t="s">
        <v>729</v>
      </c>
      <c r="AD19" s="213" t="s">
        <v>732</v>
      </c>
      <c r="AE19" s="213">
        <v>0</v>
      </c>
      <c r="AF19" s="213">
        <v>7</v>
      </c>
      <c r="AG19" s="213" t="s">
        <v>249</v>
      </c>
      <c r="AH19" s="213">
        <v>-9999</v>
      </c>
      <c r="AI19" s="213">
        <v>195</v>
      </c>
      <c r="AJ19" s="213">
        <v>465</v>
      </c>
      <c r="AK19" s="213">
        <v>192</v>
      </c>
      <c r="AL19" s="213" t="s">
        <v>710</v>
      </c>
      <c r="AM19" s="213">
        <v>0</v>
      </c>
      <c r="AN19" s="213">
        <v>40</v>
      </c>
      <c r="AO19" s="213" t="s">
        <v>733</v>
      </c>
      <c r="AP19" s="213" t="s">
        <v>734</v>
      </c>
      <c r="AQ19" s="213">
        <v>1</v>
      </c>
      <c r="AR19" s="213" t="s">
        <v>735</v>
      </c>
      <c r="AS19" s="213">
        <v>0</v>
      </c>
      <c r="AT19" s="213">
        <v>4</v>
      </c>
      <c r="AU19" s="213" t="s">
        <v>249</v>
      </c>
      <c r="AV19" s="213">
        <v>-9999</v>
      </c>
      <c r="AW19" s="213">
        <v>252</v>
      </c>
      <c r="AX19" s="213">
        <v>623</v>
      </c>
      <c r="AY19" s="213">
        <v>249</v>
      </c>
      <c r="AZ19" s="213" t="s">
        <v>710</v>
      </c>
      <c r="BA19" s="213">
        <v>0</v>
      </c>
      <c r="BB19" s="213">
        <v>40</v>
      </c>
      <c r="BC19" s="213" t="s">
        <v>736</v>
      </c>
      <c r="BD19" s="213" t="s">
        <v>734</v>
      </c>
      <c r="BE19" s="213">
        <v>2</v>
      </c>
      <c r="BF19" s="213" t="s">
        <v>735</v>
      </c>
      <c r="BG19" s="213">
        <v>0</v>
      </c>
      <c r="BH19" s="213">
        <v>3</v>
      </c>
      <c r="BI19" s="213" t="s">
        <v>249</v>
      </c>
      <c r="BJ19" s="213">
        <v>-9999</v>
      </c>
      <c r="BK19" s="213">
        <v>109</v>
      </c>
      <c r="BL19" s="213">
        <v>333</v>
      </c>
      <c r="BM19" s="213">
        <v>106</v>
      </c>
      <c r="BN19" s="213" t="s">
        <v>710</v>
      </c>
      <c r="BO19" s="213">
        <v>0</v>
      </c>
      <c r="BP19" s="213">
        <v>40</v>
      </c>
      <c r="BQ19" s="213" t="s">
        <v>737</v>
      </c>
      <c r="BR19" s="213" t="s">
        <v>734</v>
      </c>
      <c r="BS19" s="213">
        <v>3</v>
      </c>
      <c r="BT19" s="213" t="s">
        <v>735</v>
      </c>
      <c r="BU19" s="213">
        <v>0</v>
      </c>
      <c r="BV19" s="213">
        <v>4</v>
      </c>
      <c r="BW19" s="213" t="s">
        <v>249</v>
      </c>
      <c r="BX19" s="213">
        <v>-9999</v>
      </c>
      <c r="BY19" s="213">
        <v>184</v>
      </c>
      <c r="BZ19" s="213">
        <v>449</v>
      </c>
      <c r="CA19" s="213">
        <v>184</v>
      </c>
      <c r="CB19" s="213" t="s">
        <v>710</v>
      </c>
      <c r="CC19" s="213">
        <v>0</v>
      </c>
      <c r="CD19" s="213">
        <v>40</v>
      </c>
      <c r="CE19" s="213" t="s">
        <v>738</v>
      </c>
      <c r="CF19" s="213" t="s">
        <v>734</v>
      </c>
      <c r="CG19" s="213">
        <v>4</v>
      </c>
      <c r="CH19" s="213" t="s">
        <v>735</v>
      </c>
      <c r="CI19" s="213">
        <v>0</v>
      </c>
      <c r="CJ19" s="213">
        <v>5</v>
      </c>
      <c r="CK19" s="213" t="s">
        <v>249</v>
      </c>
      <c r="CL19" s="213">
        <v>-9999</v>
      </c>
      <c r="CM19" s="213">
        <v>143</v>
      </c>
      <c r="CN19" s="213">
        <v>372</v>
      </c>
      <c r="CO19" s="213">
        <v>140</v>
      </c>
      <c r="CP19" s="213" t="s">
        <v>710</v>
      </c>
      <c r="CQ19" s="213">
        <v>0</v>
      </c>
      <c r="CR19" s="213">
        <v>40</v>
      </c>
      <c r="CS19" s="213" t="s">
        <v>739</v>
      </c>
      <c r="CT19" s="213" t="s">
        <v>740</v>
      </c>
      <c r="CU19" s="213">
        <v>114</v>
      </c>
      <c r="CV19" s="213">
        <v>113</v>
      </c>
      <c r="CW19" s="213">
        <v>113</v>
      </c>
      <c r="CX19" s="213" t="s">
        <v>710</v>
      </c>
      <c r="CY19" s="213" t="s">
        <v>741</v>
      </c>
      <c r="CZ19" s="213" t="s">
        <v>740</v>
      </c>
      <c r="DA19" s="213">
        <v>124</v>
      </c>
      <c r="DB19" s="213">
        <v>124</v>
      </c>
      <c r="DC19" s="213">
        <v>124</v>
      </c>
      <c r="DD19" s="213" t="s">
        <v>710</v>
      </c>
      <c r="DE19" s="213" t="s">
        <v>742</v>
      </c>
      <c r="DF19" s="213" t="s">
        <v>743</v>
      </c>
      <c r="DG19" s="213">
        <v>0</v>
      </c>
      <c r="DH19" s="213">
        <v>0</v>
      </c>
      <c r="DI19" s="213">
        <v>0</v>
      </c>
      <c r="DJ19" s="213" t="s">
        <v>249</v>
      </c>
      <c r="DM19" s="213" t="s">
        <v>744</v>
      </c>
      <c r="DN19" s="213" t="s">
        <v>743</v>
      </c>
      <c r="DO19" s="213">
        <v>0</v>
      </c>
      <c r="DP19" s="213">
        <v>0</v>
      </c>
      <c r="DQ19" s="213">
        <v>0</v>
      </c>
      <c r="DR19" s="213" t="s">
        <v>249</v>
      </c>
      <c r="DU19" s="213" t="s">
        <v>745</v>
      </c>
      <c r="DV19" s="213" t="s">
        <v>743</v>
      </c>
      <c r="DW19" s="213">
        <v>0</v>
      </c>
      <c r="DX19" s="213">
        <v>0</v>
      </c>
      <c r="DY19" s="213">
        <v>0</v>
      </c>
      <c r="DZ19" s="213" t="s">
        <v>249</v>
      </c>
      <c r="EC19" s="213" t="s">
        <v>746</v>
      </c>
      <c r="ED19" s="213" t="s">
        <v>743</v>
      </c>
      <c r="EE19" s="213">
        <v>0</v>
      </c>
      <c r="EF19" s="213">
        <v>0</v>
      </c>
      <c r="EG19" s="213">
        <v>0</v>
      </c>
      <c r="EH19" s="213" t="s">
        <v>249</v>
      </c>
      <c r="EK19" s="213" t="s">
        <v>747</v>
      </c>
      <c r="EL19" s="213" t="s">
        <v>743</v>
      </c>
      <c r="EM19" s="213">
        <v>0</v>
      </c>
      <c r="EN19" s="213">
        <v>0</v>
      </c>
      <c r="EO19" s="213">
        <v>0</v>
      </c>
      <c r="EP19" s="213" t="s">
        <v>249</v>
      </c>
      <c r="ES19" s="213" t="s">
        <v>748</v>
      </c>
      <c r="ET19" s="213" t="s">
        <v>743</v>
      </c>
      <c r="EU19" s="213">
        <v>0</v>
      </c>
      <c r="EV19" s="213">
        <v>0</v>
      </c>
      <c r="EW19" s="213">
        <v>0</v>
      </c>
      <c r="EX19" s="213" t="s">
        <v>249</v>
      </c>
      <c r="FA19" s="213" t="s">
        <v>749</v>
      </c>
      <c r="FB19" s="213" t="s">
        <v>743</v>
      </c>
      <c r="FC19" s="213">
        <v>0</v>
      </c>
      <c r="FD19" s="213">
        <v>0</v>
      </c>
      <c r="FE19" s="213">
        <v>0</v>
      </c>
      <c r="FF19" s="213" t="s">
        <v>249</v>
      </c>
      <c r="FI19" s="213" t="s">
        <v>750</v>
      </c>
      <c r="FJ19" s="213" t="s">
        <v>743</v>
      </c>
      <c r="FK19" s="213">
        <v>0</v>
      </c>
      <c r="FL19" s="213">
        <v>0</v>
      </c>
      <c r="FM19" s="213">
        <v>0</v>
      </c>
      <c r="FN19" s="213" t="s">
        <v>249</v>
      </c>
      <c r="FQ19" s="213" t="s">
        <v>751</v>
      </c>
      <c r="FR19" s="213" t="s">
        <v>743</v>
      </c>
      <c r="FS19" s="213">
        <v>0</v>
      </c>
      <c r="FT19" s="213">
        <v>0</v>
      </c>
      <c r="FU19" s="213">
        <v>0</v>
      </c>
      <c r="FV19" s="213" t="s">
        <v>249</v>
      </c>
      <c r="FY19" s="213">
        <v>19.899999999999999</v>
      </c>
      <c r="FZ19" s="213">
        <v>-8.1</v>
      </c>
      <c r="GF19" s="213" t="s">
        <v>752</v>
      </c>
    </row>
    <row r="20" spans="1:188" s="213" customFormat="1" x14ac:dyDescent="0.15">
      <c r="A20" s="213" t="s">
        <v>654</v>
      </c>
      <c r="B20" s="213">
        <v>4</v>
      </c>
      <c r="C20" s="213" t="s">
        <v>830</v>
      </c>
      <c r="D20" s="213">
        <v>614333581</v>
      </c>
      <c r="E20" s="213">
        <v>92303</v>
      </c>
      <c r="F20" s="213" t="s">
        <v>725</v>
      </c>
      <c r="G20" s="213">
        <v>847922</v>
      </c>
      <c r="H20" s="213">
        <v>210068154</v>
      </c>
      <c r="I20" s="213">
        <v>6.8</v>
      </c>
      <c r="J20" s="213" t="s">
        <v>831</v>
      </c>
      <c r="K20" s="213" t="s">
        <v>727</v>
      </c>
      <c r="L20" s="213" t="s">
        <v>656</v>
      </c>
      <c r="M20" s="213" t="s">
        <v>728</v>
      </c>
      <c r="N20" s="213" t="s">
        <v>728</v>
      </c>
      <c r="O20" s="213" t="s">
        <v>729</v>
      </c>
      <c r="P20" s="213" t="s">
        <v>710</v>
      </c>
      <c r="Q20" s="213">
        <v>23.6</v>
      </c>
      <c r="R20" s="213">
        <v>145</v>
      </c>
      <c r="S20" s="213" t="s">
        <v>710</v>
      </c>
      <c r="T20" s="213">
        <v>-9999</v>
      </c>
      <c r="U20" s="213">
        <v>208</v>
      </c>
      <c r="V20" s="213">
        <v>453</v>
      </c>
      <c r="W20" s="213">
        <v>202</v>
      </c>
      <c r="X20" s="213" t="s">
        <v>710</v>
      </c>
      <c r="Y20" s="213">
        <v>0</v>
      </c>
      <c r="Z20" s="213">
        <v>40</v>
      </c>
      <c r="AA20" s="213" t="s">
        <v>730</v>
      </c>
      <c r="AB20" s="213" t="s">
        <v>731</v>
      </c>
      <c r="AC20" s="213" t="s">
        <v>729</v>
      </c>
      <c r="AD20" s="213" t="s">
        <v>732</v>
      </c>
      <c r="AE20" s="213">
        <v>0</v>
      </c>
      <c r="AF20" s="213">
        <v>4</v>
      </c>
      <c r="AG20" s="213" t="s">
        <v>249</v>
      </c>
      <c r="AH20" s="213">
        <v>-9999</v>
      </c>
      <c r="AI20" s="213">
        <v>184</v>
      </c>
      <c r="AJ20" s="213">
        <v>438</v>
      </c>
      <c r="AK20" s="213">
        <v>183</v>
      </c>
      <c r="AL20" s="213" t="s">
        <v>710</v>
      </c>
      <c r="AM20" s="213">
        <v>0</v>
      </c>
      <c r="AN20" s="213">
        <v>40</v>
      </c>
      <c r="AO20" s="213" t="s">
        <v>733</v>
      </c>
      <c r="AP20" s="213" t="s">
        <v>734</v>
      </c>
      <c r="AQ20" s="213">
        <v>1</v>
      </c>
      <c r="AR20" s="213" t="s">
        <v>735</v>
      </c>
      <c r="AS20" s="213">
        <v>0</v>
      </c>
      <c r="AT20" s="213">
        <v>0</v>
      </c>
      <c r="AU20" s="213" t="s">
        <v>249</v>
      </c>
      <c r="AV20" s="213">
        <v>-9999</v>
      </c>
      <c r="AW20" s="213">
        <v>255</v>
      </c>
      <c r="AX20" s="213">
        <v>637</v>
      </c>
      <c r="AY20" s="213">
        <v>253</v>
      </c>
      <c r="AZ20" s="213" t="s">
        <v>710</v>
      </c>
      <c r="BA20" s="213">
        <v>0</v>
      </c>
      <c r="BB20" s="213">
        <v>40</v>
      </c>
      <c r="BC20" s="213" t="s">
        <v>736</v>
      </c>
      <c r="BD20" s="213" t="s">
        <v>734</v>
      </c>
      <c r="BE20" s="213">
        <v>2</v>
      </c>
      <c r="BF20" s="213" t="s">
        <v>735</v>
      </c>
      <c r="BG20" s="213">
        <v>0</v>
      </c>
      <c r="BH20" s="213">
        <v>2</v>
      </c>
      <c r="BI20" s="213" t="s">
        <v>249</v>
      </c>
      <c r="BJ20" s="213">
        <v>-9999</v>
      </c>
      <c r="BK20" s="213">
        <v>105</v>
      </c>
      <c r="BL20" s="213">
        <v>327</v>
      </c>
      <c r="BM20" s="213">
        <v>104</v>
      </c>
      <c r="BN20" s="213" t="s">
        <v>710</v>
      </c>
      <c r="BO20" s="213">
        <v>0</v>
      </c>
      <c r="BP20" s="213">
        <v>40</v>
      </c>
      <c r="BQ20" s="213" t="s">
        <v>737</v>
      </c>
      <c r="BR20" s="213" t="s">
        <v>734</v>
      </c>
      <c r="BS20" s="213">
        <v>3</v>
      </c>
      <c r="BT20" s="213" t="s">
        <v>735</v>
      </c>
      <c r="BU20" s="213">
        <v>0</v>
      </c>
      <c r="BV20" s="213">
        <v>5</v>
      </c>
      <c r="BW20" s="213" t="s">
        <v>249</v>
      </c>
      <c r="BX20" s="213">
        <v>-9999</v>
      </c>
      <c r="BY20" s="213">
        <v>186</v>
      </c>
      <c r="BZ20" s="213">
        <v>445</v>
      </c>
      <c r="CA20" s="213">
        <v>187</v>
      </c>
      <c r="CB20" s="213" t="s">
        <v>710</v>
      </c>
      <c r="CC20" s="213">
        <v>0</v>
      </c>
      <c r="CD20" s="213">
        <v>40</v>
      </c>
      <c r="CE20" s="213" t="s">
        <v>738</v>
      </c>
      <c r="CF20" s="213" t="s">
        <v>734</v>
      </c>
      <c r="CG20" s="213">
        <v>4</v>
      </c>
      <c r="CH20" s="213" t="s">
        <v>735</v>
      </c>
      <c r="CI20" s="213">
        <v>0</v>
      </c>
      <c r="CJ20" s="213">
        <v>7</v>
      </c>
      <c r="CK20" s="213" t="s">
        <v>249</v>
      </c>
      <c r="CL20" s="213">
        <v>-9999</v>
      </c>
      <c r="CM20" s="213">
        <v>127</v>
      </c>
      <c r="CN20" s="213">
        <v>329</v>
      </c>
      <c r="CO20" s="213">
        <v>125</v>
      </c>
      <c r="CP20" s="213" t="s">
        <v>710</v>
      </c>
      <c r="CQ20" s="213">
        <v>0</v>
      </c>
      <c r="CR20" s="213">
        <v>40</v>
      </c>
      <c r="CS20" s="213" t="s">
        <v>739</v>
      </c>
      <c r="CT20" s="213" t="s">
        <v>740</v>
      </c>
      <c r="CU20" s="213">
        <v>112</v>
      </c>
      <c r="CV20" s="213">
        <v>111</v>
      </c>
      <c r="CW20" s="213">
        <v>111</v>
      </c>
      <c r="CX20" s="213" t="s">
        <v>710</v>
      </c>
      <c r="CY20" s="213" t="s">
        <v>741</v>
      </c>
      <c r="CZ20" s="213" t="s">
        <v>740</v>
      </c>
      <c r="DA20" s="213">
        <v>128</v>
      </c>
      <c r="DB20" s="213">
        <v>128</v>
      </c>
      <c r="DC20" s="213">
        <v>128</v>
      </c>
      <c r="DD20" s="213" t="s">
        <v>710</v>
      </c>
      <c r="DE20" s="213" t="s">
        <v>742</v>
      </c>
      <c r="DF20" s="213" t="s">
        <v>743</v>
      </c>
      <c r="DG20" s="213">
        <v>0</v>
      </c>
      <c r="DH20" s="213">
        <v>0</v>
      </c>
      <c r="DI20" s="213">
        <v>0</v>
      </c>
      <c r="DJ20" s="213" t="s">
        <v>249</v>
      </c>
      <c r="DM20" s="213" t="s">
        <v>744</v>
      </c>
      <c r="DN20" s="213" t="s">
        <v>743</v>
      </c>
      <c r="DO20" s="213">
        <v>0</v>
      </c>
      <c r="DP20" s="213">
        <v>0</v>
      </c>
      <c r="DQ20" s="213">
        <v>0</v>
      </c>
      <c r="DR20" s="213" t="s">
        <v>249</v>
      </c>
      <c r="DU20" s="213" t="s">
        <v>745</v>
      </c>
      <c r="DV20" s="213" t="s">
        <v>743</v>
      </c>
      <c r="DW20" s="213">
        <v>0</v>
      </c>
      <c r="DX20" s="213">
        <v>0</v>
      </c>
      <c r="DY20" s="213">
        <v>0</v>
      </c>
      <c r="DZ20" s="213" t="s">
        <v>249</v>
      </c>
      <c r="EC20" s="213" t="s">
        <v>746</v>
      </c>
      <c r="ED20" s="213" t="s">
        <v>743</v>
      </c>
      <c r="EE20" s="213">
        <v>0</v>
      </c>
      <c r="EF20" s="213">
        <v>0</v>
      </c>
      <c r="EG20" s="213">
        <v>0</v>
      </c>
      <c r="EH20" s="213" t="s">
        <v>249</v>
      </c>
      <c r="EK20" s="213" t="s">
        <v>747</v>
      </c>
      <c r="EL20" s="213" t="s">
        <v>743</v>
      </c>
      <c r="EM20" s="213">
        <v>0</v>
      </c>
      <c r="EN20" s="213">
        <v>0</v>
      </c>
      <c r="EO20" s="213">
        <v>0</v>
      </c>
      <c r="EP20" s="213" t="s">
        <v>249</v>
      </c>
      <c r="ES20" s="213" t="s">
        <v>748</v>
      </c>
      <c r="ET20" s="213" t="s">
        <v>743</v>
      </c>
      <c r="EU20" s="213">
        <v>0</v>
      </c>
      <c r="EV20" s="213">
        <v>0</v>
      </c>
      <c r="EW20" s="213">
        <v>0</v>
      </c>
      <c r="EX20" s="213" t="s">
        <v>249</v>
      </c>
      <c r="FA20" s="213" t="s">
        <v>749</v>
      </c>
      <c r="FB20" s="213" t="s">
        <v>743</v>
      </c>
      <c r="FC20" s="213">
        <v>0</v>
      </c>
      <c r="FD20" s="213">
        <v>0</v>
      </c>
      <c r="FE20" s="213">
        <v>0</v>
      </c>
      <c r="FF20" s="213" t="s">
        <v>249</v>
      </c>
      <c r="FI20" s="213" t="s">
        <v>750</v>
      </c>
      <c r="FJ20" s="213" t="s">
        <v>743</v>
      </c>
      <c r="FK20" s="213">
        <v>0</v>
      </c>
      <c r="FL20" s="213">
        <v>0</v>
      </c>
      <c r="FM20" s="213">
        <v>0</v>
      </c>
      <c r="FN20" s="213" t="s">
        <v>249</v>
      </c>
      <c r="FQ20" s="213" t="s">
        <v>751</v>
      </c>
      <c r="FR20" s="213" t="s">
        <v>743</v>
      </c>
      <c r="FS20" s="213">
        <v>0</v>
      </c>
      <c r="FT20" s="213">
        <v>0</v>
      </c>
      <c r="FU20" s="213">
        <v>0</v>
      </c>
      <c r="FV20" s="213" t="s">
        <v>249</v>
      </c>
      <c r="FY20" s="213">
        <v>18.2</v>
      </c>
      <c r="FZ20" s="213">
        <v>-8.1</v>
      </c>
      <c r="GF20" s="213" t="s">
        <v>752</v>
      </c>
    </row>
    <row r="21" spans="1:188" s="213" customFormat="1" x14ac:dyDescent="0.15">
      <c r="A21" s="213" t="s">
        <v>654</v>
      </c>
      <c r="B21" s="213">
        <v>4</v>
      </c>
      <c r="C21" s="213" t="s">
        <v>832</v>
      </c>
      <c r="D21" s="213">
        <v>614332391</v>
      </c>
      <c r="E21" s="213">
        <v>92303</v>
      </c>
      <c r="F21" s="213" t="s">
        <v>725</v>
      </c>
      <c r="G21" s="213">
        <v>847922</v>
      </c>
      <c r="H21" s="213">
        <v>902140</v>
      </c>
      <c r="I21" s="213">
        <v>6.8</v>
      </c>
      <c r="J21" s="213" t="s">
        <v>833</v>
      </c>
      <c r="K21" s="213" t="s">
        <v>727</v>
      </c>
      <c r="L21" s="213" t="s">
        <v>656</v>
      </c>
      <c r="M21" s="213" t="s">
        <v>728</v>
      </c>
      <c r="N21" s="213" t="s">
        <v>728</v>
      </c>
      <c r="O21" s="213" t="s">
        <v>729</v>
      </c>
      <c r="P21" s="213" t="s">
        <v>710</v>
      </c>
      <c r="Q21" s="213">
        <v>24</v>
      </c>
      <c r="R21" s="213">
        <v>156</v>
      </c>
      <c r="S21" s="213" t="s">
        <v>710</v>
      </c>
      <c r="T21" s="213">
        <v>-9999</v>
      </c>
      <c r="U21" s="213">
        <v>183</v>
      </c>
      <c r="V21" s="213">
        <v>401</v>
      </c>
      <c r="W21" s="213">
        <v>177</v>
      </c>
      <c r="X21" s="213" t="s">
        <v>710</v>
      </c>
      <c r="Y21" s="213">
        <v>0</v>
      </c>
      <c r="Z21" s="213">
        <v>40</v>
      </c>
      <c r="AA21" s="213" t="s">
        <v>730</v>
      </c>
      <c r="AB21" s="213" t="s">
        <v>731</v>
      </c>
      <c r="AC21" s="213" t="s">
        <v>729</v>
      </c>
      <c r="AD21" s="213" t="s">
        <v>732</v>
      </c>
      <c r="AE21" s="213">
        <v>0</v>
      </c>
      <c r="AF21" s="213">
        <v>6</v>
      </c>
      <c r="AG21" s="213" t="s">
        <v>249</v>
      </c>
      <c r="AH21" s="213">
        <v>-9999</v>
      </c>
      <c r="AI21" s="213">
        <v>183</v>
      </c>
      <c r="AJ21" s="213">
        <v>437</v>
      </c>
      <c r="AK21" s="213">
        <v>182</v>
      </c>
      <c r="AL21" s="213" t="s">
        <v>710</v>
      </c>
      <c r="AM21" s="213">
        <v>0</v>
      </c>
      <c r="AN21" s="213">
        <v>40</v>
      </c>
      <c r="AO21" s="213" t="s">
        <v>733</v>
      </c>
      <c r="AP21" s="213" t="s">
        <v>734</v>
      </c>
      <c r="AQ21" s="213">
        <v>1</v>
      </c>
      <c r="AR21" s="213" t="s">
        <v>735</v>
      </c>
      <c r="AS21" s="213">
        <v>0</v>
      </c>
      <c r="AT21" s="213">
        <v>3</v>
      </c>
      <c r="AU21" s="213" t="s">
        <v>249</v>
      </c>
      <c r="AV21" s="213">
        <v>-9999</v>
      </c>
      <c r="AW21" s="213">
        <v>243</v>
      </c>
      <c r="AX21" s="213">
        <v>604</v>
      </c>
      <c r="AY21" s="213">
        <v>241</v>
      </c>
      <c r="AZ21" s="213" t="s">
        <v>710</v>
      </c>
      <c r="BA21" s="213">
        <v>0</v>
      </c>
      <c r="BB21" s="213">
        <v>40</v>
      </c>
      <c r="BC21" s="213" t="s">
        <v>736</v>
      </c>
      <c r="BD21" s="213" t="s">
        <v>734</v>
      </c>
      <c r="BE21" s="213">
        <v>2</v>
      </c>
      <c r="BF21" s="213" t="s">
        <v>735</v>
      </c>
      <c r="BG21" s="213">
        <v>0</v>
      </c>
      <c r="BH21" s="213">
        <v>4</v>
      </c>
      <c r="BI21" s="213" t="s">
        <v>249</v>
      </c>
      <c r="BJ21" s="213">
        <v>-9999</v>
      </c>
      <c r="BK21" s="213">
        <v>89</v>
      </c>
      <c r="BL21" s="213">
        <v>275</v>
      </c>
      <c r="BM21" s="213">
        <v>88</v>
      </c>
      <c r="BN21" s="213" t="s">
        <v>710</v>
      </c>
      <c r="BO21" s="213">
        <v>0</v>
      </c>
      <c r="BP21" s="213">
        <v>40</v>
      </c>
      <c r="BQ21" s="213" t="s">
        <v>737</v>
      </c>
      <c r="BR21" s="213" t="s">
        <v>734</v>
      </c>
      <c r="BS21" s="213">
        <v>3</v>
      </c>
      <c r="BT21" s="213" t="s">
        <v>735</v>
      </c>
      <c r="BU21" s="213">
        <v>0</v>
      </c>
      <c r="BV21" s="213">
        <v>9</v>
      </c>
      <c r="BW21" s="213" t="s">
        <v>249</v>
      </c>
      <c r="BX21" s="213">
        <v>-9999</v>
      </c>
      <c r="BY21" s="213">
        <v>151</v>
      </c>
      <c r="BZ21" s="213">
        <v>366</v>
      </c>
      <c r="CA21" s="213">
        <v>151</v>
      </c>
      <c r="CB21" s="213" t="s">
        <v>710</v>
      </c>
      <c r="CC21" s="213">
        <v>0</v>
      </c>
      <c r="CD21" s="213">
        <v>40</v>
      </c>
      <c r="CE21" s="213" t="s">
        <v>738</v>
      </c>
      <c r="CF21" s="213" t="s">
        <v>734</v>
      </c>
      <c r="CG21" s="213">
        <v>4</v>
      </c>
      <c r="CH21" s="213" t="s">
        <v>735</v>
      </c>
      <c r="CI21" s="213">
        <v>0</v>
      </c>
      <c r="CJ21" s="213">
        <v>4</v>
      </c>
      <c r="CK21" s="213" t="s">
        <v>249</v>
      </c>
      <c r="CL21" s="213">
        <v>-9999</v>
      </c>
      <c r="CM21" s="213">
        <v>140</v>
      </c>
      <c r="CN21" s="213">
        <v>370</v>
      </c>
      <c r="CO21" s="213">
        <v>138</v>
      </c>
      <c r="CP21" s="213" t="s">
        <v>710</v>
      </c>
      <c r="CQ21" s="213">
        <v>0</v>
      </c>
      <c r="CR21" s="213">
        <v>40</v>
      </c>
      <c r="CS21" s="213" t="s">
        <v>739</v>
      </c>
      <c r="CT21" s="213" t="s">
        <v>740</v>
      </c>
      <c r="CU21" s="213">
        <v>113</v>
      </c>
      <c r="CV21" s="213">
        <v>113</v>
      </c>
      <c r="CW21" s="213">
        <v>112</v>
      </c>
      <c r="CX21" s="213" t="s">
        <v>710</v>
      </c>
      <c r="CY21" s="213" t="s">
        <v>741</v>
      </c>
      <c r="CZ21" s="213" t="s">
        <v>740</v>
      </c>
      <c r="DA21" s="213">
        <v>100</v>
      </c>
      <c r="DB21" s="213">
        <v>100</v>
      </c>
      <c r="DC21" s="213">
        <v>100</v>
      </c>
      <c r="DD21" s="213" t="s">
        <v>710</v>
      </c>
      <c r="DE21" s="213" t="s">
        <v>742</v>
      </c>
      <c r="DF21" s="213" t="s">
        <v>743</v>
      </c>
      <c r="DG21" s="213">
        <v>0</v>
      </c>
      <c r="DH21" s="213">
        <v>0</v>
      </c>
      <c r="DI21" s="213">
        <v>0</v>
      </c>
      <c r="DJ21" s="213" t="s">
        <v>249</v>
      </c>
      <c r="DM21" s="213" t="s">
        <v>744</v>
      </c>
      <c r="DN21" s="213" t="s">
        <v>743</v>
      </c>
      <c r="DO21" s="213">
        <v>0</v>
      </c>
      <c r="DP21" s="213">
        <v>0</v>
      </c>
      <c r="DQ21" s="213">
        <v>0</v>
      </c>
      <c r="DR21" s="213" t="s">
        <v>249</v>
      </c>
      <c r="DU21" s="213" t="s">
        <v>745</v>
      </c>
      <c r="DV21" s="213" t="s">
        <v>743</v>
      </c>
      <c r="DW21" s="213">
        <v>0</v>
      </c>
      <c r="DX21" s="213">
        <v>0</v>
      </c>
      <c r="DY21" s="213">
        <v>0</v>
      </c>
      <c r="DZ21" s="213" t="s">
        <v>249</v>
      </c>
      <c r="EC21" s="213" t="s">
        <v>746</v>
      </c>
      <c r="ED21" s="213" t="s">
        <v>743</v>
      </c>
      <c r="EE21" s="213">
        <v>0</v>
      </c>
      <c r="EF21" s="213">
        <v>0</v>
      </c>
      <c r="EG21" s="213">
        <v>0</v>
      </c>
      <c r="EH21" s="213" t="s">
        <v>249</v>
      </c>
      <c r="EK21" s="213" t="s">
        <v>747</v>
      </c>
      <c r="EL21" s="213" t="s">
        <v>743</v>
      </c>
      <c r="EM21" s="213">
        <v>0</v>
      </c>
      <c r="EN21" s="213">
        <v>0</v>
      </c>
      <c r="EO21" s="213">
        <v>0</v>
      </c>
      <c r="EP21" s="213" t="s">
        <v>249</v>
      </c>
      <c r="ES21" s="213" t="s">
        <v>748</v>
      </c>
      <c r="ET21" s="213" t="s">
        <v>743</v>
      </c>
      <c r="EU21" s="213">
        <v>0</v>
      </c>
      <c r="EV21" s="213">
        <v>0</v>
      </c>
      <c r="EW21" s="213">
        <v>0</v>
      </c>
      <c r="EX21" s="213" t="s">
        <v>249</v>
      </c>
      <c r="FA21" s="213" t="s">
        <v>749</v>
      </c>
      <c r="FB21" s="213" t="s">
        <v>743</v>
      </c>
      <c r="FC21" s="213">
        <v>0</v>
      </c>
      <c r="FD21" s="213">
        <v>0</v>
      </c>
      <c r="FE21" s="213">
        <v>0</v>
      </c>
      <c r="FF21" s="213" t="s">
        <v>249</v>
      </c>
      <c r="FI21" s="213" t="s">
        <v>750</v>
      </c>
      <c r="FJ21" s="213" t="s">
        <v>743</v>
      </c>
      <c r="FK21" s="213">
        <v>0</v>
      </c>
      <c r="FL21" s="213">
        <v>0</v>
      </c>
      <c r="FM21" s="213">
        <v>0</v>
      </c>
      <c r="FN21" s="213" t="s">
        <v>249</v>
      </c>
      <c r="FQ21" s="213" t="s">
        <v>751</v>
      </c>
      <c r="FR21" s="213" t="s">
        <v>743</v>
      </c>
      <c r="FS21" s="213">
        <v>0</v>
      </c>
      <c r="FT21" s="213">
        <v>0</v>
      </c>
      <c r="FU21" s="213">
        <v>0</v>
      </c>
      <c r="FV21" s="213" t="s">
        <v>249</v>
      </c>
      <c r="FY21" s="213">
        <v>15.7</v>
      </c>
      <c r="FZ21" s="213">
        <v>-9.4</v>
      </c>
      <c r="GF21" s="213" t="s">
        <v>752</v>
      </c>
    </row>
    <row r="22" spans="1:188" s="213" customFormat="1" x14ac:dyDescent="0.15">
      <c r="A22" s="213" t="s">
        <v>654</v>
      </c>
      <c r="B22" s="213">
        <v>4</v>
      </c>
      <c r="C22" s="213" t="s">
        <v>851</v>
      </c>
      <c r="D22" s="213">
        <v>614337122</v>
      </c>
      <c r="E22" s="213">
        <v>92303</v>
      </c>
      <c r="F22" s="213" t="s">
        <v>725</v>
      </c>
      <c r="G22" s="213">
        <v>847922</v>
      </c>
      <c r="H22" s="213">
        <v>897302</v>
      </c>
      <c r="I22" s="213">
        <v>6.8</v>
      </c>
      <c r="J22" s="213" t="s">
        <v>852</v>
      </c>
      <c r="K22" s="213" t="s">
        <v>727</v>
      </c>
      <c r="L22" s="213" t="s">
        <v>656</v>
      </c>
      <c r="M22" s="213" t="s">
        <v>728</v>
      </c>
      <c r="N22" s="213" t="s">
        <v>728</v>
      </c>
      <c r="O22" s="213" t="s">
        <v>729</v>
      </c>
      <c r="P22" s="213" t="s">
        <v>710</v>
      </c>
      <c r="Q22" s="213">
        <v>24.9</v>
      </c>
      <c r="R22" s="213">
        <v>149</v>
      </c>
      <c r="S22" s="213" t="s">
        <v>710</v>
      </c>
      <c r="T22" s="213">
        <v>-9999</v>
      </c>
      <c r="U22" s="213">
        <v>247</v>
      </c>
      <c r="V22" s="213">
        <v>534</v>
      </c>
      <c r="W22" s="213">
        <v>240</v>
      </c>
      <c r="X22" s="213" t="s">
        <v>710</v>
      </c>
      <c r="Y22" s="213">
        <v>0</v>
      </c>
      <c r="Z22" s="213">
        <v>40</v>
      </c>
      <c r="AA22" s="213" t="s">
        <v>730</v>
      </c>
      <c r="AB22" s="213" t="s">
        <v>731</v>
      </c>
      <c r="AC22" s="213" t="s">
        <v>729</v>
      </c>
      <c r="AD22" s="213" t="s">
        <v>732</v>
      </c>
      <c r="AE22" s="213">
        <v>0</v>
      </c>
      <c r="AF22" s="213">
        <v>6</v>
      </c>
      <c r="AG22" s="213" t="s">
        <v>249</v>
      </c>
      <c r="AH22" s="213">
        <v>-9999</v>
      </c>
      <c r="AI22" s="213">
        <v>196</v>
      </c>
      <c r="AJ22" s="213">
        <v>469</v>
      </c>
      <c r="AK22" s="213">
        <v>194</v>
      </c>
      <c r="AL22" s="213" t="s">
        <v>710</v>
      </c>
      <c r="AM22" s="213">
        <v>0</v>
      </c>
      <c r="AN22" s="213">
        <v>40</v>
      </c>
      <c r="AO22" s="213" t="s">
        <v>733</v>
      </c>
      <c r="AP22" s="213" t="s">
        <v>734</v>
      </c>
      <c r="AQ22" s="213">
        <v>1</v>
      </c>
      <c r="AR22" s="213" t="s">
        <v>735</v>
      </c>
      <c r="AS22" s="213">
        <v>0</v>
      </c>
      <c r="AT22" s="213">
        <v>5</v>
      </c>
      <c r="AU22" s="213" t="s">
        <v>249</v>
      </c>
      <c r="AV22" s="213">
        <v>-9999</v>
      </c>
      <c r="AW22" s="213">
        <v>264</v>
      </c>
      <c r="AX22" s="213">
        <v>654</v>
      </c>
      <c r="AY22" s="213">
        <v>262</v>
      </c>
      <c r="AZ22" s="213" t="s">
        <v>710</v>
      </c>
      <c r="BA22" s="213">
        <v>0</v>
      </c>
      <c r="BB22" s="213">
        <v>40</v>
      </c>
      <c r="BC22" s="213" t="s">
        <v>736</v>
      </c>
      <c r="BD22" s="213" t="s">
        <v>734</v>
      </c>
      <c r="BE22" s="213">
        <v>2</v>
      </c>
      <c r="BF22" s="213" t="s">
        <v>735</v>
      </c>
      <c r="BG22" s="213">
        <v>0</v>
      </c>
      <c r="BH22" s="213">
        <v>0</v>
      </c>
      <c r="BI22" s="213" t="s">
        <v>249</v>
      </c>
      <c r="BJ22" s="213">
        <v>-9999</v>
      </c>
      <c r="BK22" s="213">
        <v>127</v>
      </c>
      <c r="BL22" s="213">
        <v>386</v>
      </c>
      <c r="BM22" s="213">
        <v>125</v>
      </c>
      <c r="BN22" s="213" t="s">
        <v>710</v>
      </c>
      <c r="BO22" s="213">
        <v>0</v>
      </c>
      <c r="BP22" s="213">
        <v>40</v>
      </c>
      <c r="BQ22" s="213" t="s">
        <v>737</v>
      </c>
      <c r="BR22" s="213" t="s">
        <v>734</v>
      </c>
      <c r="BS22" s="213">
        <v>3</v>
      </c>
      <c r="BT22" s="213" t="s">
        <v>735</v>
      </c>
      <c r="BU22" s="213">
        <v>0</v>
      </c>
      <c r="BV22" s="213">
        <v>6</v>
      </c>
      <c r="BW22" s="213" t="s">
        <v>249</v>
      </c>
      <c r="BX22" s="213">
        <v>-9999</v>
      </c>
      <c r="BY22" s="213">
        <v>166</v>
      </c>
      <c r="BZ22" s="213">
        <v>402</v>
      </c>
      <c r="CA22" s="213">
        <v>166</v>
      </c>
      <c r="CB22" s="213" t="s">
        <v>710</v>
      </c>
      <c r="CC22" s="213">
        <v>0</v>
      </c>
      <c r="CD22" s="213">
        <v>40</v>
      </c>
      <c r="CE22" s="213" t="s">
        <v>738</v>
      </c>
      <c r="CF22" s="213" t="s">
        <v>734</v>
      </c>
      <c r="CG22" s="213">
        <v>4</v>
      </c>
      <c r="CH22" s="213" t="s">
        <v>735</v>
      </c>
      <c r="CI22" s="213">
        <v>0</v>
      </c>
      <c r="CJ22" s="213">
        <v>7</v>
      </c>
      <c r="CK22" s="213" t="s">
        <v>249</v>
      </c>
      <c r="CL22" s="213">
        <v>-9999</v>
      </c>
      <c r="CM22" s="213">
        <v>130</v>
      </c>
      <c r="CN22" s="213">
        <v>338</v>
      </c>
      <c r="CO22" s="213">
        <v>128</v>
      </c>
      <c r="CP22" s="213" t="s">
        <v>710</v>
      </c>
      <c r="CQ22" s="213">
        <v>0</v>
      </c>
      <c r="CR22" s="213">
        <v>40</v>
      </c>
      <c r="CS22" s="213" t="s">
        <v>739</v>
      </c>
      <c r="CT22" s="213" t="s">
        <v>740</v>
      </c>
      <c r="CU22" s="213">
        <v>103</v>
      </c>
      <c r="CV22" s="213">
        <v>103</v>
      </c>
      <c r="CW22" s="213">
        <v>103</v>
      </c>
      <c r="CX22" s="213" t="s">
        <v>710</v>
      </c>
      <c r="CY22" s="213" t="s">
        <v>741</v>
      </c>
      <c r="CZ22" s="213" t="s">
        <v>740</v>
      </c>
      <c r="DA22" s="213">
        <v>104</v>
      </c>
      <c r="DB22" s="213">
        <v>104</v>
      </c>
      <c r="DC22" s="213">
        <v>104</v>
      </c>
      <c r="DD22" s="213" t="s">
        <v>710</v>
      </c>
      <c r="DE22" s="213" t="s">
        <v>742</v>
      </c>
      <c r="DF22" s="213" t="s">
        <v>743</v>
      </c>
      <c r="DG22" s="213">
        <v>0</v>
      </c>
      <c r="DH22" s="213">
        <v>0</v>
      </c>
      <c r="DI22" s="213">
        <v>0</v>
      </c>
      <c r="DJ22" s="213" t="s">
        <v>249</v>
      </c>
      <c r="DM22" s="213" t="s">
        <v>744</v>
      </c>
      <c r="DN22" s="213" t="s">
        <v>743</v>
      </c>
      <c r="DO22" s="213">
        <v>0</v>
      </c>
      <c r="DP22" s="213">
        <v>0</v>
      </c>
      <c r="DQ22" s="213">
        <v>0</v>
      </c>
      <c r="DR22" s="213" t="s">
        <v>249</v>
      </c>
      <c r="DU22" s="213" t="s">
        <v>745</v>
      </c>
      <c r="DV22" s="213" t="s">
        <v>743</v>
      </c>
      <c r="DW22" s="213">
        <v>0</v>
      </c>
      <c r="DX22" s="213">
        <v>0</v>
      </c>
      <c r="DY22" s="213">
        <v>0</v>
      </c>
      <c r="DZ22" s="213" t="s">
        <v>249</v>
      </c>
      <c r="EC22" s="213" t="s">
        <v>746</v>
      </c>
      <c r="ED22" s="213" t="s">
        <v>743</v>
      </c>
      <c r="EE22" s="213">
        <v>0</v>
      </c>
      <c r="EF22" s="213">
        <v>0</v>
      </c>
      <c r="EG22" s="213">
        <v>0</v>
      </c>
      <c r="EH22" s="213" t="s">
        <v>249</v>
      </c>
      <c r="EK22" s="213" t="s">
        <v>747</v>
      </c>
      <c r="EL22" s="213" t="s">
        <v>743</v>
      </c>
      <c r="EM22" s="213">
        <v>0</v>
      </c>
      <c r="EN22" s="213">
        <v>0</v>
      </c>
      <c r="EO22" s="213">
        <v>0</v>
      </c>
      <c r="EP22" s="213" t="s">
        <v>249</v>
      </c>
      <c r="ES22" s="213" t="s">
        <v>748</v>
      </c>
      <c r="ET22" s="213" t="s">
        <v>743</v>
      </c>
      <c r="EU22" s="213">
        <v>0</v>
      </c>
      <c r="EV22" s="213">
        <v>0</v>
      </c>
      <c r="EW22" s="213">
        <v>0</v>
      </c>
      <c r="EX22" s="213" t="s">
        <v>249</v>
      </c>
      <c r="FA22" s="213" t="s">
        <v>749</v>
      </c>
      <c r="FB22" s="213" t="s">
        <v>743</v>
      </c>
      <c r="FC22" s="213">
        <v>0</v>
      </c>
      <c r="FD22" s="213">
        <v>0</v>
      </c>
      <c r="FE22" s="213">
        <v>0</v>
      </c>
      <c r="FF22" s="213" t="s">
        <v>249</v>
      </c>
      <c r="FI22" s="213" t="s">
        <v>750</v>
      </c>
      <c r="FJ22" s="213" t="s">
        <v>743</v>
      </c>
      <c r="FK22" s="213">
        <v>0</v>
      </c>
      <c r="FL22" s="213">
        <v>0</v>
      </c>
      <c r="FM22" s="213">
        <v>0</v>
      </c>
      <c r="FN22" s="213" t="s">
        <v>249</v>
      </c>
      <c r="FQ22" s="213" t="s">
        <v>751</v>
      </c>
      <c r="FR22" s="213" t="s">
        <v>743</v>
      </c>
      <c r="FS22" s="213">
        <v>0</v>
      </c>
      <c r="FT22" s="213">
        <v>0</v>
      </c>
      <c r="FU22" s="213">
        <v>0</v>
      </c>
      <c r="FV22" s="213" t="s">
        <v>249</v>
      </c>
      <c r="FY22" s="213">
        <v>12.7</v>
      </c>
      <c r="FZ22" s="213">
        <v>-11.3</v>
      </c>
      <c r="GF22" s="213" t="s">
        <v>752</v>
      </c>
    </row>
    <row r="23" spans="1:188" s="213" customFormat="1" x14ac:dyDescent="0.15">
      <c r="A23" s="213" t="s">
        <v>654</v>
      </c>
      <c r="B23" s="213">
        <v>4</v>
      </c>
      <c r="C23" s="213" t="s">
        <v>853</v>
      </c>
      <c r="D23" s="213">
        <v>614335906</v>
      </c>
      <c r="E23" s="213">
        <v>92303</v>
      </c>
      <c r="F23" s="213" t="s">
        <v>725</v>
      </c>
      <c r="G23" s="213">
        <v>847922</v>
      </c>
      <c r="H23" s="213">
        <v>210097747</v>
      </c>
      <c r="I23" s="213">
        <v>6.8</v>
      </c>
      <c r="J23" s="213" t="s">
        <v>854</v>
      </c>
      <c r="K23" s="213" t="s">
        <v>727</v>
      </c>
      <c r="L23" s="213" t="s">
        <v>656</v>
      </c>
      <c r="M23" s="213" t="s">
        <v>728</v>
      </c>
      <c r="N23" s="213" t="s">
        <v>728</v>
      </c>
      <c r="O23" s="213" t="s">
        <v>729</v>
      </c>
      <c r="P23" s="213" t="s">
        <v>710</v>
      </c>
      <c r="Q23" s="213">
        <v>24.8</v>
      </c>
      <c r="R23" s="213">
        <v>155</v>
      </c>
      <c r="S23" s="213" t="s">
        <v>710</v>
      </c>
      <c r="T23" s="213">
        <v>-9999</v>
      </c>
      <c r="U23" s="213">
        <v>195</v>
      </c>
      <c r="V23" s="213">
        <v>431</v>
      </c>
      <c r="W23" s="213">
        <v>188</v>
      </c>
      <c r="X23" s="213" t="s">
        <v>710</v>
      </c>
      <c r="Y23" s="213">
        <v>0</v>
      </c>
      <c r="Z23" s="213">
        <v>40</v>
      </c>
      <c r="AA23" s="213" t="s">
        <v>730</v>
      </c>
      <c r="AB23" s="213" t="s">
        <v>731</v>
      </c>
      <c r="AC23" s="213" t="s">
        <v>729</v>
      </c>
      <c r="AD23" s="213" t="s">
        <v>732</v>
      </c>
      <c r="AE23" s="213">
        <v>0</v>
      </c>
      <c r="AF23" s="213">
        <v>3</v>
      </c>
      <c r="AG23" s="213" t="s">
        <v>249</v>
      </c>
      <c r="AH23" s="213">
        <v>-9999</v>
      </c>
      <c r="AI23" s="213">
        <v>193</v>
      </c>
      <c r="AJ23" s="213">
        <v>455</v>
      </c>
      <c r="AK23" s="213">
        <v>190</v>
      </c>
      <c r="AL23" s="213" t="s">
        <v>710</v>
      </c>
      <c r="AM23" s="213">
        <v>0</v>
      </c>
      <c r="AN23" s="213">
        <v>40</v>
      </c>
      <c r="AO23" s="213" t="s">
        <v>733</v>
      </c>
      <c r="AP23" s="213" t="s">
        <v>734</v>
      </c>
      <c r="AQ23" s="213">
        <v>1</v>
      </c>
      <c r="AR23" s="213" t="s">
        <v>735</v>
      </c>
      <c r="AS23" s="213">
        <v>0</v>
      </c>
      <c r="AT23" s="213">
        <v>4</v>
      </c>
      <c r="AU23" s="213" t="s">
        <v>249</v>
      </c>
      <c r="AV23" s="213">
        <v>-9999</v>
      </c>
      <c r="AW23" s="213">
        <v>256</v>
      </c>
      <c r="AX23" s="213">
        <v>628</v>
      </c>
      <c r="AY23" s="213">
        <v>253</v>
      </c>
      <c r="AZ23" s="213" t="s">
        <v>710</v>
      </c>
      <c r="BA23" s="213">
        <v>0</v>
      </c>
      <c r="BB23" s="213">
        <v>40</v>
      </c>
      <c r="BC23" s="213" t="s">
        <v>736</v>
      </c>
      <c r="BD23" s="213" t="s">
        <v>734</v>
      </c>
      <c r="BE23" s="213">
        <v>2</v>
      </c>
      <c r="BF23" s="213" t="s">
        <v>735</v>
      </c>
      <c r="BG23" s="213">
        <v>0</v>
      </c>
      <c r="BH23" s="213">
        <v>-1</v>
      </c>
      <c r="BI23" s="213" t="s">
        <v>249</v>
      </c>
      <c r="BJ23" s="213">
        <v>-9999</v>
      </c>
      <c r="BK23" s="213">
        <v>108</v>
      </c>
      <c r="BL23" s="213">
        <v>334</v>
      </c>
      <c r="BM23" s="213">
        <v>106</v>
      </c>
      <c r="BN23" s="213" t="s">
        <v>710</v>
      </c>
      <c r="BO23" s="213">
        <v>0</v>
      </c>
      <c r="BP23" s="213">
        <v>40</v>
      </c>
      <c r="BQ23" s="213" t="s">
        <v>737</v>
      </c>
      <c r="BR23" s="213" t="s">
        <v>734</v>
      </c>
      <c r="BS23" s="213">
        <v>3</v>
      </c>
      <c r="BT23" s="213" t="s">
        <v>735</v>
      </c>
      <c r="BU23" s="213">
        <v>0</v>
      </c>
      <c r="BV23" s="213">
        <v>8</v>
      </c>
      <c r="BW23" s="213" t="s">
        <v>249</v>
      </c>
      <c r="BX23" s="213">
        <v>-9999</v>
      </c>
      <c r="BY23" s="213">
        <v>165</v>
      </c>
      <c r="BZ23" s="213">
        <v>379</v>
      </c>
      <c r="CA23" s="213">
        <v>164</v>
      </c>
      <c r="CB23" s="213" t="s">
        <v>710</v>
      </c>
      <c r="CC23" s="213">
        <v>0</v>
      </c>
      <c r="CD23" s="213">
        <v>40</v>
      </c>
      <c r="CE23" s="213" t="s">
        <v>738</v>
      </c>
      <c r="CF23" s="213" t="s">
        <v>734</v>
      </c>
      <c r="CG23" s="213">
        <v>4</v>
      </c>
      <c r="CH23" s="213" t="s">
        <v>735</v>
      </c>
      <c r="CI23" s="213">
        <v>0</v>
      </c>
      <c r="CJ23" s="213">
        <v>7</v>
      </c>
      <c r="CK23" s="213" t="s">
        <v>249</v>
      </c>
      <c r="CL23" s="213">
        <v>-9999</v>
      </c>
      <c r="CM23" s="213">
        <v>135</v>
      </c>
      <c r="CN23" s="213">
        <v>346</v>
      </c>
      <c r="CO23" s="213">
        <v>132</v>
      </c>
      <c r="CP23" s="213" t="s">
        <v>710</v>
      </c>
      <c r="CQ23" s="213">
        <v>0</v>
      </c>
      <c r="CR23" s="213">
        <v>40</v>
      </c>
      <c r="CS23" s="213" t="s">
        <v>739</v>
      </c>
      <c r="CT23" s="213" t="s">
        <v>740</v>
      </c>
      <c r="CU23" s="213">
        <v>113</v>
      </c>
      <c r="CV23" s="213">
        <v>113</v>
      </c>
      <c r="CW23" s="213">
        <v>112</v>
      </c>
      <c r="CX23" s="213" t="s">
        <v>710</v>
      </c>
      <c r="CY23" s="213" t="s">
        <v>741</v>
      </c>
      <c r="CZ23" s="213" t="s">
        <v>740</v>
      </c>
      <c r="DA23" s="213">
        <v>104</v>
      </c>
      <c r="DB23" s="213">
        <v>104</v>
      </c>
      <c r="DC23" s="213">
        <v>104</v>
      </c>
      <c r="DD23" s="213" t="s">
        <v>710</v>
      </c>
      <c r="DE23" s="213" t="s">
        <v>742</v>
      </c>
      <c r="DF23" s="213" t="s">
        <v>743</v>
      </c>
      <c r="DG23" s="213">
        <v>0</v>
      </c>
      <c r="DH23" s="213">
        <v>0</v>
      </c>
      <c r="DI23" s="213">
        <v>0</v>
      </c>
      <c r="DJ23" s="213" t="s">
        <v>249</v>
      </c>
      <c r="DM23" s="213" t="s">
        <v>744</v>
      </c>
      <c r="DN23" s="213" t="s">
        <v>743</v>
      </c>
      <c r="DO23" s="213">
        <v>0</v>
      </c>
      <c r="DP23" s="213">
        <v>0</v>
      </c>
      <c r="DQ23" s="213">
        <v>0</v>
      </c>
      <c r="DR23" s="213" t="s">
        <v>249</v>
      </c>
      <c r="DU23" s="213" t="s">
        <v>745</v>
      </c>
      <c r="DV23" s="213" t="s">
        <v>743</v>
      </c>
      <c r="DW23" s="213">
        <v>0</v>
      </c>
      <c r="DX23" s="213">
        <v>0</v>
      </c>
      <c r="DY23" s="213">
        <v>0</v>
      </c>
      <c r="DZ23" s="213" t="s">
        <v>249</v>
      </c>
      <c r="EC23" s="213" t="s">
        <v>746</v>
      </c>
      <c r="ED23" s="213" t="s">
        <v>743</v>
      </c>
      <c r="EE23" s="213">
        <v>0</v>
      </c>
      <c r="EF23" s="213">
        <v>0</v>
      </c>
      <c r="EG23" s="213">
        <v>0</v>
      </c>
      <c r="EH23" s="213" t="s">
        <v>249</v>
      </c>
      <c r="EK23" s="213" t="s">
        <v>747</v>
      </c>
      <c r="EL23" s="213" t="s">
        <v>743</v>
      </c>
      <c r="EM23" s="213">
        <v>0</v>
      </c>
      <c r="EN23" s="213">
        <v>0</v>
      </c>
      <c r="EO23" s="213">
        <v>0</v>
      </c>
      <c r="EP23" s="213" t="s">
        <v>249</v>
      </c>
      <c r="ES23" s="213" t="s">
        <v>748</v>
      </c>
      <c r="ET23" s="213" t="s">
        <v>743</v>
      </c>
      <c r="EU23" s="213">
        <v>0</v>
      </c>
      <c r="EV23" s="213">
        <v>0</v>
      </c>
      <c r="EW23" s="213">
        <v>0</v>
      </c>
      <c r="EX23" s="213" t="s">
        <v>249</v>
      </c>
      <c r="FA23" s="213" t="s">
        <v>749</v>
      </c>
      <c r="FB23" s="213" t="s">
        <v>743</v>
      </c>
      <c r="FC23" s="213">
        <v>0</v>
      </c>
      <c r="FD23" s="213">
        <v>0</v>
      </c>
      <c r="FE23" s="213">
        <v>0</v>
      </c>
      <c r="FF23" s="213" t="s">
        <v>249</v>
      </c>
      <c r="FI23" s="213" t="s">
        <v>750</v>
      </c>
      <c r="FJ23" s="213" t="s">
        <v>743</v>
      </c>
      <c r="FK23" s="213">
        <v>0</v>
      </c>
      <c r="FL23" s="213">
        <v>0</v>
      </c>
      <c r="FM23" s="213">
        <v>0</v>
      </c>
      <c r="FN23" s="213" t="s">
        <v>249</v>
      </c>
      <c r="FQ23" s="213" t="s">
        <v>751</v>
      </c>
      <c r="FR23" s="213" t="s">
        <v>743</v>
      </c>
      <c r="FS23" s="213">
        <v>0</v>
      </c>
      <c r="FT23" s="213">
        <v>0</v>
      </c>
      <c r="FU23" s="213">
        <v>0</v>
      </c>
      <c r="FV23" s="213" t="s">
        <v>249</v>
      </c>
      <c r="FY23" s="213">
        <v>22.3</v>
      </c>
      <c r="FZ23" s="213">
        <v>-10.7</v>
      </c>
      <c r="GF23" s="213" t="s">
        <v>752</v>
      </c>
    </row>
    <row r="24" spans="1:188" s="213" customFormat="1" x14ac:dyDescent="0.15">
      <c r="A24" s="213" t="s">
        <v>654</v>
      </c>
      <c r="B24" s="213">
        <v>4</v>
      </c>
      <c r="C24" s="213" t="s">
        <v>855</v>
      </c>
      <c r="D24" s="213">
        <v>614336252</v>
      </c>
      <c r="E24" s="213">
        <v>92303</v>
      </c>
      <c r="F24" s="213" t="s">
        <v>725</v>
      </c>
      <c r="G24" s="213">
        <v>847922</v>
      </c>
      <c r="H24" s="213">
        <v>210013071</v>
      </c>
      <c r="I24" s="213">
        <v>6.8</v>
      </c>
      <c r="J24" s="213" t="s">
        <v>856</v>
      </c>
      <c r="K24" s="213" t="s">
        <v>727</v>
      </c>
      <c r="L24" s="213" t="s">
        <v>656</v>
      </c>
      <c r="M24" s="213" t="s">
        <v>728</v>
      </c>
      <c r="N24" s="213" t="s">
        <v>728</v>
      </c>
      <c r="O24" s="213" t="s">
        <v>729</v>
      </c>
      <c r="P24" s="213" t="s">
        <v>710</v>
      </c>
      <c r="Q24" s="213">
        <v>25.5</v>
      </c>
      <c r="R24" s="213">
        <v>144</v>
      </c>
      <c r="S24" s="213" t="s">
        <v>710</v>
      </c>
      <c r="T24" s="213">
        <v>-9999</v>
      </c>
      <c r="U24" s="213">
        <v>190</v>
      </c>
      <c r="V24" s="213">
        <v>399</v>
      </c>
      <c r="W24" s="213">
        <v>185</v>
      </c>
      <c r="X24" s="213" t="s">
        <v>710</v>
      </c>
      <c r="Y24" s="213">
        <v>0</v>
      </c>
      <c r="Z24" s="213">
        <v>40</v>
      </c>
      <c r="AA24" s="213" t="s">
        <v>730</v>
      </c>
      <c r="AB24" s="213" t="s">
        <v>731</v>
      </c>
      <c r="AC24" s="213" t="s">
        <v>729</v>
      </c>
      <c r="AD24" s="213" t="s">
        <v>732</v>
      </c>
      <c r="AE24" s="213">
        <v>0</v>
      </c>
      <c r="AF24" s="213">
        <v>7</v>
      </c>
      <c r="AG24" s="213" t="s">
        <v>249</v>
      </c>
      <c r="AH24" s="213">
        <v>-9999</v>
      </c>
      <c r="AI24" s="213">
        <v>176</v>
      </c>
      <c r="AJ24" s="213">
        <v>417</v>
      </c>
      <c r="AK24" s="213">
        <v>174</v>
      </c>
      <c r="AL24" s="213" t="s">
        <v>710</v>
      </c>
      <c r="AM24" s="213">
        <v>0</v>
      </c>
      <c r="AN24" s="213">
        <v>40</v>
      </c>
      <c r="AO24" s="213" t="s">
        <v>733</v>
      </c>
      <c r="AP24" s="213" t="s">
        <v>734</v>
      </c>
      <c r="AQ24" s="213">
        <v>1</v>
      </c>
      <c r="AR24" s="213" t="s">
        <v>735</v>
      </c>
      <c r="AS24" s="213">
        <v>0</v>
      </c>
      <c r="AT24" s="213">
        <v>2</v>
      </c>
      <c r="AU24" s="213" t="s">
        <v>249</v>
      </c>
      <c r="AV24" s="213">
        <v>-9999</v>
      </c>
      <c r="AW24" s="213">
        <v>229</v>
      </c>
      <c r="AX24" s="213">
        <v>558</v>
      </c>
      <c r="AY24" s="213">
        <v>227</v>
      </c>
      <c r="AZ24" s="213" t="s">
        <v>710</v>
      </c>
      <c r="BA24" s="213">
        <v>0</v>
      </c>
      <c r="BB24" s="213">
        <v>40</v>
      </c>
      <c r="BC24" s="213" t="s">
        <v>736</v>
      </c>
      <c r="BD24" s="213" t="s">
        <v>734</v>
      </c>
      <c r="BE24" s="213">
        <v>2</v>
      </c>
      <c r="BF24" s="213" t="s">
        <v>735</v>
      </c>
      <c r="BG24" s="213">
        <v>0</v>
      </c>
      <c r="BH24" s="213">
        <v>1</v>
      </c>
      <c r="BI24" s="213" t="s">
        <v>249</v>
      </c>
      <c r="BJ24" s="213">
        <v>-9999</v>
      </c>
      <c r="BK24" s="213">
        <v>101</v>
      </c>
      <c r="BL24" s="213">
        <v>308</v>
      </c>
      <c r="BM24" s="213">
        <v>99</v>
      </c>
      <c r="BN24" s="213" t="s">
        <v>710</v>
      </c>
      <c r="BO24" s="213">
        <v>0</v>
      </c>
      <c r="BP24" s="213">
        <v>40</v>
      </c>
      <c r="BQ24" s="213" t="s">
        <v>737</v>
      </c>
      <c r="BR24" s="213" t="s">
        <v>734</v>
      </c>
      <c r="BS24" s="213">
        <v>3</v>
      </c>
      <c r="BT24" s="213" t="s">
        <v>735</v>
      </c>
      <c r="BU24" s="213">
        <v>0</v>
      </c>
      <c r="BV24" s="213">
        <v>16</v>
      </c>
      <c r="BW24" s="213" t="s">
        <v>249</v>
      </c>
      <c r="BX24" s="213">
        <v>-9999</v>
      </c>
      <c r="BY24" s="213">
        <v>143</v>
      </c>
      <c r="BZ24" s="213">
        <v>313</v>
      </c>
      <c r="CA24" s="213">
        <v>142</v>
      </c>
      <c r="CB24" s="213" t="s">
        <v>710</v>
      </c>
      <c r="CC24" s="213">
        <v>0</v>
      </c>
      <c r="CD24" s="213">
        <v>40</v>
      </c>
      <c r="CE24" s="213" t="s">
        <v>738</v>
      </c>
      <c r="CF24" s="213" t="s">
        <v>734</v>
      </c>
      <c r="CG24" s="213">
        <v>4</v>
      </c>
      <c r="CH24" s="213" t="s">
        <v>735</v>
      </c>
      <c r="CI24" s="213">
        <v>0</v>
      </c>
      <c r="CJ24" s="213">
        <v>5</v>
      </c>
      <c r="CK24" s="213" t="s">
        <v>249</v>
      </c>
      <c r="CL24" s="213">
        <v>-9999</v>
      </c>
      <c r="CM24" s="213">
        <v>142</v>
      </c>
      <c r="CN24" s="213">
        <v>366</v>
      </c>
      <c r="CO24" s="213">
        <v>140</v>
      </c>
      <c r="CP24" s="213" t="s">
        <v>710</v>
      </c>
      <c r="CQ24" s="213">
        <v>0</v>
      </c>
      <c r="CR24" s="213">
        <v>40</v>
      </c>
      <c r="CS24" s="213" t="s">
        <v>739</v>
      </c>
      <c r="CT24" s="213" t="s">
        <v>740</v>
      </c>
      <c r="CU24" s="213">
        <v>111</v>
      </c>
      <c r="CV24" s="213">
        <v>111</v>
      </c>
      <c r="CW24" s="213">
        <v>111</v>
      </c>
      <c r="CX24" s="213" t="s">
        <v>710</v>
      </c>
      <c r="CY24" s="213" t="s">
        <v>741</v>
      </c>
      <c r="CZ24" s="213" t="s">
        <v>740</v>
      </c>
      <c r="DA24" s="213">
        <v>97</v>
      </c>
      <c r="DB24" s="213">
        <v>96</v>
      </c>
      <c r="DC24" s="213">
        <v>96</v>
      </c>
      <c r="DD24" s="213" t="s">
        <v>710</v>
      </c>
      <c r="DE24" s="213" t="s">
        <v>742</v>
      </c>
      <c r="DF24" s="213" t="s">
        <v>743</v>
      </c>
      <c r="DG24" s="213">
        <v>0</v>
      </c>
      <c r="DH24" s="213">
        <v>0</v>
      </c>
      <c r="DI24" s="213">
        <v>0</v>
      </c>
      <c r="DJ24" s="213" t="s">
        <v>249</v>
      </c>
      <c r="DM24" s="213" t="s">
        <v>744</v>
      </c>
      <c r="DN24" s="213" t="s">
        <v>743</v>
      </c>
      <c r="DO24" s="213">
        <v>0</v>
      </c>
      <c r="DP24" s="213">
        <v>0</v>
      </c>
      <c r="DQ24" s="213">
        <v>0</v>
      </c>
      <c r="DR24" s="213" t="s">
        <v>249</v>
      </c>
      <c r="DU24" s="213" t="s">
        <v>745</v>
      </c>
      <c r="DV24" s="213" t="s">
        <v>743</v>
      </c>
      <c r="DW24" s="213">
        <v>0</v>
      </c>
      <c r="DX24" s="213">
        <v>0</v>
      </c>
      <c r="DY24" s="213">
        <v>0</v>
      </c>
      <c r="DZ24" s="213" t="s">
        <v>249</v>
      </c>
      <c r="EC24" s="213" t="s">
        <v>746</v>
      </c>
      <c r="ED24" s="213" t="s">
        <v>743</v>
      </c>
      <c r="EE24" s="213">
        <v>0</v>
      </c>
      <c r="EF24" s="213">
        <v>0</v>
      </c>
      <c r="EG24" s="213">
        <v>0</v>
      </c>
      <c r="EH24" s="213" t="s">
        <v>249</v>
      </c>
      <c r="EK24" s="213" t="s">
        <v>747</v>
      </c>
      <c r="EL24" s="213" t="s">
        <v>743</v>
      </c>
      <c r="EM24" s="213">
        <v>0</v>
      </c>
      <c r="EN24" s="213">
        <v>0</v>
      </c>
      <c r="EO24" s="213">
        <v>0</v>
      </c>
      <c r="EP24" s="213" t="s">
        <v>249</v>
      </c>
      <c r="ES24" s="213" t="s">
        <v>748</v>
      </c>
      <c r="ET24" s="213" t="s">
        <v>743</v>
      </c>
      <c r="EU24" s="213">
        <v>0</v>
      </c>
      <c r="EV24" s="213">
        <v>0</v>
      </c>
      <c r="EW24" s="213">
        <v>0</v>
      </c>
      <c r="EX24" s="213" t="s">
        <v>249</v>
      </c>
      <c r="FA24" s="213" t="s">
        <v>749</v>
      </c>
      <c r="FB24" s="213" t="s">
        <v>743</v>
      </c>
      <c r="FC24" s="213">
        <v>0</v>
      </c>
      <c r="FD24" s="213">
        <v>0</v>
      </c>
      <c r="FE24" s="213">
        <v>0</v>
      </c>
      <c r="FF24" s="213" t="s">
        <v>249</v>
      </c>
      <c r="FI24" s="213" t="s">
        <v>750</v>
      </c>
      <c r="FJ24" s="213" t="s">
        <v>743</v>
      </c>
      <c r="FK24" s="213">
        <v>0</v>
      </c>
      <c r="FL24" s="213">
        <v>0</v>
      </c>
      <c r="FM24" s="213">
        <v>0</v>
      </c>
      <c r="FN24" s="213" t="s">
        <v>249</v>
      </c>
      <c r="FQ24" s="213" t="s">
        <v>751</v>
      </c>
      <c r="FR24" s="213" t="s">
        <v>743</v>
      </c>
      <c r="FS24" s="213">
        <v>0</v>
      </c>
      <c r="FT24" s="213">
        <v>0</v>
      </c>
      <c r="FU24" s="213">
        <v>0</v>
      </c>
      <c r="FV24" s="213" t="s">
        <v>249</v>
      </c>
      <c r="FY24" s="213">
        <v>18.8</v>
      </c>
      <c r="FZ24" s="213">
        <v>-7.1</v>
      </c>
      <c r="GF24" s="213" t="s">
        <v>752</v>
      </c>
    </row>
    <row r="25" spans="1:188" s="213" customFormat="1" x14ac:dyDescent="0.15">
      <c r="A25" s="213" t="s">
        <v>654</v>
      </c>
      <c r="B25" s="213">
        <v>4</v>
      </c>
      <c r="C25" s="213" t="s">
        <v>857</v>
      </c>
      <c r="D25" s="213">
        <v>614336830</v>
      </c>
      <c r="E25" s="213">
        <v>92303</v>
      </c>
      <c r="F25" s="213" t="s">
        <v>725</v>
      </c>
      <c r="G25" s="213">
        <v>847922</v>
      </c>
      <c r="H25" s="213">
        <v>657194</v>
      </c>
      <c r="I25" s="213">
        <v>6.8</v>
      </c>
      <c r="J25" s="213" t="s">
        <v>858</v>
      </c>
      <c r="K25" s="213" t="s">
        <v>727</v>
      </c>
      <c r="L25" s="213" t="s">
        <v>656</v>
      </c>
      <c r="M25" s="213" t="s">
        <v>728</v>
      </c>
      <c r="N25" s="213" t="s">
        <v>728</v>
      </c>
      <c r="O25" s="213" t="s">
        <v>729</v>
      </c>
      <c r="P25" s="213" t="s">
        <v>710</v>
      </c>
      <c r="Q25" s="213">
        <v>25.3</v>
      </c>
      <c r="R25" s="213">
        <v>149</v>
      </c>
      <c r="S25" s="213" t="s">
        <v>710</v>
      </c>
      <c r="T25" s="213">
        <v>-9999</v>
      </c>
      <c r="U25" s="213">
        <v>220</v>
      </c>
      <c r="V25" s="213">
        <v>479</v>
      </c>
      <c r="W25" s="213">
        <v>211</v>
      </c>
      <c r="X25" s="213" t="s">
        <v>710</v>
      </c>
      <c r="Y25" s="213">
        <v>0</v>
      </c>
      <c r="Z25" s="213">
        <v>40</v>
      </c>
      <c r="AA25" s="213" t="s">
        <v>730</v>
      </c>
      <c r="AB25" s="213" t="s">
        <v>731</v>
      </c>
      <c r="AC25" s="213" t="s">
        <v>729</v>
      </c>
      <c r="AD25" s="213" t="s">
        <v>732</v>
      </c>
      <c r="AE25" s="213">
        <v>0</v>
      </c>
      <c r="AF25" s="213">
        <v>3</v>
      </c>
      <c r="AG25" s="213" t="s">
        <v>249</v>
      </c>
      <c r="AH25" s="213">
        <v>-9999</v>
      </c>
      <c r="AI25" s="213">
        <v>193</v>
      </c>
      <c r="AJ25" s="213">
        <v>457</v>
      </c>
      <c r="AK25" s="213">
        <v>191</v>
      </c>
      <c r="AL25" s="213" t="s">
        <v>710</v>
      </c>
      <c r="AM25" s="213">
        <v>0</v>
      </c>
      <c r="AN25" s="213">
        <v>40</v>
      </c>
      <c r="AO25" s="213" t="s">
        <v>733</v>
      </c>
      <c r="AP25" s="213" t="s">
        <v>734</v>
      </c>
      <c r="AQ25" s="213">
        <v>1</v>
      </c>
      <c r="AR25" s="213" t="s">
        <v>735</v>
      </c>
      <c r="AS25" s="213">
        <v>0</v>
      </c>
      <c r="AT25" s="213">
        <v>-1</v>
      </c>
      <c r="AU25" s="213" t="s">
        <v>249</v>
      </c>
      <c r="AV25" s="213">
        <v>-9999</v>
      </c>
      <c r="AW25" s="213">
        <v>267</v>
      </c>
      <c r="AX25" s="213">
        <v>664</v>
      </c>
      <c r="AY25" s="213">
        <v>265</v>
      </c>
      <c r="AZ25" s="213" t="s">
        <v>710</v>
      </c>
      <c r="BA25" s="213">
        <v>0</v>
      </c>
      <c r="BB25" s="213">
        <v>40</v>
      </c>
      <c r="BC25" s="213" t="s">
        <v>736</v>
      </c>
      <c r="BD25" s="213" t="s">
        <v>734</v>
      </c>
      <c r="BE25" s="213">
        <v>2</v>
      </c>
      <c r="BF25" s="213" t="s">
        <v>735</v>
      </c>
      <c r="BG25" s="213">
        <v>0</v>
      </c>
      <c r="BH25" s="213">
        <v>2</v>
      </c>
      <c r="BI25" s="213" t="s">
        <v>249</v>
      </c>
      <c r="BJ25" s="213">
        <v>-9999</v>
      </c>
      <c r="BK25" s="213">
        <v>108</v>
      </c>
      <c r="BL25" s="213">
        <v>328</v>
      </c>
      <c r="BM25" s="213">
        <v>105</v>
      </c>
      <c r="BN25" s="213" t="s">
        <v>710</v>
      </c>
      <c r="BO25" s="213">
        <v>0</v>
      </c>
      <c r="BP25" s="213">
        <v>40</v>
      </c>
      <c r="BQ25" s="213" t="s">
        <v>737</v>
      </c>
      <c r="BR25" s="213" t="s">
        <v>734</v>
      </c>
      <c r="BS25" s="213">
        <v>3</v>
      </c>
      <c r="BT25" s="213" t="s">
        <v>735</v>
      </c>
      <c r="BU25" s="213">
        <v>0</v>
      </c>
      <c r="BV25" s="213">
        <v>7</v>
      </c>
      <c r="BW25" s="213" t="s">
        <v>249</v>
      </c>
      <c r="BX25" s="213">
        <v>-9999</v>
      </c>
      <c r="BY25" s="213">
        <v>156</v>
      </c>
      <c r="BZ25" s="213">
        <v>375</v>
      </c>
      <c r="CA25" s="213">
        <v>157</v>
      </c>
      <c r="CB25" s="213" t="s">
        <v>710</v>
      </c>
      <c r="CC25" s="213">
        <v>0</v>
      </c>
      <c r="CD25" s="213">
        <v>40</v>
      </c>
      <c r="CE25" s="213" t="s">
        <v>738</v>
      </c>
      <c r="CF25" s="213" t="s">
        <v>734</v>
      </c>
      <c r="CG25" s="213">
        <v>4</v>
      </c>
      <c r="CH25" s="213" t="s">
        <v>735</v>
      </c>
      <c r="CI25" s="213">
        <v>0</v>
      </c>
      <c r="CJ25" s="213">
        <v>1</v>
      </c>
      <c r="CK25" s="213" t="s">
        <v>249</v>
      </c>
      <c r="CL25" s="213">
        <v>-9999</v>
      </c>
      <c r="CM25" s="213">
        <v>146</v>
      </c>
      <c r="CN25" s="213">
        <v>382</v>
      </c>
      <c r="CO25" s="213">
        <v>144</v>
      </c>
      <c r="CP25" s="213" t="s">
        <v>710</v>
      </c>
      <c r="CQ25" s="213">
        <v>0</v>
      </c>
      <c r="CR25" s="213">
        <v>40</v>
      </c>
      <c r="CS25" s="213" t="s">
        <v>739</v>
      </c>
      <c r="CT25" s="213" t="s">
        <v>740</v>
      </c>
      <c r="CU25" s="213">
        <v>104</v>
      </c>
      <c r="CV25" s="213">
        <v>104</v>
      </c>
      <c r="CW25" s="213">
        <v>104</v>
      </c>
      <c r="CX25" s="213" t="s">
        <v>710</v>
      </c>
      <c r="CY25" s="213" t="s">
        <v>741</v>
      </c>
      <c r="CZ25" s="213" t="s">
        <v>740</v>
      </c>
      <c r="DA25" s="213">
        <v>95</v>
      </c>
      <c r="DB25" s="213">
        <v>95</v>
      </c>
      <c r="DC25" s="213">
        <v>95</v>
      </c>
      <c r="DD25" s="213" t="s">
        <v>710</v>
      </c>
      <c r="DE25" s="213" t="s">
        <v>742</v>
      </c>
      <c r="DF25" s="213" t="s">
        <v>743</v>
      </c>
      <c r="DG25" s="213">
        <v>0</v>
      </c>
      <c r="DH25" s="213">
        <v>0</v>
      </c>
      <c r="DI25" s="213">
        <v>0</v>
      </c>
      <c r="DJ25" s="213" t="s">
        <v>249</v>
      </c>
      <c r="DM25" s="213" t="s">
        <v>744</v>
      </c>
      <c r="DN25" s="213" t="s">
        <v>743</v>
      </c>
      <c r="DO25" s="213">
        <v>0</v>
      </c>
      <c r="DP25" s="213">
        <v>0</v>
      </c>
      <c r="DQ25" s="213">
        <v>0</v>
      </c>
      <c r="DR25" s="213" t="s">
        <v>249</v>
      </c>
      <c r="DU25" s="213" t="s">
        <v>745</v>
      </c>
      <c r="DV25" s="213" t="s">
        <v>743</v>
      </c>
      <c r="DW25" s="213">
        <v>0</v>
      </c>
      <c r="DX25" s="213">
        <v>0</v>
      </c>
      <c r="DY25" s="213">
        <v>0</v>
      </c>
      <c r="DZ25" s="213" t="s">
        <v>249</v>
      </c>
      <c r="EC25" s="213" t="s">
        <v>746</v>
      </c>
      <c r="ED25" s="213" t="s">
        <v>743</v>
      </c>
      <c r="EE25" s="213">
        <v>0</v>
      </c>
      <c r="EF25" s="213">
        <v>0</v>
      </c>
      <c r="EG25" s="213">
        <v>0</v>
      </c>
      <c r="EH25" s="213" t="s">
        <v>249</v>
      </c>
      <c r="EK25" s="213" t="s">
        <v>747</v>
      </c>
      <c r="EL25" s="213" t="s">
        <v>743</v>
      </c>
      <c r="EM25" s="213">
        <v>0</v>
      </c>
      <c r="EN25" s="213">
        <v>0</v>
      </c>
      <c r="EO25" s="213">
        <v>0</v>
      </c>
      <c r="EP25" s="213" t="s">
        <v>249</v>
      </c>
      <c r="ES25" s="213" t="s">
        <v>748</v>
      </c>
      <c r="ET25" s="213" t="s">
        <v>743</v>
      </c>
      <c r="EU25" s="213">
        <v>0</v>
      </c>
      <c r="EV25" s="213">
        <v>0</v>
      </c>
      <c r="EW25" s="213">
        <v>0</v>
      </c>
      <c r="EX25" s="213" t="s">
        <v>249</v>
      </c>
      <c r="FA25" s="213" t="s">
        <v>749</v>
      </c>
      <c r="FB25" s="213" t="s">
        <v>743</v>
      </c>
      <c r="FC25" s="213">
        <v>0</v>
      </c>
      <c r="FD25" s="213">
        <v>0</v>
      </c>
      <c r="FE25" s="213">
        <v>0</v>
      </c>
      <c r="FF25" s="213" t="s">
        <v>249</v>
      </c>
      <c r="FI25" s="213" t="s">
        <v>750</v>
      </c>
      <c r="FJ25" s="213" t="s">
        <v>743</v>
      </c>
      <c r="FK25" s="213">
        <v>0</v>
      </c>
      <c r="FL25" s="213">
        <v>0</v>
      </c>
      <c r="FM25" s="213">
        <v>0</v>
      </c>
      <c r="FN25" s="213" t="s">
        <v>249</v>
      </c>
      <c r="FQ25" s="213" t="s">
        <v>751</v>
      </c>
      <c r="FR25" s="213" t="s">
        <v>743</v>
      </c>
      <c r="FS25" s="213">
        <v>0</v>
      </c>
      <c r="FT25" s="213">
        <v>0</v>
      </c>
      <c r="FU25" s="213">
        <v>0</v>
      </c>
      <c r="FV25" s="213" t="s">
        <v>249</v>
      </c>
      <c r="FY25" s="213">
        <v>18.7</v>
      </c>
      <c r="FZ25" s="213">
        <v>-10.8</v>
      </c>
      <c r="GF25" s="213" t="s">
        <v>752</v>
      </c>
    </row>
    <row r="26" spans="1:188" s="213" customFormat="1" x14ac:dyDescent="0.15">
      <c r="A26" s="213" t="s">
        <v>654</v>
      </c>
      <c r="B26" s="213">
        <v>4</v>
      </c>
      <c r="C26" s="213" t="s">
        <v>859</v>
      </c>
      <c r="D26" s="213">
        <v>614336556</v>
      </c>
      <c r="E26" s="213">
        <v>92303</v>
      </c>
      <c r="F26" s="213" t="s">
        <v>725</v>
      </c>
      <c r="G26" s="213">
        <v>847922</v>
      </c>
      <c r="H26" s="213">
        <v>702829</v>
      </c>
      <c r="I26" s="213">
        <v>6.8</v>
      </c>
      <c r="J26" s="213" t="s">
        <v>860</v>
      </c>
      <c r="K26" s="213" t="s">
        <v>727</v>
      </c>
      <c r="L26" s="213" t="s">
        <v>656</v>
      </c>
      <c r="M26" s="213" t="s">
        <v>728</v>
      </c>
      <c r="N26" s="213" t="s">
        <v>728</v>
      </c>
      <c r="O26" s="213" t="s">
        <v>729</v>
      </c>
      <c r="P26" s="213" t="s">
        <v>710</v>
      </c>
      <c r="Q26" s="213">
        <v>24.5</v>
      </c>
      <c r="R26" s="213">
        <v>142</v>
      </c>
      <c r="S26" s="213" t="s">
        <v>710</v>
      </c>
      <c r="T26" s="213">
        <v>-9999</v>
      </c>
      <c r="U26" s="213">
        <v>229</v>
      </c>
      <c r="V26" s="213">
        <v>503</v>
      </c>
      <c r="W26" s="213">
        <v>225</v>
      </c>
      <c r="X26" s="213" t="s">
        <v>710</v>
      </c>
      <c r="Y26" s="213">
        <v>0</v>
      </c>
      <c r="Z26" s="213">
        <v>40</v>
      </c>
      <c r="AA26" s="213" t="s">
        <v>730</v>
      </c>
      <c r="AB26" s="213" t="s">
        <v>731</v>
      </c>
      <c r="AC26" s="213" t="s">
        <v>729</v>
      </c>
      <c r="AD26" s="213" t="s">
        <v>732</v>
      </c>
      <c r="AE26" s="213">
        <v>0</v>
      </c>
      <c r="AF26" s="213">
        <v>6</v>
      </c>
      <c r="AG26" s="213" t="s">
        <v>249</v>
      </c>
      <c r="AH26" s="213">
        <v>-9999</v>
      </c>
      <c r="AI26" s="213">
        <v>189</v>
      </c>
      <c r="AJ26" s="213">
        <v>451</v>
      </c>
      <c r="AK26" s="213">
        <v>188</v>
      </c>
      <c r="AL26" s="213" t="s">
        <v>710</v>
      </c>
      <c r="AM26" s="213">
        <v>0</v>
      </c>
      <c r="AN26" s="213">
        <v>40</v>
      </c>
      <c r="AO26" s="213" t="s">
        <v>733</v>
      </c>
      <c r="AP26" s="213" t="s">
        <v>734</v>
      </c>
      <c r="AQ26" s="213">
        <v>1</v>
      </c>
      <c r="AR26" s="213" t="s">
        <v>735</v>
      </c>
      <c r="AS26" s="213">
        <v>0</v>
      </c>
      <c r="AT26" s="213">
        <v>7</v>
      </c>
      <c r="AU26" s="213" t="s">
        <v>249</v>
      </c>
      <c r="AV26" s="213">
        <v>-9999</v>
      </c>
      <c r="AW26" s="213">
        <v>241</v>
      </c>
      <c r="AX26" s="213">
        <v>597</v>
      </c>
      <c r="AY26" s="213">
        <v>240</v>
      </c>
      <c r="AZ26" s="213" t="s">
        <v>710</v>
      </c>
      <c r="BA26" s="213">
        <v>0</v>
      </c>
      <c r="BB26" s="213">
        <v>40</v>
      </c>
      <c r="BC26" s="213" t="s">
        <v>736</v>
      </c>
      <c r="BD26" s="213" t="s">
        <v>734</v>
      </c>
      <c r="BE26" s="213">
        <v>2</v>
      </c>
      <c r="BF26" s="213" t="s">
        <v>735</v>
      </c>
      <c r="BG26" s="213">
        <v>0</v>
      </c>
      <c r="BH26" s="213">
        <v>2</v>
      </c>
      <c r="BI26" s="213" t="s">
        <v>249</v>
      </c>
      <c r="BJ26" s="213">
        <v>-9999</v>
      </c>
      <c r="BK26" s="213">
        <v>114</v>
      </c>
      <c r="BL26" s="213">
        <v>345</v>
      </c>
      <c r="BM26" s="213">
        <v>112</v>
      </c>
      <c r="BN26" s="213" t="s">
        <v>710</v>
      </c>
      <c r="BO26" s="213">
        <v>0</v>
      </c>
      <c r="BP26" s="213">
        <v>40</v>
      </c>
      <c r="BQ26" s="213" t="s">
        <v>737</v>
      </c>
      <c r="BR26" s="213" t="s">
        <v>734</v>
      </c>
      <c r="BS26" s="213">
        <v>3</v>
      </c>
      <c r="BT26" s="213" t="s">
        <v>735</v>
      </c>
      <c r="BU26" s="213">
        <v>0</v>
      </c>
      <c r="BV26" s="213">
        <v>3</v>
      </c>
      <c r="BW26" s="213" t="s">
        <v>249</v>
      </c>
      <c r="BX26" s="213">
        <v>-9999</v>
      </c>
      <c r="BY26" s="213">
        <v>177</v>
      </c>
      <c r="BZ26" s="213">
        <v>416</v>
      </c>
      <c r="CA26" s="213">
        <v>176</v>
      </c>
      <c r="CB26" s="213" t="s">
        <v>710</v>
      </c>
      <c r="CC26" s="213">
        <v>0</v>
      </c>
      <c r="CD26" s="213">
        <v>40</v>
      </c>
      <c r="CE26" s="213" t="s">
        <v>738</v>
      </c>
      <c r="CF26" s="213" t="s">
        <v>734</v>
      </c>
      <c r="CG26" s="213">
        <v>4</v>
      </c>
      <c r="CH26" s="213" t="s">
        <v>735</v>
      </c>
      <c r="CI26" s="213">
        <v>0</v>
      </c>
      <c r="CJ26" s="213">
        <v>3</v>
      </c>
      <c r="CK26" s="213" t="s">
        <v>249</v>
      </c>
      <c r="CL26" s="213">
        <v>-9999</v>
      </c>
      <c r="CM26" s="213">
        <v>158</v>
      </c>
      <c r="CN26" s="213">
        <v>412</v>
      </c>
      <c r="CO26" s="213">
        <v>156</v>
      </c>
      <c r="CP26" s="213" t="s">
        <v>710</v>
      </c>
      <c r="CQ26" s="213">
        <v>0</v>
      </c>
      <c r="CR26" s="213">
        <v>40</v>
      </c>
      <c r="CS26" s="213" t="s">
        <v>739</v>
      </c>
      <c r="CT26" s="213" t="s">
        <v>740</v>
      </c>
      <c r="CU26" s="213">
        <v>135</v>
      </c>
      <c r="CV26" s="213">
        <v>135</v>
      </c>
      <c r="CW26" s="213">
        <v>135</v>
      </c>
      <c r="CX26" s="213" t="s">
        <v>710</v>
      </c>
      <c r="CY26" s="213" t="s">
        <v>741</v>
      </c>
      <c r="CZ26" s="213" t="s">
        <v>740</v>
      </c>
      <c r="DA26" s="213">
        <v>114</v>
      </c>
      <c r="DB26" s="213">
        <v>114</v>
      </c>
      <c r="DC26" s="213">
        <v>113</v>
      </c>
      <c r="DD26" s="213" t="s">
        <v>710</v>
      </c>
      <c r="DE26" s="213" t="s">
        <v>742</v>
      </c>
      <c r="DF26" s="213" t="s">
        <v>743</v>
      </c>
      <c r="DG26" s="213">
        <v>0</v>
      </c>
      <c r="DH26" s="213">
        <v>0</v>
      </c>
      <c r="DI26" s="213">
        <v>0</v>
      </c>
      <c r="DJ26" s="213" t="s">
        <v>249</v>
      </c>
      <c r="DM26" s="213" t="s">
        <v>744</v>
      </c>
      <c r="DN26" s="213" t="s">
        <v>743</v>
      </c>
      <c r="DO26" s="213">
        <v>0</v>
      </c>
      <c r="DP26" s="213">
        <v>0</v>
      </c>
      <c r="DQ26" s="213">
        <v>0</v>
      </c>
      <c r="DR26" s="213" t="s">
        <v>249</v>
      </c>
      <c r="DU26" s="213" t="s">
        <v>745</v>
      </c>
      <c r="DV26" s="213" t="s">
        <v>743</v>
      </c>
      <c r="DW26" s="213">
        <v>0</v>
      </c>
      <c r="DX26" s="213">
        <v>0</v>
      </c>
      <c r="DY26" s="213">
        <v>0</v>
      </c>
      <c r="DZ26" s="213" t="s">
        <v>249</v>
      </c>
      <c r="EC26" s="213" t="s">
        <v>746</v>
      </c>
      <c r="ED26" s="213" t="s">
        <v>743</v>
      </c>
      <c r="EE26" s="213">
        <v>0</v>
      </c>
      <c r="EF26" s="213">
        <v>0</v>
      </c>
      <c r="EG26" s="213">
        <v>0</v>
      </c>
      <c r="EH26" s="213" t="s">
        <v>249</v>
      </c>
      <c r="EK26" s="213" t="s">
        <v>747</v>
      </c>
      <c r="EL26" s="213" t="s">
        <v>743</v>
      </c>
      <c r="EM26" s="213">
        <v>0</v>
      </c>
      <c r="EN26" s="213">
        <v>0</v>
      </c>
      <c r="EO26" s="213">
        <v>0</v>
      </c>
      <c r="EP26" s="213" t="s">
        <v>249</v>
      </c>
      <c r="ES26" s="213" t="s">
        <v>748</v>
      </c>
      <c r="ET26" s="213" t="s">
        <v>743</v>
      </c>
      <c r="EU26" s="213">
        <v>0</v>
      </c>
      <c r="EV26" s="213">
        <v>0</v>
      </c>
      <c r="EW26" s="213">
        <v>0</v>
      </c>
      <c r="EX26" s="213" t="s">
        <v>249</v>
      </c>
      <c r="FA26" s="213" t="s">
        <v>749</v>
      </c>
      <c r="FB26" s="213" t="s">
        <v>743</v>
      </c>
      <c r="FC26" s="213">
        <v>0</v>
      </c>
      <c r="FD26" s="213">
        <v>0</v>
      </c>
      <c r="FE26" s="213">
        <v>0</v>
      </c>
      <c r="FF26" s="213" t="s">
        <v>249</v>
      </c>
      <c r="FI26" s="213" t="s">
        <v>750</v>
      </c>
      <c r="FJ26" s="213" t="s">
        <v>743</v>
      </c>
      <c r="FK26" s="213">
        <v>0</v>
      </c>
      <c r="FL26" s="213">
        <v>0</v>
      </c>
      <c r="FM26" s="213">
        <v>0</v>
      </c>
      <c r="FN26" s="213" t="s">
        <v>249</v>
      </c>
      <c r="FQ26" s="213" t="s">
        <v>751</v>
      </c>
      <c r="FR26" s="213" t="s">
        <v>743</v>
      </c>
      <c r="FS26" s="213">
        <v>0</v>
      </c>
      <c r="FT26" s="213">
        <v>0</v>
      </c>
      <c r="FU26" s="213">
        <v>0</v>
      </c>
      <c r="FV26" s="213" t="s">
        <v>249</v>
      </c>
      <c r="FY26" s="213">
        <v>17.3</v>
      </c>
      <c r="FZ26" s="213">
        <v>-7.9</v>
      </c>
      <c r="GF26" s="213" t="s">
        <v>752</v>
      </c>
    </row>
    <row r="27" spans="1:188" s="283" customFormat="1" x14ac:dyDescent="0.15">
      <c r="A27" s="213" t="s">
        <v>654</v>
      </c>
      <c r="B27" s="213">
        <v>4</v>
      </c>
      <c r="C27" s="213" t="s">
        <v>861</v>
      </c>
      <c r="D27" s="213">
        <v>614336421</v>
      </c>
      <c r="E27" s="213">
        <v>92303</v>
      </c>
      <c r="F27" s="213" t="s">
        <v>725</v>
      </c>
      <c r="G27" s="213">
        <v>847922</v>
      </c>
      <c r="H27" s="213">
        <v>750444</v>
      </c>
      <c r="I27" s="213">
        <v>6.8</v>
      </c>
      <c r="J27" s="213" t="s">
        <v>862</v>
      </c>
      <c r="K27" s="213" t="s">
        <v>727</v>
      </c>
      <c r="L27" s="213" t="s">
        <v>863</v>
      </c>
      <c r="M27" s="213" t="s">
        <v>728</v>
      </c>
      <c r="N27" s="213" t="s">
        <v>728</v>
      </c>
      <c r="O27" s="213" t="s">
        <v>729</v>
      </c>
      <c r="P27" s="213" t="s">
        <v>710</v>
      </c>
      <c r="Q27" s="213">
        <v>24.4</v>
      </c>
      <c r="R27" s="213">
        <v>142</v>
      </c>
      <c r="S27" s="213" t="s">
        <v>710</v>
      </c>
      <c r="T27" s="213">
        <v>-9999</v>
      </c>
      <c r="U27" s="213">
        <v>226</v>
      </c>
      <c r="V27" s="213">
        <v>491</v>
      </c>
      <c r="W27" s="213">
        <v>223</v>
      </c>
      <c r="X27" s="213" t="s">
        <v>710</v>
      </c>
      <c r="Y27" s="213">
        <v>0</v>
      </c>
      <c r="Z27" s="213">
        <v>40</v>
      </c>
      <c r="AA27" s="213" t="s">
        <v>730</v>
      </c>
      <c r="AB27" s="213" t="s">
        <v>731</v>
      </c>
      <c r="AC27" s="213" t="s">
        <v>729</v>
      </c>
      <c r="AD27" s="213" t="s">
        <v>710</v>
      </c>
      <c r="AE27" s="213">
        <v>27.4</v>
      </c>
      <c r="AF27" s="213">
        <v>461</v>
      </c>
      <c r="AG27" s="213" t="s">
        <v>710</v>
      </c>
      <c r="AH27" s="213">
        <v>-9999</v>
      </c>
      <c r="AI27" s="213">
        <v>220</v>
      </c>
      <c r="AJ27" s="213">
        <v>529</v>
      </c>
      <c r="AK27" s="213">
        <v>221</v>
      </c>
      <c r="AL27" s="213" t="s">
        <v>710</v>
      </c>
      <c r="AM27" s="213">
        <v>0</v>
      </c>
      <c r="AN27" s="213">
        <v>40</v>
      </c>
      <c r="AO27" s="213" t="s">
        <v>733</v>
      </c>
      <c r="AP27" s="213" t="s">
        <v>734</v>
      </c>
      <c r="AQ27" s="213">
        <v>1</v>
      </c>
      <c r="AR27" s="213" t="s">
        <v>799</v>
      </c>
      <c r="AS27" s="213">
        <v>0</v>
      </c>
      <c r="AT27" s="213">
        <v>2</v>
      </c>
      <c r="AU27" s="213" t="s">
        <v>249</v>
      </c>
      <c r="AV27" s="213">
        <v>-9999</v>
      </c>
      <c r="AW27" s="213">
        <v>263</v>
      </c>
      <c r="AX27" s="213">
        <v>655</v>
      </c>
      <c r="AY27" s="213">
        <v>265</v>
      </c>
      <c r="AZ27" s="213" t="s">
        <v>710</v>
      </c>
      <c r="BA27" s="213">
        <v>0</v>
      </c>
      <c r="BB27" s="213">
        <v>40</v>
      </c>
      <c r="BC27" s="213" t="s">
        <v>736</v>
      </c>
      <c r="BD27" s="213" t="s">
        <v>734</v>
      </c>
      <c r="BE27" s="213">
        <v>2</v>
      </c>
      <c r="BF27" s="213" t="s">
        <v>799</v>
      </c>
      <c r="BG27" s="213">
        <v>0</v>
      </c>
      <c r="BH27" s="213">
        <v>3</v>
      </c>
      <c r="BI27" s="213" t="s">
        <v>249</v>
      </c>
      <c r="BJ27" s="213">
        <v>-9999</v>
      </c>
      <c r="BK27" s="213">
        <v>116</v>
      </c>
      <c r="BL27" s="213">
        <v>365</v>
      </c>
      <c r="BM27" s="213">
        <v>116</v>
      </c>
      <c r="BN27" s="213" t="s">
        <v>710</v>
      </c>
      <c r="BO27" s="213">
        <v>0</v>
      </c>
      <c r="BP27" s="213">
        <v>40</v>
      </c>
      <c r="BQ27" s="213" t="s">
        <v>737</v>
      </c>
      <c r="BR27" s="213" t="s">
        <v>734</v>
      </c>
      <c r="BS27" s="213">
        <v>3</v>
      </c>
      <c r="BT27" s="213" t="s">
        <v>799</v>
      </c>
      <c r="BU27" s="213">
        <v>0</v>
      </c>
      <c r="BV27" s="213">
        <v>6</v>
      </c>
      <c r="BW27" s="213" t="s">
        <v>249</v>
      </c>
      <c r="BX27" s="213">
        <v>-9999</v>
      </c>
      <c r="BY27" s="213">
        <v>178</v>
      </c>
      <c r="BZ27" s="213">
        <v>422</v>
      </c>
      <c r="CA27" s="213">
        <v>180</v>
      </c>
      <c r="CB27" s="213" t="s">
        <v>710</v>
      </c>
      <c r="CC27" s="213">
        <v>0</v>
      </c>
      <c r="CD27" s="213">
        <v>40</v>
      </c>
      <c r="CE27" s="213" t="s">
        <v>738</v>
      </c>
      <c r="CF27" s="213" t="s">
        <v>734</v>
      </c>
      <c r="CG27" s="213">
        <v>4</v>
      </c>
      <c r="CH27" s="213" t="s">
        <v>799</v>
      </c>
      <c r="CI27" s="213">
        <v>0</v>
      </c>
      <c r="CJ27" s="213">
        <v>6</v>
      </c>
      <c r="CK27" s="213" t="s">
        <v>249</v>
      </c>
      <c r="CL27" s="213">
        <v>-9999</v>
      </c>
      <c r="CM27" s="213">
        <v>154</v>
      </c>
      <c r="CN27" s="213">
        <v>406</v>
      </c>
      <c r="CO27" s="213">
        <v>154</v>
      </c>
      <c r="CP27" s="213" t="s">
        <v>710</v>
      </c>
      <c r="CQ27" s="213">
        <v>0</v>
      </c>
      <c r="CR27" s="213">
        <v>40</v>
      </c>
      <c r="CS27" s="213" t="s">
        <v>739</v>
      </c>
      <c r="CT27" s="213" t="s">
        <v>740</v>
      </c>
      <c r="CU27" s="213">
        <v>121</v>
      </c>
      <c r="CV27" s="213">
        <v>121</v>
      </c>
      <c r="CW27" s="213">
        <v>121</v>
      </c>
      <c r="CX27" s="213" t="s">
        <v>710</v>
      </c>
      <c r="CY27" s="213" t="s">
        <v>741</v>
      </c>
      <c r="CZ27" s="213" t="s">
        <v>740</v>
      </c>
      <c r="DA27" s="213">
        <v>106</v>
      </c>
      <c r="DB27" s="213">
        <v>106</v>
      </c>
      <c r="DC27" s="213">
        <v>107</v>
      </c>
      <c r="DD27" s="213" t="s">
        <v>710</v>
      </c>
      <c r="DE27" s="213" t="s">
        <v>742</v>
      </c>
      <c r="DF27" s="213" t="s">
        <v>743</v>
      </c>
      <c r="DG27" s="213">
        <v>0</v>
      </c>
      <c r="DH27" s="213">
        <v>0</v>
      </c>
      <c r="DI27" s="213">
        <v>0</v>
      </c>
      <c r="DJ27" s="213" t="s">
        <v>249</v>
      </c>
      <c r="DK27" s="213"/>
      <c r="DL27" s="213"/>
      <c r="DM27" s="213" t="s">
        <v>744</v>
      </c>
      <c r="DN27" s="213" t="s">
        <v>743</v>
      </c>
      <c r="DO27" s="213">
        <v>0</v>
      </c>
      <c r="DP27" s="213">
        <v>0</v>
      </c>
      <c r="DQ27" s="213">
        <v>0</v>
      </c>
      <c r="DR27" s="213" t="s">
        <v>249</v>
      </c>
      <c r="DS27" s="213"/>
      <c r="DT27" s="213"/>
      <c r="DU27" s="213" t="s">
        <v>745</v>
      </c>
      <c r="DV27" s="213" t="s">
        <v>743</v>
      </c>
      <c r="DW27" s="213">
        <v>0</v>
      </c>
      <c r="DX27" s="213">
        <v>0</v>
      </c>
      <c r="DY27" s="213">
        <v>0</v>
      </c>
      <c r="DZ27" s="213" t="s">
        <v>249</v>
      </c>
      <c r="EA27" s="213"/>
      <c r="EB27" s="213"/>
      <c r="EC27" s="213" t="s">
        <v>746</v>
      </c>
      <c r="ED27" s="213" t="s">
        <v>743</v>
      </c>
      <c r="EE27" s="213">
        <v>0</v>
      </c>
      <c r="EF27" s="213">
        <v>0</v>
      </c>
      <c r="EG27" s="213">
        <v>0</v>
      </c>
      <c r="EH27" s="213" t="s">
        <v>249</v>
      </c>
      <c r="EI27" s="213"/>
      <c r="EJ27" s="213"/>
      <c r="EK27" s="213" t="s">
        <v>747</v>
      </c>
      <c r="EL27" s="213" t="s">
        <v>743</v>
      </c>
      <c r="EM27" s="213">
        <v>0</v>
      </c>
      <c r="EN27" s="213">
        <v>0</v>
      </c>
      <c r="EO27" s="213">
        <v>0</v>
      </c>
      <c r="EP27" s="213" t="s">
        <v>249</v>
      </c>
      <c r="ES27" s="283" t="s">
        <v>748</v>
      </c>
      <c r="ET27" s="283" t="s">
        <v>743</v>
      </c>
      <c r="EU27" s="283">
        <v>0</v>
      </c>
      <c r="EV27" s="283">
        <v>0</v>
      </c>
      <c r="EW27" s="283">
        <v>0</v>
      </c>
      <c r="EX27" s="283" t="s">
        <v>249</v>
      </c>
      <c r="FA27" s="283" t="s">
        <v>749</v>
      </c>
      <c r="FB27" s="283" t="s">
        <v>743</v>
      </c>
      <c r="FC27" s="283">
        <v>0</v>
      </c>
      <c r="FD27" s="283">
        <v>0</v>
      </c>
      <c r="FE27" s="283">
        <v>0</v>
      </c>
      <c r="FF27" s="283" t="s">
        <v>249</v>
      </c>
      <c r="FI27" s="283" t="s">
        <v>750</v>
      </c>
      <c r="FJ27" s="283" t="s">
        <v>743</v>
      </c>
      <c r="FK27" s="283">
        <v>0</v>
      </c>
      <c r="FL27" s="283">
        <v>0</v>
      </c>
      <c r="FM27" s="283">
        <v>0</v>
      </c>
      <c r="FN27" s="283" t="s">
        <v>249</v>
      </c>
      <c r="FQ27" s="283" t="s">
        <v>751</v>
      </c>
      <c r="FR27" s="283" t="s">
        <v>743</v>
      </c>
      <c r="FS27" s="283">
        <v>0</v>
      </c>
      <c r="FT27" s="283">
        <v>0</v>
      </c>
      <c r="FU27" s="283">
        <v>0</v>
      </c>
      <c r="FV27" s="283" t="s">
        <v>249</v>
      </c>
      <c r="FY27" s="283">
        <v>13.1</v>
      </c>
      <c r="FZ27" s="283">
        <v>-9.1999999999999993</v>
      </c>
      <c r="GF27" s="283" t="s">
        <v>752</v>
      </c>
    </row>
    <row r="28" spans="1:188" s="283" customFormat="1" x14ac:dyDescent="0.15">
      <c r="A28" s="213" t="s">
        <v>654</v>
      </c>
      <c r="B28" s="213">
        <v>4</v>
      </c>
      <c r="C28" s="213" t="s">
        <v>864</v>
      </c>
      <c r="D28" s="213">
        <v>614335759</v>
      </c>
      <c r="E28" s="213">
        <v>92303</v>
      </c>
      <c r="F28" s="213" t="s">
        <v>725</v>
      </c>
      <c r="G28" s="213">
        <v>847922</v>
      </c>
      <c r="H28" s="213">
        <v>220000161</v>
      </c>
      <c r="I28" s="213">
        <v>6.8</v>
      </c>
      <c r="J28" s="213" t="s">
        <v>865</v>
      </c>
      <c r="K28" s="213" t="s">
        <v>727</v>
      </c>
      <c r="L28" s="213" t="s">
        <v>797</v>
      </c>
      <c r="M28" s="213" t="s">
        <v>728</v>
      </c>
      <c r="N28" s="213" t="s">
        <v>728</v>
      </c>
      <c r="O28" s="213" t="s">
        <v>729</v>
      </c>
      <c r="P28" s="213" t="s">
        <v>710</v>
      </c>
      <c r="Q28" s="213">
        <v>24.7</v>
      </c>
      <c r="R28" s="213">
        <v>147</v>
      </c>
      <c r="S28" s="213" t="s">
        <v>710</v>
      </c>
      <c r="T28" s="213">
        <v>-9999</v>
      </c>
      <c r="U28" s="213">
        <v>219</v>
      </c>
      <c r="V28" s="213">
        <v>472</v>
      </c>
      <c r="W28" s="213">
        <v>208</v>
      </c>
      <c r="X28" s="213" t="s">
        <v>710</v>
      </c>
      <c r="Y28" s="213">
        <v>0</v>
      </c>
      <c r="Z28" s="213">
        <v>40</v>
      </c>
      <c r="AA28" s="213" t="s">
        <v>730</v>
      </c>
      <c r="AB28" s="213" t="s">
        <v>731</v>
      </c>
      <c r="AC28" s="213" t="s">
        <v>729</v>
      </c>
      <c r="AD28" s="213" t="s">
        <v>732</v>
      </c>
      <c r="AE28" s="213">
        <v>0</v>
      </c>
      <c r="AF28" s="213">
        <v>7</v>
      </c>
      <c r="AG28" s="213" t="s">
        <v>249</v>
      </c>
      <c r="AH28" s="213">
        <v>-9999</v>
      </c>
      <c r="AI28" s="213">
        <v>198</v>
      </c>
      <c r="AJ28" s="213">
        <v>471</v>
      </c>
      <c r="AK28" s="213">
        <v>196</v>
      </c>
      <c r="AL28" s="213" t="s">
        <v>710</v>
      </c>
      <c r="AM28" s="213">
        <v>0</v>
      </c>
      <c r="AN28" s="213">
        <v>40</v>
      </c>
      <c r="AO28" s="213" t="s">
        <v>733</v>
      </c>
      <c r="AP28" s="213" t="s">
        <v>734</v>
      </c>
      <c r="AQ28" s="213">
        <v>1</v>
      </c>
      <c r="AR28" s="213" t="s">
        <v>735</v>
      </c>
      <c r="AS28" s="213">
        <v>0</v>
      </c>
      <c r="AT28" s="213">
        <v>-1</v>
      </c>
      <c r="AU28" s="213" t="s">
        <v>249</v>
      </c>
      <c r="AV28" s="213">
        <v>-9999</v>
      </c>
      <c r="AW28" s="213">
        <v>266</v>
      </c>
      <c r="AX28" s="213">
        <v>658</v>
      </c>
      <c r="AY28" s="213">
        <v>262</v>
      </c>
      <c r="AZ28" s="213" t="s">
        <v>710</v>
      </c>
      <c r="BA28" s="213">
        <v>0</v>
      </c>
      <c r="BB28" s="213">
        <v>40</v>
      </c>
      <c r="BC28" s="213" t="s">
        <v>736</v>
      </c>
      <c r="BD28" s="213" t="s">
        <v>734</v>
      </c>
      <c r="BE28" s="213">
        <v>2</v>
      </c>
      <c r="BF28" s="213" t="s">
        <v>735</v>
      </c>
      <c r="BG28" s="213">
        <v>0</v>
      </c>
      <c r="BH28" s="213">
        <v>3</v>
      </c>
      <c r="BI28" s="213" t="s">
        <v>249</v>
      </c>
      <c r="BJ28" s="213">
        <v>-9999</v>
      </c>
      <c r="BK28" s="213">
        <v>110</v>
      </c>
      <c r="BL28" s="213">
        <v>333</v>
      </c>
      <c r="BM28" s="213">
        <v>108</v>
      </c>
      <c r="BN28" s="213" t="s">
        <v>710</v>
      </c>
      <c r="BO28" s="213">
        <v>0</v>
      </c>
      <c r="BP28" s="213">
        <v>40</v>
      </c>
      <c r="BQ28" s="213" t="s">
        <v>737</v>
      </c>
      <c r="BR28" s="213" t="s">
        <v>734</v>
      </c>
      <c r="BS28" s="213">
        <v>3</v>
      </c>
      <c r="BT28" s="213" t="s">
        <v>735</v>
      </c>
      <c r="BU28" s="213">
        <v>0</v>
      </c>
      <c r="BV28" s="213">
        <v>8</v>
      </c>
      <c r="BW28" s="213" t="s">
        <v>249</v>
      </c>
      <c r="BX28" s="213">
        <v>-9999</v>
      </c>
      <c r="BY28" s="213">
        <v>151</v>
      </c>
      <c r="BZ28" s="213">
        <v>361</v>
      </c>
      <c r="CA28" s="213">
        <v>150</v>
      </c>
      <c r="CB28" s="213" t="s">
        <v>710</v>
      </c>
      <c r="CC28" s="213">
        <v>0</v>
      </c>
      <c r="CD28" s="213">
        <v>40</v>
      </c>
      <c r="CE28" s="213" t="s">
        <v>738</v>
      </c>
      <c r="CF28" s="213" t="s">
        <v>734</v>
      </c>
      <c r="CG28" s="213">
        <v>4</v>
      </c>
      <c r="CH28" s="213" t="s">
        <v>735</v>
      </c>
      <c r="CI28" s="213">
        <v>0</v>
      </c>
      <c r="CJ28" s="213">
        <v>5</v>
      </c>
      <c r="CK28" s="213" t="s">
        <v>249</v>
      </c>
      <c r="CL28" s="213">
        <v>-9999</v>
      </c>
      <c r="CM28" s="213">
        <v>144</v>
      </c>
      <c r="CN28" s="213">
        <v>380</v>
      </c>
      <c r="CO28" s="213">
        <v>141</v>
      </c>
      <c r="CP28" s="213" t="s">
        <v>710</v>
      </c>
      <c r="CQ28" s="213">
        <v>0</v>
      </c>
      <c r="CR28" s="213">
        <v>40</v>
      </c>
      <c r="CS28" s="213" t="s">
        <v>739</v>
      </c>
      <c r="CT28" s="213" t="s">
        <v>740</v>
      </c>
      <c r="CU28" s="213">
        <v>120</v>
      </c>
      <c r="CV28" s="213">
        <v>120</v>
      </c>
      <c r="CW28" s="213">
        <v>119</v>
      </c>
      <c r="CX28" s="213" t="s">
        <v>710</v>
      </c>
      <c r="CY28" s="213" t="s">
        <v>741</v>
      </c>
      <c r="CZ28" s="213" t="s">
        <v>740</v>
      </c>
      <c r="DA28" s="213">
        <v>103</v>
      </c>
      <c r="DB28" s="213">
        <v>103</v>
      </c>
      <c r="DC28" s="213">
        <v>103</v>
      </c>
      <c r="DD28" s="213" t="s">
        <v>710</v>
      </c>
      <c r="DE28" s="213" t="s">
        <v>742</v>
      </c>
      <c r="DF28" s="213" t="s">
        <v>743</v>
      </c>
      <c r="DG28" s="213">
        <v>0</v>
      </c>
      <c r="DH28" s="213">
        <v>0</v>
      </c>
      <c r="DI28" s="213">
        <v>0</v>
      </c>
      <c r="DJ28" s="213" t="s">
        <v>249</v>
      </c>
      <c r="DK28" s="213"/>
      <c r="DL28" s="213"/>
      <c r="DM28" s="213" t="s">
        <v>744</v>
      </c>
      <c r="DN28" s="213" t="s">
        <v>743</v>
      </c>
      <c r="DO28" s="213">
        <v>0</v>
      </c>
      <c r="DP28" s="213">
        <v>0</v>
      </c>
      <c r="DQ28" s="213">
        <v>0</v>
      </c>
      <c r="DR28" s="213" t="s">
        <v>249</v>
      </c>
      <c r="DS28" s="213"/>
      <c r="DT28" s="213"/>
      <c r="DU28" s="213" t="s">
        <v>745</v>
      </c>
      <c r="DV28" s="213" t="s">
        <v>743</v>
      </c>
      <c r="DW28" s="213">
        <v>0</v>
      </c>
      <c r="DX28" s="213">
        <v>0</v>
      </c>
      <c r="DY28" s="213">
        <v>0</v>
      </c>
      <c r="DZ28" s="213" t="s">
        <v>249</v>
      </c>
      <c r="EA28" s="213"/>
      <c r="EB28" s="213"/>
      <c r="EC28" s="213" t="s">
        <v>746</v>
      </c>
      <c r="ED28" s="213" t="s">
        <v>743</v>
      </c>
      <c r="EE28" s="213">
        <v>0</v>
      </c>
      <c r="EF28" s="213">
        <v>0</v>
      </c>
      <c r="EG28" s="213">
        <v>0</v>
      </c>
      <c r="EH28" s="213" t="s">
        <v>249</v>
      </c>
      <c r="EI28" s="213"/>
      <c r="EJ28" s="213"/>
      <c r="EK28" s="213" t="s">
        <v>747</v>
      </c>
      <c r="EL28" s="213" t="s">
        <v>743</v>
      </c>
      <c r="EM28" s="213">
        <v>0</v>
      </c>
      <c r="EN28" s="213">
        <v>0</v>
      </c>
      <c r="EO28" s="213">
        <v>0</v>
      </c>
      <c r="EP28" s="213" t="s">
        <v>249</v>
      </c>
      <c r="ES28" s="283" t="s">
        <v>748</v>
      </c>
      <c r="ET28" s="283" t="s">
        <v>743</v>
      </c>
      <c r="EU28" s="283">
        <v>0</v>
      </c>
      <c r="EV28" s="283">
        <v>0</v>
      </c>
      <c r="EW28" s="283">
        <v>0</v>
      </c>
      <c r="EX28" s="283" t="s">
        <v>249</v>
      </c>
      <c r="FA28" s="283" t="s">
        <v>749</v>
      </c>
      <c r="FB28" s="283" t="s">
        <v>743</v>
      </c>
      <c r="FC28" s="283">
        <v>0</v>
      </c>
      <c r="FD28" s="283">
        <v>0</v>
      </c>
      <c r="FE28" s="283">
        <v>0</v>
      </c>
      <c r="FF28" s="283" t="s">
        <v>249</v>
      </c>
      <c r="FI28" s="283" t="s">
        <v>750</v>
      </c>
      <c r="FJ28" s="283" t="s">
        <v>743</v>
      </c>
      <c r="FK28" s="283">
        <v>0</v>
      </c>
      <c r="FL28" s="283">
        <v>0</v>
      </c>
      <c r="FM28" s="283">
        <v>0</v>
      </c>
      <c r="FN28" s="283" t="s">
        <v>249</v>
      </c>
      <c r="FQ28" s="283" t="s">
        <v>751</v>
      </c>
      <c r="FR28" s="283" t="s">
        <v>743</v>
      </c>
      <c r="FS28" s="283">
        <v>0</v>
      </c>
      <c r="FT28" s="283">
        <v>0</v>
      </c>
      <c r="FU28" s="283">
        <v>0</v>
      </c>
      <c r="FV28" s="283" t="s">
        <v>249</v>
      </c>
      <c r="FY28" s="283">
        <v>16.600000000000001</v>
      </c>
      <c r="FZ28" s="283">
        <v>-6.6</v>
      </c>
      <c r="GF28" s="283" t="s">
        <v>752</v>
      </c>
    </row>
    <row r="29" spans="1:188" s="213" customFormat="1" x14ac:dyDescent="0.15">
      <c r="A29" s="213" t="s">
        <v>654</v>
      </c>
      <c r="B29" s="213">
        <v>4</v>
      </c>
      <c r="C29" s="213" t="s">
        <v>866</v>
      </c>
      <c r="D29" s="213">
        <v>614336979</v>
      </c>
      <c r="E29" s="213">
        <v>92303</v>
      </c>
      <c r="F29" s="213" t="s">
        <v>725</v>
      </c>
      <c r="G29" s="213">
        <v>847922</v>
      </c>
      <c r="H29" s="213">
        <v>760491</v>
      </c>
      <c r="I29" s="213">
        <v>6.8</v>
      </c>
      <c r="J29" s="213" t="s">
        <v>867</v>
      </c>
      <c r="K29" s="213" t="s">
        <v>727</v>
      </c>
      <c r="L29" s="213" t="s">
        <v>656</v>
      </c>
      <c r="M29" s="213" t="s">
        <v>728</v>
      </c>
      <c r="N29" s="213" t="s">
        <v>728</v>
      </c>
      <c r="O29" s="213" t="s">
        <v>729</v>
      </c>
      <c r="P29" s="213" t="s">
        <v>710</v>
      </c>
      <c r="Q29" s="213">
        <v>25.1</v>
      </c>
      <c r="R29" s="213">
        <v>128</v>
      </c>
      <c r="S29" s="213" t="s">
        <v>710</v>
      </c>
      <c r="T29" s="213">
        <v>-9999</v>
      </c>
      <c r="U29" s="213">
        <v>217</v>
      </c>
      <c r="V29" s="213">
        <v>481</v>
      </c>
      <c r="W29" s="213">
        <v>211</v>
      </c>
      <c r="X29" s="213" t="s">
        <v>710</v>
      </c>
      <c r="Y29" s="213">
        <v>0</v>
      </c>
      <c r="Z29" s="213">
        <v>40</v>
      </c>
      <c r="AA29" s="213" t="s">
        <v>730</v>
      </c>
      <c r="AB29" s="213" t="s">
        <v>731</v>
      </c>
      <c r="AC29" s="213" t="s">
        <v>729</v>
      </c>
      <c r="AD29" s="213" t="s">
        <v>732</v>
      </c>
      <c r="AE29" s="213">
        <v>0</v>
      </c>
      <c r="AF29" s="213">
        <v>6</v>
      </c>
      <c r="AG29" s="213" t="s">
        <v>249</v>
      </c>
      <c r="AH29" s="213">
        <v>-9999</v>
      </c>
      <c r="AI29" s="213">
        <v>187</v>
      </c>
      <c r="AJ29" s="213">
        <v>445</v>
      </c>
      <c r="AK29" s="213">
        <v>185</v>
      </c>
      <c r="AL29" s="213" t="s">
        <v>710</v>
      </c>
      <c r="AM29" s="213">
        <v>0</v>
      </c>
      <c r="AN29" s="213">
        <v>40</v>
      </c>
      <c r="AO29" s="213" t="s">
        <v>733</v>
      </c>
      <c r="AP29" s="213" t="s">
        <v>734</v>
      </c>
      <c r="AQ29" s="213">
        <v>1</v>
      </c>
      <c r="AR29" s="213" t="s">
        <v>735</v>
      </c>
      <c r="AS29" s="213">
        <v>0</v>
      </c>
      <c r="AT29" s="213">
        <v>-7</v>
      </c>
      <c r="AU29" s="213" t="s">
        <v>249</v>
      </c>
      <c r="AV29" s="213">
        <v>-9999</v>
      </c>
      <c r="AW29" s="213">
        <v>254</v>
      </c>
      <c r="AX29" s="213">
        <v>634</v>
      </c>
      <c r="AY29" s="213">
        <v>253</v>
      </c>
      <c r="AZ29" s="213" t="s">
        <v>710</v>
      </c>
      <c r="BA29" s="213">
        <v>0</v>
      </c>
      <c r="BB29" s="213">
        <v>40</v>
      </c>
      <c r="BC29" s="213" t="s">
        <v>736</v>
      </c>
      <c r="BD29" s="213" t="s">
        <v>734</v>
      </c>
      <c r="BE29" s="213">
        <v>2</v>
      </c>
      <c r="BF29" s="213" t="s">
        <v>735</v>
      </c>
      <c r="BG29" s="213">
        <v>0</v>
      </c>
      <c r="BH29" s="213">
        <v>2</v>
      </c>
      <c r="BI29" s="213" t="s">
        <v>249</v>
      </c>
      <c r="BJ29" s="213">
        <v>-9999</v>
      </c>
      <c r="BK29" s="213">
        <v>107</v>
      </c>
      <c r="BL29" s="213">
        <v>326</v>
      </c>
      <c r="BM29" s="213">
        <v>105</v>
      </c>
      <c r="BN29" s="213" t="s">
        <v>710</v>
      </c>
      <c r="BO29" s="213">
        <v>0</v>
      </c>
      <c r="BP29" s="213">
        <v>40</v>
      </c>
      <c r="BQ29" s="213" t="s">
        <v>737</v>
      </c>
      <c r="BR29" s="213" t="s">
        <v>734</v>
      </c>
      <c r="BS29" s="213">
        <v>3</v>
      </c>
      <c r="BT29" s="213" t="s">
        <v>735</v>
      </c>
      <c r="BU29" s="213">
        <v>0</v>
      </c>
      <c r="BV29" s="213">
        <v>1</v>
      </c>
      <c r="BW29" s="213" t="s">
        <v>249</v>
      </c>
      <c r="BX29" s="213">
        <v>-9999</v>
      </c>
      <c r="BY29" s="213">
        <v>190</v>
      </c>
      <c r="BZ29" s="213">
        <v>466</v>
      </c>
      <c r="CA29" s="213">
        <v>190</v>
      </c>
      <c r="CB29" s="213" t="s">
        <v>710</v>
      </c>
      <c r="CC29" s="213">
        <v>0</v>
      </c>
      <c r="CD29" s="213">
        <v>40</v>
      </c>
      <c r="CE29" s="213" t="s">
        <v>738</v>
      </c>
      <c r="CF29" s="213" t="s">
        <v>734</v>
      </c>
      <c r="CG29" s="213">
        <v>4</v>
      </c>
      <c r="CH29" s="213" t="s">
        <v>735</v>
      </c>
      <c r="CI29" s="213">
        <v>0</v>
      </c>
      <c r="CJ29" s="213">
        <v>5</v>
      </c>
      <c r="CK29" s="213" t="s">
        <v>249</v>
      </c>
      <c r="CL29" s="213">
        <v>-9999</v>
      </c>
      <c r="CM29" s="213">
        <v>131</v>
      </c>
      <c r="CN29" s="213">
        <v>342</v>
      </c>
      <c r="CO29" s="213">
        <v>129</v>
      </c>
      <c r="CP29" s="213" t="s">
        <v>710</v>
      </c>
      <c r="CQ29" s="213">
        <v>0</v>
      </c>
      <c r="CR29" s="213">
        <v>40</v>
      </c>
      <c r="CS29" s="213" t="s">
        <v>739</v>
      </c>
      <c r="CT29" s="213" t="s">
        <v>740</v>
      </c>
      <c r="CU29" s="213">
        <v>112</v>
      </c>
      <c r="CV29" s="213">
        <v>112</v>
      </c>
      <c r="CW29" s="213">
        <v>112</v>
      </c>
      <c r="CX29" s="213" t="s">
        <v>710</v>
      </c>
      <c r="CY29" s="213" t="s">
        <v>741</v>
      </c>
      <c r="CZ29" s="213" t="s">
        <v>740</v>
      </c>
      <c r="DA29" s="213">
        <v>123</v>
      </c>
      <c r="DB29" s="213">
        <v>122</v>
      </c>
      <c r="DC29" s="213">
        <v>122</v>
      </c>
      <c r="DD29" s="213" t="s">
        <v>710</v>
      </c>
      <c r="DE29" s="213" t="s">
        <v>742</v>
      </c>
      <c r="DF29" s="213" t="s">
        <v>743</v>
      </c>
      <c r="DG29" s="213">
        <v>0</v>
      </c>
      <c r="DH29" s="213">
        <v>0</v>
      </c>
      <c r="DI29" s="213">
        <v>0</v>
      </c>
      <c r="DJ29" s="213" t="s">
        <v>249</v>
      </c>
      <c r="DM29" s="213" t="s">
        <v>744</v>
      </c>
      <c r="DN29" s="213" t="s">
        <v>743</v>
      </c>
      <c r="DO29" s="213">
        <v>0</v>
      </c>
      <c r="DP29" s="213">
        <v>0</v>
      </c>
      <c r="DQ29" s="213">
        <v>0</v>
      </c>
      <c r="DR29" s="213" t="s">
        <v>249</v>
      </c>
      <c r="DU29" s="213" t="s">
        <v>745</v>
      </c>
      <c r="DV29" s="213" t="s">
        <v>743</v>
      </c>
      <c r="DW29" s="213">
        <v>0</v>
      </c>
      <c r="DX29" s="213">
        <v>0</v>
      </c>
      <c r="DY29" s="213">
        <v>0</v>
      </c>
      <c r="DZ29" s="213" t="s">
        <v>249</v>
      </c>
      <c r="EC29" s="213" t="s">
        <v>746</v>
      </c>
      <c r="ED29" s="213" t="s">
        <v>743</v>
      </c>
      <c r="EE29" s="213">
        <v>0</v>
      </c>
      <c r="EF29" s="213">
        <v>0</v>
      </c>
      <c r="EG29" s="213">
        <v>0</v>
      </c>
      <c r="EH29" s="213" t="s">
        <v>249</v>
      </c>
      <c r="EK29" s="213" t="s">
        <v>747</v>
      </c>
      <c r="EL29" s="213" t="s">
        <v>743</v>
      </c>
      <c r="EM29" s="213">
        <v>0</v>
      </c>
      <c r="EN29" s="213">
        <v>0</v>
      </c>
      <c r="EO29" s="213">
        <v>0</v>
      </c>
      <c r="EP29" s="213" t="s">
        <v>249</v>
      </c>
      <c r="ES29" s="213" t="s">
        <v>748</v>
      </c>
      <c r="ET29" s="213" t="s">
        <v>743</v>
      </c>
      <c r="EU29" s="213">
        <v>0</v>
      </c>
      <c r="EV29" s="213">
        <v>0</v>
      </c>
      <c r="EW29" s="213">
        <v>0</v>
      </c>
      <c r="EX29" s="213" t="s">
        <v>249</v>
      </c>
      <c r="FA29" s="213" t="s">
        <v>749</v>
      </c>
      <c r="FB29" s="213" t="s">
        <v>743</v>
      </c>
      <c r="FC29" s="213">
        <v>0</v>
      </c>
      <c r="FD29" s="213">
        <v>0</v>
      </c>
      <c r="FE29" s="213">
        <v>0</v>
      </c>
      <c r="FF29" s="213" t="s">
        <v>249</v>
      </c>
      <c r="FI29" s="213" t="s">
        <v>750</v>
      </c>
      <c r="FJ29" s="213" t="s">
        <v>743</v>
      </c>
      <c r="FK29" s="213">
        <v>0</v>
      </c>
      <c r="FL29" s="213">
        <v>0</v>
      </c>
      <c r="FM29" s="213">
        <v>0</v>
      </c>
      <c r="FN29" s="213" t="s">
        <v>249</v>
      </c>
      <c r="FQ29" s="213" t="s">
        <v>751</v>
      </c>
      <c r="FR29" s="213" t="s">
        <v>743</v>
      </c>
      <c r="FS29" s="213">
        <v>0</v>
      </c>
      <c r="FT29" s="213">
        <v>0</v>
      </c>
      <c r="FU29" s="213">
        <v>0</v>
      </c>
      <c r="FV29" s="213" t="s">
        <v>249</v>
      </c>
      <c r="FY29" s="213">
        <v>17.899999999999999</v>
      </c>
      <c r="FZ29" s="213">
        <v>-7.2</v>
      </c>
      <c r="GF29" s="213" t="s">
        <v>752</v>
      </c>
    </row>
    <row r="30" spans="1:188" s="213" customFormat="1" x14ac:dyDescent="0.15">
      <c r="A30" s="213" t="s">
        <v>654</v>
      </c>
      <c r="B30" s="213">
        <v>4</v>
      </c>
      <c r="C30" s="213" t="s">
        <v>868</v>
      </c>
      <c r="D30" s="213">
        <v>614336667</v>
      </c>
      <c r="E30" s="213">
        <v>92303</v>
      </c>
      <c r="F30" s="213" t="s">
        <v>725</v>
      </c>
      <c r="G30" s="213">
        <v>847922</v>
      </c>
      <c r="H30" s="213">
        <v>210068154</v>
      </c>
      <c r="I30" s="213">
        <v>6.8</v>
      </c>
      <c r="J30" s="213" t="s">
        <v>869</v>
      </c>
      <c r="K30" s="213" t="s">
        <v>727</v>
      </c>
      <c r="L30" s="213" t="s">
        <v>656</v>
      </c>
      <c r="M30" s="213" t="s">
        <v>728</v>
      </c>
      <c r="N30" s="213" t="s">
        <v>728</v>
      </c>
      <c r="O30" s="213" t="s">
        <v>729</v>
      </c>
      <c r="P30" s="213" t="s">
        <v>710</v>
      </c>
      <c r="Q30" s="213">
        <v>25.1</v>
      </c>
      <c r="R30" s="213">
        <v>137</v>
      </c>
      <c r="S30" s="213" t="s">
        <v>710</v>
      </c>
      <c r="T30" s="213">
        <v>-9999</v>
      </c>
      <c r="U30" s="213">
        <v>197</v>
      </c>
      <c r="V30" s="213">
        <v>428</v>
      </c>
      <c r="W30" s="213">
        <v>193</v>
      </c>
      <c r="X30" s="213" t="s">
        <v>710</v>
      </c>
      <c r="Y30" s="213">
        <v>0</v>
      </c>
      <c r="Z30" s="213">
        <v>40</v>
      </c>
      <c r="AA30" s="213" t="s">
        <v>730</v>
      </c>
      <c r="AB30" s="213" t="s">
        <v>731</v>
      </c>
      <c r="AC30" s="213" t="s">
        <v>729</v>
      </c>
      <c r="AD30" s="213" t="s">
        <v>732</v>
      </c>
      <c r="AE30" s="213">
        <v>0</v>
      </c>
      <c r="AF30" s="213">
        <v>4</v>
      </c>
      <c r="AG30" s="213" t="s">
        <v>249</v>
      </c>
      <c r="AH30" s="213">
        <v>-9999</v>
      </c>
      <c r="AI30" s="213">
        <v>179</v>
      </c>
      <c r="AJ30" s="213">
        <v>427</v>
      </c>
      <c r="AK30" s="213">
        <v>179</v>
      </c>
      <c r="AL30" s="213" t="s">
        <v>710</v>
      </c>
      <c r="AM30" s="213">
        <v>0</v>
      </c>
      <c r="AN30" s="213">
        <v>40</v>
      </c>
      <c r="AO30" s="213" t="s">
        <v>733</v>
      </c>
      <c r="AP30" s="213" t="s">
        <v>734</v>
      </c>
      <c r="AQ30" s="213">
        <v>1</v>
      </c>
      <c r="AR30" s="213" t="s">
        <v>735</v>
      </c>
      <c r="AS30" s="213">
        <v>0</v>
      </c>
      <c r="AT30" s="213">
        <v>-5</v>
      </c>
      <c r="AU30" s="213" t="s">
        <v>249</v>
      </c>
      <c r="AV30" s="213">
        <v>-9999</v>
      </c>
      <c r="AW30" s="213">
        <v>248</v>
      </c>
      <c r="AX30" s="213">
        <v>618</v>
      </c>
      <c r="AY30" s="213">
        <v>247</v>
      </c>
      <c r="AZ30" s="213" t="s">
        <v>710</v>
      </c>
      <c r="BA30" s="213">
        <v>0</v>
      </c>
      <c r="BB30" s="213">
        <v>40</v>
      </c>
      <c r="BC30" s="213" t="s">
        <v>736</v>
      </c>
      <c r="BD30" s="213" t="s">
        <v>734</v>
      </c>
      <c r="BE30" s="213">
        <v>2</v>
      </c>
      <c r="BF30" s="213" t="s">
        <v>735</v>
      </c>
      <c r="BG30" s="213">
        <v>0</v>
      </c>
      <c r="BH30" s="213">
        <v>3</v>
      </c>
      <c r="BI30" s="213" t="s">
        <v>249</v>
      </c>
      <c r="BJ30" s="213">
        <v>-9999</v>
      </c>
      <c r="BK30" s="213">
        <v>104</v>
      </c>
      <c r="BL30" s="213">
        <v>318</v>
      </c>
      <c r="BM30" s="213">
        <v>103</v>
      </c>
      <c r="BN30" s="213" t="s">
        <v>710</v>
      </c>
      <c r="BO30" s="213">
        <v>0</v>
      </c>
      <c r="BP30" s="213">
        <v>40</v>
      </c>
      <c r="BQ30" s="213" t="s">
        <v>737</v>
      </c>
      <c r="BR30" s="213" t="s">
        <v>734</v>
      </c>
      <c r="BS30" s="213">
        <v>3</v>
      </c>
      <c r="BT30" s="213" t="s">
        <v>735</v>
      </c>
      <c r="BU30" s="213">
        <v>0</v>
      </c>
      <c r="BV30" s="213">
        <v>3</v>
      </c>
      <c r="BW30" s="213" t="s">
        <v>249</v>
      </c>
      <c r="BX30" s="213">
        <v>-9999</v>
      </c>
      <c r="BY30" s="213">
        <v>178</v>
      </c>
      <c r="BZ30" s="213">
        <v>425</v>
      </c>
      <c r="CA30" s="213">
        <v>179</v>
      </c>
      <c r="CB30" s="213" t="s">
        <v>710</v>
      </c>
      <c r="CC30" s="213">
        <v>0</v>
      </c>
      <c r="CD30" s="213">
        <v>40</v>
      </c>
      <c r="CE30" s="213" t="s">
        <v>738</v>
      </c>
      <c r="CF30" s="213" t="s">
        <v>734</v>
      </c>
      <c r="CG30" s="213">
        <v>4</v>
      </c>
      <c r="CH30" s="213" t="s">
        <v>735</v>
      </c>
      <c r="CI30" s="213">
        <v>0</v>
      </c>
      <c r="CJ30" s="213">
        <v>7</v>
      </c>
      <c r="CK30" s="213" t="s">
        <v>249</v>
      </c>
      <c r="CL30" s="213">
        <v>-9999</v>
      </c>
      <c r="CM30" s="213">
        <v>126</v>
      </c>
      <c r="CN30" s="213">
        <v>327</v>
      </c>
      <c r="CO30" s="213">
        <v>125</v>
      </c>
      <c r="CP30" s="213" t="s">
        <v>710</v>
      </c>
      <c r="CQ30" s="213">
        <v>0</v>
      </c>
      <c r="CR30" s="213">
        <v>40</v>
      </c>
      <c r="CS30" s="213" t="s">
        <v>739</v>
      </c>
      <c r="CT30" s="213" t="s">
        <v>740</v>
      </c>
      <c r="CU30" s="213">
        <v>112</v>
      </c>
      <c r="CV30" s="213">
        <v>112</v>
      </c>
      <c r="CW30" s="213">
        <v>112</v>
      </c>
      <c r="CX30" s="213" t="s">
        <v>710</v>
      </c>
      <c r="CY30" s="213" t="s">
        <v>741</v>
      </c>
      <c r="CZ30" s="213" t="s">
        <v>740</v>
      </c>
      <c r="DA30" s="213">
        <v>116</v>
      </c>
      <c r="DB30" s="213">
        <v>116</v>
      </c>
      <c r="DC30" s="213">
        <v>116</v>
      </c>
      <c r="DD30" s="213" t="s">
        <v>710</v>
      </c>
      <c r="DE30" s="213" t="s">
        <v>742</v>
      </c>
      <c r="DF30" s="213" t="s">
        <v>743</v>
      </c>
      <c r="DG30" s="213">
        <v>0</v>
      </c>
      <c r="DH30" s="213">
        <v>0</v>
      </c>
      <c r="DI30" s="213">
        <v>0</v>
      </c>
      <c r="DJ30" s="213" t="s">
        <v>249</v>
      </c>
      <c r="DM30" s="213" t="s">
        <v>744</v>
      </c>
      <c r="DN30" s="213" t="s">
        <v>743</v>
      </c>
      <c r="DO30" s="213">
        <v>0</v>
      </c>
      <c r="DP30" s="213">
        <v>0</v>
      </c>
      <c r="DQ30" s="213">
        <v>0</v>
      </c>
      <c r="DR30" s="213" t="s">
        <v>249</v>
      </c>
      <c r="DU30" s="213" t="s">
        <v>745</v>
      </c>
      <c r="DV30" s="213" t="s">
        <v>743</v>
      </c>
      <c r="DW30" s="213">
        <v>0</v>
      </c>
      <c r="DX30" s="213">
        <v>0</v>
      </c>
      <c r="DY30" s="213">
        <v>0</v>
      </c>
      <c r="DZ30" s="213" t="s">
        <v>249</v>
      </c>
      <c r="EC30" s="213" t="s">
        <v>746</v>
      </c>
      <c r="ED30" s="213" t="s">
        <v>743</v>
      </c>
      <c r="EE30" s="213">
        <v>0</v>
      </c>
      <c r="EF30" s="213">
        <v>0</v>
      </c>
      <c r="EG30" s="213">
        <v>0</v>
      </c>
      <c r="EH30" s="213" t="s">
        <v>249</v>
      </c>
      <c r="EK30" s="213" t="s">
        <v>747</v>
      </c>
      <c r="EL30" s="213" t="s">
        <v>743</v>
      </c>
      <c r="EM30" s="213">
        <v>0</v>
      </c>
      <c r="EN30" s="213">
        <v>0</v>
      </c>
      <c r="EO30" s="213">
        <v>0</v>
      </c>
      <c r="EP30" s="213" t="s">
        <v>249</v>
      </c>
      <c r="ES30" s="213" t="s">
        <v>748</v>
      </c>
      <c r="ET30" s="213" t="s">
        <v>743</v>
      </c>
      <c r="EU30" s="213">
        <v>0</v>
      </c>
      <c r="EV30" s="213">
        <v>0</v>
      </c>
      <c r="EW30" s="213">
        <v>0</v>
      </c>
      <c r="EX30" s="213" t="s">
        <v>249</v>
      </c>
      <c r="FA30" s="213" t="s">
        <v>749</v>
      </c>
      <c r="FB30" s="213" t="s">
        <v>743</v>
      </c>
      <c r="FC30" s="213">
        <v>0</v>
      </c>
      <c r="FD30" s="213">
        <v>0</v>
      </c>
      <c r="FE30" s="213">
        <v>0</v>
      </c>
      <c r="FF30" s="213" t="s">
        <v>249</v>
      </c>
      <c r="FI30" s="213" t="s">
        <v>750</v>
      </c>
      <c r="FJ30" s="213" t="s">
        <v>743</v>
      </c>
      <c r="FK30" s="213">
        <v>0</v>
      </c>
      <c r="FL30" s="213">
        <v>0</v>
      </c>
      <c r="FM30" s="213">
        <v>0</v>
      </c>
      <c r="FN30" s="213" t="s">
        <v>249</v>
      </c>
      <c r="FQ30" s="213" t="s">
        <v>751</v>
      </c>
      <c r="FR30" s="213" t="s">
        <v>743</v>
      </c>
      <c r="FS30" s="213">
        <v>0</v>
      </c>
      <c r="FT30" s="213">
        <v>0</v>
      </c>
      <c r="FU30" s="213">
        <v>0</v>
      </c>
      <c r="FV30" s="213" t="s">
        <v>249</v>
      </c>
      <c r="FY30" s="213">
        <v>17.7</v>
      </c>
      <c r="FZ30" s="213">
        <v>-7.9</v>
      </c>
      <c r="GF30" s="213" t="s">
        <v>752</v>
      </c>
    </row>
    <row r="31" spans="1:188" s="213" customFormat="1" x14ac:dyDescent="0.15">
      <c r="A31" s="213" t="s">
        <v>654</v>
      </c>
      <c r="B31" s="213">
        <v>4</v>
      </c>
      <c r="C31" s="213" t="s">
        <v>870</v>
      </c>
      <c r="D31" s="213">
        <v>614336051</v>
      </c>
      <c r="E31" s="213">
        <v>92303</v>
      </c>
      <c r="F31" s="213" t="s">
        <v>725</v>
      </c>
      <c r="G31" s="213">
        <v>847922</v>
      </c>
      <c r="H31" s="213">
        <v>902140</v>
      </c>
      <c r="I31" s="213">
        <v>6.8</v>
      </c>
      <c r="J31" s="213" t="s">
        <v>871</v>
      </c>
      <c r="K31" s="213" t="s">
        <v>727</v>
      </c>
      <c r="L31" s="213" t="s">
        <v>656</v>
      </c>
      <c r="M31" s="213" t="s">
        <v>728</v>
      </c>
      <c r="N31" s="213" t="s">
        <v>728</v>
      </c>
      <c r="O31" s="213" t="s">
        <v>729</v>
      </c>
      <c r="P31" s="213" t="s">
        <v>710</v>
      </c>
      <c r="Q31" s="213">
        <v>22.7</v>
      </c>
      <c r="R31" s="213">
        <v>170</v>
      </c>
      <c r="S31" s="213" t="s">
        <v>710</v>
      </c>
      <c r="T31" s="213">
        <v>-9999</v>
      </c>
      <c r="U31" s="213">
        <v>187</v>
      </c>
      <c r="V31" s="213">
        <v>404</v>
      </c>
      <c r="W31" s="213">
        <v>180</v>
      </c>
      <c r="X31" s="213" t="s">
        <v>710</v>
      </c>
      <c r="Y31" s="213">
        <v>0</v>
      </c>
      <c r="Z31" s="213">
        <v>40</v>
      </c>
      <c r="AA31" s="213" t="s">
        <v>730</v>
      </c>
      <c r="AB31" s="213" t="s">
        <v>731</v>
      </c>
      <c r="AC31" s="213" t="s">
        <v>729</v>
      </c>
      <c r="AD31" s="213" t="s">
        <v>732</v>
      </c>
      <c r="AE31" s="213">
        <v>0</v>
      </c>
      <c r="AF31" s="213">
        <v>9</v>
      </c>
      <c r="AG31" s="213" t="s">
        <v>249</v>
      </c>
      <c r="AH31" s="213">
        <v>-9999</v>
      </c>
      <c r="AI31" s="213">
        <v>187</v>
      </c>
      <c r="AJ31" s="213">
        <v>448</v>
      </c>
      <c r="AK31" s="213">
        <v>185</v>
      </c>
      <c r="AL31" s="213" t="s">
        <v>710</v>
      </c>
      <c r="AM31" s="213">
        <v>0</v>
      </c>
      <c r="AN31" s="213">
        <v>40</v>
      </c>
      <c r="AO31" s="213" t="s">
        <v>733</v>
      </c>
      <c r="AP31" s="213" t="s">
        <v>734</v>
      </c>
      <c r="AQ31" s="213">
        <v>1</v>
      </c>
      <c r="AR31" s="213" t="s">
        <v>735</v>
      </c>
      <c r="AS31" s="213">
        <v>0</v>
      </c>
      <c r="AT31" s="213">
        <v>15</v>
      </c>
      <c r="AU31" s="213" t="s">
        <v>249</v>
      </c>
      <c r="AV31" s="213">
        <v>-9999</v>
      </c>
      <c r="AW31" s="213">
        <v>239</v>
      </c>
      <c r="AX31" s="213">
        <v>598</v>
      </c>
      <c r="AY31" s="213">
        <v>239</v>
      </c>
      <c r="AZ31" s="213" t="s">
        <v>710</v>
      </c>
      <c r="BA31" s="213">
        <v>0</v>
      </c>
      <c r="BB31" s="213">
        <v>40</v>
      </c>
      <c r="BC31" s="213" t="s">
        <v>736</v>
      </c>
      <c r="BD31" s="213" t="s">
        <v>734</v>
      </c>
      <c r="BE31" s="213">
        <v>2</v>
      </c>
      <c r="BF31" s="213" t="s">
        <v>735</v>
      </c>
      <c r="BG31" s="213">
        <v>0</v>
      </c>
      <c r="BH31" s="213">
        <v>6</v>
      </c>
      <c r="BI31" s="213" t="s">
        <v>249</v>
      </c>
      <c r="BJ31" s="213">
        <v>-9999</v>
      </c>
      <c r="BK31" s="213">
        <v>88</v>
      </c>
      <c r="BL31" s="213">
        <v>274</v>
      </c>
      <c r="BM31" s="213">
        <v>87</v>
      </c>
      <c r="BN31" s="213" t="s">
        <v>710</v>
      </c>
      <c r="BO31" s="213">
        <v>0</v>
      </c>
      <c r="BP31" s="213">
        <v>40</v>
      </c>
      <c r="BQ31" s="213" t="s">
        <v>737</v>
      </c>
      <c r="BR31" s="213" t="s">
        <v>734</v>
      </c>
      <c r="BS31" s="213">
        <v>3</v>
      </c>
      <c r="BT31" s="213" t="s">
        <v>735</v>
      </c>
      <c r="BU31" s="213">
        <v>0</v>
      </c>
      <c r="BV31" s="213">
        <v>9</v>
      </c>
      <c r="BW31" s="213" t="s">
        <v>249</v>
      </c>
      <c r="BX31" s="213">
        <v>-9999</v>
      </c>
      <c r="BY31" s="213">
        <v>158</v>
      </c>
      <c r="BZ31" s="213">
        <v>365</v>
      </c>
      <c r="CA31" s="213">
        <v>157</v>
      </c>
      <c r="CB31" s="213" t="s">
        <v>710</v>
      </c>
      <c r="CC31" s="213">
        <v>0</v>
      </c>
      <c r="CD31" s="213">
        <v>40</v>
      </c>
      <c r="CE31" s="213" t="s">
        <v>738</v>
      </c>
      <c r="CF31" s="213" t="s">
        <v>734</v>
      </c>
      <c r="CG31" s="213">
        <v>4</v>
      </c>
      <c r="CH31" s="213" t="s">
        <v>735</v>
      </c>
      <c r="CI31" s="213">
        <v>0</v>
      </c>
      <c r="CJ31" s="213">
        <v>6</v>
      </c>
      <c r="CK31" s="213" t="s">
        <v>249</v>
      </c>
      <c r="CL31" s="213">
        <v>-9999</v>
      </c>
      <c r="CM31" s="213">
        <v>137</v>
      </c>
      <c r="CN31" s="213">
        <v>364</v>
      </c>
      <c r="CO31" s="213">
        <v>135</v>
      </c>
      <c r="CP31" s="213" t="s">
        <v>710</v>
      </c>
      <c r="CQ31" s="213">
        <v>0</v>
      </c>
      <c r="CR31" s="213">
        <v>40</v>
      </c>
      <c r="CS31" s="213" t="s">
        <v>739</v>
      </c>
      <c r="CT31" s="213" t="s">
        <v>740</v>
      </c>
      <c r="CU31" s="213">
        <v>123</v>
      </c>
      <c r="CV31" s="213">
        <v>122</v>
      </c>
      <c r="CW31" s="213">
        <v>122</v>
      </c>
      <c r="CX31" s="213" t="s">
        <v>710</v>
      </c>
      <c r="CY31" s="213" t="s">
        <v>741</v>
      </c>
      <c r="CZ31" s="213" t="s">
        <v>740</v>
      </c>
      <c r="DA31" s="213">
        <v>114</v>
      </c>
      <c r="DB31" s="213">
        <v>114</v>
      </c>
      <c r="DC31" s="213">
        <v>114</v>
      </c>
      <c r="DD31" s="213" t="s">
        <v>710</v>
      </c>
      <c r="DE31" s="213" t="s">
        <v>742</v>
      </c>
      <c r="DF31" s="213" t="s">
        <v>743</v>
      </c>
      <c r="DG31" s="213">
        <v>0</v>
      </c>
      <c r="DH31" s="213">
        <v>0</v>
      </c>
      <c r="DI31" s="213">
        <v>0</v>
      </c>
      <c r="DJ31" s="213" t="s">
        <v>249</v>
      </c>
      <c r="DM31" s="213" t="s">
        <v>744</v>
      </c>
      <c r="DN31" s="213" t="s">
        <v>743</v>
      </c>
      <c r="DO31" s="213">
        <v>0</v>
      </c>
      <c r="DP31" s="213">
        <v>0</v>
      </c>
      <c r="DQ31" s="213">
        <v>0</v>
      </c>
      <c r="DR31" s="213" t="s">
        <v>249</v>
      </c>
      <c r="DU31" s="213" t="s">
        <v>745</v>
      </c>
      <c r="DV31" s="213" t="s">
        <v>743</v>
      </c>
      <c r="DW31" s="213">
        <v>0</v>
      </c>
      <c r="DX31" s="213">
        <v>0</v>
      </c>
      <c r="DY31" s="213">
        <v>0</v>
      </c>
      <c r="DZ31" s="213" t="s">
        <v>249</v>
      </c>
      <c r="EC31" s="213" t="s">
        <v>746</v>
      </c>
      <c r="ED31" s="213" t="s">
        <v>743</v>
      </c>
      <c r="EE31" s="213">
        <v>0</v>
      </c>
      <c r="EF31" s="213">
        <v>0</v>
      </c>
      <c r="EG31" s="213">
        <v>0</v>
      </c>
      <c r="EH31" s="213" t="s">
        <v>249</v>
      </c>
      <c r="EK31" s="213" t="s">
        <v>747</v>
      </c>
      <c r="EL31" s="213" t="s">
        <v>743</v>
      </c>
      <c r="EM31" s="213">
        <v>0</v>
      </c>
      <c r="EN31" s="213">
        <v>0</v>
      </c>
      <c r="EO31" s="213">
        <v>0</v>
      </c>
      <c r="EP31" s="213" t="s">
        <v>249</v>
      </c>
      <c r="ES31" s="213" t="s">
        <v>748</v>
      </c>
      <c r="ET31" s="213" t="s">
        <v>743</v>
      </c>
      <c r="EU31" s="213">
        <v>0</v>
      </c>
      <c r="EV31" s="213">
        <v>0</v>
      </c>
      <c r="EW31" s="213">
        <v>0</v>
      </c>
      <c r="EX31" s="213" t="s">
        <v>249</v>
      </c>
      <c r="FA31" s="213" t="s">
        <v>749</v>
      </c>
      <c r="FB31" s="213" t="s">
        <v>743</v>
      </c>
      <c r="FC31" s="213">
        <v>0</v>
      </c>
      <c r="FD31" s="213">
        <v>0</v>
      </c>
      <c r="FE31" s="213">
        <v>0</v>
      </c>
      <c r="FF31" s="213" t="s">
        <v>249</v>
      </c>
      <c r="FI31" s="213" t="s">
        <v>750</v>
      </c>
      <c r="FJ31" s="213" t="s">
        <v>743</v>
      </c>
      <c r="FK31" s="213">
        <v>0</v>
      </c>
      <c r="FL31" s="213">
        <v>0</v>
      </c>
      <c r="FM31" s="213">
        <v>0</v>
      </c>
      <c r="FN31" s="213" t="s">
        <v>249</v>
      </c>
      <c r="FQ31" s="213" t="s">
        <v>751</v>
      </c>
      <c r="FR31" s="213" t="s">
        <v>743</v>
      </c>
      <c r="FS31" s="213">
        <v>0</v>
      </c>
      <c r="FT31" s="213">
        <v>0</v>
      </c>
      <c r="FU31" s="213">
        <v>0</v>
      </c>
      <c r="FV31" s="213" t="s">
        <v>249</v>
      </c>
      <c r="FY31" s="213">
        <v>16.2</v>
      </c>
      <c r="FZ31" s="213">
        <v>-6.5</v>
      </c>
      <c r="GF31" s="213" t="s">
        <v>752</v>
      </c>
    </row>
    <row r="32" spans="1:188" s="213" customFormat="1" x14ac:dyDescent="0.15">
      <c r="A32" s="213" t="s">
        <v>654</v>
      </c>
      <c r="B32" s="213">
        <v>4</v>
      </c>
      <c r="C32" s="213" t="s">
        <v>889</v>
      </c>
      <c r="D32" s="213">
        <v>614340140</v>
      </c>
      <c r="E32" s="213">
        <v>92303</v>
      </c>
      <c r="F32" s="213" t="s">
        <v>725</v>
      </c>
      <c r="G32" s="213">
        <v>847922</v>
      </c>
      <c r="H32" s="213">
        <v>210097747</v>
      </c>
      <c r="I32" s="213">
        <v>6.8</v>
      </c>
      <c r="J32" s="213" t="s">
        <v>890</v>
      </c>
      <c r="K32" s="213" t="s">
        <v>727</v>
      </c>
      <c r="L32" s="213" t="s">
        <v>656</v>
      </c>
      <c r="M32" s="213" t="s">
        <v>728</v>
      </c>
      <c r="N32" s="213" t="s">
        <v>728</v>
      </c>
      <c r="O32" s="213" t="s">
        <v>729</v>
      </c>
      <c r="P32" s="213" t="s">
        <v>710</v>
      </c>
      <c r="Q32" s="213">
        <v>25.1</v>
      </c>
      <c r="R32" s="213">
        <v>137</v>
      </c>
      <c r="S32" s="213" t="s">
        <v>710</v>
      </c>
      <c r="T32" s="213">
        <v>-9999</v>
      </c>
      <c r="U32" s="213">
        <v>188</v>
      </c>
      <c r="V32" s="213">
        <v>418</v>
      </c>
      <c r="W32" s="213">
        <v>182</v>
      </c>
      <c r="X32" s="213" t="s">
        <v>710</v>
      </c>
      <c r="Y32" s="213">
        <v>0</v>
      </c>
      <c r="Z32" s="213">
        <v>40</v>
      </c>
      <c r="AA32" s="213" t="s">
        <v>730</v>
      </c>
      <c r="AB32" s="213" t="s">
        <v>731</v>
      </c>
      <c r="AC32" s="213" t="s">
        <v>729</v>
      </c>
      <c r="AD32" s="213" t="s">
        <v>732</v>
      </c>
      <c r="AE32" s="213">
        <v>0</v>
      </c>
      <c r="AF32" s="213">
        <v>0</v>
      </c>
      <c r="AG32" s="213" t="s">
        <v>249</v>
      </c>
      <c r="AH32" s="213">
        <v>-9999</v>
      </c>
      <c r="AI32" s="213">
        <v>187</v>
      </c>
      <c r="AJ32" s="213">
        <v>443</v>
      </c>
      <c r="AK32" s="213">
        <v>185</v>
      </c>
      <c r="AL32" s="213" t="s">
        <v>710</v>
      </c>
      <c r="AM32" s="213">
        <v>0</v>
      </c>
      <c r="AN32" s="213">
        <v>40</v>
      </c>
      <c r="AO32" s="213" t="s">
        <v>733</v>
      </c>
      <c r="AP32" s="213" t="s">
        <v>734</v>
      </c>
      <c r="AQ32" s="213">
        <v>1</v>
      </c>
      <c r="AR32" s="213" t="s">
        <v>735</v>
      </c>
      <c r="AS32" s="213">
        <v>0</v>
      </c>
      <c r="AT32" s="213">
        <v>-2</v>
      </c>
      <c r="AU32" s="213" t="s">
        <v>249</v>
      </c>
      <c r="AV32" s="213">
        <v>-9999</v>
      </c>
      <c r="AW32" s="213">
        <v>248</v>
      </c>
      <c r="AX32" s="213">
        <v>608</v>
      </c>
      <c r="AY32" s="213">
        <v>246</v>
      </c>
      <c r="AZ32" s="213" t="s">
        <v>710</v>
      </c>
      <c r="BA32" s="213">
        <v>0</v>
      </c>
      <c r="BB32" s="213">
        <v>40</v>
      </c>
      <c r="BC32" s="213" t="s">
        <v>736</v>
      </c>
      <c r="BD32" s="213" t="s">
        <v>734</v>
      </c>
      <c r="BE32" s="213">
        <v>2</v>
      </c>
      <c r="BF32" s="213" t="s">
        <v>735</v>
      </c>
      <c r="BG32" s="213">
        <v>0</v>
      </c>
      <c r="BH32" s="213">
        <v>0</v>
      </c>
      <c r="BI32" s="213" t="s">
        <v>249</v>
      </c>
      <c r="BJ32" s="213">
        <v>-9999</v>
      </c>
      <c r="BK32" s="213">
        <v>109</v>
      </c>
      <c r="BL32" s="213">
        <v>334</v>
      </c>
      <c r="BM32" s="213">
        <v>107</v>
      </c>
      <c r="BN32" s="213" t="s">
        <v>710</v>
      </c>
      <c r="BO32" s="213">
        <v>0</v>
      </c>
      <c r="BP32" s="213">
        <v>40</v>
      </c>
      <c r="BQ32" s="213" t="s">
        <v>737</v>
      </c>
      <c r="BR32" s="213" t="s">
        <v>734</v>
      </c>
      <c r="BS32" s="213">
        <v>3</v>
      </c>
      <c r="BT32" s="213" t="s">
        <v>735</v>
      </c>
      <c r="BU32" s="213">
        <v>0</v>
      </c>
      <c r="BV32" s="213">
        <v>8</v>
      </c>
      <c r="BW32" s="213" t="s">
        <v>249</v>
      </c>
      <c r="BX32" s="213">
        <v>-9999</v>
      </c>
      <c r="BY32" s="213">
        <v>160</v>
      </c>
      <c r="BZ32" s="213">
        <v>370</v>
      </c>
      <c r="CA32" s="213">
        <v>159</v>
      </c>
      <c r="CB32" s="213" t="s">
        <v>710</v>
      </c>
      <c r="CC32" s="213">
        <v>0</v>
      </c>
      <c r="CD32" s="213">
        <v>40</v>
      </c>
      <c r="CE32" s="213" t="s">
        <v>738</v>
      </c>
      <c r="CF32" s="213" t="s">
        <v>734</v>
      </c>
      <c r="CG32" s="213">
        <v>4</v>
      </c>
      <c r="CH32" s="213" t="s">
        <v>735</v>
      </c>
      <c r="CI32" s="213">
        <v>0</v>
      </c>
      <c r="CJ32" s="213">
        <v>6</v>
      </c>
      <c r="CK32" s="213" t="s">
        <v>249</v>
      </c>
      <c r="CL32" s="213">
        <v>-9999</v>
      </c>
      <c r="CM32" s="213">
        <v>130</v>
      </c>
      <c r="CN32" s="213">
        <v>336</v>
      </c>
      <c r="CO32" s="213">
        <v>127</v>
      </c>
      <c r="CP32" s="213" t="s">
        <v>710</v>
      </c>
      <c r="CQ32" s="213">
        <v>0</v>
      </c>
      <c r="CR32" s="213">
        <v>40</v>
      </c>
      <c r="CS32" s="213" t="s">
        <v>739</v>
      </c>
      <c r="CT32" s="213" t="s">
        <v>740</v>
      </c>
      <c r="CU32" s="213">
        <v>109</v>
      </c>
      <c r="CV32" s="213">
        <v>108</v>
      </c>
      <c r="CW32" s="213">
        <v>108</v>
      </c>
      <c r="CX32" s="213" t="s">
        <v>710</v>
      </c>
      <c r="CY32" s="213" t="s">
        <v>741</v>
      </c>
      <c r="CZ32" s="213" t="s">
        <v>740</v>
      </c>
      <c r="DA32" s="213">
        <v>102</v>
      </c>
      <c r="DB32" s="213">
        <v>102</v>
      </c>
      <c r="DC32" s="213">
        <v>102</v>
      </c>
      <c r="DD32" s="213" t="s">
        <v>710</v>
      </c>
      <c r="DE32" s="213" t="s">
        <v>742</v>
      </c>
      <c r="DF32" s="213" t="s">
        <v>743</v>
      </c>
      <c r="DG32" s="213">
        <v>0</v>
      </c>
      <c r="DH32" s="213">
        <v>0</v>
      </c>
      <c r="DI32" s="213">
        <v>0</v>
      </c>
      <c r="DJ32" s="213" t="s">
        <v>249</v>
      </c>
      <c r="DM32" s="213" t="s">
        <v>744</v>
      </c>
      <c r="DN32" s="213" t="s">
        <v>743</v>
      </c>
      <c r="DO32" s="213">
        <v>0</v>
      </c>
      <c r="DP32" s="213">
        <v>0</v>
      </c>
      <c r="DQ32" s="213">
        <v>0</v>
      </c>
      <c r="DR32" s="213" t="s">
        <v>249</v>
      </c>
      <c r="DU32" s="213" t="s">
        <v>745</v>
      </c>
      <c r="DV32" s="213" t="s">
        <v>743</v>
      </c>
      <c r="DW32" s="213">
        <v>0</v>
      </c>
      <c r="DX32" s="213">
        <v>0</v>
      </c>
      <c r="DY32" s="213">
        <v>0</v>
      </c>
      <c r="DZ32" s="213" t="s">
        <v>249</v>
      </c>
      <c r="EC32" s="213" t="s">
        <v>746</v>
      </c>
      <c r="ED32" s="213" t="s">
        <v>743</v>
      </c>
      <c r="EE32" s="213">
        <v>0</v>
      </c>
      <c r="EF32" s="213">
        <v>0</v>
      </c>
      <c r="EG32" s="213">
        <v>0</v>
      </c>
      <c r="EH32" s="213" t="s">
        <v>249</v>
      </c>
      <c r="EK32" s="213" t="s">
        <v>747</v>
      </c>
      <c r="EL32" s="213" t="s">
        <v>743</v>
      </c>
      <c r="EM32" s="213">
        <v>0</v>
      </c>
      <c r="EN32" s="213">
        <v>0</v>
      </c>
      <c r="EO32" s="213">
        <v>0</v>
      </c>
      <c r="EP32" s="213" t="s">
        <v>249</v>
      </c>
      <c r="ES32" s="213" t="s">
        <v>748</v>
      </c>
      <c r="ET32" s="213" t="s">
        <v>743</v>
      </c>
      <c r="EU32" s="213">
        <v>0</v>
      </c>
      <c r="EV32" s="213">
        <v>0</v>
      </c>
      <c r="EW32" s="213">
        <v>0</v>
      </c>
      <c r="EX32" s="213" t="s">
        <v>249</v>
      </c>
      <c r="FA32" s="213" t="s">
        <v>749</v>
      </c>
      <c r="FB32" s="213" t="s">
        <v>743</v>
      </c>
      <c r="FC32" s="213">
        <v>0</v>
      </c>
      <c r="FD32" s="213">
        <v>0</v>
      </c>
      <c r="FE32" s="213">
        <v>0</v>
      </c>
      <c r="FF32" s="213" t="s">
        <v>249</v>
      </c>
      <c r="FI32" s="213" t="s">
        <v>750</v>
      </c>
      <c r="FJ32" s="213" t="s">
        <v>743</v>
      </c>
      <c r="FK32" s="213">
        <v>0</v>
      </c>
      <c r="FL32" s="213">
        <v>0</v>
      </c>
      <c r="FM32" s="213">
        <v>0</v>
      </c>
      <c r="FN32" s="213" t="s">
        <v>249</v>
      </c>
      <c r="FQ32" s="213" t="s">
        <v>751</v>
      </c>
      <c r="FR32" s="213" t="s">
        <v>743</v>
      </c>
      <c r="FS32" s="213">
        <v>0</v>
      </c>
      <c r="FT32" s="213">
        <v>0</v>
      </c>
      <c r="FU32" s="213">
        <v>0</v>
      </c>
      <c r="FV32" s="213" t="s">
        <v>249</v>
      </c>
      <c r="FY32" s="213">
        <v>19.399999999999999</v>
      </c>
      <c r="FZ32" s="213">
        <v>-6.8</v>
      </c>
      <c r="GF32" s="213" t="s">
        <v>752</v>
      </c>
    </row>
    <row r="33" spans="1:188" s="213" customFormat="1" x14ac:dyDescent="0.15">
      <c r="A33" s="213" t="s">
        <v>654</v>
      </c>
      <c r="B33" s="213">
        <v>4</v>
      </c>
      <c r="C33" s="213" t="s">
        <v>891</v>
      </c>
      <c r="D33" s="213">
        <v>614339872</v>
      </c>
      <c r="E33" s="213">
        <v>92303</v>
      </c>
      <c r="F33" s="213" t="s">
        <v>725</v>
      </c>
      <c r="G33" s="213">
        <v>847922</v>
      </c>
      <c r="H33" s="213">
        <v>210013071</v>
      </c>
      <c r="I33" s="213">
        <v>6.8</v>
      </c>
      <c r="J33" s="213" t="s">
        <v>892</v>
      </c>
      <c r="K33" s="213" t="s">
        <v>727</v>
      </c>
      <c r="L33" s="213" t="s">
        <v>656</v>
      </c>
      <c r="M33" s="213" t="s">
        <v>728</v>
      </c>
      <c r="N33" s="213" t="s">
        <v>728</v>
      </c>
      <c r="O33" s="213" t="s">
        <v>729</v>
      </c>
      <c r="P33" s="213" t="s">
        <v>710</v>
      </c>
      <c r="Q33" s="213">
        <v>25.3</v>
      </c>
      <c r="R33" s="213">
        <v>149</v>
      </c>
      <c r="S33" s="213" t="s">
        <v>710</v>
      </c>
      <c r="T33" s="213">
        <v>-9999</v>
      </c>
      <c r="U33" s="213">
        <v>203</v>
      </c>
      <c r="V33" s="213">
        <v>437</v>
      </c>
      <c r="W33" s="213">
        <v>198</v>
      </c>
      <c r="X33" s="213" t="s">
        <v>710</v>
      </c>
      <c r="Y33" s="213">
        <v>0</v>
      </c>
      <c r="Z33" s="213">
        <v>40</v>
      </c>
      <c r="AA33" s="213" t="s">
        <v>730</v>
      </c>
      <c r="AB33" s="213" t="s">
        <v>731</v>
      </c>
      <c r="AC33" s="213" t="s">
        <v>729</v>
      </c>
      <c r="AD33" s="213" t="s">
        <v>732</v>
      </c>
      <c r="AE33" s="213">
        <v>0</v>
      </c>
      <c r="AF33" s="213">
        <v>4</v>
      </c>
      <c r="AG33" s="213" t="s">
        <v>249</v>
      </c>
      <c r="AH33" s="213">
        <v>-9999</v>
      </c>
      <c r="AI33" s="213">
        <v>192</v>
      </c>
      <c r="AJ33" s="213">
        <v>460</v>
      </c>
      <c r="AK33" s="213">
        <v>190</v>
      </c>
      <c r="AL33" s="213" t="s">
        <v>710</v>
      </c>
      <c r="AM33" s="213">
        <v>0</v>
      </c>
      <c r="AN33" s="213">
        <v>40</v>
      </c>
      <c r="AO33" s="213" t="s">
        <v>733</v>
      </c>
      <c r="AP33" s="213" t="s">
        <v>734</v>
      </c>
      <c r="AQ33" s="213">
        <v>1</v>
      </c>
      <c r="AR33" s="213" t="s">
        <v>735</v>
      </c>
      <c r="AS33" s="213">
        <v>0</v>
      </c>
      <c r="AT33" s="213">
        <v>3</v>
      </c>
      <c r="AU33" s="213" t="s">
        <v>249</v>
      </c>
      <c r="AV33" s="213">
        <v>-9999</v>
      </c>
      <c r="AW33" s="213">
        <v>249</v>
      </c>
      <c r="AX33" s="213">
        <v>617</v>
      </c>
      <c r="AY33" s="213">
        <v>247</v>
      </c>
      <c r="AZ33" s="213" t="s">
        <v>710</v>
      </c>
      <c r="BA33" s="213">
        <v>0</v>
      </c>
      <c r="BB33" s="213">
        <v>40</v>
      </c>
      <c r="BC33" s="213" t="s">
        <v>736</v>
      </c>
      <c r="BD33" s="213" t="s">
        <v>734</v>
      </c>
      <c r="BE33" s="213">
        <v>2</v>
      </c>
      <c r="BF33" s="213" t="s">
        <v>735</v>
      </c>
      <c r="BG33" s="213">
        <v>0</v>
      </c>
      <c r="BH33" s="213">
        <v>2</v>
      </c>
      <c r="BI33" s="213" t="s">
        <v>249</v>
      </c>
      <c r="BJ33" s="213">
        <v>-9999</v>
      </c>
      <c r="BK33" s="213">
        <v>109</v>
      </c>
      <c r="BL33" s="213">
        <v>332</v>
      </c>
      <c r="BM33" s="213">
        <v>106</v>
      </c>
      <c r="BN33" s="213" t="s">
        <v>710</v>
      </c>
      <c r="BO33" s="213">
        <v>0</v>
      </c>
      <c r="BP33" s="213">
        <v>40</v>
      </c>
      <c r="BQ33" s="213" t="s">
        <v>737</v>
      </c>
      <c r="BR33" s="213" t="s">
        <v>734</v>
      </c>
      <c r="BS33" s="213">
        <v>3</v>
      </c>
      <c r="BT33" s="213" t="s">
        <v>735</v>
      </c>
      <c r="BU33" s="213">
        <v>0</v>
      </c>
      <c r="BV33" s="213">
        <v>13</v>
      </c>
      <c r="BW33" s="213" t="s">
        <v>249</v>
      </c>
      <c r="BX33" s="213">
        <v>-9999</v>
      </c>
      <c r="BY33" s="213">
        <v>154</v>
      </c>
      <c r="BZ33" s="213">
        <v>361</v>
      </c>
      <c r="CA33" s="213">
        <v>153</v>
      </c>
      <c r="CB33" s="213" t="s">
        <v>710</v>
      </c>
      <c r="CC33" s="213">
        <v>0</v>
      </c>
      <c r="CD33" s="213">
        <v>40</v>
      </c>
      <c r="CE33" s="213" t="s">
        <v>738</v>
      </c>
      <c r="CF33" s="213" t="s">
        <v>734</v>
      </c>
      <c r="CG33" s="213">
        <v>4</v>
      </c>
      <c r="CH33" s="213" t="s">
        <v>735</v>
      </c>
      <c r="CI33" s="213">
        <v>0</v>
      </c>
      <c r="CJ33" s="213">
        <v>6</v>
      </c>
      <c r="CK33" s="213" t="s">
        <v>249</v>
      </c>
      <c r="CL33" s="213">
        <v>-9999</v>
      </c>
      <c r="CM33" s="213">
        <v>139</v>
      </c>
      <c r="CN33" s="213">
        <v>365</v>
      </c>
      <c r="CO33" s="213">
        <v>137</v>
      </c>
      <c r="CP33" s="213" t="s">
        <v>710</v>
      </c>
      <c r="CQ33" s="213">
        <v>0</v>
      </c>
      <c r="CR33" s="213">
        <v>40</v>
      </c>
      <c r="CS33" s="213" t="s">
        <v>739</v>
      </c>
      <c r="CT33" s="213" t="s">
        <v>740</v>
      </c>
      <c r="CU33" s="213">
        <v>113</v>
      </c>
      <c r="CV33" s="213">
        <v>112</v>
      </c>
      <c r="CW33" s="213">
        <v>112</v>
      </c>
      <c r="CX33" s="213" t="s">
        <v>710</v>
      </c>
      <c r="CY33" s="213" t="s">
        <v>741</v>
      </c>
      <c r="CZ33" s="213" t="s">
        <v>740</v>
      </c>
      <c r="DA33" s="213">
        <v>104</v>
      </c>
      <c r="DB33" s="213">
        <v>103</v>
      </c>
      <c r="DC33" s="213">
        <v>102</v>
      </c>
      <c r="DD33" s="213" t="s">
        <v>710</v>
      </c>
      <c r="DE33" s="213" t="s">
        <v>742</v>
      </c>
      <c r="DF33" s="213" t="s">
        <v>743</v>
      </c>
      <c r="DG33" s="213">
        <v>0</v>
      </c>
      <c r="DH33" s="213">
        <v>0</v>
      </c>
      <c r="DI33" s="213">
        <v>0</v>
      </c>
      <c r="DJ33" s="213" t="s">
        <v>249</v>
      </c>
      <c r="DM33" s="213" t="s">
        <v>744</v>
      </c>
      <c r="DN33" s="213" t="s">
        <v>743</v>
      </c>
      <c r="DO33" s="213">
        <v>0</v>
      </c>
      <c r="DP33" s="213">
        <v>0</v>
      </c>
      <c r="DQ33" s="213">
        <v>0</v>
      </c>
      <c r="DR33" s="213" t="s">
        <v>249</v>
      </c>
      <c r="DU33" s="213" t="s">
        <v>745</v>
      </c>
      <c r="DV33" s="213" t="s">
        <v>743</v>
      </c>
      <c r="DW33" s="213">
        <v>0</v>
      </c>
      <c r="DX33" s="213">
        <v>0</v>
      </c>
      <c r="DY33" s="213">
        <v>0</v>
      </c>
      <c r="DZ33" s="213" t="s">
        <v>249</v>
      </c>
      <c r="EC33" s="213" t="s">
        <v>746</v>
      </c>
      <c r="ED33" s="213" t="s">
        <v>743</v>
      </c>
      <c r="EE33" s="213">
        <v>0</v>
      </c>
      <c r="EF33" s="213">
        <v>0</v>
      </c>
      <c r="EG33" s="213">
        <v>0</v>
      </c>
      <c r="EH33" s="213" t="s">
        <v>249</v>
      </c>
      <c r="EK33" s="213" t="s">
        <v>747</v>
      </c>
      <c r="EL33" s="213" t="s">
        <v>743</v>
      </c>
      <c r="EM33" s="213">
        <v>0</v>
      </c>
      <c r="EN33" s="213">
        <v>0</v>
      </c>
      <c r="EO33" s="213">
        <v>0</v>
      </c>
      <c r="EP33" s="213" t="s">
        <v>249</v>
      </c>
      <c r="ES33" s="213" t="s">
        <v>748</v>
      </c>
      <c r="ET33" s="213" t="s">
        <v>743</v>
      </c>
      <c r="EU33" s="213">
        <v>0</v>
      </c>
      <c r="EV33" s="213">
        <v>0</v>
      </c>
      <c r="EW33" s="213">
        <v>0</v>
      </c>
      <c r="EX33" s="213" t="s">
        <v>249</v>
      </c>
      <c r="FA33" s="213" t="s">
        <v>749</v>
      </c>
      <c r="FB33" s="213" t="s">
        <v>743</v>
      </c>
      <c r="FC33" s="213">
        <v>0</v>
      </c>
      <c r="FD33" s="213">
        <v>0</v>
      </c>
      <c r="FE33" s="213">
        <v>0</v>
      </c>
      <c r="FF33" s="213" t="s">
        <v>249</v>
      </c>
      <c r="FI33" s="213" t="s">
        <v>750</v>
      </c>
      <c r="FJ33" s="213" t="s">
        <v>743</v>
      </c>
      <c r="FK33" s="213">
        <v>0</v>
      </c>
      <c r="FL33" s="213">
        <v>0</v>
      </c>
      <c r="FM33" s="213">
        <v>0</v>
      </c>
      <c r="FN33" s="213" t="s">
        <v>249</v>
      </c>
      <c r="FQ33" s="213" t="s">
        <v>751</v>
      </c>
      <c r="FR33" s="213" t="s">
        <v>743</v>
      </c>
      <c r="FS33" s="213">
        <v>0</v>
      </c>
      <c r="FT33" s="213">
        <v>0</v>
      </c>
      <c r="FU33" s="213">
        <v>0</v>
      </c>
      <c r="FV33" s="213" t="s">
        <v>249</v>
      </c>
      <c r="FY33" s="213">
        <v>17</v>
      </c>
      <c r="FZ33" s="213">
        <v>-9.1</v>
      </c>
      <c r="GF33" s="213" t="s">
        <v>752</v>
      </c>
    </row>
    <row r="34" spans="1:188" s="213" customFormat="1" x14ac:dyDescent="0.15">
      <c r="A34" s="213" t="s">
        <v>654</v>
      </c>
      <c r="B34" s="213">
        <v>4</v>
      </c>
      <c r="C34" s="213" t="s">
        <v>893</v>
      </c>
      <c r="D34" s="213">
        <v>614339510</v>
      </c>
      <c r="E34" s="213">
        <v>92303</v>
      </c>
      <c r="F34" s="213" t="s">
        <v>725</v>
      </c>
      <c r="G34" s="213">
        <v>847922</v>
      </c>
      <c r="H34" s="213">
        <v>657194</v>
      </c>
      <c r="I34" s="213">
        <v>6.8</v>
      </c>
      <c r="J34" s="213" t="s">
        <v>894</v>
      </c>
      <c r="K34" s="213" t="s">
        <v>727</v>
      </c>
      <c r="L34" s="213" t="s">
        <v>656</v>
      </c>
      <c r="M34" s="213" t="s">
        <v>728</v>
      </c>
      <c r="N34" s="213" t="s">
        <v>728</v>
      </c>
      <c r="O34" s="213" t="s">
        <v>729</v>
      </c>
      <c r="P34" s="213" t="s">
        <v>710</v>
      </c>
      <c r="Q34" s="213">
        <v>24.4</v>
      </c>
      <c r="R34" s="213">
        <v>165</v>
      </c>
      <c r="S34" s="213" t="s">
        <v>710</v>
      </c>
      <c r="T34" s="213">
        <v>-9999</v>
      </c>
      <c r="U34" s="213">
        <v>221</v>
      </c>
      <c r="V34" s="213">
        <v>488</v>
      </c>
      <c r="W34" s="213">
        <v>212</v>
      </c>
      <c r="X34" s="213" t="s">
        <v>710</v>
      </c>
      <c r="Y34" s="213">
        <v>0</v>
      </c>
      <c r="Z34" s="213">
        <v>40</v>
      </c>
      <c r="AA34" s="213" t="s">
        <v>730</v>
      </c>
      <c r="AB34" s="213" t="s">
        <v>731</v>
      </c>
      <c r="AC34" s="213" t="s">
        <v>729</v>
      </c>
      <c r="AD34" s="213" t="s">
        <v>732</v>
      </c>
      <c r="AE34" s="213">
        <v>0</v>
      </c>
      <c r="AF34" s="213">
        <v>5</v>
      </c>
      <c r="AG34" s="213" t="s">
        <v>249</v>
      </c>
      <c r="AH34" s="213">
        <v>-9999</v>
      </c>
      <c r="AI34" s="213">
        <v>196</v>
      </c>
      <c r="AJ34" s="213">
        <v>463</v>
      </c>
      <c r="AK34" s="213">
        <v>194</v>
      </c>
      <c r="AL34" s="213" t="s">
        <v>710</v>
      </c>
      <c r="AM34" s="213">
        <v>0</v>
      </c>
      <c r="AN34" s="213">
        <v>40</v>
      </c>
      <c r="AO34" s="213" t="s">
        <v>733</v>
      </c>
      <c r="AP34" s="213" t="s">
        <v>734</v>
      </c>
      <c r="AQ34" s="213">
        <v>1</v>
      </c>
      <c r="AR34" s="213" t="s">
        <v>735</v>
      </c>
      <c r="AS34" s="213">
        <v>0</v>
      </c>
      <c r="AT34" s="213">
        <v>3</v>
      </c>
      <c r="AU34" s="213" t="s">
        <v>249</v>
      </c>
      <c r="AV34" s="213">
        <v>-9999</v>
      </c>
      <c r="AW34" s="213">
        <v>267</v>
      </c>
      <c r="AX34" s="213">
        <v>661</v>
      </c>
      <c r="AY34" s="213">
        <v>264</v>
      </c>
      <c r="AZ34" s="213" t="s">
        <v>710</v>
      </c>
      <c r="BA34" s="213">
        <v>0</v>
      </c>
      <c r="BB34" s="213">
        <v>40</v>
      </c>
      <c r="BC34" s="213" t="s">
        <v>736</v>
      </c>
      <c r="BD34" s="213" t="s">
        <v>734</v>
      </c>
      <c r="BE34" s="213">
        <v>2</v>
      </c>
      <c r="BF34" s="213" t="s">
        <v>735</v>
      </c>
      <c r="BG34" s="213">
        <v>0</v>
      </c>
      <c r="BH34" s="213">
        <v>2</v>
      </c>
      <c r="BI34" s="213" t="s">
        <v>249</v>
      </c>
      <c r="BJ34" s="213">
        <v>-9999</v>
      </c>
      <c r="BK34" s="213">
        <v>111</v>
      </c>
      <c r="BL34" s="213">
        <v>332</v>
      </c>
      <c r="BM34" s="213">
        <v>109</v>
      </c>
      <c r="BN34" s="213" t="s">
        <v>710</v>
      </c>
      <c r="BO34" s="213">
        <v>0</v>
      </c>
      <c r="BP34" s="213">
        <v>40</v>
      </c>
      <c r="BQ34" s="213" t="s">
        <v>737</v>
      </c>
      <c r="BR34" s="213" t="s">
        <v>734</v>
      </c>
      <c r="BS34" s="213">
        <v>3</v>
      </c>
      <c r="BT34" s="213" t="s">
        <v>735</v>
      </c>
      <c r="BU34" s="213">
        <v>0</v>
      </c>
      <c r="BV34" s="213">
        <v>10</v>
      </c>
      <c r="BW34" s="213" t="s">
        <v>249</v>
      </c>
      <c r="BX34" s="213">
        <v>-9999</v>
      </c>
      <c r="BY34" s="213">
        <v>152</v>
      </c>
      <c r="BZ34" s="213">
        <v>374</v>
      </c>
      <c r="CA34" s="213">
        <v>152</v>
      </c>
      <c r="CB34" s="213" t="s">
        <v>710</v>
      </c>
      <c r="CC34" s="213">
        <v>0</v>
      </c>
      <c r="CD34" s="213">
        <v>40</v>
      </c>
      <c r="CE34" s="213" t="s">
        <v>738</v>
      </c>
      <c r="CF34" s="213" t="s">
        <v>734</v>
      </c>
      <c r="CG34" s="213">
        <v>4</v>
      </c>
      <c r="CH34" s="213" t="s">
        <v>735</v>
      </c>
      <c r="CI34" s="213">
        <v>0</v>
      </c>
      <c r="CJ34" s="213">
        <v>4</v>
      </c>
      <c r="CK34" s="213" t="s">
        <v>249</v>
      </c>
      <c r="CL34" s="213">
        <v>-9999</v>
      </c>
      <c r="CM34" s="213">
        <v>142</v>
      </c>
      <c r="CN34" s="213">
        <v>369</v>
      </c>
      <c r="CO34" s="213">
        <v>140</v>
      </c>
      <c r="CP34" s="213" t="s">
        <v>710</v>
      </c>
      <c r="CQ34" s="213">
        <v>0</v>
      </c>
      <c r="CR34" s="213">
        <v>40</v>
      </c>
      <c r="CS34" s="213" t="s">
        <v>739</v>
      </c>
      <c r="CT34" s="213" t="s">
        <v>740</v>
      </c>
      <c r="CU34" s="213">
        <v>107</v>
      </c>
      <c r="CV34" s="213">
        <v>106</v>
      </c>
      <c r="CW34" s="213">
        <v>106</v>
      </c>
      <c r="CX34" s="213" t="s">
        <v>710</v>
      </c>
      <c r="CY34" s="213" t="s">
        <v>741</v>
      </c>
      <c r="CZ34" s="213" t="s">
        <v>740</v>
      </c>
      <c r="DA34" s="213">
        <v>102</v>
      </c>
      <c r="DB34" s="213">
        <v>101</v>
      </c>
      <c r="DC34" s="213">
        <v>101</v>
      </c>
      <c r="DD34" s="213" t="s">
        <v>710</v>
      </c>
      <c r="DE34" s="213" t="s">
        <v>742</v>
      </c>
      <c r="DF34" s="213" t="s">
        <v>743</v>
      </c>
      <c r="DG34" s="213">
        <v>0</v>
      </c>
      <c r="DH34" s="213">
        <v>0</v>
      </c>
      <c r="DI34" s="213">
        <v>0</v>
      </c>
      <c r="DJ34" s="213" t="s">
        <v>249</v>
      </c>
      <c r="DM34" s="213" t="s">
        <v>744</v>
      </c>
      <c r="DN34" s="213" t="s">
        <v>743</v>
      </c>
      <c r="DO34" s="213">
        <v>0</v>
      </c>
      <c r="DP34" s="213">
        <v>0</v>
      </c>
      <c r="DQ34" s="213">
        <v>0</v>
      </c>
      <c r="DR34" s="213" t="s">
        <v>249</v>
      </c>
      <c r="DU34" s="213" t="s">
        <v>745</v>
      </c>
      <c r="DV34" s="213" t="s">
        <v>743</v>
      </c>
      <c r="DW34" s="213">
        <v>0</v>
      </c>
      <c r="DX34" s="213">
        <v>0</v>
      </c>
      <c r="DY34" s="213">
        <v>0</v>
      </c>
      <c r="DZ34" s="213" t="s">
        <v>249</v>
      </c>
      <c r="EC34" s="213" t="s">
        <v>746</v>
      </c>
      <c r="ED34" s="213" t="s">
        <v>743</v>
      </c>
      <c r="EE34" s="213">
        <v>0</v>
      </c>
      <c r="EF34" s="213">
        <v>0</v>
      </c>
      <c r="EG34" s="213">
        <v>0</v>
      </c>
      <c r="EH34" s="213" t="s">
        <v>249</v>
      </c>
      <c r="EK34" s="213" t="s">
        <v>747</v>
      </c>
      <c r="EL34" s="213" t="s">
        <v>743</v>
      </c>
      <c r="EM34" s="213">
        <v>0</v>
      </c>
      <c r="EN34" s="213">
        <v>0</v>
      </c>
      <c r="EO34" s="213">
        <v>0</v>
      </c>
      <c r="EP34" s="213" t="s">
        <v>249</v>
      </c>
      <c r="ES34" s="213" t="s">
        <v>748</v>
      </c>
      <c r="ET34" s="213" t="s">
        <v>743</v>
      </c>
      <c r="EU34" s="213">
        <v>0</v>
      </c>
      <c r="EV34" s="213">
        <v>0</v>
      </c>
      <c r="EW34" s="213">
        <v>0</v>
      </c>
      <c r="EX34" s="213" t="s">
        <v>249</v>
      </c>
      <c r="FA34" s="213" t="s">
        <v>749</v>
      </c>
      <c r="FB34" s="213" t="s">
        <v>743</v>
      </c>
      <c r="FC34" s="213">
        <v>0</v>
      </c>
      <c r="FD34" s="213">
        <v>0</v>
      </c>
      <c r="FE34" s="213">
        <v>0</v>
      </c>
      <c r="FF34" s="213" t="s">
        <v>249</v>
      </c>
      <c r="FI34" s="213" t="s">
        <v>750</v>
      </c>
      <c r="FJ34" s="213" t="s">
        <v>743</v>
      </c>
      <c r="FK34" s="213">
        <v>0</v>
      </c>
      <c r="FL34" s="213">
        <v>0</v>
      </c>
      <c r="FM34" s="213">
        <v>0</v>
      </c>
      <c r="FN34" s="213" t="s">
        <v>249</v>
      </c>
      <c r="FQ34" s="213" t="s">
        <v>751</v>
      </c>
      <c r="FR34" s="213" t="s">
        <v>743</v>
      </c>
      <c r="FS34" s="213">
        <v>0</v>
      </c>
      <c r="FT34" s="213">
        <v>0</v>
      </c>
      <c r="FU34" s="213">
        <v>0</v>
      </c>
      <c r="FV34" s="213" t="s">
        <v>249</v>
      </c>
      <c r="FY34" s="213">
        <v>18.2</v>
      </c>
      <c r="FZ34" s="213">
        <v>-10.6</v>
      </c>
      <c r="GF34" s="213" t="s">
        <v>752</v>
      </c>
    </row>
    <row r="35" spans="1:188" s="213" customFormat="1" x14ac:dyDescent="0.15">
      <c r="A35" s="213" t="s">
        <v>654</v>
      </c>
      <c r="B35" s="213">
        <v>4</v>
      </c>
      <c r="C35" s="213" t="s">
        <v>895</v>
      </c>
      <c r="D35" s="213">
        <v>614340440</v>
      </c>
      <c r="E35" s="213">
        <v>92303</v>
      </c>
      <c r="F35" s="213" t="s">
        <v>725</v>
      </c>
      <c r="G35" s="213">
        <v>847922</v>
      </c>
      <c r="H35" s="213">
        <v>702829</v>
      </c>
      <c r="I35" s="213">
        <v>6.8</v>
      </c>
      <c r="J35" s="213" t="s">
        <v>896</v>
      </c>
      <c r="K35" s="213" t="s">
        <v>727</v>
      </c>
      <c r="L35" s="213" t="s">
        <v>656</v>
      </c>
      <c r="M35" s="213" t="s">
        <v>728</v>
      </c>
      <c r="N35" s="213" t="s">
        <v>728</v>
      </c>
      <c r="O35" s="213" t="s">
        <v>729</v>
      </c>
      <c r="P35" s="213" t="s">
        <v>710</v>
      </c>
      <c r="Q35" s="213">
        <v>23.7</v>
      </c>
      <c r="R35" s="213">
        <v>159</v>
      </c>
      <c r="S35" s="213" t="s">
        <v>710</v>
      </c>
      <c r="T35" s="213">
        <v>-9999</v>
      </c>
      <c r="U35" s="213">
        <v>235</v>
      </c>
      <c r="V35" s="213">
        <v>523</v>
      </c>
      <c r="W35" s="213">
        <v>231</v>
      </c>
      <c r="X35" s="213" t="s">
        <v>710</v>
      </c>
      <c r="Y35" s="213">
        <v>0</v>
      </c>
      <c r="Z35" s="213">
        <v>40</v>
      </c>
      <c r="AA35" s="213" t="s">
        <v>730</v>
      </c>
      <c r="AB35" s="213" t="s">
        <v>731</v>
      </c>
      <c r="AC35" s="213" t="s">
        <v>729</v>
      </c>
      <c r="AD35" s="213" t="s">
        <v>732</v>
      </c>
      <c r="AE35" s="213">
        <v>0</v>
      </c>
      <c r="AF35" s="213">
        <v>5</v>
      </c>
      <c r="AG35" s="213" t="s">
        <v>249</v>
      </c>
      <c r="AH35" s="213">
        <v>-9999</v>
      </c>
      <c r="AI35" s="213">
        <v>209</v>
      </c>
      <c r="AJ35" s="213">
        <v>499</v>
      </c>
      <c r="AK35" s="213">
        <v>208</v>
      </c>
      <c r="AL35" s="213" t="s">
        <v>710</v>
      </c>
      <c r="AM35" s="213">
        <v>0</v>
      </c>
      <c r="AN35" s="213">
        <v>40</v>
      </c>
      <c r="AO35" s="213" t="s">
        <v>733</v>
      </c>
      <c r="AP35" s="213" t="s">
        <v>734</v>
      </c>
      <c r="AQ35" s="213">
        <v>1</v>
      </c>
      <c r="AR35" s="213" t="s">
        <v>735</v>
      </c>
      <c r="AS35" s="213">
        <v>0</v>
      </c>
      <c r="AT35" s="213">
        <v>10</v>
      </c>
      <c r="AU35" s="213" t="s">
        <v>249</v>
      </c>
      <c r="AV35" s="213">
        <v>-9999</v>
      </c>
      <c r="AW35" s="213">
        <v>263</v>
      </c>
      <c r="AX35" s="213">
        <v>653</v>
      </c>
      <c r="AY35" s="213">
        <v>262</v>
      </c>
      <c r="AZ35" s="213" t="s">
        <v>710</v>
      </c>
      <c r="BA35" s="213">
        <v>0</v>
      </c>
      <c r="BB35" s="213">
        <v>40</v>
      </c>
      <c r="BC35" s="213" t="s">
        <v>736</v>
      </c>
      <c r="BD35" s="213" t="s">
        <v>734</v>
      </c>
      <c r="BE35" s="213">
        <v>2</v>
      </c>
      <c r="BF35" s="213" t="s">
        <v>735</v>
      </c>
      <c r="BG35" s="213">
        <v>0</v>
      </c>
      <c r="BH35" s="213">
        <v>2</v>
      </c>
      <c r="BI35" s="213" t="s">
        <v>249</v>
      </c>
      <c r="BJ35" s="213">
        <v>-9999</v>
      </c>
      <c r="BK35" s="213">
        <v>118</v>
      </c>
      <c r="BL35" s="213">
        <v>361</v>
      </c>
      <c r="BM35" s="213">
        <v>117</v>
      </c>
      <c r="BN35" s="213" t="s">
        <v>710</v>
      </c>
      <c r="BO35" s="213">
        <v>0</v>
      </c>
      <c r="BP35" s="213">
        <v>40</v>
      </c>
      <c r="BQ35" s="213" t="s">
        <v>737</v>
      </c>
      <c r="BR35" s="213" t="s">
        <v>734</v>
      </c>
      <c r="BS35" s="213">
        <v>3</v>
      </c>
      <c r="BT35" s="213" t="s">
        <v>735</v>
      </c>
      <c r="BU35" s="213">
        <v>0</v>
      </c>
      <c r="BV35" s="213">
        <v>6</v>
      </c>
      <c r="BW35" s="213" t="s">
        <v>249</v>
      </c>
      <c r="BX35" s="213">
        <v>-9999</v>
      </c>
      <c r="BY35" s="213">
        <v>183</v>
      </c>
      <c r="BZ35" s="213">
        <v>438</v>
      </c>
      <c r="CA35" s="213">
        <v>182</v>
      </c>
      <c r="CB35" s="213" t="s">
        <v>710</v>
      </c>
      <c r="CC35" s="213">
        <v>0</v>
      </c>
      <c r="CD35" s="213">
        <v>40</v>
      </c>
      <c r="CE35" s="213" t="s">
        <v>738</v>
      </c>
      <c r="CF35" s="213" t="s">
        <v>734</v>
      </c>
      <c r="CG35" s="213">
        <v>4</v>
      </c>
      <c r="CH35" s="213" t="s">
        <v>735</v>
      </c>
      <c r="CI35" s="213">
        <v>0</v>
      </c>
      <c r="CJ35" s="213">
        <v>4</v>
      </c>
      <c r="CK35" s="213" t="s">
        <v>249</v>
      </c>
      <c r="CL35" s="213">
        <v>-9999</v>
      </c>
      <c r="CM35" s="213">
        <v>159</v>
      </c>
      <c r="CN35" s="213">
        <v>418</v>
      </c>
      <c r="CO35" s="213">
        <v>158</v>
      </c>
      <c r="CP35" s="213" t="s">
        <v>710</v>
      </c>
      <c r="CQ35" s="213">
        <v>0</v>
      </c>
      <c r="CR35" s="213">
        <v>40</v>
      </c>
      <c r="CS35" s="213" t="s">
        <v>739</v>
      </c>
      <c r="CT35" s="213" t="s">
        <v>740</v>
      </c>
      <c r="CU35" s="213">
        <v>144</v>
      </c>
      <c r="CV35" s="213">
        <v>144</v>
      </c>
      <c r="CW35" s="213">
        <v>143</v>
      </c>
      <c r="CX35" s="213" t="s">
        <v>710</v>
      </c>
      <c r="CY35" s="213" t="s">
        <v>741</v>
      </c>
      <c r="CZ35" s="213" t="s">
        <v>740</v>
      </c>
      <c r="DA35" s="213">
        <v>130</v>
      </c>
      <c r="DB35" s="213">
        <v>129</v>
      </c>
      <c r="DC35" s="213">
        <v>129</v>
      </c>
      <c r="DD35" s="213" t="s">
        <v>710</v>
      </c>
      <c r="DE35" s="213" t="s">
        <v>742</v>
      </c>
      <c r="DF35" s="213" t="s">
        <v>743</v>
      </c>
      <c r="DG35" s="213">
        <v>0</v>
      </c>
      <c r="DH35" s="213">
        <v>0</v>
      </c>
      <c r="DI35" s="213">
        <v>0</v>
      </c>
      <c r="DJ35" s="213" t="s">
        <v>249</v>
      </c>
      <c r="DM35" s="213" t="s">
        <v>744</v>
      </c>
      <c r="DN35" s="213" t="s">
        <v>743</v>
      </c>
      <c r="DO35" s="213">
        <v>0</v>
      </c>
      <c r="DP35" s="213">
        <v>0</v>
      </c>
      <c r="DQ35" s="213">
        <v>0</v>
      </c>
      <c r="DR35" s="213" t="s">
        <v>249</v>
      </c>
      <c r="DU35" s="213" t="s">
        <v>745</v>
      </c>
      <c r="DV35" s="213" t="s">
        <v>743</v>
      </c>
      <c r="DW35" s="213">
        <v>0</v>
      </c>
      <c r="DX35" s="213">
        <v>0</v>
      </c>
      <c r="DY35" s="213">
        <v>0</v>
      </c>
      <c r="DZ35" s="213" t="s">
        <v>249</v>
      </c>
      <c r="EC35" s="213" t="s">
        <v>746</v>
      </c>
      <c r="ED35" s="213" t="s">
        <v>743</v>
      </c>
      <c r="EE35" s="213">
        <v>0</v>
      </c>
      <c r="EF35" s="213">
        <v>0</v>
      </c>
      <c r="EG35" s="213">
        <v>0</v>
      </c>
      <c r="EH35" s="213" t="s">
        <v>249</v>
      </c>
      <c r="EK35" s="213" t="s">
        <v>747</v>
      </c>
      <c r="EL35" s="213" t="s">
        <v>743</v>
      </c>
      <c r="EM35" s="213">
        <v>0</v>
      </c>
      <c r="EN35" s="213">
        <v>0</v>
      </c>
      <c r="EO35" s="213">
        <v>0</v>
      </c>
      <c r="EP35" s="213" t="s">
        <v>249</v>
      </c>
      <c r="ES35" s="213" t="s">
        <v>748</v>
      </c>
      <c r="ET35" s="213" t="s">
        <v>743</v>
      </c>
      <c r="EU35" s="213">
        <v>0</v>
      </c>
      <c r="EV35" s="213">
        <v>0</v>
      </c>
      <c r="EW35" s="213">
        <v>0</v>
      </c>
      <c r="EX35" s="213" t="s">
        <v>249</v>
      </c>
      <c r="FA35" s="213" t="s">
        <v>749</v>
      </c>
      <c r="FB35" s="213" t="s">
        <v>743</v>
      </c>
      <c r="FC35" s="213">
        <v>0</v>
      </c>
      <c r="FD35" s="213">
        <v>0</v>
      </c>
      <c r="FE35" s="213">
        <v>0</v>
      </c>
      <c r="FF35" s="213" t="s">
        <v>249</v>
      </c>
      <c r="FI35" s="213" t="s">
        <v>750</v>
      </c>
      <c r="FJ35" s="213" t="s">
        <v>743</v>
      </c>
      <c r="FK35" s="213">
        <v>0</v>
      </c>
      <c r="FL35" s="213">
        <v>0</v>
      </c>
      <c r="FM35" s="213">
        <v>0</v>
      </c>
      <c r="FN35" s="213" t="s">
        <v>249</v>
      </c>
      <c r="FQ35" s="213" t="s">
        <v>751</v>
      </c>
      <c r="FR35" s="213" t="s">
        <v>743</v>
      </c>
      <c r="FS35" s="213">
        <v>0</v>
      </c>
      <c r="FT35" s="213">
        <v>0</v>
      </c>
      <c r="FU35" s="213">
        <v>0</v>
      </c>
      <c r="FV35" s="213" t="s">
        <v>249</v>
      </c>
      <c r="FY35" s="213">
        <v>15.9</v>
      </c>
      <c r="FZ35" s="213">
        <v>-7.4</v>
      </c>
      <c r="GF35" s="213" t="s">
        <v>752</v>
      </c>
    </row>
    <row r="36" spans="1:188" s="213" customFormat="1" x14ac:dyDescent="0.15">
      <c r="A36" s="213" t="s">
        <v>654</v>
      </c>
      <c r="B36" s="213">
        <v>4</v>
      </c>
      <c r="C36" s="213" t="s">
        <v>897</v>
      </c>
      <c r="D36" s="213">
        <v>614339216</v>
      </c>
      <c r="E36" s="213">
        <v>92303</v>
      </c>
      <c r="F36" s="213" t="s">
        <v>725</v>
      </c>
      <c r="G36" s="213">
        <v>847922</v>
      </c>
      <c r="H36" s="213">
        <v>220000161</v>
      </c>
      <c r="I36" s="213">
        <v>6.8</v>
      </c>
      <c r="J36" s="213" t="s">
        <v>898</v>
      </c>
      <c r="K36" s="213" t="s">
        <v>727</v>
      </c>
      <c r="L36" s="213" t="s">
        <v>656</v>
      </c>
      <c r="M36" s="213" t="s">
        <v>728</v>
      </c>
      <c r="N36" s="213" t="s">
        <v>728</v>
      </c>
      <c r="O36" s="213" t="s">
        <v>729</v>
      </c>
      <c r="P36" s="213" t="s">
        <v>710</v>
      </c>
      <c r="Q36" s="213">
        <v>24.4</v>
      </c>
      <c r="R36" s="213">
        <v>141</v>
      </c>
      <c r="S36" s="213" t="s">
        <v>710</v>
      </c>
      <c r="T36" s="213">
        <v>-9999</v>
      </c>
      <c r="U36" s="213">
        <v>229</v>
      </c>
      <c r="V36" s="213">
        <v>493</v>
      </c>
      <c r="W36" s="213">
        <v>218</v>
      </c>
      <c r="X36" s="213" t="s">
        <v>710</v>
      </c>
      <c r="Y36" s="213">
        <v>0</v>
      </c>
      <c r="Z36" s="213">
        <v>40</v>
      </c>
      <c r="AA36" s="213" t="s">
        <v>730</v>
      </c>
      <c r="AB36" s="213" t="s">
        <v>731</v>
      </c>
      <c r="AC36" s="213" t="s">
        <v>729</v>
      </c>
      <c r="AD36" s="213" t="s">
        <v>732</v>
      </c>
      <c r="AE36" s="213">
        <v>0</v>
      </c>
      <c r="AF36" s="213">
        <v>7</v>
      </c>
      <c r="AG36" s="213" t="s">
        <v>249</v>
      </c>
      <c r="AH36" s="213">
        <v>-9999</v>
      </c>
      <c r="AI36" s="213">
        <v>204</v>
      </c>
      <c r="AJ36" s="213">
        <v>480</v>
      </c>
      <c r="AK36" s="213">
        <v>201</v>
      </c>
      <c r="AL36" s="213" t="s">
        <v>710</v>
      </c>
      <c r="AM36" s="213">
        <v>0</v>
      </c>
      <c r="AN36" s="213">
        <v>40</v>
      </c>
      <c r="AO36" s="213" t="s">
        <v>733</v>
      </c>
      <c r="AP36" s="213" t="s">
        <v>734</v>
      </c>
      <c r="AQ36" s="213">
        <v>1</v>
      </c>
      <c r="AR36" s="213" t="s">
        <v>735</v>
      </c>
      <c r="AS36" s="213">
        <v>0</v>
      </c>
      <c r="AT36" s="213">
        <v>-1</v>
      </c>
      <c r="AU36" s="213" t="s">
        <v>249</v>
      </c>
      <c r="AV36" s="213">
        <v>-9999</v>
      </c>
      <c r="AW36" s="213">
        <v>270</v>
      </c>
      <c r="AX36" s="213">
        <v>665</v>
      </c>
      <c r="AY36" s="213">
        <v>266</v>
      </c>
      <c r="AZ36" s="213" t="s">
        <v>710</v>
      </c>
      <c r="BA36" s="213">
        <v>0</v>
      </c>
      <c r="BB36" s="213">
        <v>40</v>
      </c>
      <c r="BC36" s="213" t="s">
        <v>736</v>
      </c>
      <c r="BD36" s="213" t="s">
        <v>734</v>
      </c>
      <c r="BE36" s="213">
        <v>2</v>
      </c>
      <c r="BF36" s="213" t="s">
        <v>735</v>
      </c>
      <c r="BG36" s="213">
        <v>0</v>
      </c>
      <c r="BH36" s="213">
        <v>-1</v>
      </c>
      <c r="BI36" s="213" t="s">
        <v>249</v>
      </c>
      <c r="BJ36" s="213">
        <v>-9999</v>
      </c>
      <c r="BK36" s="213">
        <v>111</v>
      </c>
      <c r="BL36" s="213">
        <v>328</v>
      </c>
      <c r="BM36" s="213">
        <v>109</v>
      </c>
      <c r="BN36" s="213" t="s">
        <v>710</v>
      </c>
      <c r="BO36" s="213">
        <v>0</v>
      </c>
      <c r="BP36" s="213">
        <v>40</v>
      </c>
      <c r="BQ36" s="213" t="s">
        <v>737</v>
      </c>
      <c r="BR36" s="213" t="s">
        <v>734</v>
      </c>
      <c r="BS36" s="213">
        <v>3</v>
      </c>
      <c r="BT36" s="213" t="s">
        <v>735</v>
      </c>
      <c r="BU36" s="213">
        <v>0</v>
      </c>
      <c r="BV36" s="213">
        <v>9</v>
      </c>
      <c r="BW36" s="213" t="s">
        <v>249</v>
      </c>
      <c r="BX36" s="213">
        <v>-9999</v>
      </c>
      <c r="BY36" s="213">
        <v>152</v>
      </c>
      <c r="BZ36" s="213">
        <v>369</v>
      </c>
      <c r="CA36" s="213">
        <v>151</v>
      </c>
      <c r="CB36" s="213" t="s">
        <v>710</v>
      </c>
      <c r="CC36" s="213">
        <v>0</v>
      </c>
      <c r="CD36" s="213">
        <v>40</v>
      </c>
      <c r="CE36" s="213" t="s">
        <v>738</v>
      </c>
      <c r="CF36" s="213" t="s">
        <v>734</v>
      </c>
      <c r="CG36" s="213">
        <v>4</v>
      </c>
      <c r="CH36" s="213" t="s">
        <v>735</v>
      </c>
      <c r="CI36" s="213">
        <v>0</v>
      </c>
      <c r="CJ36" s="213">
        <v>3</v>
      </c>
      <c r="CK36" s="213" t="s">
        <v>249</v>
      </c>
      <c r="CL36" s="213">
        <v>-9999</v>
      </c>
      <c r="CM36" s="213">
        <v>144</v>
      </c>
      <c r="CN36" s="213">
        <v>376</v>
      </c>
      <c r="CO36" s="213">
        <v>141</v>
      </c>
      <c r="CP36" s="213" t="s">
        <v>710</v>
      </c>
      <c r="CQ36" s="213">
        <v>0</v>
      </c>
      <c r="CR36" s="213">
        <v>40</v>
      </c>
      <c r="CS36" s="213" t="s">
        <v>739</v>
      </c>
      <c r="CT36" s="213" t="s">
        <v>740</v>
      </c>
      <c r="CU36" s="213">
        <v>119</v>
      </c>
      <c r="CV36" s="213">
        <v>118</v>
      </c>
      <c r="CW36" s="213">
        <v>117</v>
      </c>
      <c r="CX36" s="213" t="s">
        <v>710</v>
      </c>
      <c r="CY36" s="213" t="s">
        <v>741</v>
      </c>
      <c r="CZ36" s="213" t="s">
        <v>740</v>
      </c>
      <c r="DA36" s="213">
        <v>101</v>
      </c>
      <c r="DB36" s="213">
        <v>100</v>
      </c>
      <c r="DC36" s="213">
        <v>100</v>
      </c>
      <c r="DD36" s="213" t="s">
        <v>710</v>
      </c>
      <c r="DE36" s="213" t="s">
        <v>742</v>
      </c>
      <c r="DF36" s="213" t="s">
        <v>743</v>
      </c>
      <c r="DG36" s="213">
        <v>0</v>
      </c>
      <c r="DH36" s="213">
        <v>0</v>
      </c>
      <c r="DI36" s="213">
        <v>0</v>
      </c>
      <c r="DJ36" s="213" t="s">
        <v>249</v>
      </c>
      <c r="DM36" s="213" t="s">
        <v>744</v>
      </c>
      <c r="DN36" s="213" t="s">
        <v>743</v>
      </c>
      <c r="DO36" s="213">
        <v>0</v>
      </c>
      <c r="DP36" s="213">
        <v>0</v>
      </c>
      <c r="DQ36" s="213">
        <v>0</v>
      </c>
      <c r="DR36" s="213" t="s">
        <v>249</v>
      </c>
      <c r="DU36" s="213" t="s">
        <v>745</v>
      </c>
      <c r="DV36" s="213" t="s">
        <v>743</v>
      </c>
      <c r="DW36" s="213">
        <v>0</v>
      </c>
      <c r="DX36" s="213">
        <v>0</v>
      </c>
      <c r="DY36" s="213">
        <v>0</v>
      </c>
      <c r="DZ36" s="213" t="s">
        <v>249</v>
      </c>
      <c r="EC36" s="213" t="s">
        <v>746</v>
      </c>
      <c r="ED36" s="213" t="s">
        <v>743</v>
      </c>
      <c r="EE36" s="213">
        <v>0</v>
      </c>
      <c r="EF36" s="213">
        <v>0</v>
      </c>
      <c r="EG36" s="213">
        <v>0</v>
      </c>
      <c r="EH36" s="213" t="s">
        <v>249</v>
      </c>
      <c r="EK36" s="213" t="s">
        <v>747</v>
      </c>
      <c r="EL36" s="213" t="s">
        <v>743</v>
      </c>
      <c r="EM36" s="213">
        <v>0</v>
      </c>
      <c r="EN36" s="213">
        <v>0</v>
      </c>
      <c r="EO36" s="213">
        <v>0</v>
      </c>
      <c r="EP36" s="213" t="s">
        <v>249</v>
      </c>
      <c r="ES36" s="213" t="s">
        <v>748</v>
      </c>
      <c r="ET36" s="213" t="s">
        <v>743</v>
      </c>
      <c r="EU36" s="213">
        <v>0</v>
      </c>
      <c r="EV36" s="213">
        <v>0</v>
      </c>
      <c r="EW36" s="213">
        <v>0</v>
      </c>
      <c r="EX36" s="213" t="s">
        <v>249</v>
      </c>
      <c r="FA36" s="213" t="s">
        <v>749</v>
      </c>
      <c r="FB36" s="213" t="s">
        <v>743</v>
      </c>
      <c r="FC36" s="213">
        <v>0</v>
      </c>
      <c r="FD36" s="213">
        <v>0</v>
      </c>
      <c r="FE36" s="213">
        <v>0</v>
      </c>
      <c r="FF36" s="213" t="s">
        <v>249</v>
      </c>
      <c r="FI36" s="213" t="s">
        <v>750</v>
      </c>
      <c r="FJ36" s="213" t="s">
        <v>743</v>
      </c>
      <c r="FK36" s="213">
        <v>0</v>
      </c>
      <c r="FL36" s="213">
        <v>0</v>
      </c>
      <c r="FM36" s="213">
        <v>0</v>
      </c>
      <c r="FN36" s="213" t="s">
        <v>249</v>
      </c>
      <c r="FQ36" s="213" t="s">
        <v>751</v>
      </c>
      <c r="FR36" s="213" t="s">
        <v>743</v>
      </c>
      <c r="FS36" s="213">
        <v>0</v>
      </c>
      <c r="FT36" s="213">
        <v>0</v>
      </c>
      <c r="FU36" s="213">
        <v>0</v>
      </c>
      <c r="FV36" s="213" t="s">
        <v>249</v>
      </c>
      <c r="FY36" s="213">
        <v>16.8</v>
      </c>
      <c r="FZ36" s="213">
        <v>-8.6999999999999993</v>
      </c>
      <c r="GF36" s="213" t="s">
        <v>752</v>
      </c>
    </row>
    <row r="37" spans="1:188" s="213" customFormat="1" x14ac:dyDescent="0.15">
      <c r="A37" s="213" t="s">
        <v>654</v>
      </c>
      <c r="B37" s="213">
        <v>4</v>
      </c>
      <c r="C37" s="213" t="s">
        <v>899</v>
      </c>
      <c r="D37" s="213">
        <v>614339977</v>
      </c>
      <c r="E37" s="213">
        <v>92303</v>
      </c>
      <c r="F37" s="213" t="s">
        <v>725</v>
      </c>
      <c r="G37" s="213">
        <v>847922</v>
      </c>
      <c r="H37" s="213">
        <v>760491</v>
      </c>
      <c r="I37" s="213">
        <v>6.8</v>
      </c>
      <c r="J37" s="213" t="s">
        <v>900</v>
      </c>
      <c r="K37" s="213" t="s">
        <v>727</v>
      </c>
      <c r="L37" s="213" t="s">
        <v>656</v>
      </c>
      <c r="M37" s="213" t="s">
        <v>728</v>
      </c>
      <c r="N37" s="213" t="s">
        <v>728</v>
      </c>
      <c r="O37" s="213" t="s">
        <v>729</v>
      </c>
      <c r="P37" s="213" t="s">
        <v>710</v>
      </c>
      <c r="Q37" s="213">
        <v>23.7</v>
      </c>
      <c r="R37" s="213">
        <v>150</v>
      </c>
      <c r="S37" s="213" t="s">
        <v>710</v>
      </c>
      <c r="T37" s="213">
        <v>-9999</v>
      </c>
      <c r="U37" s="213">
        <v>210</v>
      </c>
      <c r="V37" s="213">
        <v>460</v>
      </c>
      <c r="W37" s="213">
        <v>203</v>
      </c>
      <c r="X37" s="213" t="s">
        <v>710</v>
      </c>
      <c r="Y37" s="213">
        <v>0</v>
      </c>
      <c r="Z37" s="213">
        <v>40</v>
      </c>
      <c r="AA37" s="213" t="s">
        <v>730</v>
      </c>
      <c r="AB37" s="213" t="s">
        <v>731</v>
      </c>
      <c r="AC37" s="213" t="s">
        <v>729</v>
      </c>
      <c r="AD37" s="213" t="s">
        <v>732</v>
      </c>
      <c r="AE37" s="213">
        <v>0</v>
      </c>
      <c r="AF37" s="213">
        <v>3</v>
      </c>
      <c r="AG37" s="213" t="s">
        <v>249</v>
      </c>
      <c r="AH37" s="213">
        <v>-9999</v>
      </c>
      <c r="AI37" s="213">
        <v>197</v>
      </c>
      <c r="AJ37" s="213">
        <v>468</v>
      </c>
      <c r="AK37" s="213">
        <v>193</v>
      </c>
      <c r="AL37" s="213" t="s">
        <v>710</v>
      </c>
      <c r="AM37" s="213">
        <v>0</v>
      </c>
      <c r="AN37" s="213">
        <v>40</v>
      </c>
      <c r="AO37" s="213" t="s">
        <v>733</v>
      </c>
      <c r="AP37" s="213" t="s">
        <v>734</v>
      </c>
      <c r="AQ37" s="213">
        <v>1</v>
      </c>
      <c r="AR37" s="213" t="s">
        <v>735</v>
      </c>
      <c r="AS37" s="213">
        <v>0</v>
      </c>
      <c r="AT37" s="213">
        <v>1</v>
      </c>
      <c r="AU37" s="213" t="s">
        <v>249</v>
      </c>
      <c r="AV37" s="213">
        <v>-9999</v>
      </c>
      <c r="AW37" s="213">
        <v>239</v>
      </c>
      <c r="AX37" s="213">
        <v>592</v>
      </c>
      <c r="AY37" s="213">
        <v>236</v>
      </c>
      <c r="AZ37" s="213" t="s">
        <v>710</v>
      </c>
      <c r="BA37" s="213">
        <v>0</v>
      </c>
      <c r="BB37" s="213">
        <v>40</v>
      </c>
      <c r="BC37" s="213" t="s">
        <v>736</v>
      </c>
      <c r="BD37" s="213" t="s">
        <v>734</v>
      </c>
      <c r="BE37" s="213">
        <v>2</v>
      </c>
      <c r="BF37" s="213" t="s">
        <v>735</v>
      </c>
      <c r="BG37" s="213">
        <v>0</v>
      </c>
      <c r="BH37" s="213">
        <v>2</v>
      </c>
      <c r="BI37" s="213" t="s">
        <v>249</v>
      </c>
      <c r="BJ37" s="213">
        <v>-9999</v>
      </c>
      <c r="BK37" s="213">
        <v>109</v>
      </c>
      <c r="BL37" s="213">
        <v>333</v>
      </c>
      <c r="BM37" s="213">
        <v>106</v>
      </c>
      <c r="BN37" s="213" t="s">
        <v>710</v>
      </c>
      <c r="BO37" s="213">
        <v>0</v>
      </c>
      <c r="BP37" s="213">
        <v>40</v>
      </c>
      <c r="BQ37" s="213" t="s">
        <v>737</v>
      </c>
      <c r="BR37" s="213" t="s">
        <v>734</v>
      </c>
      <c r="BS37" s="213">
        <v>3</v>
      </c>
      <c r="BT37" s="213" t="s">
        <v>735</v>
      </c>
      <c r="BU37" s="213">
        <v>0</v>
      </c>
      <c r="BV37" s="213">
        <v>5</v>
      </c>
      <c r="BW37" s="213" t="s">
        <v>249</v>
      </c>
      <c r="BX37" s="213">
        <v>-9999</v>
      </c>
      <c r="BY37" s="213">
        <v>185</v>
      </c>
      <c r="BZ37" s="213">
        <v>445</v>
      </c>
      <c r="CA37" s="213">
        <v>185</v>
      </c>
      <c r="CB37" s="213" t="s">
        <v>710</v>
      </c>
      <c r="CC37" s="213">
        <v>0</v>
      </c>
      <c r="CD37" s="213">
        <v>40</v>
      </c>
      <c r="CE37" s="213" t="s">
        <v>738</v>
      </c>
      <c r="CF37" s="213" t="s">
        <v>734</v>
      </c>
      <c r="CG37" s="213">
        <v>4</v>
      </c>
      <c r="CH37" s="213" t="s">
        <v>735</v>
      </c>
      <c r="CI37" s="213">
        <v>0</v>
      </c>
      <c r="CJ37" s="213">
        <v>4</v>
      </c>
      <c r="CK37" s="213" t="s">
        <v>249</v>
      </c>
      <c r="CL37" s="213">
        <v>-9999</v>
      </c>
      <c r="CM37" s="213">
        <v>139</v>
      </c>
      <c r="CN37" s="213">
        <v>363</v>
      </c>
      <c r="CO37" s="213">
        <v>137</v>
      </c>
      <c r="CP37" s="213" t="s">
        <v>710</v>
      </c>
      <c r="CQ37" s="213">
        <v>0</v>
      </c>
      <c r="CR37" s="213">
        <v>40</v>
      </c>
      <c r="CS37" s="213" t="s">
        <v>739</v>
      </c>
      <c r="CT37" s="213" t="s">
        <v>740</v>
      </c>
      <c r="CU37" s="213">
        <v>99</v>
      </c>
      <c r="CV37" s="213">
        <v>99</v>
      </c>
      <c r="CW37" s="213">
        <v>99</v>
      </c>
      <c r="CX37" s="213" t="s">
        <v>710</v>
      </c>
      <c r="CY37" s="213" t="s">
        <v>741</v>
      </c>
      <c r="CZ37" s="213" t="s">
        <v>740</v>
      </c>
      <c r="DA37" s="213">
        <v>130</v>
      </c>
      <c r="DB37" s="213">
        <v>130</v>
      </c>
      <c r="DC37" s="213">
        <v>129</v>
      </c>
      <c r="DD37" s="213" t="s">
        <v>710</v>
      </c>
      <c r="DE37" s="213" t="s">
        <v>742</v>
      </c>
      <c r="DF37" s="213" t="s">
        <v>743</v>
      </c>
      <c r="DG37" s="213">
        <v>0</v>
      </c>
      <c r="DH37" s="213">
        <v>0</v>
      </c>
      <c r="DI37" s="213">
        <v>0</v>
      </c>
      <c r="DJ37" s="213" t="s">
        <v>249</v>
      </c>
      <c r="DM37" s="213" t="s">
        <v>744</v>
      </c>
      <c r="DN37" s="213" t="s">
        <v>743</v>
      </c>
      <c r="DO37" s="213">
        <v>0</v>
      </c>
      <c r="DP37" s="213">
        <v>0</v>
      </c>
      <c r="DQ37" s="213">
        <v>0</v>
      </c>
      <c r="DR37" s="213" t="s">
        <v>249</v>
      </c>
      <c r="DU37" s="213" t="s">
        <v>745</v>
      </c>
      <c r="DV37" s="213" t="s">
        <v>743</v>
      </c>
      <c r="DW37" s="213">
        <v>0</v>
      </c>
      <c r="DX37" s="213">
        <v>0</v>
      </c>
      <c r="DY37" s="213">
        <v>0</v>
      </c>
      <c r="DZ37" s="213" t="s">
        <v>249</v>
      </c>
      <c r="EC37" s="213" t="s">
        <v>746</v>
      </c>
      <c r="ED37" s="213" t="s">
        <v>743</v>
      </c>
      <c r="EE37" s="213">
        <v>0</v>
      </c>
      <c r="EF37" s="213">
        <v>0</v>
      </c>
      <c r="EG37" s="213">
        <v>0</v>
      </c>
      <c r="EH37" s="213" t="s">
        <v>249</v>
      </c>
      <c r="EK37" s="213" t="s">
        <v>747</v>
      </c>
      <c r="EL37" s="213" t="s">
        <v>743</v>
      </c>
      <c r="EM37" s="213">
        <v>0</v>
      </c>
      <c r="EN37" s="213">
        <v>0</v>
      </c>
      <c r="EO37" s="213">
        <v>0</v>
      </c>
      <c r="EP37" s="213" t="s">
        <v>249</v>
      </c>
      <c r="ES37" s="213" t="s">
        <v>748</v>
      </c>
      <c r="ET37" s="213" t="s">
        <v>743</v>
      </c>
      <c r="EU37" s="213">
        <v>0</v>
      </c>
      <c r="EV37" s="213">
        <v>0</v>
      </c>
      <c r="EW37" s="213">
        <v>0</v>
      </c>
      <c r="EX37" s="213" t="s">
        <v>249</v>
      </c>
      <c r="FA37" s="213" t="s">
        <v>749</v>
      </c>
      <c r="FB37" s="213" t="s">
        <v>743</v>
      </c>
      <c r="FC37" s="213">
        <v>0</v>
      </c>
      <c r="FD37" s="213">
        <v>0</v>
      </c>
      <c r="FE37" s="213">
        <v>0</v>
      </c>
      <c r="FF37" s="213" t="s">
        <v>249</v>
      </c>
      <c r="FI37" s="213" t="s">
        <v>750</v>
      </c>
      <c r="FJ37" s="213" t="s">
        <v>743</v>
      </c>
      <c r="FK37" s="213">
        <v>0</v>
      </c>
      <c r="FL37" s="213">
        <v>0</v>
      </c>
      <c r="FM37" s="213">
        <v>0</v>
      </c>
      <c r="FN37" s="213" t="s">
        <v>249</v>
      </c>
      <c r="FQ37" s="213" t="s">
        <v>751</v>
      </c>
      <c r="FR37" s="213" t="s">
        <v>743</v>
      </c>
      <c r="FS37" s="213">
        <v>0</v>
      </c>
      <c r="FT37" s="213">
        <v>0</v>
      </c>
      <c r="FU37" s="213">
        <v>0</v>
      </c>
      <c r="FV37" s="213" t="s">
        <v>249</v>
      </c>
      <c r="FY37" s="213">
        <v>19.2</v>
      </c>
      <c r="FZ37" s="213">
        <v>-8.1</v>
      </c>
      <c r="GF37" s="213" t="s">
        <v>752</v>
      </c>
    </row>
    <row r="38" spans="1:188" s="213" customFormat="1" x14ac:dyDescent="0.15">
      <c r="A38" s="213" t="s">
        <v>654</v>
      </c>
      <c r="B38" s="213">
        <v>4</v>
      </c>
      <c r="C38" s="213" t="s">
        <v>901</v>
      </c>
      <c r="D38" s="213">
        <v>614340317</v>
      </c>
      <c r="E38" s="213">
        <v>92303</v>
      </c>
      <c r="F38" s="213" t="s">
        <v>725</v>
      </c>
      <c r="G38" s="213">
        <v>847922</v>
      </c>
      <c r="H38" s="213">
        <v>210068154</v>
      </c>
      <c r="I38" s="213">
        <v>6.8</v>
      </c>
      <c r="J38" s="213" t="s">
        <v>902</v>
      </c>
      <c r="K38" s="213" t="s">
        <v>727</v>
      </c>
      <c r="L38" s="213" t="s">
        <v>656</v>
      </c>
      <c r="M38" s="213" t="s">
        <v>728</v>
      </c>
      <c r="N38" s="213" t="s">
        <v>728</v>
      </c>
      <c r="O38" s="213" t="s">
        <v>729</v>
      </c>
      <c r="P38" s="213" t="s">
        <v>710</v>
      </c>
      <c r="Q38" s="213">
        <v>26.6</v>
      </c>
      <c r="R38" s="213">
        <v>122</v>
      </c>
      <c r="S38" s="213" t="s">
        <v>710</v>
      </c>
      <c r="T38" s="213">
        <v>-9999</v>
      </c>
      <c r="U38" s="213">
        <v>202</v>
      </c>
      <c r="V38" s="213">
        <v>440</v>
      </c>
      <c r="W38" s="213">
        <v>198</v>
      </c>
      <c r="X38" s="213" t="s">
        <v>710</v>
      </c>
      <c r="Y38" s="213">
        <v>0</v>
      </c>
      <c r="Z38" s="213">
        <v>40</v>
      </c>
      <c r="AA38" s="213" t="s">
        <v>730</v>
      </c>
      <c r="AB38" s="213" t="s">
        <v>731</v>
      </c>
      <c r="AC38" s="213" t="s">
        <v>729</v>
      </c>
      <c r="AD38" s="213" t="s">
        <v>732</v>
      </c>
      <c r="AE38" s="213">
        <v>0</v>
      </c>
      <c r="AF38" s="213">
        <v>4</v>
      </c>
      <c r="AG38" s="213" t="s">
        <v>249</v>
      </c>
      <c r="AH38" s="213">
        <v>-9999</v>
      </c>
      <c r="AI38" s="213">
        <v>184</v>
      </c>
      <c r="AJ38" s="213">
        <v>437</v>
      </c>
      <c r="AK38" s="213">
        <v>182</v>
      </c>
      <c r="AL38" s="213" t="s">
        <v>710</v>
      </c>
      <c r="AM38" s="213">
        <v>0</v>
      </c>
      <c r="AN38" s="213">
        <v>40</v>
      </c>
      <c r="AO38" s="213" t="s">
        <v>733</v>
      </c>
      <c r="AP38" s="213" t="s">
        <v>734</v>
      </c>
      <c r="AQ38" s="213">
        <v>1</v>
      </c>
      <c r="AR38" s="213" t="s">
        <v>735</v>
      </c>
      <c r="AS38" s="213">
        <v>0</v>
      </c>
      <c r="AT38" s="213">
        <v>-4</v>
      </c>
      <c r="AU38" s="213" t="s">
        <v>249</v>
      </c>
      <c r="AV38" s="213">
        <v>-9999</v>
      </c>
      <c r="AW38" s="213">
        <v>252</v>
      </c>
      <c r="AX38" s="213">
        <v>626</v>
      </c>
      <c r="AY38" s="213">
        <v>250</v>
      </c>
      <c r="AZ38" s="213" t="s">
        <v>710</v>
      </c>
      <c r="BA38" s="213">
        <v>0</v>
      </c>
      <c r="BB38" s="213">
        <v>40</v>
      </c>
      <c r="BC38" s="213" t="s">
        <v>736</v>
      </c>
      <c r="BD38" s="213" t="s">
        <v>734</v>
      </c>
      <c r="BE38" s="213">
        <v>2</v>
      </c>
      <c r="BF38" s="213" t="s">
        <v>735</v>
      </c>
      <c r="BG38" s="213">
        <v>0</v>
      </c>
      <c r="BH38" s="213">
        <v>1</v>
      </c>
      <c r="BI38" s="213" t="s">
        <v>249</v>
      </c>
      <c r="BJ38" s="213">
        <v>-9999</v>
      </c>
      <c r="BK38" s="213">
        <v>107</v>
      </c>
      <c r="BL38" s="213">
        <v>327</v>
      </c>
      <c r="BM38" s="213">
        <v>106</v>
      </c>
      <c r="BN38" s="213" t="s">
        <v>710</v>
      </c>
      <c r="BO38" s="213">
        <v>0</v>
      </c>
      <c r="BP38" s="213">
        <v>40</v>
      </c>
      <c r="BQ38" s="213" t="s">
        <v>737</v>
      </c>
      <c r="BR38" s="213" t="s">
        <v>734</v>
      </c>
      <c r="BS38" s="213">
        <v>3</v>
      </c>
      <c r="BT38" s="213" t="s">
        <v>735</v>
      </c>
      <c r="BU38" s="213">
        <v>0</v>
      </c>
      <c r="BV38" s="213">
        <v>1</v>
      </c>
      <c r="BW38" s="213" t="s">
        <v>249</v>
      </c>
      <c r="BX38" s="213">
        <v>-9999</v>
      </c>
      <c r="BY38" s="213">
        <v>177</v>
      </c>
      <c r="BZ38" s="213">
        <v>431</v>
      </c>
      <c r="CA38" s="213">
        <v>177</v>
      </c>
      <c r="CB38" s="213" t="s">
        <v>710</v>
      </c>
      <c r="CC38" s="213">
        <v>0</v>
      </c>
      <c r="CD38" s="213">
        <v>40</v>
      </c>
      <c r="CE38" s="213" t="s">
        <v>738</v>
      </c>
      <c r="CF38" s="213" t="s">
        <v>734</v>
      </c>
      <c r="CG38" s="213">
        <v>4</v>
      </c>
      <c r="CH38" s="213" t="s">
        <v>735</v>
      </c>
      <c r="CI38" s="213">
        <v>0</v>
      </c>
      <c r="CJ38" s="213">
        <v>7</v>
      </c>
      <c r="CK38" s="213" t="s">
        <v>249</v>
      </c>
      <c r="CL38" s="213">
        <v>-9999</v>
      </c>
      <c r="CM38" s="213">
        <v>130</v>
      </c>
      <c r="CN38" s="213">
        <v>336</v>
      </c>
      <c r="CO38" s="213">
        <v>128</v>
      </c>
      <c r="CP38" s="213" t="s">
        <v>710</v>
      </c>
      <c r="CQ38" s="213">
        <v>0</v>
      </c>
      <c r="CR38" s="213">
        <v>40</v>
      </c>
      <c r="CS38" s="213" t="s">
        <v>739</v>
      </c>
      <c r="CT38" s="213" t="s">
        <v>740</v>
      </c>
      <c r="CU38" s="213">
        <v>117</v>
      </c>
      <c r="CV38" s="213">
        <v>117</v>
      </c>
      <c r="CW38" s="213">
        <v>116</v>
      </c>
      <c r="CX38" s="213" t="s">
        <v>710</v>
      </c>
      <c r="CY38" s="213" t="s">
        <v>741</v>
      </c>
      <c r="CZ38" s="213" t="s">
        <v>740</v>
      </c>
      <c r="DA38" s="213">
        <v>90</v>
      </c>
      <c r="DB38" s="213">
        <v>90</v>
      </c>
      <c r="DC38" s="213">
        <v>90</v>
      </c>
      <c r="DD38" s="213" t="s">
        <v>710</v>
      </c>
      <c r="DE38" s="213" t="s">
        <v>742</v>
      </c>
      <c r="DF38" s="213" t="s">
        <v>743</v>
      </c>
      <c r="DG38" s="213">
        <v>0</v>
      </c>
      <c r="DH38" s="213">
        <v>0</v>
      </c>
      <c r="DI38" s="213">
        <v>0</v>
      </c>
      <c r="DJ38" s="213" t="s">
        <v>249</v>
      </c>
      <c r="DM38" s="213" t="s">
        <v>744</v>
      </c>
      <c r="DN38" s="213" t="s">
        <v>743</v>
      </c>
      <c r="DO38" s="213">
        <v>0</v>
      </c>
      <c r="DP38" s="213">
        <v>0</v>
      </c>
      <c r="DQ38" s="213">
        <v>0</v>
      </c>
      <c r="DR38" s="213" t="s">
        <v>249</v>
      </c>
      <c r="DU38" s="213" t="s">
        <v>745</v>
      </c>
      <c r="DV38" s="213" t="s">
        <v>743</v>
      </c>
      <c r="DW38" s="213">
        <v>0</v>
      </c>
      <c r="DX38" s="213">
        <v>0</v>
      </c>
      <c r="DY38" s="213">
        <v>0</v>
      </c>
      <c r="DZ38" s="213" t="s">
        <v>249</v>
      </c>
      <c r="EC38" s="213" t="s">
        <v>746</v>
      </c>
      <c r="ED38" s="213" t="s">
        <v>743</v>
      </c>
      <c r="EE38" s="213">
        <v>0</v>
      </c>
      <c r="EF38" s="213">
        <v>0</v>
      </c>
      <c r="EG38" s="213">
        <v>0</v>
      </c>
      <c r="EH38" s="213" t="s">
        <v>249</v>
      </c>
      <c r="EK38" s="213" t="s">
        <v>747</v>
      </c>
      <c r="EL38" s="213" t="s">
        <v>743</v>
      </c>
      <c r="EM38" s="213">
        <v>0</v>
      </c>
      <c r="EN38" s="213">
        <v>0</v>
      </c>
      <c r="EO38" s="213">
        <v>0</v>
      </c>
      <c r="EP38" s="213" t="s">
        <v>249</v>
      </c>
      <c r="ES38" s="213" t="s">
        <v>748</v>
      </c>
      <c r="ET38" s="213" t="s">
        <v>743</v>
      </c>
      <c r="EU38" s="213">
        <v>0</v>
      </c>
      <c r="EV38" s="213">
        <v>0</v>
      </c>
      <c r="EW38" s="213">
        <v>0</v>
      </c>
      <c r="EX38" s="213" t="s">
        <v>249</v>
      </c>
      <c r="FA38" s="213" t="s">
        <v>749</v>
      </c>
      <c r="FB38" s="213" t="s">
        <v>743</v>
      </c>
      <c r="FC38" s="213">
        <v>0</v>
      </c>
      <c r="FD38" s="213">
        <v>0</v>
      </c>
      <c r="FE38" s="213">
        <v>0</v>
      </c>
      <c r="FF38" s="213" t="s">
        <v>249</v>
      </c>
      <c r="FI38" s="213" t="s">
        <v>750</v>
      </c>
      <c r="FJ38" s="213" t="s">
        <v>743</v>
      </c>
      <c r="FK38" s="213">
        <v>0</v>
      </c>
      <c r="FL38" s="213">
        <v>0</v>
      </c>
      <c r="FM38" s="213">
        <v>0</v>
      </c>
      <c r="FN38" s="213" t="s">
        <v>249</v>
      </c>
      <c r="FQ38" s="213" t="s">
        <v>751</v>
      </c>
      <c r="FR38" s="213" t="s">
        <v>743</v>
      </c>
      <c r="FS38" s="213">
        <v>0</v>
      </c>
      <c r="FT38" s="213">
        <v>0</v>
      </c>
      <c r="FU38" s="213">
        <v>0</v>
      </c>
      <c r="FV38" s="213" t="s">
        <v>249</v>
      </c>
      <c r="FY38" s="213">
        <v>17.600000000000001</v>
      </c>
      <c r="FZ38" s="213">
        <v>-8.5</v>
      </c>
      <c r="GF38" s="213" t="s">
        <v>752</v>
      </c>
    </row>
    <row r="39" spans="1:188" s="213" customFormat="1" x14ac:dyDescent="0.15">
      <c r="A39" s="213" t="s">
        <v>654</v>
      </c>
      <c r="B39" s="213">
        <v>4</v>
      </c>
      <c r="C39" s="213" t="s">
        <v>903</v>
      </c>
      <c r="D39" s="213">
        <v>614339723</v>
      </c>
      <c r="E39" s="213">
        <v>92303</v>
      </c>
      <c r="F39" s="213" t="s">
        <v>725</v>
      </c>
      <c r="G39" s="213">
        <v>847922</v>
      </c>
      <c r="H39" s="213">
        <v>701892</v>
      </c>
      <c r="I39" s="213">
        <v>6.8</v>
      </c>
      <c r="J39" s="213" t="s">
        <v>904</v>
      </c>
      <c r="K39" s="213" t="s">
        <v>727</v>
      </c>
      <c r="L39" s="213" t="s">
        <v>656</v>
      </c>
      <c r="M39" s="213" t="s">
        <v>728</v>
      </c>
      <c r="N39" s="213" t="s">
        <v>728</v>
      </c>
      <c r="O39" s="213" t="s">
        <v>729</v>
      </c>
      <c r="P39" s="213" t="s">
        <v>710</v>
      </c>
      <c r="Q39" s="213">
        <v>24.6</v>
      </c>
      <c r="R39" s="213">
        <v>144</v>
      </c>
      <c r="S39" s="213" t="s">
        <v>710</v>
      </c>
      <c r="T39" s="213">
        <v>-9999</v>
      </c>
      <c r="U39" s="213">
        <v>218</v>
      </c>
      <c r="V39" s="213">
        <v>484</v>
      </c>
      <c r="W39" s="213">
        <v>212</v>
      </c>
      <c r="X39" s="213" t="s">
        <v>710</v>
      </c>
      <c r="Y39" s="213">
        <v>0</v>
      </c>
      <c r="Z39" s="213">
        <v>40</v>
      </c>
      <c r="AA39" s="213" t="s">
        <v>730</v>
      </c>
      <c r="AB39" s="213" t="s">
        <v>731</v>
      </c>
      <c r="AC39" s="213" t="s">
        <v>729</v>
      </c>
      <c r="AD39" s="213" t="s">
        <v>732</v>
      </c>
      <c r="AE39" s="213">
        <v>0</v>
      </c>
      <c r="AF39" s="213">
        <v>0</v>
      </c>
      <c r="AG39" s="213" t="s">
        <v>249</v>
      </c>
      <c r="AH39" s="213">
        <v>-9999</v>
      </c>
      <c r="AI39" s="213">
        <v>216</v>
      </c>
      <c r="AJ39" s="213">
        <v>510</v>
      </c>
      <c r="AK39" s="213">
        <v>213</v>
      </c>
      <c r="AL39" s="213" t="s">
        <v>710</v>
      </c>
      <c r="AM39" s="213">
        <v>0</v>
      </c>
      <c r="AN39" s="213">
        <v>40</v>
      </c>
      <c r="AO39" s="213" t="s">
        <v>733</v>
      </c>
      <c r="AP39" s="213" t="s">
        <v>734</v>
      </c>
      <c r="AQ39" s="213">
        <v>1</v>
      </c>
      <c r="AR39" s="213" t="s">
        <v>735</v>
      </c>
      <c r="AS39" s="213">
        <v>0</v>
      </c>
      <c r="AT39" s="213">
        <v>-4</v>
      </c>
      <c r="AU39" s="213" t="s">
        <v>249</v>
      </c>
      <c r="AV39" s="213">
        <v>-9999</v>
      </c>
      <c r="AW39" s="213">
        <v>264</v>
      </c>
      <c r="AX39" s="213">
        <v>653</v>
      </c>
      <c r="AY39" s="213">
        <v>261</v>
      </c>
      <c r="AZ39" s="213" t="s">
        <v>710</v>
      </c>
      <c r="BA39" s="213">
        <v>0</v>
      </c>
      <c r="BB39" s="213">
        <v>40</v>
      </c>
      <c r="BC39" s="213" t="s">
        <v>736</v>
      </c>
      <c r="BD39" s="213" t="s">
        <v>734</v>
      </c>
      <c r="BE39" s="213">
        <v>2</v>
      </c>
      <c r="BF39" s="213" t="s">
        <v>735</v>
      </c>
      <c r="BG39" s="213">
        <v>0</v>
      </c>
      <c r="BH39" s="213">
        <v>1</v>
      </c>
      <c r="BI39" s="213" t="s">
        <v>249</v>
      </c>
      <c r="BJ39" s="213">
        <v>-9999</v>
      </c>
      <c r="BK39" s="213">
        <v>112</v>
      </c>
      <c r="BL39" s="213">
        <v>337</v>
      </c>
      <c r="BM39" s="213">
        <v>110</v>
      </c>
      <c r="BN39" s="213" t="s">
        <v>710</v>
      </c>
      <c r="BO39" s="213">
        <v>0</v>
      </c>
      <c r="BP39" s="213">
        <v>40</v>
      </c>
      <c r="BQ39" s="213" t="s">
        <v>737</v>
      </c>
      <c r="BR39" s="213" t="s">
        <v>734</v>
      </c>
      <c r="BS39" s="213">
        <v>3</v>
      </c>
      <c r="BT39" s="213" t="s">
        <v>735</v>
      </c>
      <c r="BU39" s="213">
        <v>0</v>
      </c>
      <c r="BV39" s="213">
        <v>8</v>
      </c>
      <c r="BW39" s="213" t="s">
        <v>249</v>
      </c>
      <c r="BX39" s="213">
        <v>-9999</v>
      </c>
      <c r="BY39" s="213">
        <v>188</v>
      </c>
      <c r="BZ39" s="213">
        <v>456</v>
      </c>
      <c r="CA39" s="213">
        <v>187</v>
      </c>
      <c r="CB39" s="213" t="s">
        <v>710</v>
      </c>
      <c r="CC39" s="213">
        <v>0</v>
      </c>
      <c r="CD39" s="213">
        <v>40</v>
      </c>
      <c r="CE39" s="213" t="s">
        <v>738</v>
      </c>
      <c r="CF39" s="213" t="s">
        <v>734</v>
      </c>
      <c r="CG39" s="213">
        <v>4</v>
      </c>
      <c r="CH39" s="213" t="s">
        <v>735</v>
      </c>
      <c r="CI39" s="213">
        <v>0</v>
      </c>
      <c r="CJ39" s="213">
        <v>6</v>
      </c>
      <c r="CK39" s="213" t="s">
        <v>249</v>
      </c>
      <c r="CL39" s="213">
        <v>-9999</v>
      </c>
      <c r="CM39" s="213">
        <v>148</v>
      </c>
      <c r="CN39" s="213">
        <v>388</v>
      </c>
      <c r="CO39" s="213">
        <v>146</v>
      </c>
      <c r="CP39" s="213" t="s">
        <v>710</v>
      </c>
      <c r="CQ39" s="213">
        <v>0</v>
      </c>
      <c r="CR39" s="213">
        <v>40</v>
      </c>
      <c r="CS39" s="213" t="s">
        <v>739</v>
      </c>
      <c r="CT39" s="213" t="s">
        <v>740</v>
      </c>
      <c r="CU39" s="213">
        <v>128</v>
      </c>
      <c r="CV39" s="213">
        <v>127</v>
      </c>
      <c r="CW39" s="213">
        <v>126</v>
      </c>
      <c r="CX39" s="213" t="s">
        <v>710</v>
      </c>
      <c r="CY39" s="213" t="s">
        <v>741</v>
      </c>
      <c r="CZ39" s="213" t="s">
        <v>740</v>
      </c>
      <c r="DA39" s="213">
        <v>120</v>
      </c>
      <c r="DB39" s="213">
        <v>120</v>
      </c>
      <c r="DC39" s="213">
        <v>120</v>
      </c>
      <c r="DD39" s="213" t="s">
        <v>710</v>
      </c>
      <c r="DE39" s="213" t="s">
        <v>742</v>
      </c>
      <c r="DF39" s="213" t="s">
        <v>743</v>
      </c>
      <c r="DG39" s="213">
        <v>0</v>
      </c>
      <c r="DH39" s="213">
        <v>0</v>
      </c>
      <c r="DI39" s="213">
        <v>0</v>
      </c>
      <c r="DJ39" s="213" t="s">
        <v>249</v>
      </c>
      <c r="DM39" s="213" t="s">
        <v>744</v>
      </c>
      <c r="DN39" s="213" t="s">
        <v>743</v>
      </c>
      <c r="DO39" s="213">
        <v>0</v>
      </c>
      <c r="DP39" s="213">
        <v>0</v>
      </c>
      <c r="DQ39" s="213">
        <v>0</v>
      </c>
      <c r="DR39" s="213" t="s">
        <v>249</v>
      </c>
      <c r="DU39" s="213" t="s">
        <v>745</v>
      </c>
      <c r="DV39" s="213" t="s">
        <v>743</v>
      </c>
      <c r="DW39" s="213">
        <v>0</v>
      </c>
      <c r="DX39" s="213">
        <v>0</v>
      </c>
      <c r="DY39" s="213">
        <v>0</v>
      </c>
      <c r="DZ39" s="213" t="s">
        <v>249</v>
      </c>
      <c r="EC39" s="213" t="s">
        <v>746</v>
      </c>
      <c r="ED39" s="213" t="s">
        <v>743</v>
      </c>
      <c r="EE39" s="213">
        <v>0</v>
      </c>
      <c r="EF39" s="213">
        <v>0</v>
      </c>
      <c r="EG39" s="213">
        <v>0</v>
      </c>
      <c r="EH39" s="213" t="s">
        <v>249</v>
      </c>
      <c r="EK39" s="213" t="s">
        <v>747</v>
      </c>
      <c r="EL39" s="213" t="s">
        <v>743</v>
      </c>
      <c r="EM39" s="213">
        <v>0</v>
      </c>
      <c r="EN39" s="213">
        <v>0</v>
      </c>
      <c r="EO39" s="213">
        <v>0</v>
      </c>
      <c r="EP39" s="213" t="s">
        <v>249</v>
      </c>
      <c r="ES39" s="213" t="s">
        <v>748</v>
      </c>
      <c r="ET39" s="213" t="s">
        <v>743</v>
      </c>
      <c r="EU39" s="213">
        <v>0</v>
      </c>
      <c r="EV39" s="213">
        <v>0</v>
      </c>
      <c r="EW39" s="213">
        <v>0</v>
      </c>
      <c r="EX39" s="213" t="s">
        <v>249</v>
      </c>
      <c r="FA39" s="213" t="s">
        <v>749</v>
      </c>
      <c r="FB39" s="213" t="s">
        <v>743</v>
      </c>
      <c r="FC39" s="213">
        <v>0</v>
      </c>
      <c r="FD39" s="213">
        <v>0</v>
      </c>
      <c r="FE39" s="213">
        <v>0</v>
      </c>
      <c r="FF39" s="213" t="s">
        <v>249</v>
      </c>
      <c r="FI39" s="213" t="s">
        <v>750</v>
      </c>
      <c r="FJ39" s="213" t="s">
        <v>743</v>
      </c>
      <c r="FK39" s="213">
        <v>0</v>
      </c>
      <c r="FL39" s="213">
        <v>0</v>
      </c>
      <c r="FM39" s="213">
        <v>0</v>
      </c>
      <c r="FN39" s="213" t="s">
        <v>249</v>
      </c>
      <c r="FQ39" s="213" t="s">
        <v>751</v>
      </c>
      <c r="FR39" s="213" t="s">
        <v>743</v>
      </c>
      <c r="FS39" s="213">
        <v>0</v>
      </c>
      <c r="FT39" s="213">
        <v>0</v>
      </c>
      <c r="FU39" s="213">
        <v>0</v>
      </c>
      <c r="FV39" s="213" t="s">
        <v>249</v>
      </c>
      <c r="FY39" s="213">
        <v>17.100000000000001</v>
      </c>
      <c r="FZ39" s="213">
        <v>-7.8</v>
      </c>
      <c r="GF39" s="213" t="s">
        <v>752</v>
      </c>
    </row>
    <row r="40" spans="1:188" s="213" customFormat="1" x14ac:dyDescent="0.15">
      <c r="A40" s="213" t="s">
        <v>654</v>
      </c>
      <c r="B40" s="213">
        <v>4</v>
      </c>
      <c r="C40" s="213" t="s">
        <v>905</v>
      </c>
      <c r="D40" s="213">
        <v>614339343</v>
      </c>
      <c r="E40" s="213">
        <v>92303</v>
      </c>
      <c r="F40" s="213" t="s">
        <v>725</v>
      </c>
      <c r="G40" s="213">
        <v>847922</v>
      </c>
      <c r="H40" s="213">
        <v>866331</v>
      </c>
      <c r="I40" s="213">
        <v>6.8</v>
      </c>
      <c r="J40" s="213" t="s">
        <v>906</v>
      </c>
      <c r="K40" s="213" t="s">
        <v>727</v>
      </c>
      <c r="L40" s="213" t="s">
        <v>656</v>
      </c>
      <c r="M40" s="213" t="s">
        <v>728</v>
      </c>
      <c r="N40" s="213" t="s">
        <v>728</v>
      </c>
      <c r="O40" s="213" t="s">
        <v>729</v>
      </c>
      <c r="P40" s="213" t="s">
        <v>710</v>
      </c>
      <c r="Q40" s="213">
        <v>25.4</v>
      </c>
      <c r="R40" s="213">
        <v>153</v>
      </c>
      <c r="S40" s="213" t="s">
        <v>710</v>
      </c>
      <c r="T40" s="213">
        <v>-9999</v>
      </c>
      <c r="U40" s="213">
        <v>215</v>
      </c>
      <c r="V40" s="213">
        <v>455</v>
      </c>
      <c r="W40" s="213">
        <v>204</v>
      </c>
      <c r="X40" s="213" t="s">
        <v>710</v>
      </c>
      <c r="Y40" s="213">
        <v>0</v>
      </c>
      <c r="Z40" s="213">
        <v>40</v>
      </c>
      <c r="AA40" s="213" t="s">
        <v>730</v>
      </c>
      <c r="AB40" s="213" t="s">
        <v>731</v>
      </c>
      <c r="AC40" s="213" t="s">
        <v>729</v>
      </c>
      <c r="AD40" s="213" t="s">
        <v>732</v>
      </c>
      <c r="AE40" s="213">
        <v>0</v>
      </c>
      <c r="AF40" s="213">
        <v>9</v>
      </c>
      <c r="AG40" s="213" t="s">
        <v>249</v>
      </c>
      <c r="AH40" s="213">
        <v>-9999</v>
      </c>
      <c r="AI40" s="213">
        <v>187</v>
      </c>
      <c r="AJ40" s="213">
        <v>446</v>
      </c>
      <c r="AK40" s="213">
        <v>184</v>
      </c>
      <c r="AL40" s="213" t="s">
        <v>710</v>
      </c>
      <c r="AM40" s="213">
        <v>0</v>
      </c>
      <c r="AN40" s="213">
        <v>40</v>
      </c>
      <c r="AO40" s="213" t="s">
        <v>733</v>
      </c>
      <c r="AP40" s="213" t="s">
        <v>734</v>
      </c>
      <c r="AQ40" s="213">
        <v>1</v>
      </c>
      <c r="AR40" s="213" t="s">
        <v>735</v>
      </c>
      <c r="AS40" s="213">
        <v>0</v>
      </c>
      <c r="AT40" s="213">
        <v>14</v>
      </c>
      <c r="AU40" s="213" t="s">
        <v>249</v>
      </c>
      <c r="AV40" s="213">
        <v>-9999</v>
      </c>
      <c r="AW40" s="213">
        <v>226</v>
      </c>
      <c r="AX40" s="213">
        <v>548</v>
      </c>
      <c r="AY40" s="213">
        <v>223</v>
      </c>
      <c r="AZ40" s="213" t="s">
        <v>710</v>
      </c>
      <c r="BA40" s="213">
        <v>0</v>
      </c>
      <c r="BB40" s="213">
        <v>40</v>
      </c>
      <c r="BC40" s="213" t="s">
        <v>736</v>
      </c>
      <c r="BD40" s="213" t="s">
        <v>734</v>
      </c>
      <c r="BE40" s="213">
        <v>2</v>
      </c>
      <c r="BF40" s="213" t="s">
        <v>735</v>
      </c>
      <c r="BG40" s="213">
        <v>0</v>
      </c>
      <c r="BH40" s="213">
        <v>2</v>
      </c>
      <c r="BI40" s="213" t="s">
        <v>249</v>
      </c>
      <c r="BJ40" s="213">
        <v>-9999</v>
      </c>
      <c r="BK40" s="213">
        <v>97</v>
      </c>
      <c r="BL40" s="213">
        <v>306</v>
      </c>
      <c r="BM40" s="213">
        <v>94</v>
      </c>
      <c r="BN40" s="213" t="s">
        <v>710</v>
      </c>
      <c r="BO40" s="213">
        <v>0</v>
      </c>
      <c r="BP40" s="213">
        <v>40</v>
      </c>
      <c r="BQ40" s="213" t="s">
        <v>737</v>
      </c>
      <c r="BR40" s="213" t="s">
        <v>734</v>
      </c>
      <c r="BS40" s="213">
        <v>3</v>
      </c>
      <c r="BT40" s="213" t="s">
        <v>735</v>
      </c>
      <c r="BU40" s="213">
        <v>0</v>
      </c>
      <c r="BV40" s="213">
        <v>5</v>
      </c>
      <c r="BW40" s="213" t="s">
        <v>249</v>
      </c>
      <c r="BX40" s="213">
        <v>-9999</v>
      </c>
      <c r="BY40" s="213">
        <v>179</v>
      </c>
      <c r="BZ40" s="213">
        <v>414</v>
      </c>
      <c r="CA40" s="213">
        <v>177</v>
      </c>
      <c r="CB40" s="213" t="s">
        <v>710</v>
      </c>
      <c r="CC40" s="213">
        <v>0</v>
      </c>
      <c r="CD40" s="213">
        <v>40</v>
      </c>
      <c r="CE40" s="213" t="s">
        <v>738</v>
      </c>
      <c r="CF40" s="213" t="s">
        <v>734</v>
      </c>
      <c r="CG40" s="213">
        <v>4</v>
      </c>
      <c r="CH40" s="213" t="s">
        <v>735</v>
      </c>
      <c r="CI40" s="213">
        <v>0</v>
      </c>
      <c r="CJ40" s="213">
        <v>6</v>
      </c>
      <c r="CK40" s="213" t="s">
        <v>249</v>
      </c>
      <c r="CL40" s="213">
        <v>-9999</v>
      </c>
      <c r="CM40" s="213">
        <v>137</v>
      </c>
      <c r="CN40" s="213">
        <v>357</v>
      </c>
      <c r="CO40" s="213">
        <v>134</v>
      </c>
      <c r="CP40" s="213" t="s">
        <v>710</v>
      </c>
      <c r="CQ40" s="213">
        <v>0</v>
      </c>
      <c r="CR40" s="213">
        <v>40</v>
      </c>
      <c r="CS40" s="213" t="s">
        <v>739</v>
      </c>
      <c r="CT40" s="213" t="s">
        <v>740</v>
      </c>
      <c r="CU40" s="213">
        <v>110</v>
      </c>
      <c r="CV40" s="213">
        <v>109</v>
      </c>
      <c r="CW40" s="213">
        <v>109</v>
      </c>
      <c r="CX40" s="213" t="s">
        <v>710</v>
      </c>
      <c r="CY40" s="213" t="s">
        <v>741</v>
      </c>
      <c r="CZ40" s="213" t="s">
        <v>740</v>
      </c>
      <c r="DA40" s="213">
        <v>106</v>
      </c>
      <c r="DB40" s="213">
        <v>105</v>
      </c>
      <c r="DC40" s="213">
        <v>105</v>
      </c>
      <c r="DD40" s="213" t="s">
        <v>710</v>
      </c>
      <c r="DE40" s="213" t="s">
        <v>742</v>
      </c>
      <c r="DF40" s="213" t="s">
        <v>743</v>
      </c>
      <c r="DG40" s="213">
        <v>0</v>
      </c>
      <c r="DH40" s="213">
        <v>0</v>
      </c>
      <c r="DI40" s="213">
        <v>0</v>
      </c>
      <c r="DJ40" s="213" t="s">
        <v>249</v>
      </c>
      <c r="DM40" s="213" t="s">
        <v>744</v>
      </c>
      <c r="DN40" s="213" t="s">
        <v>743</v>
      </c>
      <c r="DO40" s="213">
        <v>0</v>
      </c>
      <c r="DP40" s="213">
        <v>0</v>
      </c>
      <c r="DQ40" s="213">
        <v>0</v>
      </c>
      <c r="DR40" s="213" t="s">
        <v>249</v>
      </c>
      <c r="DU40" s="213" t="s">
        <v>745</v>
      </c>
      <c r="DV40" s="213" t="s">
        <v>743</v>
      </c>
      <c r="DW40" s="213">
        <v>0</v>
      </c>
      <c r="DX40" s="213">
        <v>0</v>
      </c>
      <c r="DY40" s="213">
        <v>0</v>
      </c>
      <c r="DZ40" s="213" t="s">
        <v>249</v>
      </c>
      <c r="EC40" s="213" t="s">
        <v>746</v>
      </c>
      <c r="ED40" s="213" t="s">
        <v>743</v>
      </c>
      <c r="EE40" s="213">
        <v>0</v>
      </c>
      <c r="EF40" s="213">
        <v>0</v>
      </c>
      <c r="EG40" s="213">
        <v>0</v>
      </c>
      <c r="EH40" s="213" t="s">
        <v>249</v>
      </c>
      <c r="EK40" s="213" t="s">
        <v>747</v>
      </c>
      <c r="EL40" s="213" t="s">
        <v>743</v>
      </c>
      <c r="EM40" s="213">
        <v>0</v>
      </c>
      <c r="EN40" s="213">
        <v>0</v>
      </c>
      <c r="EO40" s="213">
        <v>0</v>
      </c>
      <c r="EP40" s="213" t="s">
        <v>249</v>
      </c>
      <c r="ES40" s="213" t="s">
        <v>748</v>
      </c>
      <c r="ET40" s="213" t="s">
        <v>743</v>
      </c>
      <c r="EU40" s="213">
        <v>0</v>
      </c>
      <c r="EV40" s="213">
        <v>0</v>
      </c>
      <c r="EW40" s="213">
        <v>0</v>
      </c>
      <c r="EX40" s="213" t="s">
        <v>249</v>
      </c>
      <c r="FA40" s="213" t="s">
        <v>749</v>
      </c>
      <c r="FB40" s="213" t="s">
        <v>743</v>
      </c>
      <c r="FC40" s="213">
        <v>0</v>
      </c>
      <c r="FD40" s="213">
        <v>0</v>
      </c>
      <c r="FE40" s="213">
        <v>0</v>
      </c>
      <c r="FF40" s="213" t="s">
        <v>249</v>
      </c>
      <c r="FI40" s="213" t="s">
        <v>750</v>
      </c>
      <c r="FJ40" s="213" t="s">
        <v>743</v>
      </c>
      <c r="FK40" s="213">
        <v>0</v>
      </c>
      <c r="FL40" s="213">
        <v>0</v>
      </c>
      <c r="FM40" s="213">
        <v>0</v>
      </c>
      <c r="FN40" s="213" t="s">
        <v>249</v>
      </c>
      <c r="FQ40" s="213" t="s">
        <v>751</v>
      </c>
      <c r="FR40" s="213" t="s">
        <v>743</v>
      </c>
      <c r="FS40" s="213">
        <v>0</v>
      </c>
      <c r="FT40" s="213">
        <v>0</v>
      </c>
      <c r="FU40" s="213">
        <v>0</v>
      </c>
      <c r="FV40" s="213" t="s">
        <v>249</v>
      </c>
      <c r="FY40" s="213">
        <v>17.100000000000001</v>
      </c>
      <c r="FZ40" s="213">
        <v>-10.4</v>
      </c>
      <c r="GF40" s="213" t="s">
        <v>752</v>
      </c>
    </row>
    <row r="41" spans="1:188" s="213" customFormat="1" x14ac:dyDescent="0.15">
      <c r="A41" s="213" t="s">
        <v>654</v>
      </c>
      <c r="B41" s="213">
        <v>4</v>
      </c>
      <c r="C41" s="213" t="s">
        <v>907</v>
      </c>
      <c r="D41" s="213">
        <v>614338967</v>
      </c>
      <c r="E41" s="213">
        <v>92303</v>
      </c>
      <c r="F41" s="213" t="s">
        <v>725</v>
      </c>
      <c r="G41" s="213">
        <v>847922</v>
      </c>
      <c r="H41" s="213">
        <v>902140</v>
      </c>
      <c r="I41" s="213">
        <v>6.8</v>
      </c>
      <c r="J41" s="213" t="s">
        <v>908</v>
      </c>
      <c r="K41" s="213" t="s">
        <v>727</v>
      </c>
      <c r="L41" s="213" t="s">
        <v>656</v>
      </c>
      <c r="M41" s="213" t="s">
        <v>728</v>
      </c>
      <c r="N41" s="213" t="s">
        <v>728</v>
      </c>
      <c r="O41" s="213" t="s">
        <v>729</v>
      </c>
      <c r="P41" s="213" t="s">
        <v>710</v>
      </c>
      <c r="Q41" s="213">
        <v>24.6</v>
      </c>
      <c r="R41" s="213">
        <v>153</v>
      </c>
      <c r="S41" s="213" t="s">
        <v>710</v>
      </c>
      <c r="T41" s="213">
        <v>-9999</v>
      </c>
      <c r="U41" s="213">
        <v>194</v>
      </c>
      <c r="V41" s="213">
        <v>420</v>
      </c>
      <c r="W41" s="213">
        <v>188</v>
      </c>
      <c r="X41" s="213" t="s">
        <v>710</v>
      </c>
      <c r="Y41" s="213">
        <v>0</v>
      </c>
      <c r="Z41" s="213">
        <v>40</v>
      </c>
      <c r="AA41" s="213" t="s">
        <v>730</v>
      </c>
      <c r="AB41" s="213" t="s">
        <v>731</v>
      </c>
      <c r="AC41" s="213" t="s">
        <v>729</v>
      </c>
      <c r="AD41" s="213" t="s">
        <v>732</v>
      </c>
      <c r="AE41" s="213">
        <v>0</v>
      </c>
      <c r="AF41" s="213">
        <v>7</v>
      </c>
      <c r="AG41" s="213" t="s">
        <v>249</v>
      </c>
      <c r="AH41" s="213">
        <v>-9999</v>
      </c>
      <c r="AI41" s="213">
        <v>192</v>
      </c>
      <c r="AJ41" s="213">
        <v>457</v>
      </c>
      <c r="AK41" s="213">
        <v>189</v>
      </c>
      <c r="AL41" s="213" t="s">
        <v>710</v>
      </c>
      <c r="AM41" s="213">
        <v>0</v>
      </c>
      <c r="AN41" s="213">
        <v>40</v>
      </c>
      <c r="AO41" s="213" t="s">
        <v>733</v>
      </c>
      <c r="AP41" s="213" t="s">
        <v>734</v>
      </c>
      <c r="AQ41" s="213">
        <v>1</v>
      </c>
      <c r="AR41" s="213" t="s">
        <v>735</v>
      </c>
      <c r="AS41" s="213">
        <v>0</v>
      </c>
      <c r="AT41" s="213">
        <v>7</v>
      </c>
      <c r="AU41" s="213" t="s">
        <v>249</v>
      </c>
      <c r="AV41" s="213">
        <v>-9999</v>
      </c>
      <c r="AW41" s="213">
        <v>248</v>
      </c>
      <c r="AX41" s="213">
        <v>614</v>
      </c>
      <c r="AY41" s="213">
        <v>245</v>
      </c>
      <c r="AZ41" s="213" t="s">
        <v>710</v>
      </c>
      <c r="BA41" s="213">
        <v>0</v>
      </c>
      <c r="BB41" s="213">
        <v>40</v>
      </c>
      <c r="BC41" s="213" t="s">
        <v>736</v>
      </c>
      <c r="BD41" s="213" t="s">
        <v>734</v>
      </c>
      <c r="BE41" s="213">
        <v>2</v>
      </c>
      <c r="BF41" s="213" t="s">
        <v>735</v>
      </c>
      <c r="BG41" s="213">
        <v>0</v>
      </c>
      <c r="BH41" s="213">
        <v>4</v>
      </c>
      <c r="BI41" s="213" t="s">
        <v>249</v>
      </c>
      <c r="BJ41" s="213">
        <v>-9999</v>
      </c>
      <c r="BK41" s="213">
        <v>92</v>
      </c>
      <c r="BL41" s="213">
        <v>282</v>
      </c>
      <c r="BM41" s="213">
        <v>90</v>
      </c>
      <c r="BN41" s="213" t="s">
        <v>710</v>
      </c>
      <c r="BO41" s="213">
        <v>0</v>
      </c>
      <c r="BP41" s="213">
        <v>40</v>
      </c>
      <c r="BQ41" s="213" t="s">
        <v>737</v>
      </c>
      <c r="BR41" s="213" t="s">
        <v>734</v>
      </c>
      <c r="BS41" s="213">
        <v>3</v>
      </c>
      <c r="BT41" s="213" t="s">
        <v>735</v>
      </c>
      <c r="BU41" s="213">
        <v>0</v>
      </c>
      <c r="BV41" s="213">
        <v>7</v>
      </c>
      <c r="BW41" s="213" t="s">
        <v>249</v>
      </c>
      <c r="BX41" s="213">
        <v>-9999</v>
      </c>
      <c r="BY41" s="213">
        <v>156</v>
      </c>
      <c r="BZ41" s="213">
        <v>373</v>
      </c>
      <c r="CA41" s="213">
        <v>156</v>
      </c>
      <c r="CB41" s="213" t="s">
        <v>710</v>
      </c>
      <c r="CC41" s="213">
        <v>0</v>
      </c>
      <c r="CD41" s="213">
        <v>40</v>
      </c>
      <c r="CE41" s="213" t="s">
        <v>738</v>
      </c>
      <c r="CF41" s="213" t="s">
        <v>734</v>
      </c>
      <c r="CG41" s="213">
        <v>4</v>
      </c>
      <c r="CH41" s="213" t="s">
        <v>735</v>
      </c>
      <c r="CI41" s="213">
        <v>0</v>
      </c>
      <c r="CJ41" s="213">
        <v>3</v>
      </c>
      <c r="CK41" s="213" t="s">
        <v>249</v>
      </c>
      <c r="CL41" s="213">
        <v>-9999</v>
      </c>
      <c r="CM41" s="213">
        <v>146</v>
      </c>
      <c r="CN41" s="213">
        <v>384</v>
      </c>
      <c r="CO41" s="213">
        <v>143</v>
      </c>
      <c r="CP41" s="213" t="s">
        <v>710</v>
      </c>
      <c r="CQ41" s="213">
        <v>0</v>
      </c>
      <c r="CR41" s="213">
        <v>40</v>
      </c>
      <c r="CS41" s="213" t="s">
        <v>739</v>
      </c>
      <c r="CT41" s="213" t="s">
        <v>740</v>
      </c>
      <c r="CU41" s="213">
        <v>117</v>
      </c>
      <c r="CV41" s="213">
        <v>116</v>
      </c>
      <c r="CW41" s="213">
        <v>116</v>
      </c>
      <c r="CX41" s="213" t="s">
        <v>710</v>
      </c>
      <c r="CY41" s="213" t="s">
        <v>741</v>
      </c>
      <c r="CZ41" s="213" t="s">
        <v>740</v>
      </c>
      <c r="DA41" s="213">
        <v>100</v>
      </c>
      <c r="DB41" s="213">
        <v>100</v>
      </c>
      <c r="DC41" s="213">
        <v>100</v>
      </c>
      <c r="DD41" s="213" t="s">
        <v>710</v>
      </c>
      <c r="DE41" s="213" t="s">
        <v>742</v>
      </c>
      <c r="DF41" s="213" t="s">
        <v>743</v>
      </c>
      <c r="DG41" s="213">
        <v>0</v>
      </c>
      <c r="DH41" s="213">
        <v>0</v>
      </c>
      <c r="DI41" s="213">
        <v>0</v>
      </c>
      <c r="DJ41" s="213" t="s">
        <v>249</v>
      </c>
      <c r="DM41" s="213" t="s">
        <v>744</v>
      </c>
      <c r="DN41" s="213" t="s">
        <v>743</v>
      </c>
      <c r="DO41" s="213">
        <v>0</v>
      </c>
      <c r="DP41" s="213">
        <v>0</v>
      </c>
      <c r="DQ41" s="213">
        <v>0</v>
      </c>
      <c r="DR41" s="213" t="s">
        <v>249</v>
      </c>
      <c r="DU41" s="213" t="s">
        <v>745</v>
      </c>
      <c r="DV41" s="213" t="s">
        <v>743</v>
      </c>
      <c r="DW41" s="213">
        <v>0</v>
      </c>
      <c r="DX41" s="213">
        <v>0</v>
      </c>
      <c r="DY41" s="213">
        <v>0</v>
      </c>
      <c r="DZ41" s="213" t="s">
        <v>249</v>
      </c>
      <c r="EC41" s="213" t="s">
        <v>746</v>
      </c>
      <c r="ED41" s="213" t="s">
        <v>743</v>
      </c>
      <c r="EE41" s="213">
        <v>0</v>
      </c>
      <c r="EF41" s="213">
        <v>0</v>
      </c>
      <c r="EG41" s="213">
        <v>0</v>
      </c>
      <c r="EH41" s="213" t="s">
        <v>249</v>
      </c>
      <c r="EK41" s="213" t="s">
        <v>747</v>
      </c>
      <c r="EL41" s="213" t="s">
        <v>743</v>
      </c>
      <c r="EM41" s="213">
        <v>0</v>
      </c>
      <c r="EN41" s="213">
        <v>0</v>
      </c>
      <c r="EO41" s="213">
        <v>0</v>
      </c>
      <c r="EP41" s="213" t="s">
        <v>249</v>
      </c>
      <c r="ES41" s="213" t="s">
        <v>748</v>
      </c>
      <c r="ET41" s="213" t="s">
        <v>743</v>
      </c>
      <c r="EU41" s="213">
        <v>0</v>
      </c>
      <c r="EV41" s="213">
        <v>0</v>
      </c>
      <c r="EW41" s="213">
        <v>0</v>
      </c>
      <c r="EX41" s="213" t="s">
        <v>249</v>
      </c>
      <c r="FA41" s="213" t="s">
        <v>749</v>
      </c>
      <c r="FB41" s="213" t="s">
        <v>743</v>
      </c>
      <c r="FC41" s="213">
        <v>0</v>
      </c>
      <c r="FD41" s="213">
        <v>0</v>
      </c>
      <c r="FE41" s="213">
        <v>0</v>
      </c>
      <c r="FF41" s="213" t="s">
        <v>249</v>
      </c>
      <c r="FI41" s="213" t="s">
        <v>750</v>
      </c>
      <c r="FJ41" s="213" t="s">
        <v>743</v>
      </c>
      <c r="FK41" s="213">
        <v>0</v>
      </c>
      <c r="FL41" s="213">
        <v>0</v>
      </c>
      <c r="FM41" s="213">
        <v>0</v>
      </c>
      <c r="FN41" s="213" t="s">
        <v>249</v>
      </c>
      <c r="FQ41" s="213" t="s">
        <v>751</v>
      </c>
      <c r="FR41" s="213" t="s">
        <v>743</v>
      </c>
      <c r="FS41" s="213">
        <v>0</v>
      </c>
      <c r="FT41" s="213">
        <v>0</v>
      </c>
      <c r="FU41" s="213">
        <v>0</v>
      </c>
      <c r="FV41" s="213" t="s">
        <v>249</v>
      </c>
      <c r="FY41" s="213">
        <v>20.5</v>
      </c>
      <c r="FZ41" s="213">
        <v>-9.9</v>
      </c>
      <c r="GF41" s="213" t="s">
        <v>752</v>
      </c>
    </row>
    <row r="42" spans="1:188" s="213" customFormat="1" x14ac:dyDescent="0.15">
      <c r="A42" s="213" t="s">
        <v>654</v>
      </c>
      <c r="B42" s="213">
        <v>4</v>
      </c>
      <c r="C42" s="213" t="s">
        <v>909</v>
      </c>
      <c r="D42" s="213">
        <v>614343144</v>
      </c>
      <c r="E42" s="213">
        <v>92303</v>
      </c>
      <c r="F42" s="213" t="s">
        <v>725</v>
      </c>
      <c r="G42" s="213">
        <v>847922</v>
      </c>
      <c r="H42" s="213">
        <v>775845</v>
      </c>
      <c r="I42" s="213">
        <v>6.8</v>
      </c>
      <c r="J42" s="213" t="s">
        <v>910</v>
      </c>
      <c r="K42" s="213" t="s">
        <v>727</v>
      </c>
      <c r="L42" s="213" t="s">
        <v>656</v>
      </c>
      <c r="M42" s="213" t="s">
        <v>728</v>
      </c>
      <c r="N42" s="213" t="s">
        <v>728</v>
      </c>
      <c r="O42" s="213" t="s">
        <v>729</v>
      </c>
      <c r="P42" s="213" t="s">
        <v>710</v>
      </c>
      <c r="Q42" s="213">
        <v>25.7</v>
      </c>
      <c r="R42" s="213">
        <v>146</v>
      </c>
      <c r="S42" s="213" t="s">
        <v>710</v>
      </c>
      <c r="T42" s="213">
        <v>-9999</v>
      </c>
      <c r="U42" s="213">
        <v>226</v>
      </c>
      <c r="V42" s="213">
        <v>480</v>
      </c>
      <c r="W42" s="213">
        <v>221</v>
      </c>
      <c r="X42" s="213" t="s">
        <v>710</v>
      </c>
      <c r="Y42" s="213">
        <v>0</v>
      </c>
      <c r="Z42" s="213">
        <v>40</v>
      </c>
      <c r="AA42" s="213" t="s">
        <v>730</v>
      </c>
      <c r="AB42" s="213" t="s">
        <v>731</v>
      </c>
      <c r="AC42" s="213" t="s">
        <v>729</v>
      </c>
      <c r="AD42" s="213" t="s">
        <v>732</v>
      </c>
      <c r="AE42" s="213">
        <v>0</v>
      </c>
      <c r="AF42" s="213">
        <v>2</v>
      </c>
      <c r="AG42" s="213" t="s">
        <v>249</v>
      </c>
      <c r="AH42" s="213">
        <v>-9999</v>
      </c>
      <c r="AI42" s="213">
        <v>207</v>
      </c>
      <c r="AJ42" s="213">
        <v>494</v>
      </c>
      <c r="AK42" s="213">
        <v>206</v>
      </c>
      <c r="AL42" s="213" t="s">
        <v>710</v>
      </c>
      <c r="AM42" s="213">
        <v>0</v>
      </c>
      <c r="AN42" s="213">
        <v>40</v>
      </c>
      <c r="AO42" s="213" t="s">
        <v>733</v>
      </c>
      <c r="AP42" s="213" t="s">
        <v>734</v>
      </c>
      <c r="AQ42" s="213">
        <v>1</v>
      </c>
      <c r="AR42" s="213" t="s">
        <v>735</v>
      </c>
      <c r="AS42" s="213">
        <v>0</v>
      </c>
      <c r="AT42" s="213">
        <v>-5</v>
      </c>
      <c r="AU42" s="213" t="s">
        <v>249</v>
      </c>
      <c r="AV42" s="213">
        <v>-9999</v>
      </c>
      <c r="AW42" s="213">
        <v>277</v>
      </c>
      <c r="AX42" s="213">
        <v>682</v>
      </c>
      <c r="AY42" s="213">
        <v>276</v>
      </c>
      <c r="AZ42" s="213" t="s">
        <v>710</v>
      </c>
      <c r="BA42" s="213">
        <v>0</v>
      </c>
      <c r="BB42" s="213">
        <v>40</v>
      </c>
      <c r="BC42" s="213" t="s">
        <v>736</v>
      </c>
      <c r="BD42" s="213" t="s">
        <v>734</v>
      </c>
      <c r="BE42" s="213">
        <v>2</v>
      </c>
      <c r="BF42" s="213" t="s">
        <v>735</v>
      </c>
      <c r="BG42" s="213">
        <v>0</v>
      </c>
      <c r="BH42" s="213">
        <v>4</v>
      </c>
      <c r="BI42" s="213" t="s">
        <v>249</v>
      </c>
      <c r="BJ42" s="213">
        <v>-9999</v>
      </c>
      <c r="BK42" s="213">
        <v>107</v>
      </c>
      <c r="BL42" s="213">
        <v>349</v>
      </c>
      <c r="BM42" s="213">
        <v>105</v>
      </c>
      <c r="BN42" s="213" t="s">
        <v>710</v>
      </c>
      <c r="BO42" s="213">
        <v>0</v>
      </c>
      <c r="BP42" s="213">
        <v>40</v>
      </c>
      <c r="BQ42" s="213" t="s">
        <v>737</v>
      </c>
      <c r="BR42" s="213" t="s">
        <v>734</v>
      </c>
      <c r="BS42" s="213">
        <v>3</v>
      </c>
      <c r="BT42" s="213" t="s">
        <v>735</v>
      </c>
      <c r="BU42" s="213">
        <v>0</v>
      </c>
      <c r="BV42" s="213">
        <v>10</v>
      </c>
      <c r="BW42" s="213" t="s">
        <v>249</v>
      </c>
      <c r="BX42" s="213">
        <v>-9999</v>
      </c>
      <c r="BY42" s="213">
        <v>186</v>
      </c>
      <c r="BZ42" s="213">
        <v>441</v>
      </c>
      <c r="CA42" s="213">
        <v>186</v>
      </c>
      <c r="CB42" s="213" t="s">
        <v>710</v>
      </c>
      <c r="CC42" s="213">
        <v>0</v>
      </c>
      <c r="CD42" s="213">
        <v>40</v>
      </c>
      <c r="CE42" s="213" t="s">
        <v>738</v>
      </c>
      <c r="CF42" s="213" t="s">
        <v>734</v>
      </c>
      <c r="CG42" s="213">
        <v>4</v>
      </c>
      <c r="CH42" s="213" t="s">
        <v>735</v>
      </c>
      <c r="CI42" s="213">
        <v>0</v>
      </c>
      <c r="CJ42" s="213">
        <v>5</v>
      </c>
      <c r="CK42" s="213" t="s">
        <v>249</v>
      </c>
      <c r="CL42" s="213">
        <v>-9999</v>
      </c>
      <c r="CM42" s="213">
        <v>134</v>
      </c>
      <c r="CN42" s="213">
        <v>352</v>
      </c>
      <c r="CO42" s="213">
        <v>133</v>
      </c>
      <c r="CP42" s="213" t="s">
        <v>710</v>
      </c>
      <c r="CQ42" s="213">
        <v>0</v>
      </c>
      <c r="CR42" s="213">
        <v>40</v>
      </c>
      <c r="CS42" s="213" t="s">
        <v>739</v>
      </c>
      <c r="CT42" s="213" t="s">
        <v>740</v>
      </c>
      <c r="CU42" s="213">
        <v>111</v>
      </c>
      <c r="CV42" s="213">
        <v>110</v>
      </c>
      <c r="CW42" s="213">
        <v>110</v>
      </c>
      <c r="CX42" s="213" t="s">
        <v>710</v>
      </c>
      <c r="CY42" s="213" t="s">
        <v>741</v>
      </c>
      <c r="CZ42" s="213" t="s">
        <v>740</v>
      </c>
      <c r="DA42" s="213">
        <v>126</v>
      </c>
      <c r="DB42" s="213">
        <v>126</v>
      </c>
      <c r="DC42" s="213">
        <v>126</v>
      </c>
      <c r="DD42" s="213" t="s">
        <v>710</v>
      </c>
      <c r="DE42" s="213" t="s">
        <v>742</v>
      </c>
      <c r="DF42" s="213" t="s">
        <v>743</v>
      </c>
      <c r="DG42" s="213">
        <v>0</v>
      </c>
      <c r="DH42" s="213">
        <v>0</v>
      </c>
      <c r="DI42" s="213">
        <v>0</v>
      </c>
      <c r="DJ42" s="213" t="s">
        <v>249</v>
      </c>
      <c r="DM42" s="213" t="s">
        <v>744</v>
      </c>
      <c r="DN42" s="213" t="s">
        <v>743</v>
      </c>
      <c r="DO42" s="213">
        <v>0</v>
      </c>
      <c r="DP42" s="213">
        <v>0</v>
      </c>
      <c r="DQ42" s="213">
        <v>0</v>
      </c>
      <c r="DR42" s="213" t="s">
        <v>249</v>
      </c>
      <c r="DU42" s="213" t="s">
        <v>745</v>
      </c>
      <c r="DV42" s="213" t="s">
        <v>743</v>
      </c>
      <c r="DW42" s="213">
        <v>0</v>
      </c>
      <c r="DX42" s="213">
        <v>0</v>
      </c>
      <c r="DY42" s="213">
        <v>0</v>
      </c>
      <c r="DZ42" s="213" t="s">
        <v>249</v>
      </c>
      <c r="EC42" s="213" t="s">
        <v>746</v>
      </c>
      <c r="ED42" s="213" t="s">
        <v>743</v>
      </c>
      <c r="EE42" s="213">
        <v>0</v>
      </c>
      <c r="EF42" s="213">
        <v>0</v>
      </c>
      <c r="EG42" s="213">
        <v>0</v>
      </c>
      <c r="EH42" s="213" t="s">
        <v>249</v>
      </c>
      <c r="EK42" s="213" t="s">
        <v>747</v>
      </c>
      <c r="EL42" s="213" t="s">
        <v>743</v>
      </c>
      <c r="EM42" s="213">
        <v>0</v>
      </c>
      <c r="EN42" s="213">
        <v>0</v>
      </c>
      <c r="EO42" s="213">
        <v>0</v>
      </c>
      <c r="EP42" s="213" t="s">
        <v>249</v>
      </c>
      <c r="ES42" s="213" t="s">
        <v>748</v>
      </c>
      <c r="ET42" s="213" t="s">
        <v>743</v>
      </c>
      <c r="EU42" s="213">
        <v>0</v>
      </c>
      <c r="EV42" s="213">
        <v>0</v>
      </c>
      <c r="EW42" s="213">
        <v>0</v>
      </c>
      <c r="EX42" s="213" t="s">
        <v>249</v>
      </c>
      <c r="FA42" s="213" t="s">
        <v>749</v>
      </c>
      <c r="FB42" s="213" t="s">
        <v>743</v>
      </c>
      <c r="FC42" s="213">
        <v>0</v>
      </c>
      <c r="FD42" s="213">
        <v>0</v>
      </c>
      <c r="FE42" s="213">
        <v>0</v>
      </c>
      <c r="FF42" s="213" t="s">
        <v>249</v>
      </c>
      <c r="FI42" s="213" t="s">
        <v>750</v>
      </c>
      <c r="FJ42" s="213" t="s">
        <v>743</v>
      </c>
      <c r="FK42" s="213">
        <v>0</v>
      </c>
      <c r="FL42" s="213">
        <v>0</v>
      </c>
      <c r="FM42" s="213">
        <v>0</v>
      </c>
      <c r="FN42" s="213" t="s">
        <v>249</v>
      </c>
      <c r="FQ42" s="213" t="s">
        <v>751</v>
      </c>
      <c r="FR42" s="213" t="s">
        <v>743</v>
      </c>
      <c r="FS42" s="213">
        <v>0</v>
      </c>
      <c r="FT42" s="213">
        <v>0</v>
      </c>
      <c r="FU42" s="213">
        <v>0</v>
      </c>
      <c r="FV42" s="213" t="s">
        <v>249</v>
      </c>
      <c r="FY42" s="213">
        <v>21.1</v>
      </c>
      <c r="FZ42" s="213">
        <v>-9.1999999999999993</v>
      </c>
      <c r="GF42" s="213" t="s">
        <v>752</v>
      </c>
    </row>
    <row r="43" spans="1:188" s="213" customFormat="1" x14ac:dyDescent="0.15">
      <c r="A43" s="213" t="s">
        <v>654</v>
      </c>
      <c r="B43" s="213">
        <v>4</v>
      </c>
      <c r="C43" s="213" t="s">
        <v>911</v>
      </c>
      <c r="D43" s="213">
        <v>614343860</v>
      </c>
      <c r="E43" s="213">
        <v>92303</v>
      </c>
      <c r="F43" s="213" t="s">
        <v>725</v>
      </c>
      <c r="G43" s="213">
        <v>847922</v>
      </c>
      <c r="H43" s="213">
        <v>667585</v>
      </c>
      <c r="I43" s="213">
        <v>6.8</v>
      </c>
      <c r="J43" s="213" t="s">
        <v>912</v>
      </c>
      <c r="K43" s="213" t="s">
        <v>727</v>
      </c>
      <c r="L43" s="213" t="s">
        <v>656</v>
      </c>
      <c r="M43" s="213" t="s">
        <v>728</v>
      </c>
      <c r="N43" s="213" t="s">
        <v>728</v>
      </c>
      <c r="O43" s="213" t="s">
        <v>729</v>
      </c>
      <c r="P43" s="213" t="s">
        <v>710</v>
      </c>
      <c r="Q43" s="213">
        <v>25.8</v>
      </c>
      <c r="R43" s="213">
        <v>139</v>
      </c>
      <c r="S43" s="213" t="s">
        <v>710</v>
      </c>
      <c r="T43" s="213">
        <v>-9999</v>
      </c>
      <c r="U43" s="213">
        <v>176</v>
      </c>
      <c r="V43" s="213">
        <v>368</v>
      </c>
      <c r="W43" s="213">
        <v>172</v>
      </c>
      <c r="X43" s="213" t="s">
        <v>710</v>
      </c>
      <c r="Y43" s="213">
        <v>0</v>
      </c>
      <c r="Z43" s="213">
        <v>40</v>
      </c>
      <c r="AA43" s="213" t="s">
        <v>730</v>
      </c>
      <c r="AB43" s="213" t="s">
        <v>731</v>
      </c>
      <c r="AC43" s="213" t="s">
        <v>729</v>
      </c>
      <c r="AD43" s="213" t="s">
        <v>732</v>
      </c>
      <c r="AE43" s="213">
        <v>0</v>
      </c>
      <c r="AF43" s="213">
        <v>6</v>
      </c>
      <c r="AG43" s="213" t="s">
        <v>249</v>
      </c>
      <c r="AH43" s="213">
        <v>-9999</v>
      </c>
      <c r="AI43" s="213">
        <v>171</v>
      </c>
      <c r="AJ43" s="213">
        <v>404</v>
      </c>
      <c r="AK43" s="213">
        <v>169</v>
      </c>
      <c r="AL43" s="213" t="s">
        <v>710</v>
      </c>
      <c r="AM43" s="213">
        <v>0</v>
      </c>
      <c r="AN43" s="213">
        <v>40</v>
      </c>
      <c r="AO43" s="213" t="s">
        <v>733</v>
      </c>
      <c r="AP43" s="213" t="s">
        <v>734</v>
      </c>
      <c r="AQ43" s="213">
        <v>1</v>
      </c>
      <c r="AR43" s="213" t="s">
        <v>735</v>
      </c>
      <c r="AS43" s="213">
        <v>0</v>
      </c>
      <c r="AT43" s="213">
        <v>1</v>
      </c>
      <c r="AU43" s="213" t="s">
        <v>249</v>
      </c>
      <c r="AV43" s="213">
        <v>-9999</v>
      </c>
      <c r="AW43" s="213">
        <v>238</v>
      </c>
      <c r="AX43" s="213">
        <v>584</v>
      </c>
      <c r="AY43" s="213">
        <v>237</v>
      </c>
      <c r="AZ43" s="213" t="s">
        <v>710</v>
      </c>
      <c r="BA43" s="213">
        <v>0</v>
      </c>
      <c r="BB43" s="213">
        <v>40</v>
      </c>
      <c r="BC43" s="213" t="s">
        <v>736</v>
      </c>
      <c r="BD43" s="213" t="s">
        <v>734</v>
      </c>
      <c r="BE43" s="213">
        <v>2</v>
      </c>
      <c r="BF43" s="213" t="s">
        <v>735</v>
      </c>
      <c r="BG43" s="213">
        <v>0</v>
      </c>
      <c r="BH43" s="213">
        <v>2</v>
      </c>
      <c r="BI43" s="213" t="s">
        <v>249</v>
      </c>
      <c r="BJ43" s="213">
        <v>-9999</v>
      </c>
      <c r="BK43" s="213">
        <v>96</v>
      </c>
      <c r="BL43" s="213">
        <v>310</v>
      </c>
      <c r="BM43" s="213">
        <v>94</v>
      </c>
      <c r="BN43" s="213" t="s">
        <v>710</v>
      </c>
      <c r="BO43" s="213">
        <v>0</v>
      </c>
      <c r="BP43" s="213">
        <v>40</v>
      </c>
      <c r="BQ43" s="213" t="s">
        <v>737</v>
      </c>
      <c r="BR43" s="213" t="s">
        <v>734</v>
      </c>
      <c r="BS43" s="213">
        <v>3</v>
      </c>
      <c r="BT43" s="213" t="s">
        <v>735</v>
      </c>
      <c r="BU43" s="213">
        <v>0</v>
      </c>
      <c r="BV43" s="213">
        <v>7</v>
      </c>
      <c r="BW43" s="213" t="s">
        <v>249</v>
      </c>
      <c r="BX43" s="213">
        <v>-9999</v>
      </c>
      <c r="BY43" s="213">
        <v>148</v>
      </c>
      <c r="BZ43" s="213">
        <v>340</v>
      </c>
      <c r="CA43" s="213">
        <v>148</v>
      </c>
      <c r="CB43" s="213" t="s">
        <v>710</v>
      </c>
      <c r="CC43" s="213">
        <v>0</v>
      </c>
      <c r="CD43" s="213">
        <v>40</v>
      </c>
      <c r="CE43" s="213" t="s">
        <v>738</v>
      </c>
      <c r="CF43" s="213" t="s">
        <v>734</v>
      </c>
      <c r="CG43" s="213">
        <v>4</v>
      </c>
      <c r="CH43" s="213" t="s">
        <v>735</v>
      </c>
      <c r="CI43" s="213">
        <v>0</v>
      </c>
      <c r="CJ43" s="213">
        <v>2</v>
      </c>
      <c r="CK43" s="213" t="s">
        <v>249</v>
      </c>
      <c r="CL43" s="213">
        <v>-9999</v>
      </c>
      <c r="CM43" s="213">
        <v>135</v>
      </c>
      <c r="CN43" s="213">
        <v>355</v>
      </c>
      <c r="CO43" s="213">
        <v>133</v>
      </c>
      <c r="CP43" s="213" t="s">
        <v>710</v>
      </c>
      <c r="CQ43" s="213">
        <v>0</v>
      </c>
      <c r="CR43" s="213">
        <v>40</v>
      </c>
      <c r="CS43" s="213" t="s">
        <v>739</v>
      </c>
      <c r="CT43" s="213" t="s">
        <v>740</v>
      </c>
      <c r="CU43" s="213">
        <v>113</v>
      </c>
      <c r="CV43" s="213">
        <v>113</v>
      </c>
      <c r="CW43" s="213">
        <v>112</v>
      </c>
      <c r="CX43" s="213" t="s">
        <v>710</v>
      </c>
      <c r="CY43" s="213" t="s">
        <v>741</v>
      </c>
      <c r="CZ43" s="213" t="s">
        <v>740</v>
      </c>
      <c r="DA43" s="213">
        <v>98</v>
      </c>
      <c r="DB43" s="213">
        <v>98</v>
      </c>
      <c r="DC43" s="213">
        <v>98</v>
      </c>
      <c r="DD43" s="213" t="s">
        <v>710</v>
      </c>
      <c r="DE43" s="213" t="s">
        <v>742</v>
      </c>
      <c r="DF43" s="213" t="s">
        <v>743</v>
      </c>
      <c r="DG43" s="213">
        <v>0</v>
      </c>
      <c r="DH43" s="213">
        <v>0</v>
      </c>
      <c r="DI43" s="213">
        <v>0</v>
      </c>
      <c r="DJ43" s="213" t="s">
        <v>249</v>
      </c>
      <c r="DM43" s="213" t="s">
        <v>744</v>
      </c>
      <c r="DN43" s="213" t="s">
        <v>743</v>
      </c>
      <c r="DO43" s="213">
        <v>0</v>
      </c>
      <c r="DP43" s="213">
        <v>0</v>
      </c>
      <c r="DQ43" s="213">
        <v>0</v>
      </c>
      <c r="DR43" s="213" t="s">
        <v>249</v>
      </c>
      <c r="DU43" s="213" t="s">
        <v>745</v>
      </c>
      <c r="DV43" s="213" t="s">
        <v>743</v>
      </c>
      <c r="DW43" s="213">
        <v>0</v>
      </c>
      <c r="DX43" s="213">
        <v>0</v>
      </c>
      <c r="DY43" s="213">
        <v>0</v>
      </c>
      <c r="DZ43" s="213" t="s">
        <v>249</v>
      </c>
      <c r="EC43" s="213" t="s">
        <v>746</v>
      </c>
      <c r="ED43" s="213" t="s">
        <v>743</v>
      </c>
      <c r="EE43" s="213">
        <v>0</v>
      </c>
      <c r="EF43" s="213">
        <v>0</v>
      </c>
      <c r="EG43" s="213">
        <v>0</v>
      </c>
      <c r="EH43" s="213" t="s">
        <v>249</v>
      </c>
      <c r="EK43" s="213" t="s">
        <v>747</v>
      </c>
      <c r="EL43" s="213" t="s">
        <v>743</v>
      </c>
      <c r="EM43" s="213">
        <v>0</v>
      </c>
      <c r="EN43" s="213">
        <v>0</v>
      </c>
      <c r="EO43" s="213">
        <v>0</v>
      </c>
      <c r="EP43" s="213" t="s">
        <v>249</v>
      </c>
      <c r="ES43" s="213" t="s">
        <v>748</v>
      </c>
      <c r="ET43" s="213" t="s">
        <v>743</v>
      </c>
      <c r="EU43" s="213">
        <v>0</v>
      </c>
      <c r="EV43" s="213">
        <v>0</v>
      </c>
      <c r="EW43" s="213">
        <v>0</v>
      </c>
      <c r="EX43" s="213" t="s">
        <v>249</v>
      </c>
      <c r="FA43" s="213" t="s">
        <v>749</v>
      </c>
      <c r="FB43" s="213" t="s">
        <v>743</v>
      </c>
      <c r="FC43" s="213">
        <v>0</v>
      </c>
      <c r="FD43" s="213">
        <v>0</v>
      </c>
      <c r="FE43" s="213">
        <v>0</v>
      </c>
      <c r="FF43" s="213" t="s">
        <v>249</v>
      </c>
      <c r="FI43" s="213" t="s">
        <v>750</v>
      </c>
      <c r="FJ43" s="213" t="s">
        <v>743</v>
      </c>
      <c r="FK43" s="213">
        <v>0</v>
      </c>
      <c r="FL43" s="213">
        <v>0</v>
      </c>
      <c r="FM43" s="213">
        <v>0</v>
      </c>
      <c r="FN43" s="213" t="s">
        <v>249</v>
      </c>
      <c r="FQ43" s="213" t="s">
        <v>751</v>
      </c>
      <c r="FR43" s="213" t="s">
        <v>743</v>
      </c>
      <c r="FS43" s="213">
        <v>0</v>
      </c>
      <c r="FT43" s="213">
        <v>0</v>
      </c>
      <c r="FU43" s="213">
        <v>0</v>
      </c>
      <c r="FV43" s="213" t="s">
        <v>249</v>
      </c>
      <c r="FY43" s="213">
        <v>20.100000000000001</v>
      </c>
      <c r="FZ43" s="213">
        <v>-8.4</v>
      </c>
      <c r="GF43" s="213" t="s">
        <v>752</v>
      </c>
    </row>
    <row r="44" spans="1:188" s="213" customFormat="1" x14ac:dyDescent="0.15">
      <c r="A44" s="213" t="s">
        <v>654</v>
      </c>
      <c r="B44" s="213">
        <v>4</v>
      </c>
      <c r="C44" s="213" t="s">
        <v>913</v>
      </c>
      <c r="D44" s="213">
        <v>614343496</v>
      </c>
      <c r="E44" s="213">
        <v>92303</v>
      </c>
      <c r="F44" s="213" t="s">
        <v>725</v>
      </c>
      <c r="G44" s="213">
        <v>847922</v>
      </c>
      <c r="H44" s="213">
        <v>665815</v>
      </c>
      <c r="I44" s="213">
        <v>6.8</v>
      </c>
      <c r="J44" s="213" t="s">
        <v>914</v>
      </c>
      <c r="K44" s="213" t="s">
        <v>727</v>
      </c>
      <c r="L44" s="213" t="s">
        <v>656</v>
      </c>
      <c r="M44" s="213" t="s">
        <v>728</v>
      </c>
      <c r="N44" s="213" t="s">
        <v>728</v>
      </c>
      <c r="O44" s="213" t="s">
        <v>729</v>
      </c>
      <c r="P44" s="213" t="s">
        <v>710</v>
      </c>
      <c r="Q44" s="213">
        <v>25</v>
      </c>
      <c r="R44" s="213">
        <v>157</v>
      </c>
      <c r="S44" s="213" t="s">
        <v>710</v>
      </c>
      <c r="T44" s="213">
        <v>-9999</v>
      </c>
      <c r="U44" s="213">
        <v>215</v>
      </c>
      <c r="V44" s="213">
        <v>444</v>
      </c>
      <c r="W44" s="213">
        <v>209</v>
      </c>
      <c r="X44" s="213" t="s">
        <v>710</v>
      </c>
      <c r="Y44" s="213">
        <v>0</v>
      </c>
      <c r="Z44" s="213">
        <v>40</v>
      </c>
      <c r="AA44" s="213" t="s">
        <v>730</v>
      </c>
      <c r="AB44" s="213" t="s">
        <v>731</v>
      </c>
      <c r="AC44" s="213" t="s">
        <v>729</v>
      </c>
      <c r="AD44" s="213" t="s">
        <v>732</v>
      </c>
      <c r="AE44" s="213">
        <v>0</v>
      </c>
      <c r="AF44" s="213">
        <v>4</v>
      </c>
      <c r="AG44" s="213" t="s">
        <v>249</v>
      </c>
      <c r="AH44" s="213">
        <v>-9999</v>
      </c>
      <c r="AI44" s="213">
        <v>187</v>
      </c>
      <c r="AJ44" s="213">
        <v>442</v>
      </c>
      <c r="AK44" s="213">
        <v>186</v>
      </c>
      <c r="AL44" s="213" t="s">
        <v>710</v>
      </c>
      <c r="AM44" s="213">
        <v>0</v>
      </c>
      <c r="AN44" s="213">
        <v>40</v>
      </c>
      <c r="AO44" s="213" t="s">
        <v>733</v>
      </c>
      <c r="AP44" s="213" t="s">
        <v>734</v>
      </c>
      <c r="AQ44" s="213">
        <v>1</v>
      </c>
      <c r="AR44" s="213" t="s">
        <v>735</v>
      </c>
      <c r="AS44" s="213">
        <v>0</v>
      </c>
      <c r="AT44" s="213">
        <v>8</v>
      </c>
      <c r="AU44" s="213" t="s">
        <v>249</v>
      </c>
      <c r="AV44" s="213">
        <v>-9999</v>
      </c>
      <c r="AW44" s="213">
        <v>258</v>
      </c>
      <c r="AX44" s="213">
        <v>639</v>
      </c>
      <c r="AY44" s="213">
        <v>258</v>
      </c>
      <c r="AZ44" s="213" t="s">
        <v>710</v>
      </c>
      <c r="BA44" s="213">
        <v>0</v>
      </c>
      <c r="BB44" s="213">
        <v>40</v>
      </c>
      <c r="BC44" s="213" t="s">
        <v>736</v>
      </c>
      <c r="BD44" s="213" t="s">
        <v>734</v>
      </c>
      <c r="BE44" s="213">
        <v>2</v>
      </c>
      <c r="BF44" s="213" t="s">
        <v>735</v>
      </c>
      <c r="BG44" s="213">
        <v>0</v>
      </c>
      <c r="BH44" s="213">
        <v>2</v>
      </c>
      <c r="BI44" s="213" t="s">
        <v>249</v>
      </c>
      <c r="BJ44" s="213">
        <v>-9999</v>
      </c>
      <c r="BK44" s="213">
        <v>97</v>
      </c>
      <c r="BL44" s="213">
        <v>300</v>
      </c>
      <c r="BM44" s="213">
        <v>96</v>
      </c>
      <c r="BN44" s="213" t="s">
        <v>710</v>
      </c>
      <c r="BO44" s="213">
        <v>0</v>
      </c>
      <c r="BP44" s="213">
        <v>40</v>
      </c>
      <c r="BQ44" s="213" t="s">
        <v>737</v>
      </c>
      <c r="BR44" s="213" t="s">
        <v>734</v>
      </c>
      <c r="BS44" s="213">
        <v>3</v>
      </c>
      <c r="BT44" s="213" t="s">
        <v>735</v>
      </c>
      <c r="BU44" s="213">
        <v>0</v>
      </c>
      <c r="BV44" s="213">
        <v>4</v>
      </c>
      <c r="BW44" s="213" t="s">
        <v>249</v>
      </c>
      <c r="BX44" s="213">
        <v>-9999</v>
      </c>
      <c r="BY44" s="213">
        <v>181</v>
      </c>
      <c r="BZ44" s="213">
        <v>431</v>
      </c>
      <c r="CA44" s="213">
        <v>181</v>
      </c>
      <c r="CB44" s="213" t="s">
        <v>710</v>
      </c>
      <c r="CC44" s="213">
        <v>0</v>
      </c>
      <c r="CD44" s="213">
        <v>40</v>
      </c>
      <c r="CE44" s="213" t="s">
        <v>738</v>
      </c>
      <c r="CF44" s="213" t="s">
        <v>734</v>
      </c>
      <c r="CG44" s="213">
        <v>4</v>
      </c>
      <c r="CH44" s="213" t="s">
        <v>735</v>
      </c>
      <c r="CI44" s="213">
        <v>0</v>
      </c>
      <c r="CJ44" s="213">
        <v>7</v>
      </c>
      <c r="CK44" s="213" t="s">
        <v>249</v>
      </c>
      <c r="CL44" s="213">
        <v>-9999</v>
      </c>
      <c r="CM44" s="213">
        <v>116</v>
      </c>
      <c r="CN44" s="213">
        <v>316</v>
      </c>
      <c r="CO44" s="213">
        <v>114</v>
      </c>
      <c r="CP44" s="213" t="s">
        <v>710</v>
      </c>
      <c r="CQ44" s="213">
        <v>0</v>
      </c>
      <c r="CR44" s="213">
        <v>40</v>
      </c>
      <c r="CS44" s="213" t="s">
        <v>739</v>
      </c>
      <c r="CT44" s="213" t="s">
        <v>740</v>
      </c>
      <c r="CU44" s="213">
        <v>93</v>
      </c>
      <c r="CV44" s="213">
        <v>93</v>
      </c>
      <c r="CW44" s="213">
        <v>92</v>
      </c>
      <c r="CX44" s="213" t="s">
        <v>710</v>
      </c>
      <c r="CY44" s="213" t="s">
        <v>741</v>
      </c>
      <c r="CZ44" s="213" t="s">
        <v>740</v>
      </c>
      <c r="DA44" s="213">
        <v>105</v>
      </c>
      <c r="DB44" s="213">
        <v>105</v>
      </c>
      <c r="DC44" s="213">
        <v>104</v>
      </c>
      <c r="DD44" s="213" t="s">
        <v>710</v>
      </c>
      <c r="DE44" s="213" t="s">
        <v>742</v>
      </c>
      <c r="DF44" s="213" t="s">
        <v>743</v>
      </c>
      <c r="DG44" s="213">
        <v>0</v>
      </c>
      <c r="DH44" s="213">
        <v>0</v>
      </c>
      <c r="DI44" s="213">
        <v>0</v>
      </c>
      <c r="DJ44" s="213" t="s">
        <v>249</v>
      </c>
      <c r="DM44" s="213" t="s">
        <v>744</v>
      </c>
      <c r="DN44" s="213" t="s">
        <v>743</v>
      </c>
      <c r="DO44" s="213">
        <v>0</v>
      </c>
      <c r="DP44" s="213">
        <v>0</v>
      </c>
      <c r="DQ44" s="213">
        <v>0</v>
      </c>
      <c r="DR44" s="213" t="s">
        <v>249</v>
      </c>
      <c r="DU44" s="213" t="s">
        <v>745</v>
      </c>
      <c r="DV44" s="213" t="s">
        <v>743</v>
      </c>
      <c r="DW44" s="213">
        <v>0</v>
      </c>
      <c r="DX44" s="213">
        <v>0</v>
      </c>
      <c r="DY44" s="213">
        <v>0</v>
      </c>
      <c r="DZ44" s="213" t="s">
        <v>249</v>
      </c>
      <c r="EC44" s="213" t="s">
        <v>746</v>
      </c>
      <c r="ED44" s="213" t="s">
        <v>743</v>
      </c>
      <c r="EE44" s="213">
        <v>0</v>
      </c>
      <c r="EF44" s="213">
        <v>0</v>
      </c>
      <c r="EG44" s="213">
        <v>0</v>
      </c>
      <c r="EH44" s="213" t="s">
        <v>249</v>
      </c>
      <c r="EK44" s="213" t="s">
        <v>747</v>
      </c>
      <c r="EL44" s="213" t="s">
        <v>743</v>
      </c>
      <c r="EM44" s="213">
        <v>0</v>
      </c>
      <c r="EN44" s="213">
        <v>0</v>
      </c>
      <c r="EO44" s="213">
        <v>0</v>
      </c>
      <c r="EP44" s="213" t="s">
        <v>249</v>
      </c>
      <c r="ES44" s="213" t="s">
        <v>748</v>
      </c>
      <c r="ET44" s="213" t="s">
        <v>743</v>
      </c>
      <c r="EU44" s="213">
        <v>0</v>
      </c>
      <c r="EV44" s="213">
        <v>0</v>
      </c>
      <c r="EW44" s="213">
        <v>0</v>
      </c>
      <c r="EX44" s="213" t="s">
        <v>249</v>
      </c>
      <c r="FA44" s="213" t="s">
        <v>749</v>
      </c>
      <c r="FB44" s="213" t="s">
        <v>743</v>
      </c>
      <c r="FC44" s="213">
        <v>0</v>
      </c>
      <c r="FD44" s="213">
        <v>0</v>
      </c>
      <c r="FE44" s="213">
        <v>0</v>
      </c>
      <c r="FF44" s="213" t="s">
        <v>249</v>
      </c>
      <c r="FI44" s="213" t="s">
        <v>750</v>
      </c>
      <c r="FJ44" s="213" t="s">
        <v>743</v>
      </c>
      <c r="FK44" s="213">
        <v>0</v>
      </c>
      <c r="FL44" s="213">
        <v>0</v>
      </c>
      <c r="FM44" s="213">
        <v>0</v>
      </c>
      <c r="FN44" s="213" t="s">
        <v>249</v>
      </c>
      <c r="FQ44" s="213" t="s">
        <v>751</v>
      </c>
      <c r="FR44" s="213" t="s">
        <v>743</v>
      </c>
      <c r="FS44" s="213">
        <v>0</v>
      </c>
      <c r="FT44" s="213">
        <v>0</v>
      </c>
      <c r="FU44" s="213">
        <v>0</v>
      </c>
      <c r="FV44" s="213" t="s">
        <v>249</v>
      </c>
      <c r="FY44" s="213">
        <v>18.899999999999999</v>
      </c>
      <c r="FZ44" s="213">
        <v>-7.9</v>
      </c>
      <c r="GF44" s="213" t="s">
        <v>752</v>
      </c>
    </row>
    <row r="45" spans="1:188" s="213" customFormat="1" x14ac:dyDescent="0.15">
      <c r="A45" s="213" t="s">
        <v>654</v>
      </c>
      <c r="B45" s="213">
        <v>4</v>
      </c>
      <c r="C45" s="213" t="s">
        <v>915</v>
      </c>
      <c r="D45" s="213">
        <v>614342592</v>
      </c>
      <c r="E45" s="213">
        <v>92303</v>
      </c>
      <c r="F45" s="213" t="s">
        <v>725</v>
      </c>
      <c r="G45" s="213">
        <v>847922</v>
      </c>
      <c r="H45" s="213">
        <v>633201</v>
      </c>
      <c r="I45" s="213">
        <v>6.8</v>
      </c>
      <c r="J45" s="213" t="s">
        <v>916</v>
      </c>
      <c r="K45" s="213" t="s">
        <v>727</v>
      </c>
      <c r="L45" s="213" t="s">
        <v>656</v>
      </c>
      <c r="M45" s="213" t="s">
        <v>728</v>
      </c>
      <c r="N45" s="213" t="s">
        <v>728</v>
      </c>
      <c r="O45" s="213" t="s">
        <v>729</v>
      </c>
      <c r="P45" s="213" t="s">
        <v>710</v>
      </c>
      <c r="Q45" s="213">
        <v>24.4</v>
      </c>
      <c r="R45" s="213">
        <v>150</v>
      </c>
      <c r="S45" s="213" t="s">
        <v>710</v>
      </c>
      <c r="T45" s="213">
        <v>-9999</v>
      </c>
      <c r="U45" s="213">
        <v>182</v>
      </c>
      <c r="V45" s="213">
        <v>383</v>
      </c>
      <c r="W45" s="213">
        <v>176</v>
      </c>
      <c r="X45" s="213" t="s">
        <v>710</v>
      </c>
      <c r="Y45" s="213">
        <v>0</v>
      </c>
      <c r="Z45" s="213">
        <v>40</v>
      </c>
      <c r="AA45" s="213" t="s">
        <v>730</v>
      </c>
      <c r="AB45" s="213" t="s">
        <v>731</v>
      </c>
      <c r="AC45" s="213" t="s">
        <v>729</v>
      </c>
      <c r="AD45" s="213" t="s">
        <v>732</v>
      </c>
      <c r="AE45" s="213">
        <v>0</v>
      </c>
      <c r="AF45" s="213">
        <v>5</v>
      </c>
      <c r="AG45" s="213" t="s">
        <v>249</v>
      </c>
      <c r="AH45" s="213">
        <v>-9999</v>
      </c>
      <c r="AI45" s="213">
        <v>154</v>
      </c>
      <c r="AJ45" s="213">
        <v>372</v>
      </c>
      <c r="AK45" s="213">
        <v>152</v>
      </c>
      <c r="AL45" s="213" t="s">
        <v>710</v>
      </c>
      <c r="AM45" s="213">
        <v>0</v>
      </c>
      <c r="AN45" s="213">
        <v>40</v>
      </c>
      <c r="AO45" s="213" t="s">
        <v>733</v>
      </c>
      <c r="AP45" s="213" t="s">
        <v>734</v>
      </c>
      <c r="AQ45" s="213">
        <v>1</v>
      </c>
      <c r="AR45" s="213" t="s">
        <v>735</v>
      </c>
      <c r="AS45" s="213">
        <v>0</v>
      </c>
      <c r="AT45" s="213">
        <v>8</v>
      </c>
      <c r="AU45" s="213" t="s">
        <v>249</v>
      </c>
      <c r="AV45" s="213">
        <v>-9999</v>
      </c>
      <c r="AW45" s="213">
        <v>207</v>
      </c>
      <c r="AX45" s="213">
        <v>523</v>
      </c>
      <c r="AY45" s="213">
        <v>208</v>
      </c>
      <c r="AZ45" s="213" t="s">
        <v>710</v>
      </c>
      <c r="BA45" s="213">
        <v>0</v>
      </c>
      <c r="BB45" s="213">
        <v>40</v>
      </c>
      <c r="BC45" s="213" t="s">
        <v>736</v>
      </c>
      <c r="BD45" s="213" t="s">
        <v>734</v>
      </c>
      <c r="BE45" s="213">
        <v>2</v>
      </c>
      <c r="BF45" s="213" t="s">
        <v>735</v>
      </c>
      <c r="BG45" s="213">
        <v>0</v>
      </c>
      <c r="BH45" s="213">
        <v>4</v>
      </c>
      <c r="BI45" s="213" t="s">
        <v>249</v>
      </c>
      <c r="BJ45" s="213">
        <v>-9999</v>
      </c>
      <c r="BK45" s="213">
        <v>89</v>
      </c>
      <c r="BL45" s="213">
        <v>277</v>
      </c>
      <c r="BM45" s="213">
        <v>92</v>
      </c>
      <c r="BN45" s="213" t="s">
        <v>710</v>
      </c>
      <c r="BO45" s="213">
        <v>0</v>
      </c>
      <c r="BP45" s="213">
        <v>40</v>
      </c>
      <c r="BQ45" s="213" t="s">
        <v>737</v>
      </c>
      <c r="BR45" s="213" t="s">
        <v>734</v>
      </c>
      <c r="BS45" s="213">
        <v>3</v>
      </c>
      <c r="BT45" s="213" t="s">
        <v>735</v>
      </c>
      <c r="BU45" s="213">
        <v>0</v>
      </c>
      <c r="BV45" s="213">
        <v>5</v>
      </c>
      <c r="BW45" s="213" t="s">
        <v>249</v>
      </c>
      <c r="BX45" s="213">
        <v>-9999</v>
      </c>
      <c r="BY45" s="213">
        <v>159</v>
      </c>
      <c r="BZ45" s="213">
        <v>357</v>
      </c>
      <c r="CA45" s="213">
        <v>162</v>
      </c>
      <c r="CB45" s="213" t="s">
        <v>710</v>
      </c>
      <c r="CC45" s="213">
        <v>0</v>
      </c>
      <c r="CD45" s="213">
        <v>40</v>
      </c>
      <c r="CE45" s="213" t="s">
        <v>738</v>
      </c>
      <c r="CF45" s="213" t="s">
        <v>734</v>
      </c>
      <c r="CG45" s="213">
        <v>4</v>
      </c>
      <c r="CH45" s="213" t="s">
        <v>735</v>
      </c>
      <c r="CI45" s="213">
        <v>0</v>
      </c>
      <c r="CJ45" s="213">
        <v>2</v>
      </c>
      <c r="CK45" s="213" t="s">
        <v>249</v>
      </c>
      <c r="CL45" s="213">
        <v>-9999</v>
      </c>
      <c r="CM45" s="213">
        <v>116</v>
      </c>
      <c r="CN45" s="213">
        <v>315</v>
      </c>
      <c r="CO45" s="213">
        <v>117</v>
      </c>
      <c r="CP45" s="213" t="s">
        <v>710</v>
      </c>
      <c r="CQ45" s="213">
        <v>0</v>
      </c>
      <c r="CR45" s="213">
        <v>40</v>
      </c>
      <c r="CS45" s="213" t="s">
        <v>739</v>
      </c>
      <c r="CT45" s="213" t="s">
        <v>740</v>
      </c>
      <c r="CU45" s="213">
        <v>100</v>
      </c>
      <c r="CV45" s="213">
        <v>99</v>
      </c>
      <c r="CW45" s="213">
        <v>99</v>
      </c>
      <c r="CX45" s="213" t="s">
        <v>710</v>
      </c>
      <c r="CY45" s="213" t="s">
        <v>741</v>
      </c>
      <c r="CZ45" s="213" t="s">
        <v>740</v>
      </c>
      <c r="DA45" s="213">
        <v>120</v>
      </c>
      <c r="DB45" s="213">
        <v>119</v>
      </c>
      <c r="DC45" s="213">
        <v>119</v>
      </c>
      <c r="DD45" s="213" t="s">
        <v>710</v>
      </c>
      <c r="DE45" s="213" t="s">
        <v>742</v>
      </c>
      <c r="DF45" s="213" t="s">
        <v>743</v>
      </c>
      <c r="DG45" s="213">
        <v>0</v>
      </c>
      <c r="DH45" s="213">
        <v>0</v>
      </c>
      <c r="DI45" s="213">
        <v>0</v>
      </c>
      <c r="DJ45" s="213" t="s">
        <v>249</v>
      </c>
      <c r="DM45" s="213" t="s">
        <v>744</v>
      </c>
      <c r="DN45" s="213" t="s">
        <v>743</v>
      </c>
      <c r="DO45" s="213">
        <v>0</v>
      </c>
      <c r="DP45" s="213">
        <v>0</v>
      </c>
      <c r="DQ45" s="213">
        <v>0</v>
      </c>
      <c r="DR45" s="213" t="s">
        <v>249</v>
      </c>
      <c r="DU45" s="213" t="s">
        <v>745</v>
      </c>
      <c r="DV45" s="213" t="s">
        <v>743</v>
      </c>
      <c r="DW45" s="213">
        <v>0</v>
      </c>
      <c r="DX45" s="213">
        <v>0</v>
      </c>
      <c r="DY45" s="213">
        <v>0</v>
      </c>
      <c r="DZ45" s="213" t="s">
        <v>249</v>
      </c>
      <c r="EC45" s="213" t="s">
        <v>746</v>
      </c>
      <c r="ED45" s="213" t="s">
        <v>743</v>
      </c>
      <c r="EE45" s="213">
        <v>0</v>
      </c>
      <c r="EF45" s="213">
        <v>0</v>
      </c>
      <c r="EG45" s="213">
        <v>0</v>
      </c>
      <c r="EH45" s="213" t="s">
        <v>249</v>
      </c>
      <c r="EK45" s="213" t="s">
        <v>747</v>
      </c>
      <c r="EL45" s="213" t="s">
        <v>743</v>
      </c>
      <c r="EM45" s="213">
        <v>0</v>
      </c>
      <c r="EN45" s="213">
        <v>0</v>
      </c>
      <c r="EO45" s="213">
        <v>0</v>
      </c>
      <c r="EP45" s="213" t="s">
        <v>249</v>
      </c>
      <c r="ES45" s="213" t="s">
        <v>748</v>
      </c>
      <c r="ET45" s="213" t="s">
        <v>743</v>
      </c>
      <c r="EU45" s="213">
        <v>0</v>
      </c>
      <c r="EV45" s="213">
        <v>0</v>
      </c>
      <c r="EW45" s="213">
        <v>0</v>
      </c>
      <c r="EX45" s="213" t="s">
        <v>249</v>
      </c>
      <c r="FA45" s="213" t="s">
        <v>749</v>
      </c>
      <c r="FB45" s="213" t="s">
        <v>743</v>
      </c>
      <c r="FC45" s="213">
        <v>0</v>
      </c>
      <c r="FD45" s="213">
        <v>0</v>
      </c>
      <c r="FE45" s="213">
        <v>0</v>
      </c>
      <c r="FF45" s="213" t="s">
        <v>249</v>
      </c>
      <c r="FI45" s="213" t="s">
        <v>750</v>
      </c>
      <c r="FJ45" s="213" t="s">
        <v>743</v>
      </c>
      <c r="FK45" s="213">
        <v>0</v>
      </c>
      <c r="FL45" s="213">
        <v>0</v>
      </c>
      <c r="FM45" s="213">
        <v>0</v>
      </c>
      <c r="FN45" s="213" t="s">
        <v>249</v>
      </c>
      <c r="FQ45" s="213" t="s">
        <v>751</v>
      </c>
      <c r="FR45" s="213" t="s">
        <v>743</v>
      </c>
      <c r="FS45" s="213">
        <v>0</v>
      </c>
      <c r="FT45" s="213">
        <v>0</v>
      </c>
      <c r="FU45" s="213">
        <v>0</v>
      </c>
      <c r="FV45" s="213" t="s">
        <v>249</v>
      </c>
      <c r="FY45" s="213">
        <v>21.8</v>
      </c>
      <c r="FZ45" s="213">
        <v>-7.2</v>
      </c>
      <c r="GF45" s="213" t="s">
        <v>752</v>
      </c>
    </row>
    <row r="46" spans="1:188" s="213" customFormat="1" x14ac:dyDescent="0.15">
      <c r="A46" s="213" t="s">
        <v>654</v>
      </c>
      <c r="B46" s="213">
        <v>4</v>
      </c>
      <c r="C46" s="213" t="s">
        <v>917</v>
      </c>
      <c r="D46" s="213">
        <v>614342822</v>
      </c>
      <c r="E46" s="213">
        <v>92303</v>
      </c>
      <c r="F46" s="213" t="s">
        <v>725</v>
      </c>
      <c r="G46" s="213">
        <v>847922</v>
      </c>
      <c r="H46" s="213">
        <v>865593</v>
      </c>
      <c r="I46" s="213">
        <v>6.8</v>
      </c>
      <c r="J46" s="213" t="s">
        <v>918</v>
      </c>
      <c r="K46" s="213" t="s">
        <v>727</v>
      </c>
      <c r="L46" s="213" t="s">
        <v>656</v>
      </c>
      <c r="M46" s="213" t="s">
        <v>728</v>
      </c>
      <c r="N46" s="213" t="s">
        <v>728</v>
      </c>
      <c r="O46" s="213" t="s">
        <v>729</v>
      </c>
      <c r="P46" s="213" t="s">
        <v>710</v>
      </c>
      <c r="Q46" s="213">
        <v>25.9</v>
      </c>
      <c r="R46" s="213">
        <v>146</v>
      </c>
      <c r="S46" s="213" t="s">
        <v>710</v>
      </c>
      <c r="T46" s="213">
        <v>-9999</v>
      </c>
      <c r="U46" s="213">
        <v>200</v>
      </c>
      <c r="V46" s="213">
        <v>435</v>
      </c>
      <c r="W46" s="213">
        <v>196</v>
      </c>
      <c r="X46" s="213" t="s">
        <v>710</v>
      </c>
      <c r="Y46" s="213">
        <v>0</v>
      </c>
      <c r="Z46" s="213">
        <v>40</v>
      </c>
      <c r="AA46" s="213" t="s">
        <v>730</v>
      </c>
      <c r="AB46" s="213" t="s">
        <v>731</v>
      </c>
      <c r="AC46" s="213" t="s">
        <v>729</v>
      </c>
      <c r="AD46" s="213" t="s">
        <v>732</v>
      </c>
      <c r="AE46" s="213">
        <v>0</v>
      </c>
      <c r="AF46" s="213">
        <v>12</v>
      </c>
      <c r="AG46" s="213" t="s">
        <v>249</v>
      </c>
      <c r="AH46" s="213">
        <v>-9999</v>
      </c>
      <c r="AI46" s="213">
        <v>186</v>
      </c>
      <c r="AJ46" s="213">
        <v>443</v>
      </c>
      <c r="AK46" s="213">
        <v>183</v>
      </c>
      <c r="AL46" s="213" t="s">
        <v>710</v>
      </c>
      <c r="AM46" s="213">
        <v>0</v>
      </c>
      <c r="AN46" s="213">
        <v>40</v>
      </c>
      <c r="AO46" s="213" t="s">
        <v>733</v>
      </c>
      <c r="AP46" s="213" t="s">
        <v>734</v>
      </c>
      <c r="AQ46" s="213">
        <v>1</v>
      </c>
      <c r="AR46" s="213" t="s">
        <v>735</v>
      </c>
      <c r="AS46" s="213">
        <v>0</v>
      </c>
      <c r="AT46" s="213">
        <v>11</v>
      </c>
      <c r="AU46" s="213" t="s">
        <v>249</v>
      </c>
      <c r="AV46" s="213">
        <v>-9999</v>
      </c>
      <c r="AW46" s="213">
        <v>250</v>
      </c>
      <c r="AX46" s="213">
        <v>618</v>
      </c>
      <c r="AY46" s="213">
        <v>247</v>
      </c>
      <c r="AZ46" s="213" t="s">
        <v>710</v>
      </c>
      <c r="BA46" s="213">
        <v>0</v>
      </c>
      <c r="BB46" s="213">
        <v>40</v>
      </c>
      <c r="BC46" s="213" t="s">
        <v>736</v>
      </c>
      <c r="BD46" s="213" t="s">
        <v>734</v>
      </c>
      <c r="BE46" s="213">
        <v>2</v>
      </c>
      <c r="BF46" s="213" t="s">
        <v>735</v>
      </c>
      <c r="BG46" s="213">
        <v>0</v>
      </c>
      <c r="BH46" s="213">
        <v>6</v>
      </c>
      <c r="BI46" s="213" t="s">
        <v>249</v>
      </c>
      <c r="BJ46" s="213">
        <v>-9999</v>
      </c>
      <c r="BK46" s="213">
        <v>108</v>
      </c>
      <c r="BL46" s="213">
        <v>327</v>
      </c>
      <c r="BM46" s="213">
        <v>106</v>
      </c>
      <c r="BN46" s="213" t="s">
        <v>710</v>
      </c>
      <c r="BO46" s="213">
        <v>0</v>
      </c>
      <c r="BP46" s="213">
        <v>40</v>
      </c>
      <c r="BQ46" s="213" t="s">
        <v>737</v>
      </c>
      <c r="BR46" s="213" t="s">
        <v>734</v>
      </c>
      <c r="BS46" s="213">
        <v>3</v>
      </c>
      <c r="BT46" s="213" t="s">
        <v>735</v>
      </c>
      <c r="BU46" s="213">
        <v>0</v>
      </c>
      <c r="BV46" s="213">
        <v>6</v>
      </c>
      <c r="BW46" s="213" t="s">
        <v>249</v>
      </c>
      <c r="BX46" s="213">
        <v>-9999</v>
      </c>
      <c r="BY46" s="213">
        <v>195</v>
      </c>
      <c r="BZ46" s="213">
        <v>466</v>
      </c>
      <c r="CA46" s="213">
        <v>194</v>
      </c>
      <c r="CB46" s="213" t="s">
        <v>710</v>
      </c>
      <c r="CC46" s="213">
        <v>0</v>
      </c>
      <c r="CD46" s="213">
        <v>40</v>
      </c>
      <c r="CE46" s="213" t="s">
        <v>738</v>
      </c>
      <c r="CF46" s="213" t="s">
        <v>734</v>
      </c>
      <c r="CG46" s="213">
        <v>4</v>
      </c>
      <c r="CH46" s="213" t="s">
        <v>735</v>
      </c>
      <c r="CI46" s="213">
        <v>0</v>
      </c>
      <c r="CJ46" s="213">
        <v>6</v>
      </c>
      <c r="CK46" s="213" t="s">
        <v>249</v>
      </c>
      <c r="CL46" s="213">
        <v>-9999</v>
      </c>
      <c r="CM46" s="213">
        <v>146</v>
      </c>
      <c r="CN46" s="213">
        <v>377</v>
      </c>
      <c r="CO46" s="213">
        <v>144</v>
      </c>
      <c r="CP46" s="213" t="s">
        <v>710</v>
      </c>
      <c r="CQ46" s="213">
        <v>0</v>
      </c>
      <c r="CR46" s="213">
        <v>40</v>
      </c>
      <c r="CS46" s="213" t="s">
        <v>739</v>
      </c>
      <c r="CT46" s="213" t="s">
        <v>740</v>
      </c>
      <c r="CU46" s="213">
        <v>120</v>
      </c>
      <c r="CV46" s="213">
        <v>120</v>
      </c>
      <c r="CW46" s="213">
        <v>120</v>
      </c>
      <c r="CX46" s="213" t="s">
        <v>710</v>
      </c>
      <c r="CY46" s="213" t="s">
        <v>741</v>
      </c>
      <c r="CZ46" s="213" t="s">
        <v>740</v>
      </c>
      <c r="DA46" s="213">
        <v>109</v>
      </c>
      <c r="DB46" s="213">
        <v>109</v>
      </c>
      <c r="DC46" s="213">
        <v>109</v>
      </c>
      <c r="DD46" s="213" t="s">
        <v>710</v>
      </c>
      <c r="DE46" s="213" t="s">
        <v>742</v>
      </c>
      <c r="DF46" s="213" t="s">
        <v>743</v>
      </c>
      <c r="DG46" s="213">
        <v>0</v>
      </c>
      <c r="DH46" s="213">
        <v>0</v>
      </c>
      <c r="DI46" s="213">
        <v>0</v>
      </c>
      <c r="DJ46" s="213" t="s">
        <v>249</v>
      </c>
      <c r="DM46" s="213" t="s">
        <v>744</v>
      </c>
      <c r="DN46" s="213" t="s">
        <v>743</v>
      </c>
      <c r="DO46" s="213">
        <v>0</v>
      </c>
      <c r="DP46" s="213">
        <v>0</v>
      </c>
      <c r="DQ46" s="213">
        <v>0</v>
      </c>
      <c r="DR46" s="213" t="s">
        <v>249</v>
      </c>
      <c r="DU46" s="213" t="s">
        <v>745</v>
      </c>
      <c r="DV46" s="213" t="s">
        <v>743</v>
      </c>
      <c r="DW46" s="213">
        <v>0</v>
      </c>
      <c r="DX46" s="213">
        <v>0</v>
      </c>
      <c r="DY46" s="213">
        <v>0</v>
      </c>
      <c r="DZ46" s="213" t="s">
        <v>249</v>
      </c>
      <c r="EC46" s="213" t="s">
        <v>746</v>
      </c>
      <c r="ED46" s="213" t="s">
        <v>743</v>
      </c>
      <c r="EE46" s="213">
        <v>0</v>
      </c>
      <c r="EF46" s="213">
        <v>0</v>
      </c>
      <c r="EG46" s="213">
        <v>0</v>
      </c>
      <c r="EH46" s="213" t="s">
        <v>249</v>
      </c>
      <c r="EK46" s="213" t="s">
        <v>747</v>
      </c>
      <c r="EL46" s="213" t="s">
        <v>743</v>
      </c>
      <c r="EM46" s="213">
        <v>0</v>
      </c>
      <c r="EN46" s="213">
        <v>0</v>
      </c>
      <c r="EO46" s="213">
        <v>0</v>
      </c>
      <c r="EP46" s="213" t="s">
        <v>249</v>
      </c>
      <c r="ES46" s="213" t="s">
        <v>748</v>
      </c>
      <c r="ET46" s="213" t="s">
        <v>743</v>
      </c>
      <c r="EU46" s="213">
        <v>0</v>
      </c>
      <c r="EV46" s="213">
        <v>0</v>
      </c>
      <c r="EW46" s="213">
        <v>0</v>
      </c>
      <c r="EX46" s="213" t="s">
        <v>249</v>
      </c>
      <c r="FA46" s="213" t="s">
        <v>749</v>
      </c>
      <c r="FB46" s="213" t="s">
        <v>743</v>
      </c>
      <c r="FC46" s="213">
        <v>0</v>
      </c>
      <c r="FD46" s="213">
        <v>0</v>
      </c>
      <c r="FE46" s="213">
        <v>0</v>
      </c>
      <c r="FF46" s="213" t="s">
        <v>249</v>
      </c>
      <c r="FI46" s="213" t="s">
        <v>750</v>
      </c>
      <c r="FJ46" s="213" t="s">
        <v>743</v>
      </c>
      <c r="FK46" s="213">
        <v>0</v>
      </c>
      <c r="FL46" s="213">
        <v>0</v>
      </c>
      <c r="FM46" s="213">
        <v>0</v>
      </c>
      <c r="FN46" s="213" t="s">
        <v>249</v>
      </c>
      <c r="FQ46" s="213" t="s">
        <v>751</v>
      </c>
      <c r="FR46" s="213" t="s">
        <v>743</v>
      </c>
      <c r="FS46" s="213">
        <v>0</v>
      </c>
      <c r="FT46" s="213">
        <v>0</v>
      </c>
      <c r="FU46" s="213">
        <v>0</v>
      </c>
      <c r="FV46" s="213" t="s">
        <v>249</v>
      </c>
      <c r="FY46" s="213">
        <v>22.3</v>
      </c>
      <c r="FZ46" s="213">
        <v>-12.8</v>
      </c>
      <c r="GF46" s="213" t="s">
        <v>752</v>
      </c>
    </row>
    <row r="47" spans="1:188" s="213" customFormat="1" x14ac:dyDescent="0.15">
      <c r="A47" s="213" t="s">
        <v>654</v>
      </c>
      <c r="B47" s="213">
        <v>4</v>
      </c>
      <c r="C47" s="213" t="s">
        <v>919</v>
      </c>
      <c r="D47" s="213">
        <v>614343315</v>
      </c>
      <c r="E47" s="213">
        <v>92303</v>
      </c>
      <c r="F47" s="213" t="s">
        <v>725</v>
      </c>
      <c r="G47" s="213">
        <v>847922</v>
      </c>
      <c r="H47" s="213">
        <v>791277</v>
      </c>
      <c r="I47" s="213">
        <v>6.8</v>
      </c>
      <c r="J47" s="213" t="s">
        <v>920</v>
      </c>
      <c r="K47" s="213" t="s">
        <v>727</v>
      </c>
      <c r="L47" s="213" t="s">
        <v>656</v>
      </c>
      <c r="M47" s="213" t="s">
        <v>728</v>
      </c>
      <c r="N47" s="213" t="s">
        <v>728</v>
      </c>
      <c r="O47" s="213" t="s">
        <v>729</v>
      </c>
      <c r="P47" s="213" t="s">
        <v>710</v>
      </c>
      <c r="Q47" s="213">
        <v>24.1</v>
      </c>
      <c r="R47" s="213">
        <v>157</v>
      </c>
      <c r="S47" s="213" t="s">
        <v>710</v>
      </c>
      <c r="T47" s="213">
        <v>-9999</v>
      </c>
      <c r="U47" s="213">
        <v>174</v>
      </c>
      <c r="V47" s="213">
        <v>371</v>
      </c>
      <c r="W47" s="213">
        <v>168</v>
      </c>
      <c r="X47" s="213" t="s">
        <v>710</v>
      </c>
      <c r="Y47" s="213">
        <v>0</v>
      </c>
      <c r="Z47" s="213">
        <v>40</v>
      </c>
      <c r="AA47" s="213" t="s">
        <v>730</v>
      </c>
      <c r="AB47" s="213" t="s">
        <v>731</v>
      </c>
      <c r="AC47" s="213" t="s">
        <v>729</v>
      </c>
      <c r="AD47" s="213" t="s">
        <v>732</v>
      </c>
      <c r="AE47" s="213">
        <v>0</v>
      </c>
      <c r="AF47" s="213">
        <v>5</v>
      </c>
      <c r="AG47" s="213" t="s">
        <v>249</v>
      </c>
      <c r="AH47" s="213">
        <v>-9999</v>
      </c>
      <c r="AI47" s="213">
        <v>179</v>
      </c>
      <c r="AJ47" s="213">
        <v>426</v>
      </c>
      <c r="AK47" s="213">
        <v>176</v>
      </c>
      <c r="AL47" s="213" t="s">
        <v>710</v>
      </c>
      <c r="AM47" s="213">
        <v>0</v>
      </c>
      <c r="AN47" s="213">
        <v>40</v>
      </c>
      <c r="AO47" s="213" t="s">
        <v>733</v>
      </c>
      <c r="AP47" s="213" t="s">
        <v>734</v>
      </c>
      <c r="AQ47" s="213">
        <v>1</v>
      </c>
      <c r="AR47" s="213" t="s">
        <v>735</v>
      </c>
      <c r="AS47" s="213">
        <v>0</v>
      </c>
      <c r="AT47" s="213">
        <v>3</v>
      </c>
      <c r="AU47" s="213" t="s">
        <v>249</v>
      </c>
      <c r="AV47" s="213">
        <v>-9999</v>
      </c>
      <c r="AW47" s="213">
        <v>256</v>
      </c>
      <c r="AX47" s="213">
        <v>635</v>
      </c>
      <c r="AY47" s="213">
        <v>254</v>
      </c>
      <c r="AZ47" s="213" t="s">
        <v>710</v>
      </c>
      <c r="BA47" s="213">
        <v>0</v>
      </c>
      <c r="BB47" s="213">
        <v>40</v>
      </c>
      <c r="BC47" s="213" t="s">
        <v>736</v>
      </c>
      <c r="BD47" s="213" t="s">
        <v>734</v>
      </c>
      <c r="BE47" s="213">
        <v>2</v>
      </c>
      <c r="BF47" s="213" t="s">
        <v>735</v>
      </c>
      <c r="BG47" s="213">
        <v>0</v>
      </c>
      <c r="BH47" s="213">
        <v>3</v>
      </c>
      <c r="BI47" s="213" t="s">
        <v>249</v>
      </c>
      <c r="BJ47" s="213">
        <v>-9999</v>
      </c>
      <c r="BK47" s="213">
        <v>97</v>
      </c>
      <c r="BL47" s="213">
        <v>291</v>
      </c>
      <c r="BM47" s="213">
        <v>95</v>
      </c>
      <c r="BN47" s="213" t="s">
        <v>710</v>
      </c>
      <c r="BO47" s="213">
        <v>0</v>
      </c>
      <c r="BP47" s="213">
        <v>40</v>
      </c>
      <c r="BQ47" s="213" t="s">
        <v>737</v>
      </c>
      <c r="BR47" s="213" t="s">
        <v>734</v>
      </c>
      <c r="BS47" s="213">
        <v>3</v>
      </c>
      <c r="BT47" s="213" t="s">
        <v>735</v>
      </c>
      <c r="BU47" s="213">
        <v>0</v>
      </c>
      <c r="BV47" s="213">
        <v>7</v>
      </c>
      <c r="BW47" s="213" t="s">
        <v>249</v>
      </c>
      <c r="BX47" s="213">
        <v>-9999</v>
      </c>
      <c r="BY47" s="213">
        <v>141</v>
      </c>
      <c r="BZ47" s="213">
        <v>326</v>
      </c>
      <c r="CA47" s="213">
        <v>140</v>
      </c>
      <c r="CB47" s="213" t="s">
        <v>710</v>
      </c>
      <c r="CC47" s="213">
        <v>0</v>
      </c>
      <c r="CD47" s="213">
        <v>40</v>
      </c>
      <c r="CE47" s="213" t="s">
        <v>738</v>
      </c>
      <c r="CF47" s="213" t="s">
        <v>734</v>
      </c>
      <c r="CG47" s="213">
        <v>4</v>
      </c>
      <c r="CH47" s="213" t="s">
        <v>735</v>
      </c>
      <c r="CI47" s="213">
        <v>0</v>
      </c>
      <c r="CJ47" s="213">
        <v>5</v>
      </c>
      <c r="CK47" s="213" t="s">
        <v>249</v>
      </c>
      <c r="CL47" s="213">
        <v>-9999</v>
      </c>
      <c r="CM47" s="213">
        <v>114</v>
      </c>
      <c r="CN47" s="213">
        <v>295</v>
      </c>
      <c r="CO47" s="213">
        <v>112</v>
      </c>
      <c r="CP47" s="213" t="s">
        <v>710</v>
      </c>
      <c r="CQ47" s="213">
        <v>0</v>
      </c>
      <c r="CR47" s="213">
        <v>40</v>
      </c>
      <c r="CS47" s="213" t="s">
        <v>739</v>
      </c>
      <c r="CT47" s="213" t="s">
        <v>740</v>
      </c>
      <c r="CU47" s="213">
        <v>100</v>
      </c>
      <c r="CV47" s="213">
        <v>100</v>
      </c>
      <c r="CW47" s="213">
        <v>100</v>
      </c>
      <c r="CX47" s="213" t="s">
        <v>710</v>
      </c>
      <c r="CY47" s="213" t="s">
        <v>741</v>
      </c>
      <c r="CZ47" s="213" t="s">
        <v>740</v>
      </c>
      <c r="DA47" s="213">
        <v>98</v>
      </c>
      <c r="DB47" s="213">
        <v>99</v>
      </c>
      <c r="DC47" s="213">
        <v>98</v>
      </c>
      <c r="DD47" s="213" t="s">
        <v>710</v>
      </c>
      <c r="DE47" s="213" t="s">
        <v>742</v>
      </c>
      <c r="DF47" s="213" t="s">
        <v>743</v>
      </c>
      <c r="DG47" s="213">
        <v>0</v>
      </c>
      <c r="DH47" s="213">
        <v>0</v>
      </c>
      <c r="DI47" s="213">
        <v>0</v>
      </c>
      <c r="DJ47" s="213" t="s">
        <v>249</v>
      </c>
      <c r="DM47" s="213" t="s">
        <v>744</v>
      </c>
      <c r="DN47" s="213" t="s">
        <v>743</v>
      </c>
      <c r="DO47" s="213">
        <v>0</v>
      </c>
      <c r="DP47" s="213">
        <v>0</v>
      </c>
      <c r="DQ47" s="213">
        <v>0</v>
      </c>
      <c r="DR47" s="213" t="s">
        <v>249</v>
      </c>
      <c r="DU47" s="213" t="s">
        <v>745</v>
      </c>
      <c r="DV47" s="213" t="s">
        <v>743</v>
      </c>
      <c r="DW47" s="213">
        <v>0</v>
      </c>
      <c r="DX47" s="213">
        <v>0</v>
      </c>
      <c r="DY47" s="213">
        <v>0</v>
      </c>
      <c r="DZ47" s="213" t="s">
        <v>249</v>
      </c>
      <c r="EC47" s="213" t="s">
        <v>746</v>
      </c>
      <c r="ED47" s="213" t="s">
        <v>743</v>
      </c>
      <c r="EE47" s="213">
        <v>0</v>
      </c>
      <c r="EF47" s="213">
        <v>0</v>
      </c>
      <c r="EG47" s="213">
        <v>0</v>
      </c>
      <c r="EH47" s="213" t="s">
        <v>249</v>
      </c>
      <c r="EK47" s="213" t="s">
        <v>747</v>
      </c>
      <c r="EL47" s="213" t="s">
        <v>743</v>
      </c>
      <c r="EM47" s="213">
        <v>0</v>
      </c>
      <c r="EN47" s="213">
        <v>0</v>
      </c>
      <c r="EO47" s="213">
        <v>0</v>
      </c>
      <c r="EP47" s="213" t="s">
        <v>249</v>
      </c>
      <c r="ES47" s="213" t="s">
        <v>748</v>
      </c>
      <c r="ET47" s="213" t="s">
        <v>743</v>
      </c>
      <c r="EU47" s="213">
        <v>0</v>
      </c>
      <c r="EV47" s="213">
        <v>0</v>
      </c>
      <c r="EW47" s="213">
        <v>0</v>
      </c>
      <c r="EX47" s="213" t="s">
        <v>249</v>
      </c>
      <c r="FA47" s="213" t="s">
        <v>749</v>
      </c>
      <c r="FB47" s="213" t="s">
        <v>743</v>
      </c>
      <c r="FC47" s="213">
        <v>0</v>
      </c>
      <c r="FD47" s="213">
        <v>0</v>
      </c>
      <c r="FE47" s="213">
        <v>0</v>
      </c>
      <c r="FF47" s="213" t="s">
        <v>249</v>
      </c>
      <c r="FI47" s="213" t="s">
        <v>750</v>
      </c>
      <c r="FJ47" s="213" t="s">
        <v>743</v>
      </c>
      <c r="FK47" s="213">
        <v>0</v>
      </c>
      <c r="FL47" s="213">
        <v>0</v>
      </c>
      <c r="FM47" s="213">
        <v>0</v>
      </c>
      <c r="FN47" s="213" t="s">
        <v>249</v>
      </c>
      <c r="FQ47" s="213" t="s">
        <v>751</v>
      </c>
      <c r="FR47" s="213" t="s">
        <v>743</v>
      </c>
      <c r="FS47" s="213">
        <v>0</v>
      </c>
      <c r="FT47" s="213">
        <v>0</v>
      </c>
      <c r="FU47" s="213">
        <v>0</v>
      </c>
      <c r="FV47" s="213" t="s">
        <v>249</v>
      </c>
      <c r="FY47" s="213">
        <v>25.8</v>
      </c>
      <c r="FZ47" s="213">
        <v>-13.7</v>
      </c>
      <c r="GF47" s="213" t="s">
        <v>752</v>
      </c>
    </row>
    <row r="48" spans="1:188" s="213" customFormat="1" x14ac:dyDescent="0.15">
      <c r="A48" s="213" t="s">
        <v>654</v>
      </c>
      <c r="B48" s="213">
        <v>4</v>
      </c>
      <c r="C48" s="213" t="s">
        <v>921</v>
      </c>
      <c r="D48" s="213">
        <v>614343631</v>
      </c>
      <c r="E48" s="213">
        <v>92303</v>
      </c>
      <c r="F48" s="213" t="s">
        <v>725</v>
      </c>
      <c r="G48" s="213">
        <v>847922</v>
      </c>
      <c r="H48" s="213">
        <v>636287</v>
      </c>
      <c r="I48" s="213">
        <v>6.8</v>
      </c>
      <c r="J48" s="213" t="s">
        <v>922</v>
      </c>
      <c r="K48" s="213" t="s">
        <v>727</v>
      </c>
      <c r="L48" s="213" t="s">
        <v>656</v>
      </c>
      <c r="M48" s="213" t="s">
        <v>728</v>
      </c>
      <c r="N48" s="213" t="s">
        <v>728</v>
      </c>
      <c r="O48" s="213" t="s">
        <v>729</v>
      </c>
      <c r="P48" s="213" t="s">
        <v>710</v>
      </c>
      <c r="Q48" s="213">
        <v>23.9</v>
      </c>
      <c r="R48" s="213">
        <v>147</v>
      </c>
      <c r="S48" s="213" t="s">
        <v>710</v>
      </c>
      <c r="T48" s="213">
        <v>-9999</v>
      </c>
      <c r="U48" s="213">
        <v>166</v>
      </c>
      <c r="V48" s="213">
        <v>343</v>
      </c>
      <c r="W48" s="213">
        <v>162</v>
      </c>
      <c r="X48" s="213" t="s">
        <v>710</v>
      </c>
      <c r="Y48" s="213">
        <v>0</v>
      </c>
      <c r="Z48" s="213">
        <v>40</v>
      </c>
      <c r="AA48" s="213" t="s">
        <v>730</v>
      </c>
      <c r="AB48" s="213" t="s">
        <v>731</v>
      </c>
      <c r="AC48" s="213" t="s">
        <v>729</v>
      </c>
      <c r="AD48" s="213" t="s">
        <v>732</v>
      </c>
      <c r="AE48" s="213">
        <v>0</v>
      </c>
      <c r="AF48" s="213">
        <v>2</v>
      </c>
      <c r="AG48" s="213" t="s">
        <v>249</v>
      </c>
      <c r="AH48" s="213">
        <v>-9999</v>
      </c>
      <c r="AI48" s="213">
        <v>162</v>
      </c>
      <c r="AJ48" s="213">
        <v>380</v>
      </c>
      <c r="AK48" s="213">
        <v>160</v>
      </c>
      <c r="AL48" s="213" t="s">
        <v>710</v>
      </c>
      <c r="AM48" s="213">
        <v>0</v>
      </c>
      <c r="AN48" s="213">
        <v>40</v>
      </c>
      <c r="AO48" s="213" t="s">
        <v>733</v>
      </c>
      <c r="AP48" s="213" t="s">
        <v>734</v>
      </c>
      <c r="AQ48" s="213">
        <v>1</v>
      </c>
      <c r="AR48" s="213" t="s">
        <v>735</v>
      </c>
      <c r="AS48" s="213">
        <v>0</v>
      </c>
      <c r="AT48" s="213">
        <v>0</v>
      </c>
      <c r="AU48" s="213" t="s">
        <v>249</v>
      </c>
      <c r="AV48" s="213">
        <v>-9999</v>
      </c>
      <c r="AW48" s="213">
        <v>223</v>
      </c>
      <c r="AX48" s="213">
        <v>553</v>
      </c>
      <c r="AY48" s="213">
        <v>220</v>
      </c>
      <c r="AZ48" s="213" t="s">
        <v>710</v>
      </c>
      <c r="BA48" s="213">
        <v>0</v>
      </c>
      <c r="BB48" s="213">
        <v>40</v>
      </c>
      <c r="BC48" s="213" t="s">
        <v>736</v>
      </c>
      <c r="BD48" s="213" t="s">
        <v>734</v>
      </c>
      <c r="BE48" s="213">
        <v>2</v>
      </c>
      <c r="BF48" s="213" t="s">
        <v>735</v>
      </c>
      <c r="BG48" s="213">
        <v>0</v>
      </c>
      <c r="BH48" s="213">
        <v>0</v>
      </c>
      <c r="BI48" s="213" t="s">
        <v>249</v>
      </c>
      <c r="BJ48" s="213">
        <v>-9999</v>
      </c>
      <c r="BK48" s="213">
        <v>84</v>
      </c>
      <c r="BL48" s="213">
        <v>252</v>
      </c>
      <c r="BM48" s="213">
        <v>82</v>
      </c>
      <c r="BN48" s="213" t="s">
        <v>710</v>
      </c>
      <c r="BO48" s="213">
        <v>0</v>
      </c>
      <c r="BP48" s="213">
        <v>40</v>
      </c>
      <c r="BQ48" s="213" t="s">
        <v>737</v>
      </c>
      <c r="BR48" s="213" t="s">
        <v>734</v>
      </c>
      <c r="BS48" s="213">
        <v>3</v>
      </c>
      <c r="BT48" s="213" t="s">
        <v>735</v>
      </c>
      <c r="BU48" s="213">
        <v>0</v>
      </c>
      <c r="BV48" s="213">
        <v>6</v>
      </c>
      <c r="BW48" s="213" t="s">
        <v>249</v>
      </c>
      <c r="BX48" s="213">
        <v>-9999</v>
      </c>
      <c r="BY48" s="213">
        <v>131</v>
      </c>
      <c r="BZ48" s="213">
        <v>303</v>
      </c>
      <c r="CA48" s="213">
        <v>130</v>
      </c>
      <c r="CB48" s="213" t="s">
        <v>710</v>
      </c>
      <c r="CC48" s="213">
        <v>0</v>
      </c>
      <c r="CD48" s="213">
        <v>40</v>
      </c>
      <c r="CE48" s="213" t="s">
        <v>738</v>
      </c>
      <c r="CF48" s="213" t="s">
        <v>734</v>
      </c>
      <c r="CG48" s="213">
        <v>4</v>
      </c>
      <c r="CH48" s="213" t="s">
        <v>735</v>
      </c>
      <c r="CI48" s="213">
        <v>0</v>
      </c>
      <c r="CJ48" s="213">
        <v>-2</v>
      </c>
      <c r="CK48" s="213" t="s">
        <v>249</v>
      </c>
      <c r="CL48" s="213">
        <v>-9999</v>
      </c>
      <c r="CM48" s="213">
        <v>101</v>
      </c>
      <c r="CN48" s="213">
        <v>270</v>
      </c>
      <c r="CO48" s="213">
        <v>99</v>
      </c>
      <c r="CP48" s="213" t="s">
        <v>710</v>
      </c>
      <c r="CQ48" s="213">
        <v>0</v>
      </c>
      <c r="CR48" s="213">
        <v>40</v>
      </c>
      <c r="CS48" s="213" t="s">
        <v>739</v>
      </c>
      <c r="CT48" s="213" t="s">
        <v>740</v>
      </c>
      <c r="CU48" s="213">
        <v>83</v>
      </c>
      <c r="CV48" s="213">
        <v>83</v>
      </c>
      <c r="CW48" s="213">
        <v>83</v>
      </c>
      <c r="CX48" s="213" t="s">
        <v>710</v>
      </c>
      <c r="CY48" s="213" t="s">
        <v>741</v>
      </c>
      <c r="CZ48" s="213" t="s">
        <v>740</v>
      </c>
      <c r="DA48" s="213">
        <v>88</v>
      </c>
      <c r="DB48" s="213">
        <v>88</v>
      </c>
      <c r="DC48" s="213">
        <v>88</v>
      </c>
      <c r="DD48" s="213" t="s">
        <v>710</v>
      </c>
      <c r="DE48" s="213" t="s">
        <v>742</v>
      </c>
      <c r="DF48" s="213" t="s">
        <v>743</v>
      </c>
      <c r="DG48" s="213">
        <v>0</v>
      </c>
      <c r="DH48" s="213">
        <v>0</v>
      </c>
      <c r="DI48" s="213">
        <v>0</v>
      </c>
      <c r="DJ48" s="213" t="s">
        <v>249</v>
      </c>
      <c r="DM48" s="213" t="s">
        <v>744</v>
      </c>
      <c r="DN48" s="213" t="s">
        <v>743</v>
      </c>
      <c r="DO48" s="213">
        <v>0</v>
      </c>
      <c r="DP48" s="213">
        <v>0</v>
      </c>
      <c r="DQ48" s="213">
        <v>0</v>
      </c>
      <c r="DR48" s="213" t="s">
        <v>249</v>
      </c>
      <c r="DU48" s="213" t="s">
        <v>745</v>
      </c>
      <c r="DV48" s="213" t="s">
        <v>743</v>
      </c>
      <c r="DW48" s="213">
        <v>0</v>
      </c>
      <c r="DX48" s="213">
        <v>0</v>
      </c>
      <c r="DY48" s="213">
        <v>0</v>
      </c>
      <c r="DZ48" s="213" t="s">
        <v>249</v>
      </c>
      <c r="EC48" s="213" t="s">
        <v>746</v>
      </c>
      <c r="ED48" s="213" t="s">
        <v>743</v>
      </c>
      <c r="EE48" s="213">
        <v>0</v>
      </c>
      <c r="EF48" s="213">
        <v>0</v>
      </c>
      <c r="EG48" s="213">
        <v>0</v>
      </c>
      <c r="EH48" s="213" t="s">
        <v>249</v>
      </c>
      <c r="EK48" s="213" t="s">
        <v>747</v>
      </c>
      <c r="EL48" s="213" t="s">
        <v>743</v>
      </c>
      <c r="EM48" s="213">
        <v>0</v>
      </c>
      <c r="EN48" s="213">
        <v>0</v>
      </c>
      <c r="EO48" s="213">
        <v>0</v>
      </c>
      <c r="EP48" s="213" t="s">
        <v>249</v>
      </c>
      <c r="ES48" s="213" t="s">
        <v>748</v>
      </c>
      <c r="ET48" s="213" t="s">
        <v>743</v>
      </c>
      <c r="EU48" s="213">
        <v>0</v>
      </c>
      <c r="EV48" s="213">
        <v>0</v>
      </c>
      <c r="EW48" s="213">
        <v>0</v>
      </c>
      <c r="EX48" s="213" t="s">
        <v>249</v>
      </c>
      <c r="FA48" s="213" t="s">
        <v>749</v>
      </c>
      <c r="FB48" s="213" t="s">
        <v>743</v>
      </c>
      <c r="FC48" s="213">
        <v>0</v>
      </c>
      <c r="FD48" s="213">
        <v>0</v>
      </c>
      <c r="FE48" s="213">
        <v>0</v>
      </c>
      <c r="FF48" s="213" t="s">
        <v>249</v>
      </c>
      <c r="FI48" s="213" t="s">
        <v>750</v>
      </c>
      <c r="FJ48" s="213" t="s">
        <v>743</v>
      </c>
      <c r="FK48" s="213">
        <v>0</v>
      </c>
      <c r="FL48" s="213">
        <v>0</v>
      </c>
      <c r="FM48" s="213">
        <v>0</v>
      </c>
      <c r="FN48" s="213" t="s">
        <v>249</v>
      </c>
      <c r="FQ48" s="213" t="s">
        <v>751</v>
      </c>
      <c r="FR48" s="213" t="s">
        <v>743</v>
      </c>
      <c r="FS48" s="213">
        <v>0</v>
      </c>
      <c r="FT48" s="213">
        <v>0</v>
      </c>
      <c r="FU48" s="213">
        <v>0</v>
      </c>
      <c r="FV48" s="213" t="s">
        <v>249</v>
      </c>
      <c r="FY48" s="213">
        <v>25.7</v>
      </c>
      <c r="FZ48" s="213">
        <v>-13.8</v>
      </c>
      <c r="GF48" s="213" t="s">
        <v>752</v>
      </c>
    </row>
    <row r="49" spans="1:188" s="213" customFormat="1" x14ac:dyDescent="0.15">
      <c r="A49" s="213" t="s">
        <v>654</v>
      </c>
      <c r="B49" s="213">
        <v>4</v>
      </c>
      <c r="C49" s="213" t="s">
        <v>923</v>
      </c>
      <c r="D49" s="213">
        <v>614342981</v>
      </c>
      <c r="E49" s="213">
        <v>92303</v>
      </c>
      <c r="F49" s="213" t="s">
        <v>725</v>
      </c>
      <c r="G49" s="213">
        <v>847922</v>
      </c>
      <c r="H49" s="213">
        <v>730163</v>
      </c>
      <c r="I49" s="213">
        <v>6.8</v>
      </c>
      <c r="J49" s="213" t="s">
        <v>924</v>
      </c>
      <c r="K49" s="213" t="s">
        <v>727</v>
      </c>
      <c r="L49" s="213" t="s">
        <v>656</v>
      </c>
      <c r="M49" s="213" t="s">
        <v>728</v>
      </c>
      <c r="N49" s="213" t="s">
        <v>728</v>
      </c>
      <c r="O49" s="213" t="s">
        <v>729</v>
      </c>
      <c r="P49" s="213" t="s">
        <v>710</v>
      </c>
      <c r="Q49" s="213">
        <v>24.7</v>
      </c>
      <c r="R49" s="213">
        <v>140</v>
      </c>
      <c r="S49" s="213" t="s">
        <v>710</v>
      </c>
      <c r="T49" s="213">
        <v>-9999</v>
      </c>
      <c r="U49" s="213">
        <v>189</v>
      </c>
      <c r="V49" s="213">
        <v>386</v>
      </c>
      <c r="W49" s="213">
        <v>184</v>
      </c>
      <c r="X49" s="213" t="s">
        <v>710</v>
      </c>
      <c r="Y49" s="213">
        <v>0</v>
      </c>
      <c r="Z49" s="213">
        <v>40</v>
      </c>
      <c r="AA49" s="213" t="s">
        <v>730</v>
      </c>
      <c r="AB49" s="213" t="s">
        <v>731</v>
      </c>
      <c r="AC49" s="213" t="s">
        <v>729</v>
      </c>
      <c r="AD49" s="213" t="s">
        <v>732</v>
      </c>
      <c r="AE49" s="213">
        <v>0</v>
      </c>
      <c r="AF49" s="213">
        <v>4</v>
      </c>
      <c r="AG49" s="213" t="s">
        <v>249</v>
      </c>
      <c r="AH49" s="213">
        <v>-9999</v>
      </c>
      <c r="AI49" s="213">
        <v>177</v>
      </c>
      <c r="AJ49" s="213">
        <v>422</v>
      </c>
      <c r="AK49" s="213">
        <v>176</v>
      </c>
      <c r="AL49" s="213" t="s">
        <v>710</v>
      </c>
      <c r="AM49" s="213">
        <v>0</v>
      </c>
      <c r="AN49" s="213">
        <v>40</v>
      </c>
      <c r="AO49" s="213" t="s">
        <v>733</v>
      </c>
      <c r="AP49" s="213" t="s">
        <v>734</v>
      </c>
      <c r="AQ49" s="213">
        <v>1</v>
      </c>
      <c r="AR49" s="213" t="s">
        <v>735</v>
      </c>
      <c r="AS49" s="213">
        <v>0</v>
      </c>
      <c r="AT49" s="213">
        <v>-8</v>
      </c>
      <c r="AU49" s="213" t="s">
        <v>249</v>
      </c>
      <c r="AV49" s="213">
        <v>-9999</v>
      </c>
      <c r="AW49" s="213">
        <v>243</v>
      </c>
      <c r="AX49" s="213">
        <v>604</v>
      </c>
      <c r="AY49" s="213">
        <v>241</v>
      </c>
      <c r="AZ49" s="213" t="s">
        <v>710</v>
      </c>
      <c r="BA49" s="213">
        <v>0</v>
      </c>
      <c r="BB49" s="213">
        <v>40</v>
      </c>
      <c r="BC49" s="213" t="s">
        <v>736</v>
      </c>
      <c r="BD49" s="213" t="s">
        <v>734</v>
      </c>
      <c r="BE49" s="213">
        <v>2</v>
      </c>
      <c r="BF49" s="213" t="s">
        <v>735</v>
      </c>
      <c r="BG49" s="213">
        <v>0</v>
      </c>
      <c r="BH49" s="213">
        <v>3</v>
      </c>
      <c r="BI49" s="213" t="s">
        <v>249</v>
      </c>
      <c r="BJ49" s="213">
        <v>-9999</v>
      </c>
      <c r="BK49" s="213">
        <v>93</v>
      </c>
      <c r="BL49" s="213">
        <v>287</v>
      </c>
      <c r="BM49" s="213">
        <v>91</v>
      </c>
      <c r="BN49" s="213" t="s">
        <v>710</v>
      </c>
      <c r="BO49" s="213">
        <v>0</v>
      </c>
      <c r="BP49" s="213">
        <v>40</v>
      </c>
      <c r="BQ49" s="213" t="s">
        <v>737</v>
      </c>
      <c r="BR49" s="213" t="s">
        <v>734</v>
      </c>
      <c r="BS49" s="213">
        <v>3</v>
      </c>
      <c r="BT49" s="213" t="s">
        <v>735</v>
      </c>
      <c r="BU49" s="213">
        <v>0</v>
      </c>
      <c r="BV49" s="213">
        <v>0</v>
      </c>
      <c r="BW49" s="213" t="s">
        <v>249</v>
      </c>
      <c r="BX49" s="213">
        <v>-9999</v>
      </c>
      <c r="BY49" s="213">
        <v>149</v>
      </c>
      <c r="BZ49" s="213">
        <v>347</v>
      </c>
      <c r="CA49" s="213">
        <v>148</v>
      </c>
      <c r="CB49" s="213" t="s">
        <v>710</v>
      </c>
      <c r="CC49" s="213">
        <v>0</v>
      </c>
      <c r="CD49" s="213">
        <v>40</v>
      </c>
      <c r="CE49" s="213" t="s">
        <v>738</v>
      </c>
      <c r="CF49" s="213" t="s">
        <v>734</v>
      </c>
      <c r="CG49" s="213">
        <v>4</v>
      </c>
      <c r="CH49" s="213" t="s">
        <v>735</v>
      </c>
      <c r="CI49" s="213">
        <v>0</v>
      </c>
      <c r="CJ49" s="213">
        <v>4</v>
      </c>
      <c r="CK49" s="213" t="s">
        <v>249</v>
      </c>
      <c r="CL49" s="213">
        <v>-9999</v>
      </c>
      <c r="CM49" s="213">
        <v>115</v>
      </c>
      <c r="CN49" s="213">
        <v>311</v>
      </c>
      <c r="CO49" s="213">
        <v>114</v>
      </c>
      <c r="CP49" s="213" t="s">
        <v>710</v>
      </c>
      <c r="CQ49" s="213">
        <v>0</v>
      </c>
      <c r="CR49" s="213">
        <v>40</v>
      </c>
      <c r="CS49" s="213" t="s">
        <v>739</v>
      </c>
      <c r="CT49" s="213" t="s">
        <v>740</v>
      </c>
      <c r="CU49" s="213">
        <v>95</v>
      </c>
      <c r="CV49" s="213">
        <v>95</v>
      </c>
      <c r="CW49" s="213">
        <v>95</v>
      </c>
      <c r="CX49" s="213" t="s">
        <v>710</v>
      </c>
      <c r="CY49" s="213" t="s">
        <v>741</v>
      </c>
      <c r="CZ49" s="213" t="s">
        <v>740</v>
      </c>
      <c r="DA49" s="213">
        <v>100</v>
      </c>
      <c r="DB49" s="213">
        <v>100</v>
      </c>
      <c r="DC49" s="213">
        <v>100</v>
      </c>
      <c r="DD49" s="213" t="s">
        <v>710</v>
      </c>
      <c r="DE49" s="213" t="s">
        <v>742</v>
      </c>
      <c r="DF49" s="213" t="s">
        <v>743</v>
      </c>
      <c r="DG49" s="213">
        <v>0</v>
      </c>
      <c r="DH49" s="213">
        <v>0</v>
      </c>
      <c r="DI49" s="213">
        <v>0</v>
      </c>
      <c r="DJ49" s="213" t="s">
        <v>249</v>
      </c>
      <c r="DM49" s="213" t="s">
        <v>744</v>
      </c>
      <c r="DN49" s="213" t="s">
        <v>743</v>
      </c>
      <c r="DO49" s="213">
        <v>0</v>
      </c>
      <c r="DP49" s="213">
        <v>0</v>
      </c>
      <c r="DQ49" s="213">
        <v>0</v>
      </c>
      <c r="DR49" s="213" t="s">
        <v>249</v>
      </c>
      <c r="DU49" s="213" t="s">
        <v>745</v>
      </c>
      <c r="DV49" s="213" t="s">
        <v>743</v>
      </c>
      <c r="DW49" s="213">
        <v>0</v>
      </c>
      <c r="DX49" s="213">
        <v>0</v>
      </c>
      <c r="DY49" s="213">
        <v>0</v>
      </c>
      <c r="DZ49" s="213" t="s">
        <v>249</v>
      </c>
      <c r="EC49" s="213" t="s">
        <v>746</v>
      </c>
      <c r="ED49" s="213" t="s">
        <v>743</v>
      </c>
      <c r="EE49" s="213">
        <v>0</v>
      </c>
      <c r="EF49" s="213">
        <v>0</v>
      </c>
      <c r="EG49" s="213">
        <v>0</v>
      </c>
      <c r="EH49" s="213" t="s">
        <v>249</v>
      </c>
      <c r="EK49" s="213" t="s">
        <v>747</v>
      </c>
      <c r="EL49" s="213" t="s">
        <v>743</v>
      </c>
      <c r="EM49" s="213">
        <v>0</v>
      </c>
      <c r="EN49" s="213">
        <v>0</v>
      </c>
      <c r="EO49" s="213">
        <v>0</v>
      </c>
      <c r="EP49" s="213" t="s">
        <v>249</v>
      </c>
      <c r="ES49" s="213" t="s">
        <v>748</v>
      </c>
      <c r="ET49" s="213" t="s">
        <v>743</v>
      </c>
      <c r="EU49" s="213">
        <v>0</v>
      </c>
      <c r="EV49" s="213">
        <v>0</v>
      </c>
      <c r="EW49" s="213">
        <v>0</v>
      </c>
      <c r="EX49" s="213" t="s">
        <v>249</v>
      </c>
      <c r="FA49" s="213" t="s">
        <v>749</v>
      </c>
      <c r="FB49" s="213" t="s">
        <v>743</v>
      </c>
      <c r="FC49" s="213">
        <v>0</v>
      </c>
      <c r="FD49" s="213">
        <v>0</v>
      </c>
      <c r="FE49" s="213">
        <v>0</v>
      </c>
      <c r="FF49" s="213" t="s">
        <v>249</v>
      </c>
      <c r="FI49" s="213" t="s">
        <v>750</v>
      </c>
      <c r="FJ49" s="213" t="s">
        <v>743</v>
      </c>
      <c r="FK49" s="213">
        <v>0</v>
      </c>
      <c r="FL49" s="213">
        <v>0</v>
      </c>
      <c r="FM49" s="213">
        <v>0</v>
      </c>
      <c r="FN49" s="213" t="s">
        <v>249</v>
      </c>
      <c r="FQ49" s="213" t="s">
        <v>751</v>
      </c>
      <c r="FR49" s="213" t="s">
        <v>743</v>
      </c>
      <c r="FS49" s="213">
        <v>0</v>
      </c>
      <c r="FT49" s="213">
        <v>0</v>
      </c>
      <c r="FU49" s="213">
        <v>0</v>
      </c>
      <c r="FV49" s="213" t="s">
        <v>249</v>
      </c>
      <c r="FY49" s="213">
        <v>20</v>
      </c>
      <c r="FZ49" s="213">
        <v>-10.5</v>
      </c>
      <c r="GF49" s="213" t="s">
        <v>752</v>
      </c>
    </row>
    <row r="50" spans="1:188" s="213" customFormat="1" x14ac:dyDescent="0.15">
      <c r="A50" s="213" t="s">
        <v>654</v>
      </c>
      <c r="B50" s="213">
        <v>4</v>
      </c>
      <c r="C50" s="213" t="s">
        <v>925</v>
      </c>
      <c r="D50" s="213">
        <v>614342683</v>
      </c>
      <c r="E50" s="213">
        <v>92303</v>
      </c>
      <c r="F50" s="213" t="s">
        <v>725</v>
      </c>
      <c r="G50" s="213">
        <v>847922</v>
      </c>
      <c r="H50" s="213">
        <v>670395</v>
      </c>
      <c r="I50" s="213">
        <v>6.8</v>
      </c>
      <c r="J50" s="213" t="s">
        <v>926</v>
      </c>
      <c r="K50" s="213" t="s">
        <v>727</v>
      </c>
      <c r="L50" s="213" t="s">
        <v>656</v>
      </c>
      <c r="M50" s="213" t="s">
        <v>728</v>
      </c>
      <c r="N50" s="213" t="s">
        <v>728</v>
      </c>
      <c r="O50" s="213" t="s">
        <v>729</v>
      </c>
      <c r="P50" s="213" t="s">
        <v>710</v>
      </c>
      <c r="Q50" s="213">
        <v>24.8</v>
      </c>
      <c r="R50" s="213">
        <v>140</v>
      </c>
      <c r="S50" s="213" t="s">
        <v>710</v>
      </c>
      <c r="T50" s="213">
        <v>-9999</v>
      </c>
      <c r="U50" s="213">
        <v>147</v>
      </c>
      <c r="V50" s="213">
        <v>305</v>
      </c>
      <c r="W50" s="213">
        <v>143</v>
      </c>
      <c r="X50" s="213" t="s">
        <v>710</v>
      </c>
      <c r="Y50" s="213">
        <v>0</v>
      </c>
      <c r="Z50" s="213">
        <v>40</v>
      </c>
      <c r="AA50" s="213" t="s">
        <v>730</v>
      </c>
      <c r="AB50" s="213" t="s">
        <v>731</v>
      </c>
      <c r="AC50" s="213" t="s">
        <v>729</v>
      </c>
      <c r="AD50" s="213" t="s">
        <v>732</v>
      </c>
      <c r="AE50" s="213">
        <v>0</v>
      </c>
      <c r="AF50" s="213">
        <v>5</v>
      </c>
      <c r="AG50" s="213" t="s">
        <v>249</v>
      </c>
      <c r="AH50" s="213">
        <v>-9999</v>
      </c>
      <c r="AI50" s="213">
        <v>163</v>
      </c>
      <c r="AJ50" s="213">
        <v>384</v>
      </c>
      <c r="AK50" s="213">
        <v>161</v>
      </c>
      <c r="AL50" s="213" t="s">
        <v>710</v>
      </c>
      <c r="AM50" s="213">
        <v>0</v>
      </c>
      <c r="AN50" s="213">
        <v>40</v>
      </c>
      <c r="AO50" s="213" t="s">
        <v>733</v>
      </c>
      <c r="AP50" s="213" t="s">
        <v>734</v>
      </c>
      <c r="AQ50" s="213">
        <v>1</v>
      </c>
      <c r="AR50" s="213" t="s">
        <v>735</v>
      </c>
      <c r="AS50" s="213">
        <v>0</v>
      </c>
      <c r="AT50" s="213">
        <v>7</v>
      </c>
      <c r="AU50" s="213" t="s">
        <v>249</v>
      </c>
      <c r="AV50" s="213">
        <v>-9999</v>
      </c>
      <c r="AW50" s="213">
        <v>220</v>
      </c>
      <c r="AX50" s="213">
        <v>546</v>
      </c>
      <c r="AY50" s="213">
        <v>218</v>
      </c>
      <c r="AZ50" s="213" t="s">
        <v>710</v>
      </c>
      <c r="BA50" s="213">
        <v>0</v>
      </c>
      <c r="BB50" s="213">
        <v>40</v>
      </c>
      <c r="BC50" s="213" t="s">
        <v>736</v>
      </c>
      <c r="BD50" s="213" t="s">
        <v>734</v>
      </c>
      <c r="BE50" s="213">
        <v>2</v>
      </c>
      <c r="BF50" s="213" t="s">
        <v>735</v>
      </c>
      <c r="BG50" s="213">
        <v>0</v>
      </c>
      <c r="BH50" s="213">
        <v>3</v>
      </c>
      <c r="BI50" s="213" t="s">
        <v>249</v>
      </c>
      <c r="BJ50" s="213">
        <v>-9999</v>
      </c>
      <c r="BK50" s="213">
        <v>95</v>
      </c>
      <c r="BL50" s="213">
        <v>297</v>
      </c>
      <c r="BM50" s="213">
        <v>94</v>
      </c>
      <c r="BN50" s="213" t="s">
        <v>710</v>
      </c>
      <c r="BO50" s="213">
        <v>0</v>
      </c>
      <c r="BP50" s="213">
        <v>40</v>
      </c>
      <c r="BQ50" s="213" t="s">
        <v>737</v>
      </c>
      <c r="BR50" s="213" t="s">
        <v>734</v>
      </c>
      <c r="BS50" s="213">
        <v>3</v>
      </c>
      <c r="BT50" s="213" t="s">
        <v>735</v>
      </c>
      <c r="BU50" s="213">
        <v>0</v>
      </c>
      <c r="BV50" s="213">
        <v>6</v>
      </c>
      <c r="BW50" s="213" t="s">
        <v>249</v>
      </c>
      <c r="BX50" s="213">
        <v>-9999</v>
      </c>
      <c r="BY50" s="213">
        <v>140</v>
      </c>
      <c r="BZ50" s="213">
        <v>311</v>
      </c>
      <c r="CA50" s="213">
        <v>139</v>
      </c>
      <c r="CB50" s="213" t="s">
        <v>710</v>
      </c>
      <c r="CC50" s="213">
        <v>0</v>
      </c>
      <c r="CD50" s="213">
        <v>40</v>
      </c>
      <c r="CE50" s="213" t="s">
        <v>738</v>
      </c>
      <c r="CF50" s="213" t="s">
        <v>734</v>
      </c>
      <c r="CG50" s="213">
        <v>4</v>
      </c>
      <c r="CH50" s="213" t="s">
        <v>735</v>
      </c>
      <c r="CI50" s="213">
        <v>0</v>
      </c>
      <c r="CJ50" s="213">
        <v>4</v>
      </c>
      <c r="CK50" s="213" t="s">
        <v>249</v>
      </c>
      <c r="CL50" s="213">
        <v>-9999</v>
      </c>
      <c r="CM50" s="213">
        <v>140</v>
      </c>
      <c r="CN50" s="213">
        <v>360</v>
      </c>
      <c r="CO50" s="213">
        <v>138</v>
      </c>
      <c r="CP50" s="213" t="s">
        <v>710</v>
      </c>
      <c r="CQ50" s="213">
        <v>0</v>
      </c>
      <c r="CR50" s="213">
        <v>40</v>
      </c>
      <c r="CS50" s="213" t="s">
        <v>739</v>
      </c>
      <c r="CT50" s="213" t="s">
        <v>740</v>
      </c>
      <c r="CU50" s="213">
        <v>131</v>
      </c>
      <c r="CV50" s="213">
        <v>130</v>
      </c>
      <c r="CW50" s="213">
        <v>130</v>
      </c>
      <c r="CX50" s="213" t="s">
        <v>710</v>
      </c>
      <c r="CY50" s="213" t="s">
        <v>741</v>
      </c>
      <c r="CZ50" s="213" t="s">
        <v>740</v>
      </c>
      <c r="DA50" s="213">
        <v>93</v>
      </c>
      <c r="DB50" s="213">
        <v>92</v>
      </c>
      <c r="DC50" s="213">
        <v>92</v>
      </c>
      <c r="DD50" s="213" t="s">
        <v>710</v>
      </c>
      <c r="DE50" s="213" t="s">
        <v>742</v>
      </c>
      <c r="DF50" s="213" t="s">
        <v>743</v>
      </c>
      <c r="DG50" s="213">
        <v>0</v>
      </c>
      <c r="DH50" s="213">
        <v>0</v>
      </c>
      <c r="DI50" s="213">
        <v>0</v>
      </c>
      <c r="DJ50" s="213" t="s">
        <v>249</v>
      </c>
      <c r="DM50" s="213" t="s">
        <v>744</v>
      </c>
      <c r="DN50" s="213" t="s">
        <v>743</v>
      </c>
      <c r="DO50" s="213">
        <v>0</v>
      </c>
      <c r="DP50" s="213">
        <v>0</v>
      </c>
      <c r="DQ50" s="213">
        <v>0</v>
      </c>
      <c r="DR50" s="213" t="s">
        <v>249</v>
      </c>
      <c r="DU50" s="213" t="s">
        <v>745</v>
      </c>
      <c r="DV50" s="213" t="s">
        <v>743</v>
      </c>
      <c r="DW50" s="213">
        <v>0</v>
      </c>
      <c r="DX50" s="213">
        <v>0</v>
      </c>
      <c r="DY50" s="213">
        <v>0</v>
      </c>
      <c r="DZ50" s="213" t="s">
        <v>249</v>
      </c>
      <c r="EC50" s="213" t="s">
        <v>746</v>
      </c>
      <c r="ED50" s="213" t="s">
        <v>743</v>
      </c>
      <c r="EE50" s="213">
        <v>0</v>
      </c>
      <c r="EF50" s="213">
        <v>0</v>
      </c>
      <c r="EG50" s="213">
        <v>0</v>
      </c>
      <c r="EH50" s="213" t="s">
        <v>249</v>
      </c>
      <c r="EK50" s="213" t="s">
        <v>747</v>
      </c>
      <c r="EL50" s="213" t="s">
        <v>743</v>
      </c>
      <c r="EM50" s="213">
        <v>0</v>
      </c>
      <c r="EN50" s="213">
        <v>0</v>
      </c>
      <c r="EO50" s="213">
        <v>0</v>
      </c>
      <c r="EP50" s="213" t="s">
        <v>249</v>
      </c>
      <c r="ES50" s="213" t="s">
        <v>748</v>
      </c>
      <c r="ET50" s="213" t="s">
        <v>743</v>
      </c>
      <c r="EU50" s="213">
        <v>0</v>
      </c>
      <c r="EV50" s="213">
        <v>0</v>
      </c>
      <c r="EW50" s="213">
        <v>0</v>
      </c>
      <c r="EX50" s="213" t="s">
        <v>249</v>
      </c>
      <c r="FA50" s="213" t="s">
        <v>749</v>
      </c>
      <c r="FB50" s="213" t="s">
        <v>743</v>
      </c>
      <c r="FC50" s="213">
        <v>0</v>
      </c>
      <c r="FD50" s="213">
        <v>0</v>
      </c>
      <c r="FE50" s="213">
        <v>0</v>
      </c>
      <c r="FF50" s="213" t="s">
        <v>249</v>
      </c>
      <c r="FI50" s="213" t="s">
        <v>750</v>
      </c>
      <c r="FJ50" s="213" t="s">
        <v>743</v>
      </c>
      <c r="FK50" s="213">
        <v>0</v>
      </c>
      <c r="FL50" s="213">
        <v>0</v>
      </c>
      <c r="FM50" s="213">
        <v>0</v>
      </c>
      <c r="FN50" s="213" t="s">
        <v>249</v>
      </c>
      <c r="FQ50" s="213" t="s">
        <v>751</v>
      </c>
      <c r="FR50" s="213" t="s">
        <v>743</v>
      </c>
      <c r="FS50" s="213">
        <v>0</v>
      </c>
      <c r="FT50" s="213">
        <v>0</v>
      </c>
      <c r="FU50" s="213">
        <v>0</v>
      </c>
      <c r="FV50" s="213" t="s">
        <v>249</v>
      </c>
      <c r="FY50" s="213">
        <v>16.2</v>
      </c>
      <c r="FZ50" s="213">
        <v>-7.3</v>
      </c>
      <c r="GF50" s="213" t="s">
        <v>752</v>
      </c>
    </row>
    <row r="51" spans="1:188" s="213" customFormat="1" x14ac:dyDescent="0.15">
      <c r="A51" s="213" t="s">
        <v>654</v>
      </c>
      <c r="B51" s="213">
        <v>4</v>
      </c>
      <c r="C51" s="213" t="s">
        <v>927</v>
      </c>
      <c r="D51" s="213">
        <v>614342383</v>
      </c>
      <c r="E51" s="213">
        <v>92303</v>
      </c>
      <c r="F51" s="213" t="s">
        <v>725</v>
      </c>
      <c r="G51" s="213">
        <v>847922</v>
      </c>
      <c r="H51" s="213">
        <v>210047638</v>
      </c>
      <c r="I51" s="213">
        <v>6.8</v>
      </c>
      <c r="J51" s="213" t="s">
        <v>928</v>
      </c>
      <c r="K51" s="213" t="s">
        <v>727</v>
      </c>
      <c r="L51" s="213" t="s">
        <v>656</v>
      </c>
      <c r="M51" s="213" t="s">
        <v>728</v>
      </c>
      <c r="N51" s="213" t="s">
        <v>728</v>
      </c>
      <c r="O51" s="213" t="s">
        <v>729</v>
      </c>
      <c r="P51" s="213" t="s">
        <v>710</v>
      </c>
      <c r="Q51" s="213">
        <v>24.8</v>
      </c>
      <c r="R51" s="213">
        <v>150</v>
      </c>
      <c r="S51" s="213" t="s">
        <v>710</v>
      </c>
      <c r="T51" s="213">
        <v>-9999</v>
      </c>
      <c r="U51" s="213">
        <v>227</v>
      </c>
      <c r="V51" s="213">
        <v>489</v>
      </c>
      <c r="W51" s="213">
        <v>221</v>
      </c>
      <c r="X51" s="213" t="s">
        <v>710</v>
      </c>
      <c r="Y51" s="213">
        <v>0</v>
      </c>
      <c r="Z51" s="213">
        <v>40</v>
      </c>
      <c r="AA51" s="213" t="s">
        <v>730</v>
      </c>
      <c r="AB51" s="213" t="s">
        <v>731</v>
      </c>
      <c r="AC51" s="213" t="s">
        <v>729</v>
      </c>
      <c r="AD51" s="213" t="s">
        <v>732</v>
      </c>
      <c r="AE51" s="213">
        <v>0</v>
      </c>
      <c r="AF51" s="213">
        <v>5</v>
      </c>
      <c r="AG51" s="213" t="s">
        <v>249</v>
      </c>
      <c r="AH51" s="213">
        <v>-9999</v>
      </c>
      <c r="AI51" s="213">
        <v>209</v>
      </c>
      <c r="AJ51" s="213">
        <v>498</v>
      </c>
      <c r="AK51" s="213">
        <v>207</v>
      </c>
      <c r="AL51" s="213" t="s">
        <v>710</v>
      </c>
      <c r="AM51" s="213">
        <v>0</v>
      </c>
      <c r="AN51" s="213">
        <v>40</v>
      </c>
      <c r="AO51" s="213" t="s">
        <v>733</v>
      </c>
      <c r="AP51" s="213" t="s">
        <v>734</v>
      </c>
      <c r="AQ51" s="213">
        <v>1</v>
      </c>
      <c r="AR51" s="213" t="s">
        <v>735</v>
      </c>
      <c r="AS51" s="213">
        <v>0</v>
      </c>
      <c r="AT51" s="213">
        <v>6</v>
      </c>
      <c r="AU51" s="213" t="s">
        <v>249</v>
      </c>
      <c r="AV51" s="213">
        <v>-9999</v>
      </c>
      <c r="AW51" s="213">
        <v>270</v>
      </c>
      <c r="AX51" s="213">
        <v>672</v>
      </c>
      <c r="AY51" s="213">
        <v>268</v>
      </c>
      <c r="AZ51" s="213" t="s">
        <v>710</v>
      </c>
      <c r="BA51" s="213">
        <v>0</v>
      </c>
      <c r="BB51" s="213">
        <v>40</v>
      </c>
      <c r="BC51" s="213" t="s">
        <v>736</v>
      </c>
      <c r="BD51" s="213" t="s">
        <v>734</v>
      </c>
      <c r="BE51" s="213">
        <v>2</v>
      </c>
      <c r="BF51" s="213" t="s">
        <v>735</v>
      </c>
      <c r="BG51" s="213">
        <v>0</v>
      </c>
      <c r="BH51" s="213">
        <v>3</v>
      </c>
      <c r="BI51" s="213" t="s">
        <v>249</v>
      </c>
      <c r="BJ51" s="213">
        <v>-9999</v>
      </c>
      <c r="BK51" s="213">
        <v>121</v>
      </c>
      <c r="BL51" s="213">
        <v>365</v>
      </c>
      <c r="BM51" s="213">
        <v>119</v>
      </c>
      <c r="BN51" s="213" t="s">
        <v>710</v>
      </c>
      <c r="BO51" s="213">
        <v>0</v>
      </c>
      <c r="BP51" s="213">
        <v>40</v>
      </c>
      <c r="BQ51" s="213" t="s">
        <v>737</v>
      </c>
      <c r="BR51" s="213" t="s">
        <v>734</v>
      </c>
      <c r="BS51" s="213">
        <v>3</v>
      </c>
      <c r="BT51" s="213" t="s">
        <v>735</v>
      </c>
      <c r="BU51" s="213">
        <v>0</v>
      </c>
      <c r="BV51" s="213">
        <v>5</v>
      </c>
      <c r="BW51" s="213" t="s">
        <v>249</v>
      </c>
      <c r="BX51" s="213">
        <v>-9999</v>
      </c>
      <c r="BY51" s="213">
        <v>160</v>
      </c>
      <c r="BZ51" s="213">
        <v>388</v>
      </c>
      <c r="CA51" s="213">
        <v>160</v>
      </c>
      <c r="CB51" s="213" t="s">
        <v>710</v>
      </c>
      <c r="CC51" s="213">
        <v>0</v>
      </c>
      <c r="CD51" s="213">
        <v>40</v>
      </c>
      <c r="CE51" s="213" t="s">
        <v>738</v>
      </c>
      <c r="CF51" s="213" t="s">
        <v>734</v>
      </c>
      <c r="CG51" s="213">
        <v>4</v>
      </c>
      <c r="CH51" s="213" t="s">
        <v>735</v>
      </c>
      <c r="CI51" s="213">
        <v>0</v>
      </c>
      <c r="CJ51" s="213">
        <v>6</v>
      </c>
      <c r="CK51" s="213" t="s">
        <v>249</v>
      </c>
      <c r="CL51" s="213">
        <v>-9999</v>
      </c>
      <c r="CM51" s="213">
        <v>156</v>
      </c>
      <c r="CN51" s="213">
        <v>405</v>
      </c>
      <c r="CO51" s="213">
        <v>154</v>
      </c>
      <c r="CP51" s="213" t="s">
        <v>710</v>
      </c>
      <c r="CQ51" s="213">
        <v>0</v>
      </c>
      <c r="CR51" s="213">
        <v>40</v>
      </c>
      <c r="CS51" s="213" t="s">
        <v>739</v>
      </c>
      <c r="CT51" s="213" t="s">
        <v>740</v>
      </c>
      <c r="CU51" s="213">
        <v>129</v>
      </c>
      <c r="CV51" s="213">
        <v>129</v>
      </c>
      <c r="CW51" s="213">
        <v>128</v>
      </c>
      <c r="CX51" s="213" t="s">
        <v>710</v>
      </c>
      <c r="CY51" s="213" t="s">
        <v>741</v>
      </c>
      <c r="CZ51" s="213" t="s">
        <v>740</v>
      </c>
      <c r="DA51" s="213">
        <v>110</v>
      </c>
      <c r="DB51" s="213">
        <v>110</v>
      </c>
      <c r="DC51" s="213">
        <v>110</v>
      </c>
      <c r="DD51" s="213" t="s">
        <v>710</v>
      </c>
      <c r="DE51" s="213" t="s">
        <v>742</v>
      </c>
      <c r="DF51" s="213" t="s">
        <v>743</v>
      </c>
      <c r="DG51" s="213">
        <v>0</v>
      </c>
      <c r="DH51" s="213">
        <v>0</v>
      </c>
      <c r="DI51" s="213">
        <v>0</v>
      </c>
      <c r="DJ51" s="213" t="s">
        <v>249</v>
      </c>
      <c r="DM51" s="213" t="s">
        <v>744</v>
      </c>
      <c r="DN51" s="213" t="s">
        <v>743</v>
      </c>
      <c r="DO51" s="213">
        <v>0</v>
      </c>
      <c r="DP51" s="213">
        <v>0</v>
      </c>
      <c r="DQ51" s="213">
        <v>0</v>
      </c>
      <c r="DR51" s="213" t="s">
        <v>249</v>
      </c>
      <c r="DU51" s="213" t="s">
        <v>745</v>
      </c>
      <c r="DV51" s="213" t="s">
        <v>743</v>
      </c>
      <c r="DW51" s="213">
        <v>0</v>
      </c>
      <c r="DX51" s="213">
        <v>0</v>
      </c>
      <c r="DY51" s="213">
        <v>0</v>
      </c>
      <c r="DZ51" s="213" t="s">
        <v>249</v>
      </c>
      <c r="EC51" s="213" t="s">
        <v>746</v>
      </c>
      <c r="ED51" s="213" t="s">
        <v>743</v>
      </c>
      <c r="EE51" s="213">
        <v>0</v>
      </c>
      <c r="EF51" s="213">
        <v>0</v>
      </c>
      <c r="EG51" s="213">
        <v>0</v>
      </c>
      <c r="EH51" s="213" t="s">
        <v>249</v>
      </c>
      <c r="EK51" s="213" t="s">
        <v>747</v>
      </c>
      <c r="EL51" s="213" t="s">
        <v>743</v>
      </c>
      <c r="EM51" s="213">
        <v>0</v>
      </c>
      <c r="EN51" s="213">
        <v>0</v>
      </c>
      <c r="EO51" s="213">
        <v>0</v>
      </c>
      <c r="EP51" s="213" t="s">
        <v>249</v>
      </c>
      <c r="ES51" s="213" t="s">
        <v>748</v>
      </c>
      <c r="ET51" s="213" t="s">
        <v>743</v>
      </c>
      <c r="EU51" s="213">
        <v>0</v>
      </c>
      <c r="EV51" s="213">
        <v>0</v>
      </c>
      <c r="EW51" s="213">
        <v>0</v>
      </c>
      <c r="EX51" s="213" t="s">
        <v>249</v>
      </c>
      <c r="FA51" s="213" t="s">
        <v>749</v>
      </c>
      <c r="FB51" s="213" t="s">
        <v>743</v>
      </c>
      <c r="FC51" s="213">
        <v>0</v>
      </c>
      <c r="FD51" s="213">
        <v>0</v>
      </c>
      <c r="FE51" s="213">
        <v>0</v>
      </c>
      <c r="FF51" s="213" t="s">
        <v>249</v>
      </c>
      <c r="FI51" s="213" t="s">
        <v>750</v>
      </c>
      <c r="FJ51" s="213" t="s">
        <v>743</v>
      </c>
      <c r="FK51" s="213">
        <v>0</v>
      </c>
      <c r="FL51" s="213">
        <v>0</v>
      </c>
      <c r="FM51" s="213">
        <v>0</v>
      </c>
      <c r="FN51" s="213" t="s">
        <v>249</v>
      </c>
      <c r="FQ51" s="213" t="s">
        <v>751</v>
      </c>
      <c r="FR51" s="213" t="s">
        <v>743</v>
      </c>
      <c r="FS51" s="213">
        <v>0</v>
      </c>
      <c r="FT51" s="213">
        <v>0</v>
      </c>
      <c r="FU51" s="213">
        <v>0</v>
      </c>
      <c r="FV51" s="213" t="s">
        <v>249</v>
      </c>
      <c r="FY51" s="213">
        <v>17.899999999999999</v>
      </c>
      <c r="FZ51" s="213">
        <v>-9</v>
      </c>
      <c r="GF51" s="213" t="s">
        <v>752</v>
      </c>
    </row>
    <row r="52" spans="1:188" s="213" customFormat="1" x14ac:dyDescent="0.15">
      <c r="A52" s="213" t="s">
        <v>654</v>
      </c>
      <c r="B52" s="213">
        <v>4</v>
      </c>
      <c r="C52" s="213" t="s">
        <v>976</v>
      </c>
      <c r="D52" s="213">
        <v>614346890</v>
      </c>
      <c r="E52" s="213">
        <v>92303</v>
      </c>
      <c r="F52" s="213" t="s">
        <v>725</v>
      </c>
      <c r="G52" s="213">
        <v>847922</v>
      </c>
      <c r="H52" s="213">
        <v>886194</v>
      </c>
      <c r="I52" s="213">
        <v>6.8</v>
      </c>
      <c r="J52" s="213" t="s">
        <v>977</v>
      </c>
      <c r="K52" s="213" t="s">
        <v>727</v>
      </c>
      <c r="L52" s="213" t="s">
        <v>656</v>
      </c>
      <c r="M52" s="213" t="s">
        <v>728</v>
      </c>
      <c r="N52" s="213" t="s">
        <v>728</v>
      </c>
      <c r="O52" s="213" t="s">
        <v>729</v>
      </c>
      <c r="P52" s="213" t="s">
        <v>710</v>
      </c>
      <c r="Q52" s="213">
        <v>25</v>
      </c>
      <c r="R52" s="213">
        <v>146</v>
      </c>
      <c r="S52" s="213" t="s">
        <v>710</v>
      </c>
      <c r="T52" s="213">
        <v>-9999</v>
      </c>
      <c r="U52" s="213">
        <v>214</v>
      </c>
      <c r="V52" s="213">
        <v>466</v>
      </c>
      <c r="W52" s="213">
        <v>200</v>
      </c>
      <c r="X52" s="213" t="s">
        <v>710</v>
      </c>
      <c r="Y52" s="213">
        <v>0</v>
      </c>
      <c r="Z52" s="213">
        <v>40</v>
      </c>
      <c r="AA52" s="213" t="s">
        <v>730</v>
      </c>
      <c r="AB52" s="213" t="s">
        <v>731</v>
      </c>
      <c r="AC52" s="213" t="s">
        <v>729</v>
      </c>
      <c r="AD52" s="213" t="s">
        <v>732</v>
      </c>
      <c r="AE52" s="213">
        <v>0</v>
      </c>
      <c r="AF52" s="213">
        <v>10</v>
      </c>
      <c r="AG52" s="213" t="s">
        <v>249</v>
      </c>
      <c r="AH52" s="213">
        <v>-9999</v>
      </c>
      <c r="AI52" s="213">
        <v>182</v>
      </c>
      <c r="AJ52" s="213">
        <v>434</v>
      </c>
      <c r="AK52" s="213">
        <v>177</v>
      </c>
      <c r="AL52" s="213" t="s">
        <v>710</v>
      </c>
      <c r="AM52" s="213">
        <v>0</v>
      </c>
      <c r="AN52" s="213">
        <v>40</v>
      </c>
      <c r="AO52" s="213" t="s">
        <v>733</v>
      </c>
      <c r="AP52" s="213" t="s">
        <v>734</v>
      </c>
      <c r="AQ52" s="213">
        <v>1</v>
      </c>
      <c r="AR52" s="213" t="s">
        <v>735</v>
      </c>
      <c r="AS52" s="213">
        <v>0</v>
      </c>
      <c r="AT52" s="213">
        <v>7</v>
      </c>
      <c r="AU52" s="213" t="s">
        <v>249</v>
      </c>
      <c r="AV52" s="213">
        <v>-9999</v>
      </c>
      <c r="AW52" s="213">
        <v>243</v>
      </c>
      <c r="AX52" s="213">
        <v>595</v>
      </c>
      <c r="AY52" s="213">
        <v>230</v>
      </c>
      <c r="AZ52" s="213" t="s">
        <v>710</v>
      </c>
      <c r="BA52" s="213">
        <v>0</v>
      </c>
      <c r="BB52" s="213">
        <v>40</v>
      </c>
      <c r="BC52" s="213" t="s">
        <v>736</v>
      </c>
      <c r="BD52" s="213" t="s">
        <v>734</v>
      </c>
      <c r="BE52" s="213">
        <v>2</v>
      </c>
      <c r="BF52" s="213" t="s">
        <v>735</v>
      </c>
      <c r="BG52" s="213">
        <v>0</v>
      </c>
      <c r="BH52" s="213">
        <v>2</v>
      </c>
      <c r="BI52" s="213" t="s">
        <v>249</v>
      </c>
      <c r="BJ52" s="213">
        <v>-9999</v>
      </c>
      <c r="BK52" s="213">
        <v>110</v>
      </c>
      <c r="BL52" s="213">
        <v>339</v>
      </c>
      <c r="BM52" s="213">
        <v>109</v>
      </c>
      <c r="BN52" s="213" t="s">
        <v>710</v>
      </c>
      <c r="BO52" s="213">
        <v>0</v>
      </c>
      <c r="BP52" s="213">
        <v>40</v>
      </c>
      <c r="BQ52" s="213" t="s">
        <v>737</v>
      </c>
      <c r="BR52" s="213" t="s">
        <v>734</v>
      </c>
      <c r="BS52" s="213">
        <v>3</v>
      </c>
      <c r="BT52" s="213" t="s">
        <v>735</v>
      </c>
      <c r="BU52" s="213">
        <v>0</v>
      </c>
      <c r="BV52" s="213">
        <v>-1</v>
      </c>
      <c r="BW52" s="213" t="s">
        <v>249</v>
      </c>
      <c r="BX52" s="213">
        <v>-9999</v>
      </c>
      <c r="BY52" s="213">
        <v>194</v>
      </c>
      <c r="BZ52" s="213">
        <v>454</v>
      </c>
      <c r="CA52" s="213">
        <v>195</v>
      </c>
      <c r="CB52" s="213" t="s">
        <v>710</v>
      </c>
      <c r="CC52" s="213">
        <v>0</v>
      </c>
      <c r="CD52" s="213">
        <v>40</v>
      </c>
      <c r="CE52" s="213" t="s">
        <v>738</v>
      </c>
      <c r="CF52" s="213" t="s">
        <v>734</v>
      </c>
      <c r="CG52" s="213">
        <v>4</v>
      </c>
      <c r="CH52" s="213" t="s">
        <v>735</v>
      </c>
      <c r="CI52" s="213">
        <v>0</v>
      </c>
      <c r="CJ52" s="213">
        <v>8</v>
      </c>
      <c r="CK52" s="213" t="s">
        <v>249</v>
      </c>
      <c r="CL52" s="213">
        <v>-9999</v>
      </c>
      <c r="CM52" s="213">
        <v>138</v>
      </c>
      <c r="CN52" s="213">
        <v>357</v>
      </c>
      <c r="CO52" s="213">
        <v>135</v>
      </c>
      <c r="CP52" s="213" t="s">
        <v>710</v>
      </c>
      <c r="CQ52" s="213">
        <v>0</v>
      </c>
      <c r="CR52" s="213">
        <v>40</v>
      </c>
      <c r="CS52" s="213" t="s">
        <v>739</v>
      </c>
      <c r="CT52" s="213" t="s">
        <v>740</v>
      </c>
      <c r="CU52" s="213">
        <v>130</v>
      </c>
      <c r="CV52" s="213">
        <v>129</v>
      </c>
      <c r="CW52" s="213">
        <v>128</v>
      </c>
      <c r="CX52" s="213" t="s">
        <v>710</v>
      </c>
      <c r="CY52" s="213" t="s">
        <v>741</v>
      </c>
      <c r="CZ52" s="213" t="s">
        <v>740</v>
      </c>
      <c r="DA52" s="213">
        <v>128</v>
      </c>
      <c r="DB52" s="213">
        <v>128</v>
      </c>
      <c r="DC52" s="213">
        <v>127</v>
      </c>
      <c r="DD52" s="213" t="s">
        <v>710</v>
      </c>
      <c r="DE52" s="213" t="s">
        <v>742</v>
      </c>
      <c r="DF52" s="213" t="s">
        <v>743</v>
      </c>
      <c r="DG52" s="213">
        <v>0</v>
      </c>
      <c r="DH52" s="213">
        <v>0</v>
      </c>
      <c r="DI52" s="213">
        <v>0</v>
      </c>
      <c r="DJ52" s="213" t="s">
        <v>249</v>
      </c>
      <c r="DM52" s="213" t="s">
        <v>744</v>
      </c>
      <c r="DN52" s="213" t="s">
        <v>743</v>
      </c>
      <c r="DO52" s="213">
        <v>0</v>
      </c>
      <c r="DP52" s="213">
        <v>0</v>
      </c>
      <c r="DQ52" s="213">
        <v>0</v>
      </c>
      <c r="DR52" s="213" t="s">
        <v>249</v>
      </c>
      <c r="DU52" s="213" t="s">
        <v>745</v>
      </c>
      <c r="DV52" s="213" t="s">
        <v>743</v>
      </c>
      <c r="DW52" s="213">
        <v>0</v>
      </c>
      <c r="DX52" s="213">
        <v>0</v>
      </c>
      <c r="DY52" s="213">
        <v>0</v>
      </c>
      <c r="DZ52" s="213" t="s">
        <v>249</v>
      </c>
      <c r="EC52" s="213" t="s">
        <v>746</v>
      </c>
      <c r="ED52" s="213" t="s">
        <v>743</v>
      </c>
      <c r="EE52" s="213">
        <v>0</v>
      </c>
      <c r="EF52" s="213">
        <v>0</v>
      </c>
      <c r="EG52" s="213">
        <v>0</v>
      </c>
      <c r="EH52" s="213" t="s">
        <v>249</v>
      </c>
      <c r="EK52" s="213" t="s">
        <v>747</v>
      </c>
      <c r="EL52" s="213" t="s">
        <v>743</v>
      </c>
      <c r="EM52" s="213">
        <v>0</v>
      </c>
      <c r="EN52" s="213">
        <v>0</v>
      </c>
      <c r="EO52" s="213">
        <v>0</v>
      </c>
      <c r="EP52" s="213" t="s">
        <v>249</v>
      </c>
      <c r="ES52" s="213" t="s">
        <v>748</v>
      </c>
      <c r="ET52" s="213" t="s">
        <v>743</v>
      </c>
      <c r="EU52" s="213">
        <v>0</v>
      </c>
      <c r="EV52" s="213">
        <v>0</v>
      </c>
      <c r="EW52" s="213">
        <v>0</v>
      </c>
      <c r="EX52" s="213" t="s">
        <v>249</v>
      </c>
      <c r="FA52" s="213" t="s">
        <v>749</v>
      </c>
      <c r="FB52" s="213" t="s">
        <v>743</v>
      </c>
      <c r="FC52" s="213">
        <v>0</v>
      </c>
      <c r="FD52" s="213">
        <v>0</v>
      </c>
      <c r="FE52" s="213">
        <v>0</v>
      </c>
      <c r="FF52" s="213" t="s">
        <v>249</v>
      </c>
      <c r="FI52" s="213" t="s">
        <v>750</v>
      </c>
      <c r="FJ52" s="213" t="s">
        <v>743</v>
      </c>
      <c r="FK52" s="213">
        <v>0</v>
      </c>
      <c r="FL52" s="213">
        <v>0</v>
      </c>
      <c r="FM52" s="213">
        <v>0</v>
      </c>
      <c r="FN52" s="213" t="s">
        <v>249</v>
      </c>
      <c r="FQ52" s="213" t="s">
        <v>751</v>
      </c>
      <c r="FR52" s="213" t="s">
        <v>743</v>
      </c>
      <c r="FS52" s="213">
        <v>0</v>
      </c>
      <c r="FT52" s="213">
        <v>0</v>
      </c>
      <c r="FU52" s="213">
        <v>0</v>
      </c>
      <c r="FV52" s="213" t="s">
        <v>249</v>
      </c>
      <c r="FY52" s="213">
        <v>18.3</v>
      </c>
      <c r="FZ52" s="213">
        <v>-6.7</v>
      </c>
      <c r="GF52" s="213" t="s">
        <v>752</v>
      </c>
    </row>
    <row r="53" spans="1:188" s="213" customFormat="1" x14ac:dyDescent="0.15">
      <c r="A53" s="213" t="s">
        <v>654</v>
      </c>
      <c r="B53" s="213">
        <v>4</v>
      </c>
      <c r="C53" s="213" t="s">
        <v>978</v>
      </c>
      <c r="D53" s="213">
        <v>614347344</v>
      </c>
      <c r="E53" s="213">
        <v>92303</v>
      </c>
      <c r="F53" s="213" t="s">
        <v>725</v>
      </c>
      <c r="G53" s="213">
        <v>847922</v>
      </c>
      <c r="H53" s="213">
        <v>797004</v>
      </c>
      <c r="I53" s="213">
        <v>6.8</v>
      </c>
      <c r="J53" s="213" t="s">
        <v>979</v>
      </c>
      <c r="K53" s="213" t="s">
        <v>727</v>
      </c>
      <c r="L53" s="213" t="s">
        <v>656</v>
      </c>
      <c r="M53" s="213" t="s">
        <v>728</v>
      </c>
      <c r="N53" s="213" t="s">
        <v>728</v>
      </c>
      <c r="O53" s="213" t="s">
        <v>729</v>
      </c>
      <c r="P53" s="213" t="s">
        <v>710</v>
      </c>
      <c r="Q53" s="213">
        <v>25.8</v>
      </c>
      <c r="R53" s="213">
        <v>149</v>
      </c>
      <c r="S53" s="213" t="s">
        <v>710</v>
      </c>
      <c r="T53" s="213">
        <v>-9999</v>
      </c>
      <c r="U53" s="213">
        <v>233</v>
      </c>
      <c r="V53" s="213">
        <v>517</v>
      </c>
      <c r="W53" s="213">
        <v>226</v>
      </c>
      <c r="X53" s="213" t="s">
        <v>710</v>
      </c>
      <c r="Y53" s="213">
        <v>0</v>
      </c>
      <c r="Z53" s="213">
        <v>40</v>
      </c>
      <c r="AA53" s="213" t="s">
        <v>730</v>
      </c>
      <c r="AB53" s="213" t="s">
        <v>731</v>
      </c>
      <c r="AC53" s="213" t="s">
        <v>729</v>
      </c>
      <c r="AD53" s="213" t="s">
        <v>732</v>
      </c>
      <c r="AE53" s="213">
        <v>0</v>
      </c>
      <c r="AF53" s="213">
        <v>4</v>
      </c>
      <c r="AG53" s="213" t="s">
        <v>249</v>
      </c>
      <c r="AH53" s="213">
        <v>-9999</v>
      </c>
      <c r="AI53" s="213">
        <v>211</v>
      </c>
      <c r="AJ53" s="213">
        <v>501</v>
      </c>
      <c r="AK53" s="213">
        <v>208</v>
      </c>
      <c r="AL53" s="213" t="s">
        <v>710</v>
      </c>
      <c r="AM53" s="213">
        <v>0</v>
      </c>
      <c r="AN53" s="213">
        <v>40</v>
      </c>
      <c r="AO53" s="213" t="s">
        <v>733</v>
      </c>
      <c r="AP53" s="213" t="s">
        <v>734</v>
      </c>
      <c r="AQ53" s="213">
        <v>1</v>
      </c>
      <c r="AR53" s="213" t="s">
        <v>735</v>
      </c>
      <c r="AS53" s="213">
        <v>0</v>
      </c>
      <c r="AT53" s="213">
        <v>7</v>
      </c>
      <c r="AU53" s="213" t="s">
        <v>249</v>
      </c>
      <c r="AV53" s="213">
        <v>-9999</v>
      </c>
      <c r="AW53" s="213">
        <v>267</v>
      </c>
      <c r="AX53" s="213">
        <v>660</v>
      </c>
      <c r="AY53" s="213">
        <v>263</v>
      </c>
      <c r="AZ53" s="213" t="s">
        <v>710</v>
      </c>
      <c r="BA53" s="213">
        <v>0</v>
      </c>
      <c r="BB53" s="213">
        <v>40</v>
      </c>
      <c r="BC53" s="213" t="s">
        <v>736</v>
      </c>
      <c r="BD53" s="213" t="s">
        <v>734</v>
      </c>
      <c r="BE53" s="213">
        <v>2</v>
      </c>
      <c r="BF53" s="213" t="s">
        <v>735</v>
      </c>
      <c r="BG53" s="213">
        <v>0</v>
      </c>
      <c r="BH53" s="213">
        <v>1</v>
      </c>
      <c r="BI53" s="213" t="s">
        <v>249</v>
      </c>
      <c r="BJ53" s="213">
        <v>-9999</v>
      </c>
      <c r="BK53" s="213">
        <v>113</v>
      </c>
      <c r="BL53" s="213">
        <v>342</v>
      </c>
      <c r="BM53" s="213">
        <v>111</v>
      </c>
      <c r="BN53" s="213" t="s">
        <v>710</v>
      </c>
      <c r="BO53" s="213">
        <v>0</v>
      </c>
      <c r="BP53" s="213">
        <v>40</v>
      </c>
      <c r="BQ53" s="213" t="s">
        <v>737</v>
      </c>
      <c r="BR53" s="213" t="s">
        <v>734</v>
      </c>
      <c r="BS53" s="213">
        <v>3</v>
      </c>
      <c r="BT53" s="213" t="s">
        <v>735</v>
      </c>
      <c r="BU53" s="213">
        <v>0</v>
      </c>
      <c r="BV53" s="213">
        <v>5</v>
      </c>
      <c r="BW53" s="213" t="s">
        <v>249</v>
      </c>
      <c r="BX53" s="213">
        <v>-9999</v>
      </c>
      <c r="BY53" s="213">
        <v>182</v>
      </c>
      <c r="BZ53" s="213">
        <v>441</v>
      </c>
      <c r="CA53" s="213">
        <v>180</v>
      </c>
      <c r="CB53" s="213" t="s">
        <v>710</v>
      </c>
      <c r="CC53" s="213">
        <v>0</v>
      </c>
      <c r="CD53" s="213">
        <v>40</v>
      </c>
      <c r="CE53" s="213" t="s">
        <v>738</v>
      </c>
      <c r="CF53" s="213" t="s">
        <v>734</v>
      </c>
      <c r="CG53" s="213">
        <v>4</v>
      </c>
      <c r="CH53" s="213" t="s">
        <v>735</v>
      </c>
      <c r="CI53" s="213">
        <v>0</v>
      </c>
      <c r="CJ53" s="213">
        <v>4</v>
      </c>
      <c r="CK53" s="213" t="s">
        <v>249</v>
      </c>
      <c r="CL53" s="213">
        <v>-9999</v>
      </c>
      <c r="CM53" s="213">
        <v>147</v>
      </c>
      <c r="CN53" s="213">
        <v>383</v>
      </c>
      <c r="CO53" s="213">
        <v>144</v>
      </c>
      <c r="CP53" s="213" t="s">
        <v>710</v>
      </c>
      <c r="CQ53" s="213">
        <v>0</v>
      </c>
      <c r="CR53" s="213">
        <v>40</v>
      </c>
      <c r="CS53" s="213" t="s">
        <v>739</v>
      </c>
      <c r="CT53" s="213" t="s">
        <v>740</v>
      </c>
      <c r="CU53" s="213">
        <v>118</v>
      </c>
      <c r="CV53" s="213">
        <v>117</v>
      </c>
      <c r="CW53" s="213">
        <v>117</v>
      </c>
      <c r="CX53" s="213" t="s">
        <v>710</v>
      </c>
      <c r="CY53" s="213" t="s">
        <v>741</v>
      </c>
      <c r="CZ53" s="213" t="s">
        <v>740</v>
      </c>
      <c r="DA53" s="213">
        <v>110</v>
      </c>
      <c r="DB53" s="213">
        <v>110</v>
      </c>
      <c r="DC53" s="213">
        <v>110</v>
      </c>
      <c r="DD53" s="213" t="s">
        <v>710</v>
      </c>
      <c r="DE53" s="213" t="s">
        <v>742</v>
      </c>
      <c r="DF53" s="213" t="s">
        <v>743</v>
      </c>
      <c r="DG53" s="213">
        <v>0</v>
      </c>
      <c r="DH53" s="213">
        <v>0</v>
      </c>
      <c r="DI53" s="213">
        <v>0</v>
      </c>
      <c r="DJ53" s="213" t="s">
        <v>249</v>
      </c>
      <c r="DM53" s="213" t="s">
        <v>744</v>
      </c>
      <c r="DN53" s="213" t="s">
        <v>743</v>
      </c>
      <c r="DO53" s="213">
        <v>0</v>
      </c>
      <c r="DP53" s="213">
        <v>0</v>
      </c>
      <c r="DQ53" s="213">
        <v>0</v>
      </c>
      <c r="DR53" s="213" t="s">
        <v>249</v>
      </c>
      <c r="DU53" s="213" t="s">
        <v>745</v>
      </c>
      <c r="DV53" s="213" t="s">
        <v>743</v>
      </c>
      <c r="DW53" s="213">
        <v>0</v>
      </c>
      <c r="DX53" s="213">
        <v>0</v>
      </c>
      <c r="DY53" s="213">
        <v>0</v>
      </c>
      <c r="DZ53" s="213" t="s">
        <v>249</v>
      </c>
      <c r="EC53" s="213" t="s">
        <v>746</v>
      </c>
      <c r="ED53" s="213" t="s">
        <v>743</v>
      </c>
      <c r="EE53" s="213">
        <v>0</v>
      </c>
      <c r="EF53" s="213">
        <v>0</v>
      </c>
      <c r="EG53" s="213">
        <v>0</v>
      </c>
      <c r="EH53" s="213" t="s">
        <v>249</v>
      </c>
      <c r="EK53" s="213" t="s">
        <v>747</v>
      </c>
      <c r="EL53" s="213" t="s">
        <v>743</v>
      </c>
      <c r="EM53" s="213">
        <v>0</v>
      </c>
      <c r="EN53" s="213">
        <v>0</v>
      </c>
      <c r="EO53" s="213">
        <v>0</v>
      </c>
      <c r="EP53" s="213" t="s">
        <v>249</v>
      </c>
      <c r="ES53" s="213" t="s">
        <v>748</v>
      </c>
      <c r="ET53" s="213" t="s">
        <v>743</v>
      </c>
      <c r="EU53" s="213">
        <v>0</v>
      </c>
      <c r="EV53" s="213">
        <v>0</v>
      </c>
      <c r="EW53" s="213">
        <v>0</v>
      </c>
      <c r="EX53" s="213" t="s">
        <v>249</v>
      </c>
      <c r="FA53" s="213" t="s">
        <v>749</v>
      </c>
      <c r="FB53" s="213" t="s">
        <v>743</v>
      </c>
      <c r="FC53" s="213">
        <v>0</v>
      </c>
      <c r="FD53" s="213">
        <v>0</v>
      </c>
      <c r="FE53" s="213">
        <v>0</v>
      </c>
      <c r="FF53" s="213" t="s">
        <v>249</v>
      </c>
      <c r="FI53" s="213" t="s">
        <v>750</v>
      </c>
      <c r="FJ53" s="213" t="s">
        <v>743</v>
      </c>
      <c r="FK53" s="213">
        <v>0</v>
      </c>
      <c r="FL53" s="213">
        <v>0</v>
      </c>
      <c r="FM53" s="213">
        <v>0</v>
      </c>
      <c r="FN53" s="213" t="s">
        <v>249</v>
      </c>
      <c r="FQ53" s="213" t="s">
        <v>751</v>
      </c>
      <c r="FR53" s="213" t="s">
        <v>743</v>
      </c>
      <c r="FS53" s="213">
        <v>0</v>
      </c>
      <c r="FT53" s="213">
        <v>0</v>
      </c>
      <c r="FU53" s="213">
        <v>0</v>
      </c>
      <c r="FV53" s="213" t="s">
        <v>249</v>
      </c>
      <c r="FY53" s="213">
        <v>28.2</v>
      </c>
      <c r="FZ53" s="213">
        <v>-15.4</v>
      </c>
      <c r="GF53" s="213" t="s">
        <v>752</v>
      </c>
    </row>
    <row r="54" spans="1:188" s="213" customFormat="1" x14ac:dyDescent="0.15">
      <c r="A54" s="213" t="s">
        <v>654</v>
      </c>
      <c r="B54" s="213">
        <v>4</v>
      </c>
      <c r="C54" s="213" t="s">
        <v>980</v>
      </c>
      <c r="D54" s="213">
        <v>614347612</v>
      </c>
      <c r="E54" s="213">
        <v>92303</v>
      </c>
      <c r="F54" s="213" t="s">
        <v>725</v>
      </c>
      <c r="G54" s="213">
        <v>847922</v>
      </c>
      <c r="H54" s="213">
        <v>742313</v>
      </c>
      <c r="I54" s="213">
        <v>6.8</v>
      </c>
      <c r="J54" s="213" t="s">
        <v>981</v>
      </c>
      <c r="K54" s="213" t="s">
        <v>727</v>
      </c>
      <c r="L54" s="213" t="s">
        <v>656</v>
      </c>
      <c r="M54" s="213" t="s">
        <v>728</v>
      </c>
      <c r="N54" s="213" t="s">
        <v>728</v>
      </c>
      <c r="O54" s="213" t="s">
        <v>729</v>
      </c>
      <c r="P54" s="213" t="s">
        <v>710</v>
      </c>
      <c r="Q54" s="213">
        <v>24</v>
      </c>
      <c r="R54" s="213">
        <v>154</v>
      </c>
      <c r="S54" s="213" t="s">
        <v>710</v>
      </c>
      <c r="T54" s="213">
        <v>-9999</v>
      </c>
      <c r="U54" s="213">
        <v>220</v>
      </c>
      <c r="V54" s="213">
        <v>468</v>
      </c>
      <c r="W54" s="213">
        <v>210</v>
      </c>
      <c r="X54" s="213" t="s">
        <v>710</v>
      </c>
      <c r="Y54" s="213">
        <v>0</v>
      </c>
      <c r="Z54" s="213">
        <v>40</v>
      </c>
      <c r="AA54" s="213" t="s">
        <v>730</v>
      </c>
      <c r="AB54" s="213" t="s">
        <v>731</v>
      </c>
      <c r="AC54" s="213" t="s">
        <v>729</v>
      </c>
      <c r="AD54" s="213" t="s">
        <v>732</v>
      </c>
      <c r="AE54" s="213">
        <v>0</v>
      </c>
      <c r="AF54" s="213">
        <v>5</v>
      </c>
      <c r="AG54" s="213" t="s">
        <v>249</v>
      </c>
      <c r="AH54" s="213">
        <v>-9999</v>
      </c>
      <c r="AI54" s="213">
        <v>210</v>
      </c>
      <c r="AJ54" s="213">
        <v>497</v>
      </c>
      <c r="AK54" s="213">
        <v>205</v>
      </c>
      <c r="AL54" s="213" t="s">
        <v>710</v>
      </c>
      <c r="AM54" s="213">
        <v>0</v>
      </c>
      <c r="AN54" s="213">
        <v>40</v>
      </c>
      <c r="AO54" s="213" t="s">
        <v>733</v>
      </c>
      <c r="AP54" s="213" t="s">
        <v>734</v>
      </c>
      <c r="AQ54" s="213">
        <v>1</v>
      </c>
      <c r="AR54" s="213" t="s">
        <v>735</v>
      </c>
      <c r="AS54" s="213">
        <v>0</v>
      </c>
      <c r="AT54" s="213">
        <v>10</v>
      </c>
      <c r="AU54" s="213" t="s">
        <v>249</v>
      </c>
      <c r="AV54" s="213">
        <v>-9999</v>
      </c>
      <c r="AW54" s="213">
        <v>256</v>
      </c>
      <c r="AX54" s="213">
        <v>619</v>
      </c>
      <c r="AY54" s="213">
        <v>250</v>
      </c>
      <c r="AZ54" s="213" t="s">
        <v>710</v>
      </c>
      <c r="BA54" s="213">
        <v>0</v>
      </c>
      <c r="BB54" s="213">
        <v>40</v>
      </c>
      <c r="BC54" s="213" t="s">
        <v>736</v>
      </c>
      <c r="BD54" s="213" t="s">
        <v>734</v>
      </c>
      <c r="BE54" s="213">
        <v>2</v>
      </c>
      <c r="BF54" s="213" t="s">
        <v>735</v>
      </c>
      <c r="BG54" s="213">
        <v>0</v>
      </c>
      <c r="BH54" s="213">
        <v>0</v>
      </c>
      <c r="BI54" s="213" t="s">
        <v>249</v>
      </c>
      <c r="BJ54" s="213">
        <v>-9999</v>
      </c>
      <c r="BK54" s="213">
        <v>112</v>
      </c>
      <c r="BL54" s="213">
        <v>344</v>
      </c>
      <c r="BM54" s="213">
        <v>110</v>
      </c>
      <c r="BN54" s="213" t="s">
        <v>710</v>
      </c>
      <c r="BO54" s="213">
        <v>0</v>
      </c>
      <c r="BP54" s="213">
        <v>40</v>
      </c>
      <c r="BQ54" s="213" t="s">
        <v>737</v>
      </c>
      <c r="BR54" s="213" t="s">
        <v>734</v>
      </c>
      <c r="BS54" s="213">
        <v>3</v>
      </c>
      <c r="BT54" s="213" t="s">
        <v>735</v>
      </c>
      <c r="BU54" s="213">
        <v>0</v>
      </c>
      <c r="BV54" s="213">
        <v>7</v>
      </c>
      <c r="BW54" s="213" t="s">
        <v>249</v>
      </c>
      <c r="BX54" s="213">
        <v>-9999</v>
      </c>
      <c r="BY54" s="213">
        <v>160</v>
      </c>
      <c r="BZ54" s="213">
        <v>382</v>
      </c>
      <c r="CA54" s="213">
        <v>158</v>
      </c>
      <c r="CB54" s="213" t="s">
        <v>710</v>
      </c>
      <c r="CC54" s="213">
        <v>0</v>
      </c>
      <c r="CD54" s="213">
        <v>40</v>
      </c>
      <c r="CE54" s="213" t="s">
        <v>738</v>
      </c>
      <c r="CF54" s="213" t="s">
        <v>734</v>
      </c>
      <c r="CG54" s="213">
        <v>4</v>
      </c>
      <c r="CH54" s="213" t="s">
        <v>735</v>
      </c>
      <c r="CI54" s="213">
        <v>0</v>
      </c>
      <c r="CJ54" s="213">
        <v>6</v>
      </c>
      <c r="CK54" s="213" t="s">
        <v>249</v>
      </c>
      <c r="CL54" s="213">
        <v>-9999</v>
      </c>
      <c r="CM54" s="213">
        <v>149</v>
      </c>
      <c r="CN54" s="213">
        <v>401</v>
      </c>
      <c r="CO54" s="213">
        <v>145</v>
      </c>
      <c r="CP54" s="213" t="s">
        <v>710</v>
      </c>
      <c r="CQ54" s="213">
        <v>0</v>
      </c>
      <c r="CR54" s="213">
        <v>40</v>
      </c>
      <c r="CS54" s="213" t="s">
        <v>739</v>
      </c>
      <c r="CT54" s="213" t="s">
        <v>740</v>
      </c>
      <c r="CU54" s="213">
        <v>112</v>
      </c>
      <c r="CV54" s="213">
        <v>111</v>
      </c>
      <c r="CW54" s="213">
        <v>111</v>
      </c>
      <c r="CX54" s="213" t="s">
        <v>710</v>
      </c>
      <c r="CY54" s="213" t="s">
        <v>741</v>
      </c>
      <c r="CZ54" s="213" t="s">
        <v>740</v>
      </c>
      <c r="DA54" s="213">
        <v>109</v>
      </c>
      <c r="DB54" s="213">
        <v>109</v>
      </c>
      <c r="DC54" s="213">
        <v>109</v>
      </c>
      <c r="DD54" s="213" t="s">
        <v>710</v>
      </c>
      <c r="DE54" s="213" t="s">
        <v>742</v>
      </c>
      <c r="DF54" s="213" t="s">
        <v>743</v>
      </c>
      <c r="DG54" s="213">
        <v>0</v>
      </c>
      <c r="DH54" s="213">
        <v>0</v>
      </c>
      <c r="DI54" s="213">
        <v>0</v>
      </c>
      <c r="DJ54" s="213" t="s">
        <v>249</v>
      </c>
      <c r="DM54" s="213" t="s">
        <v>744</v>
      </c>
      <c r="DN54" s="213" t="s">
        <v>743</v>
      </c>
      <c r="DO54" s="213">
        <v>0</v>
      </c>
      <c r="DP54" s="213">
        <v>0</v>
      </c>
      <c r="DQ54" s="213">
        <v>0</v>
      </c>
      <c r="DR54" s="213" t="s">
        <v>249</v>
      </c>
      <c r="DU54" s="213" t="s">
        <v>745</v>
      </c>
      <c r="DV54" s="213" t="s">
        <v>743</v>
      </c>
      <c r="DW54" s="213">
        <v>0</v>
      </c>
      <c r="DX54" s="213">
        <v>0</v>
      </c>
      <c r="DY54" s="213">
        <v>0</v>
      </c>
      <c r="DZ54" s="213" t="s">
        <v>249</v>
      </c>
      <c r="EC54" s="213" t="s">
        <v>746</v>
      </c>
      <c r="ED54" s="213" t="s">
        <v>743</v>
      </c>
      <c r="EE54" s="213">
        <v>0</v>
      </c>
      <c r="EF54" s="213">
        <v>0</v>
      </c>
      <c r="EG54" s="213">
        <v>0</v>
      </c>
      <c r="EH54" s="213" t="s">
        <v>249</v>
      </c>
      <c r="EK54" s="213" t="s">
        <v>747</v>
      </c>
      <c r="EL54" s="213" t="s">
        <v>743</v>
      </c>
      <c r="EM54" s="213">
        <v>0</v>
      </c>
      <c r="EN54" s="213">
        <v>0</v>
      </c>
      <c r="EO54" s="213">
        <v>0</v>
      </c>
      <c r="EP54" s="213" t="s">
        <v>249</v>
      </c>
      <c r="ES54" s="213" t="s">
        <v>748</v>
      </c>
      <c r="ET54" s="213" t="s">
        <v>743</v>
      </c>
      <c r="EU54" s="213">
        <v>0</v>
      </c>
      <c r="EV54" s="213">
        <v>0</v>
      </c>
      <c r="EW54" s="213">
        <v>0</v>
      </c>
      <c r="EX54" s="213" t="s">
        <v>249</v>
      </c>
      <c r="FA54" s="213" t="s">
        <v>749</v>
      </c>
      <c r="FB54" s="213" t="s">
        <v>743</v>
      </c>
      <c r="FC54" s="213">
        <v>0</v>
      </c>
      <c r="FD54" s="213">
        <v>0</v>
      </c>
      <c r="FE54" s="213">
        <v>0</v>
      </c>
      <c r="FF54" s="213" t="s">
        <v>249</v>
      </c>
      <c r="FI54" s="213" t="s">
        <v>750</v>
      </c>
      <c r="FJ54" s="213" t="s">
        <v>743</v>
      </c>
      <c r="FK54" s="213">
        <v>0</v>
      </c>
      <c r="FL54" s="213">
        <v>0</v>
      </c>
      <c r="FM54" s="213">
        <v>0</v>
      </c>
      <c r="FN54" s="213" t="s">
        <v>249</v>
      </c>
      <c r="FQ54" s="213" t="s">
        <v>751</v>
      </c>
      <c r="FR54" s="213" t="s">
        <v>743</v>
      </c>
      <c r="FS54" s="213">
        <v>0</v>
      </c>
      <c r="FT54" s="213">
        <v>0</v>
      </c>
      <c r="FU54" s="213">
        <v>0</v>
      </c>
      <c r="FV54" s="213" t="s">
        <v>249</v>
      </c>
      <c r="FY54" s="213">
        <v>22.9</v>
      </c>
      <c r="FZ54" s="213">
        <v>-10.5</v>
      </c>
      <c r="GF54" s="213" t="s">
        <v>752</v>
      </c>
    </row>
    <row r="55" spans="1:188" s="213" customFormat="1" x14ac:dyDescent="0.15">
      <c r="A55" s="213" t="s">
        <v>654</v>
      </c>
      <c r="B55" s="213">
        <v>4</v>
      </c>
      <c r="C55" s="213" t="s">
        <v>982</v>
      </c>
      <c r="D55" s="213">
        <v>614345900</v>
      </c>
      <c r="E55" s="213">
        <v>92303</v>
      </c>
      <c r="F55" s="213" t="s">
        <v>725</v>
      </c>
      <c r="G55" s="213">
        <v>847922</v>
      </c>
      <c r="H55" s="213">
        <v>604077</v>
      </c>
      <c r="I55" s="213">
        <v>6.8</v>
      </c>
      <c r="J55" s="213" t="s">
        <v>983</v>
      </c>
      <c r="K55" s="213" t="s">
        <v>727</v>
      </c>
      <c r="L55" s="213" t="s">
        <v>656</v>
      </c>
      <c r="M55" s="213" t="s">
        <v>728</v>
      </c>
      <c r="N55" s="213" t="s">
        <v>728</v>
      </c>
      <c r="O55" s="213" t="s">
        <v>729</v>
      </c>
      <c r="P55" s="213" t="s">
        <v>710</v>
      </c>
      <c r="Q55" s="213">
        <v>24.5</v>
      </c>
      <c r="R55" s="213">
        <v>146</v>
      </c>
      <c r="S55" s="213" t="s">
        <v>710</v>
      </c>
      <c r="T55" s="213">
        <v>-9999</v>
      </c>
      <c r="U55" s="213">
        <v>203</v>
      </c>
      <c r="V55" s="213">
        <v>450</v>
      </c>
      <c r="W55" s="213">
        <v>200</v>
      </c>
      <c r="X55" s="213" t="s">
        <v>710</v>
      </c>
      <c r="Y55" s="213">
        <v>0</v>
      </c>
      <c r="Z55" s="213">
        <v>40</v>
      </c>
      <c r="AA55" s="213" t="s">
        <v>730</v>
      </c>
      <c r="AB55" s="213" t="s">
        <v>731</v>
      </c>
      <c r="AC55" s="213" t="s">
        <v>729</v>
      </c>
      <c r="AD55" s="213" t="s">
        <v>732</v>
      </c>
      <c r="AE55" s="213">
        <v>0</v>
      </c>
      <c r="AF55" s="213">
        <v>7</v>
      </c>
      <c r="AG55" s="213" t="s">
        <v>249</v>
      </c>
      <c r="AH55" s="213">
        <v>-9999</v>
      </c>
      <c r="AI55" s="213">
        <v>213</v>
      </c>
      <c r="AJ55" s="213">
        <v>501</v>
      </c>
      <c r="AK55" s="213">
        <v>211</v>
      </c>
      <c r="AL55" s="213" t="s">
        <v>710</v>
      </c>
      <c r="AM55" s="213">
        <v>0</v>
      </c>
      <c r="AN55" s="213">
        <v>40</v>
      </c>
      <c r="AO55" s="213" t="s">
        <v>733</v>
      </c>
      <c r="AP55" s="213" t="s">
        <v>734</v>
      </c>
      <c r="AQ55" s="213">
        <v>1</v>
      </c>
      <c r="AR55" s="213" t="s">
        <v>735</v>
      </c>
      <c r="AS55" s="213">
        <v>0</v>
      </c>
      <c r="AT55" s="213">
        <v>8</v>
      </c>
      <c r="AU55" s="213" t="s">
        <v>249</v>
      </c>
      <c r="AV55" s="213">
        <v>-9999</v>
      </c>
      <c r="AW55" s="213">
        <v>247</v>
      </c>
      <c r="AX55" s="213">
        <v>606</v>
      </c>
      <c r="AY55" s="213">
        <v>245</v>
      </c>
      <c r="AZ55" s="213" t="s">
        <v>710</v>
      </c>
      <c r="BA55" s="213">
        <v>0</v>
      </c>
      <c r="BB55" s="213">
        <v>40</v>
      </c>
      <c r="BC55" s="213" t="s">
        <v>736</v>
      </c>
      <c r="BD55" s="213" t="s">
        <v>734</v>
      </c>
      <c r="BE55" s="213">
        <v>2</v>
      </c>
      <c r="BF55" s="213" t="s">
        <v>735</v>
      </c>
      <c r="BG55" s="213">
        <v>0</v>
      </c>
      <c r="BH55" s="213">
        <v>1</v>
      </c>
      <c r="BI55" s="213" t="s">
        <v>249</v>
      </c>
      <c r="BJ55" s="213">
        <v>-9999</v>
      </c>
      <c r="BK55" s="213">
        <v>109</v>
      </c>
      <c r="BL55" s="213">
        <v>326</v>
      </c>
      <c r="BM55" s="213">
        <v>107</v>
      </c>
      <c r="BN55" s="213" t="s">
        <v>710</v>
      </c>
      <c r="BO55" s="213">
        <v>0</v>
      </c>
      <c r="BP55" s="213">
        <v>40</v>
      </c>
      <c r="BQ55" s="213" t="s">
        <v>737</v>
      </c>
      <c r="BR55" s="213" t="s">
        <v>734</v>
      </c>
      <c r="BS55" s="213">
        <v>3</v>
      </c>
      <c r="BT55" s="213" t="s">
        <v>735</v>
      </c>
      <c r="BU55" s="213">
        <v>0</v>
      </c>
      <c r="BV55" s="213">
        <v>3</v>
      </c>
      <c r="BW55" s="213" t="s">
        <v>249</v>
      </c>
      <c r="BX55" s="213">
        <v>-9999</v>
      </c>
      <c r="BY55" s="213">
        <v>173</v>
      </c>
      <c r="BZ55" s="213">
        <v>423</v>
      </c>
      <c r="CA55" s="213">
        <v>173</v>
      </c>
      <c r="CB55" s="213" t="s">
        <v>710</v>
      </c>
      <c r="CC55" s="213">
        <v>0</v>
      </c>
      <c r="CD55" s="213">
        <v>40</v>
      </c>
      <c r="CE55" s="213" t="s">
        <v>738</v>
      </c>
      <c r="CF55" s="213" t="s">
        <v>734</v>
      </c>
      <c r="CG55" s="213">
        <v>4</v>
      </c>
      <c r="CH55" s="213" t="s">
        <v>735</v>
      </c>
      <c r="CI55" s="213">
        <v>0</v>
      </c>
      <c r="CJ55" s="213">
        <v>6</v>
      </c>
      <c r="CK55" s="213" t="s">
        <v>249</v>
      </c>
      <c r="CL55" s="213">
        <v>-9999</v>
      </c>
      <c r="CM55" s="213">
        <v>151</v>
      </c>
      <c r="CN55" s="213">
        <v>396</v>
      </c>
      <c r="CO55" s="213">
        <v>148</v>
      </c>
      <c r="CP55" s="213" t="s">
        <v>710</v>
      </c>
      <c r="CQ55" s="213">
        <v>0</v>
      </c>
      <c r="CR55" s="213">
        <v>40</v>
      </c>
      <c r="CS55" s="213" t="s">
        <v>739</v>
      </c>
      <c r="CT55" s="213" t="s">
        <v>740</v>
      </c>
      <c r="CU55" s="213">
        <v>132</v>
      </c>
      <c r="CV55" s="213">
        <v>132</v>
      </c>
      <c r="CW55" s="213">
        <v>131</v>
      </c>
      <c r="CX55" s="213" t="s">
        <v>710</v>
      </c>
      <c r="CY55" s="213" t="s">
        <v>741</v>
      </c>
      <c r="CZ55" s="213" t="s">
        <v>740</v>
      </c>
      <c r="DA55" s="213">
        <v>119</v>
      </c>
      <c r="DB55" s="213">
        <v>118</v>
      </c>
      <c r="DC55" s="213">
        <v>118</v>
      </c>
      <c r="DD55" s="213" t="s">
        <v>710</v>
      </c>
      <c r="DE55" s="213" t="s">
        <v>742</v>
      </c>
      <c r="DF55" s="213" t="s">
        <v>743</v>
      </c>
      <c r="DG55" s="213">
        <v>0</v>
      </c>
      <c r="DH55" s="213">
        <v>0</v>
      </c>
      <c r="DI55" s="213">
        <v>0</v>
      </c>
      <c r="DJ55" s="213" t="s">
        <v>249</v>
      </c>
      <c r="DM55" s="213" t="s">
        <v>744</v>
      </c>
      <c r="DN55" s="213" t="s">
        <v>743</v>
      </c>
      <c r="DO55" s="213">
        <v>0</v>
      </c>
      <c r="DP55" s="213">
        <v>0</v>
      </c>
      <c r="DQ55" s="213">
        <v>0</v>
      </c>
      <c r="DR55" s="213" t="s">
        <v>249</v>
      </c>
      <c r="DU55" s="213" t="s">
        <v>745</v>
      </c>
      <c r="DV55" s="213" t="s">
        <v>743</v>
      </c>
      <c r="DW55" s="213">
        <v>0</v>
      </c>
      <c r="DX55" s="213">
        <v>0</v>
      </c>
      <c r="DY55" s="213">
        <v>0</v>
      </c>
      <c r="DZ55" s="213" t="s">
        <v>249</v>
      </c>
      <c r="EC55" s="213" t="s">
        <v>746</v>
      </c>
      <c r="ED55" s="213" t="s">
        <v>743</v>
      </c>
      <c r="EE55" s="213">
        <v>0</v>
      </c>
      <c r="EF55" s="213">
        <v>0</v>
      </c>
      <c r="EG55" s="213">
        <v>0</v>
      </c>
      <c r="EH55" s="213" t="s">
        <v>249</v>
      </c>
      <c r="EK55" s="213" t="s">
        <v>747</v>
      </c>
      <c r="EL55" s="213" t="s">
        <v>743</v>
      </c>
      <c r="EM55" s="213">
        <v>0</v>
      </c>
      <c r="EN55" s="213">
        <v>0</v>
      </c>
      <c r="EO55" s="213">
        <v>0</v>
      </c>
      <c r="EP55" s="213" t="s">
        <v>249</v>
      </c>
      <c r="ES55" s="213" t="s">
        <v>748</v>
      </c>
      <c r="ET55" s="213" t="s">
        <v>743</v>
      </c>
      <c r="EU55" s="213">
        <v>0</v>
      </c>
      <c r="EV55" s="213">
        <v>0</v>
      </c>
      <c r="EW55" s="213">
        <v>0</v>
      </c>
      <c r="EX55" s="213" t="s">
        <v>249</v>
      </c>
      <c r="FA55" s="213" t="s">
        <v>749</v>
      </c>
      <c r="FB55" s="213" t="s">
        <v>743</v>
      </c>
      <c r="FC55" s="213">
        <v>0</v>
      </c>
      <c r="FD55" s="213">
        <v>0</v>
      </c>
      <c r="FE55" s="213">
        <v>0</v>
      </c>
      <c r="FF55" s="213" t="s">
        <v>249</v>
      </c>
      <c r="FI55" s="213" t="s">
        <v>750</v>
      </c>
      <c r="FJ55" s="213" t="s">
        <v>743</v>
      </c>
      <c r="FK55" s="213">
        <v>0</v>
      </c>
      <c r="FL55" s="213">
        <v>0</v>
      </c>
      <c r="FM55" s="213">
        <v>0</v>
      </c>
      <c r="FN55" s="213" t="s">
        <v>249</v>
      </c>
      <c r="FQ55" s="213" t="s">
        <v>751</v>
      </c>
      <c r="FR55" s="213" t="s">
        <v>743</v>
      </c>
      <c r="FS55" s="213">
        <v>0</v>
      </c>
      <c r="FT55" s="213">
        <v>0</v>
      </c>
      <c r="FU55" s="213">
        <v>0</v>
      </c>
      <c r="FV55" s="213" t="s">
        <v>249</v>
      </c>
      <c r="FY55" s="213">
        <v>17.7</v>
      </c>
      <c r="FZ55" s="213">
        <v>-7.4</v>
      </c>
      <c r="GF55" s="213" t="s">
        <v>752</v>
      </c>
    </row>
    <row r="56" spans="1:188" s="213" customFormat="1" x14ac:dyDescent="0.15">
      <c r="A56" s="213" t="s">
        <v>654</v>
      </c>
      <c r="B56" s="213">
        <v>4</v>
      </c>
      <c r="C56" s="213" t="s">
        <v>984</v>
      </c>
      <c r="D56" s="213">
        <v>614346594</v>
      </c>
      <c r="E56" s="213">
        <v>92303</v>
      </c>
      <c r="F56" s="213" t="s">
        <v>725</v>
      </c>
      <c r="G56" s="213">
        <v>847922</v>
      </c>
      <c r="H56" s="213">
        <v>617583</v>
      </c>
      <c r="I56" s="213">
        <v>6.8</v>
      </c>
      <c r="J56" s="213" t="s">
        <v>985</v>
      </c>
      <c r="K56" s="213" t="s">
        <v>727</v>
      </c>
      <c r="L56" s="213" t="s">
        <v>656</v>
      </c>
      <c r="M56" s="213" t="s">
        <v>728</v>
      </c>
      <c r="N56" s="213" t="s">
        <v>728</v>
      </c>
      <c r="O56" s="213" t="s">
        <v>729</v>
      </c>
      <c r="P56" s="213" t="s">
        <v>710</v>
      </c>
      <c r="Q56" s="213">
        <v>23.7</v>
      </c>
      <c r="R56" s="213">
        <v>137</v>
      </c>
      <c r="S56" s="213" t="s">
        <v>710</v>
      </c>
      <c r="T56" s="213">
        <v>-9999</v>
      </c>
      <c r="U56" s="213">
        <v>211</v>
      </c>
      <c r="V56" s="213">
        <v>448</v>
      </c>
      <c r="W56" s="213">
        <v>201</v>
      </c>
      <c r="X56" s="213" t="s">
        <v>710</v>
      </c>
      <c r="Y56" s="213">
        <v>0</v>
      </c>
      <c r="Z56" s="213">
        <v>40</v>
      </c>
      <c r="AA56" s="213" t="s">
        <v>730</v>
      </c>
      <c r="AB56" s="213" t="s">
        <v>731</v>
      </c>
      <c r="AC56" s="213" t="s">
        <v>729</v>
      </c>
      <c r="AD56" s="213" t="s">
        <v>732</v>
      </c>
      <c r="AE56" s="213">
        <v>0</v>
      </c>
      <c r="AF56" s="213">
        <v>7</v>
      </c>
      <c r="AG56" s="213" t="s">
        <v>249</v>
      </c>
      <c r="AH56" s="213">
        <v>-9999</v>
      </c>
      <c r="AI56" s="213">
        <v>200</v>
      </c>
      <c r="AJ56" s="213">
        <v>473</v>
      </c>
      <c r="AK56" s="213">
        <v>194</v>
      </c>
      <c r="AL56" s="213" t="s">
        <v>710</v>
      </c>
      <c r="AM56" s="213">
        <v>0</v>
      </c>
      <c r="AN56" s="213">
        <v>40</v>
      </c>
      <c r="AO56" s="213" t="s">
        <v>733</v>
      </c>
      <c r="AP56" s="213" t="s">
        <v>734</v>
      </c>
      <c r="AQ56" s="213">
        <v>1</v>
      </c>
      <c r="AR56" s="213" t="s">
        <v>735</v>
      </c>
      <c r="AS56" s="213">
        <v>0</v>
      </c>
      <c r="AT56" s="213">
        <v>9</v>
      </c>
      <c r="AU56" s="213" t="s">
        <v>249</v>
      </c>
      <c r="AV56" s="213">
        <v>-9999</v>
      </c>
      <c r="AW56" s="213">
        <v>270</v>
      </c>
      <c r="AX56" s="213">
        <v>662</v>
      </c>
      <c r="AY56" s="213">
        <v>264</v>
      </c>
      <c r="AZ56" s="213" t="s">
        <v>710</v>
      </c>
      <c r="BA56" s="213">
        <v>0</v>
      </c>
      <c r="BB56" s="213">
        <v>40</v>
      </c>
      <c r="BC56" s="213" t="s">
        <v>736</v>
      </c>
      <c r="BD56" s="213" t="s">
        <v>734</v>
      </c>
      <c r="BE56" s="213">
        <v>2</v>
      </c>
      <c r="BF56" s="213" t="s">
        <v>735</v>
      </c>
      <c r="BG56" s="213">
        <v>0</v>
      </c>
      <c r="BH56" s="213">
        <v>2</v>
      </c>
      <c r="BI56" s="213" t="s">
        <v>249</v>
      </c>
      <c r="BJ56" s="213">
        <v>-9999</v>
      </c>
      <c r="BK56" s="213">
        <v>91</v>
      </c>
      <c r="BL56" s="213">
        <v>282</v>
      </c>
      <c r="BM56" s="213">
        <v>88</v>
      </c>
      <c r="BN56" s="213" t="s">
        <v>710</v>
      </c>
      <c r="BO56" s="213">
        <v>0</v>
      </c>
      <c r="BP56" s="213">
        <v>40</v>
      </c>
      <c r="BQ56" s="213" t="s">
        <v>737</v>
      </c>
      <c r="BR56" s="213" t="s">
        <v>734</v>
      </c>
      <c r="BS56" s="213">
        <v>3</v>
      </c>
      <c r="BT56" s="213" t="s">
        <v>735</v>
      </c>
      <c r="BU56" s="213">
        <v>0</v>
      </c>
      <c r="BV56" s="213">
        <v>5</v>
      </c>
      <c r="BW56" s="213" t="s">
        <v>249</v>
      </c>
      <c r="BX56" s="213">
        <v>-9999</v>
      </c>
      <c r="BY56" s="213">
        <v>172</v>
      </c>
      <c r="BZ56" s="213">
        <v>401</v>
      </c>
      <c r="CA56" s="213">
        <v>170</v>
      </c>
      <c r="CB56" s="213" t="s">
        <v>710</v>
      </c>
      <c r="CC56" s="213">
        <v>0</v>
      </c>
      <c r="CD56" s="213">
        <v>40</v>
      </c>
      <c r="CE56" s="213" t="s">
        <v>738</v>
      </c>
      <c r="CF56" s="213" t="s">
        <v>734</v>
      </c>
      <c r="CG56" s="213">
        <v>4</v>
      </c>
      <c r="CH56" s="213" t="s">
        <v>735</v>
      </c>
      <c r="CI56" s="213">
        <v>0</v>
      </c>
      <c r="CJ56" s="213">
        <v>7</v>
      </c>
      <c r="CK56" s="213" t="s">
        <v>249</v>
      </c>
      <c r="CL56" s="213">
        <v>-9999</v>
      </c>
      <c r="CM56" s="213">
        <v>147</v>
      </c>
      <c r="CN56" s="213">
        <v>389</v>
      </c>
      <c r="CO56" s="213">
        <v>143</v>
      </c>
      <c r="CP56" s="213" t="s">
        <v>710</v>
      </c>
      <c r="CQ56" s="213">
        <v>0</v>
      </c>
      <c r="CR56" s="213">
        <v>40</v>
      </c>
      <c r="CS56" s="213" t="s">
        <v>739</v>
      </c>
      <c r="CT56" s="213" t="s">
        <v>740</v>
      </c>
      <c r="CU56" s="213">
        <v>132</v>
      </c>
      <c r="CV56" s="213">
        <v>132</v>
      </c>
      <c r="CW56" s="213">
        <v>132</v>
      </c>
      <c r="CX56" s="213" t="s">
        <v>710</v>
      </c>
      <c r="CY56" s="213" t="s">
        <v>741</v>
      </c>
      <c r="CZ56" s="213" t="s">
        <v>740</v>
      </c>
      <c r="DA56" s="213">
        <v>117</v>
      </c>
      <c r="DB56" s="213">
        <v>117</v>
      </c>
      <c r="DC56" s="213">
        <v>116</v>
      </c>
      <c r="DD56" s="213" t="s">
        <v>710</v>
      </c>
      <c r="DE56" s="213" t="s">
        <v>742</v>
      </c>
      <c r="DF56" s="213" t="s">
        <v>743</v>
      </c>
      <c r="DG56" s="213">
        <v>0</v>
      </c>
      <c r="DH56" s="213">
        <v>0</v>
      </c>
      <c r="DI56" s="213">
        <v>0</v>
      </c>
      <c r="DJ56" s="213" t="s">
        <v>249</v>
      </c>
      <c r="DM56" s="213" t="s">
        <v>744</v>
      </c>
      <c r="DN56" s="213" t="s">
        <v>743</v>
      </c>
      <c r="DO56" s="213">
        <v>0</v>
      </c>
      <c r="DP56" s="213">
        <v>0</v>
      </c>
      <c r="DQ56" s="213">
        <v>0</v>
      </c>
      <c r="DR56" s="213" t="s">
        <v>249</v>
      </c>
      <c r="DU56" s="213" t="s">
        <v>745</v>
      </c>
      <c r="DV56" s="213" t="s">
        <v>743</v>
      </c>
      <c r="DW56" s="213">
        <v>0</v>
      </c>
      <c r="DX56" s="213">
        <v>0</v>
      </c>
      <c r="DY56" s="213">
        <v>0</v>
      </c>
      <c r="DZ56" s="213" t="s">
        <v>249</v>
      </c>
      <c r="EC56" s="213" t="s">
        <v>746</v>
      </c>
      <c r="ED56" s="213" t="s">
        <v>743</v>
      </c>
      <c r="EE56" s="213">
        <v>0</v>
      </c>
      <c r="EF56" s="213">
        <v>0</v>
      </c>
      <c r="EG56" s="213">
        <v>0</v>
      </c>
      <c r="EH56" s="213" t="s">
        <v>249</v>
      </c>
      <c r="EK56" s="213" t="s">
        <v>747</v>
      </c>
      <c r="EL56" s="213" t="s">
        <v>743</v>
      </c>
      <c r="EM56" s="213">
        <v>0</v>
      </c>
      <c r="EN56" s="213">
        <v>0</v>
      </c>
      <c r="EO56" s="213">
        <v>0</v>
      </c>
      <c r="EP56" s="213" t="s">
        <v>249</v>
      </c>
      <c r="ES56" s="213" t="s">
        <v>748</v>
      </c>
      <c r="ET56" s="213" t="s">
        <v>743</v>
      </c>
      <c r="EU56" s="213">
        <v>0</v>
      </c>
      <c r="EV56" s="213">
        <v>0</v>
      </c>
      <c r="EW56" s="213">
        <v>0</v>
      </c>
      <c r="EX56" s="213" t="s">
        <v>249</v>
      </c>
      <c r="FA56" s="213" t="s">
        <v>749</v>
      </c>
      <c r="FB56" s="213" t="s">
        <v>743</v>
      </c>
      <c r="FC56" s="213">
        <v>0</v>
      </c>
      <c r="FD56" s="213">
        <v>0</v>
      </c>
      <c r="FE56" s="213">
        <v>0</v>
      </c>
      <c r="FF56" s="213" t="s">
        <v>249</v>
      </c>
      <c r="FI56" s="213" t="s">
        <v>750</v>
      </c>
      <c r="FJ56" s="213" t="s">
        <v>743</v>
      </c>
      <c r="FK56" s="213">
        <v>0</v>
      </c>
      <c r="FL56" s="213">
        <v>0</v>
      </c>
      <c r="FM56" s="213">
        <v>0</v>
      </c>
      <c r="FN56" s="213" t="s">
        <v>249</v>
      </c>
      <c r="FQ56" s="213" t="s">
        <v>751</v>
      </c>
      <c r="FR56" s="213" t="s">
        <v>743</v>
      </c>
      <c r="FS56" s="213">
        <v>0</v>
      </c>
      <c r="FT56" s="213">
        <v>0</v>
      </c>
      <c r="FU56" s="213">
        <v>0</v>
      </c>
      <c r="FV56" s="213" t="s">
        <v>249</v>
      </c>
      <c r="FY56" s="213">
        <v>17.5</v>
      </c>
      <c r="FZ56" s="213">
        <v>-7.9</v>
      </c>
      <c r="GF56" s="213" t="s">
        <v>752</v>
      </c>
    </row>
    <row r="57" spans="1:188" s="213" customFormat="1" x14ac:dyDescent="0.15">
      <c r="A57" s="213" t="s">
        <v>654</v>
      </c>
      <c r="B57" s="213">
        <v>4</v>
      </c>
      <c r="C57" s="213" t="s">
        <v>986</v>
      </c>
      <c r="D57" s="213">
        <v>614347035</v>
      </c>
      <c r="E57" s="213">
        <v>92303</v>
      </c>
      <c r="F57" s="213" t="s">
        <v>725</v>
      </c>
      <c r="G57" s="213">
        <v>847922</v>
      </c>
      <c r="H57" s="213">
        <v>725382</v>
      </c>
      <c r="I57" s="213">
        <v>6.8</v>
      </c>
      <c r="J57" s="213" t="s">
        <v>987</v>
      </c>
      <c r="K57" s="213" t="s">
        <v>727</v>
      </c>
      <c r="L57" s="213" t="s">
        <v>656</v>
      </c>
      <c r="M57" s="213" t="s">
        <v>728</v>
      </c>
      <c r="N57" s="213" t="s">
        <v>728</v>
      </c>
      <c r="O57" s="213" t="s">
        <v>729</v>
      </c>
      <c r="P57" s="213" t="s">
        <v>710</v>
      </c>
      <c r="Q57" s="213">
        <v>25.9</v>
      </c>
      <c r="R57" s="213">
        <v>135</v>
      </c>
      <c r="S57" s="213" t="s">
        <v>710</v>
      </c>
      <c r="T57" s="213">
        <v>-9999</v>
      </c>
      <c r="U57" s="213">
        <v>208</v>
      </c>
      <c r="V57" s="213">
        <v>459</v>
      </c>
      <c r="W57" s="213">
        <v>204</v>
      </c>
      <c r="X57" s="213" t="s">
        <v>710</v>
      </c>
      <c r="Y57" s="213">
        <v>0</v>
      </c>
      <c r="Z57" s="213">
        <v>40</v>
      </c>
      <c r="AA57" s="213" t="s">
        <v>730</v>
      </c>
      <c r="AB57" s="213" t="s">
        <v>731</v>
      </c>
      <c r="AC57" s="213" t="s">
        <v>729</v>
      </c>
      <c r="AD57" s="213" t="s">
        <v>732</v>
      </c>
      <c r="AE57" s="213">
        <v>0</v>
      </c>
      <c r="AF57" s="213">
        <v>5</v>
      </c>
      <c r="AG57" s="213" t="s">
        <v>249</v>
      </c>
      <c r="AH57" s="213">
        <v>-9999</v>
      </c>
      <c r="AI57" s="213">
        <v>217</v>
      </c>
      <c r="AJ57" s="213">
        <v>515</v>
      </c>
      <c r="AK57" s="213">
        <v>215</v>
      </c>
      <c r="AL57" s="213" t="s">
        <v>710</v>
      </c>
      <c r="AM57" s="213">
        <v>0</v>
      </c>
      <c r="AN57" s="213">
        <v>40</v>
      </c>
      <c r="AO57" s="213" t="s">
        <v>733</v>
      </c>
      <c r="AP57" s="213" t="s">
        <v>734</v>
      </c>
      <c r="AQ57" s="213">
        <v>1</v>
      </c>
      <c r="AR57" s="213" t="s">
        <v>735</v>
      </c>
      <c r="AS57" s="213">
        <v>0</v>
      </c>
      <c r="AT57" s="213">
        <v>6</v>
      </c>
      <c r="AU57" s="213" t="s">
        <v>249</v>
      </c>
      <c r="AV57" s="213">
        <v>-9999</v>
      </c>
      <c r="AW57" s="213">
        <v>288</v>
      </c>
      <c r="AX57" s="213">
        <v>709</v>
      </c>
      <c r="AY57" s="213">
        <v>285</v>
      </c>
      <c r="AZ57" s="213" t="s">
        <v>710</v>
      </c>
      <c r="BA57" s="213">
        <v>0</v>
      </c>
      <c r="BB57" s="213">
        <v>40</v>
      </c>
      <c r="BC57" s="213" t="s">
        <v>736</v>
      </c>
      <c r="BD57" s="213" t="s">
        <v>734</v>
      </c>
      <c r="BE57" s="213">
        <v>2</v>
      </c>
      <c r="BF57" s="213" t="s">
        <v>735</v>
      </c>
      <c r="BG57" s="213">
        <v>0</v>
      </c>
      <c r="BH57" s="213">
        <v>1</v>
      </c>
      <c r="BI57" s="213" t="s">
        <v>249</v>
      </c>
      <c r="BJ57" s="213">
        <v>-9999</v>
      </c>
      <c r="BK57" s="213">
        <v>100</v>
      </c>
      <c r="BL57" s="213">
        <v>308</v>
      </c>
      <c r="BM57" s="213">
        <v>98</v>
      </c>
      <c r="BN57" s="213" t="s">
        <v>710</v>
      </c>
      <c r="BO57" s="213">
        <v>0</v>
      </c>
      <c r="BP57" s="213">
        <v>40</v>
      </c>
      <c r="BQ57" s="213" t="s">
        <v>737</v>
      </c>
      <c r="BR57" s="213" t="s">
        <v>734</v>
      </c>
      <c r="BS57" s="213">
        <v>3</v>
      </c>
      <c r="BT57" s="213" t="s">
        <v>735</v>
      </c>
      <c r="BU57" s="213">
        <v>0</v>
      </c>
      <c r="BV57" s="213">
        <v>8</v>
      </c>
      <c r="BW57" s="213" t="s">
        <v>249</v>
      </c>
      <c r="BX57" s="213">
        <v>-9999</v>
      </c>
      <c r="BY57" s="213">
        <v>172</v>
      </c>
      <c r="BZ57" s="213">
        <v>396</v>
      </c>
      <c r="CA57" s="213">
        <v>170</v>
      </c>
      <c r="CB57" s="213" t="s">
        <v>710</v>
      </c>
      <c r="CC57" s="213">
        <v>0</v>
      </c>
      <c r="CD57" s="213">
        <v>40</v>
      </c>
      <c r="CE57" s="213" t="s">
        <v>738</v>
      </c>
      <c r="CF57" s="213" t="s">
        <v>734</v>
      </c>
      <c r="CG57" s="213">
        <v>4</v>
      </c>
      <c r="CH57" s="213" t="s">
        <v>735</v>
      </c>
      <c r="CI57" s="213">
        <v>0</v>
      </c>
      <c r="CJ57" s="213">
        <v>2</v>
      </c>
      <c r="CK57" s="213" t="s">
        <v>249</v>
      </c>
      <c r="CL57" s="213">
        <v>-9999</v>
      </c>
      <c r="CM57" s="213">
        <v>141</v>
      </c>
      <c r="CN57" s="213">
        <v>383</v>
      </c>
      <c r="CO57" s="213">
        <v>139</v>
      </c>
      <c r="CP57" s="213" t="s">
        <v>710</v>
      </c>
      <c r="CQ57" s="213">
        <v>0</v>
      </c>
      <c r="CR57" s="213">
        <v>40</v>
      </c>
      <c r="CS57" s="213" t="s">
        <v>739</v>
      </c>
      <c r="CT57" s="213" t="s">
        <v>740</v>
      </c>
      <c r="CU57" s="213">
        <v>121</v>
      </c>
      <c r="CV57" s="213">
        <v>121</v>
      </c>
      <c r="CW57" s="213">
        <v>120</v>
      </c>
      <c r="CX57" s="213" t="s">
        <v>710</v>
      </c>
      <c r="CY57" s="213" t="s">
        <v>741</v>
      </c>
      <c r="CZ57" s="213" t="s">
        <v>740</v>
      </c>
      <c r="DA57" s="213">
        <v>113</v>
      </c>
      <c r="DB57" s="213">
        <v>112</v>
      </c>
      <c r="DC57" s="213">
        <v>112</v>
      </c>
      <c r="DD57" s="213" t="s">
        <v>710</v>
      </c>
      <c r="DE57" s="213" t="s">
        <v>742</v>
      </c>
      <c r="DF57" s="213" t="s">
        <v>743</v>
      </c>
      <c r="DG57" s="213">
        <v>0</v>
      </c>
      <c r="DH57" s="213">
        <v>0</v>
      </c>
      <c r="DI57" s="213">
        <v>0</v>
      </c>
      <c r="DJ57" s="213" t="s">
        <v>249</v>
      </c>
      <c r="DM57" s="213" t="s">
        <v>744</v>
      </c>
      <c r="DN57" s="213" t="s">
        <v>743</v>
      </c>
      <c r="DO57" s="213">
        <v>0</v>
      </c>
      <c r="DP57" s="213">
        <v>0</v>
      </c>
      <c r="DQ57" s="213">
        <v>0</v>
      </c>
      <c r="DR57" s="213" t="s">
        <v>249</v>
      </c>
      <c r="DU57" s="213" t="s">
        <v>745</v>
      </c>
      <c r="DV57" s="213" t="s">
        <v>743</v>
      </c>
      <c r="DW57" s="213">
        <v>0</v>
      </c>
      <c r="DX57" s="213">
        <v>0</v>
      </c>
      <c r="DY57" s="213">
        <v>0</v>
      </c>
      <c r="DZ57" s="213" t="s">
        <v>249</v>
      </c>
      <c r="EC57" s="213" t="s">
        <v>746</v>
      </c>
      <c r="ED57" s="213" t="s">
        <v>743</v>
      </c>
      <c r="EE57" s="213">
        <v>0</v>
      </c>
      <c r="EF57" s="213">
        <v>0</v>
      </c>
      <c r="EG57" s="213">
        <v>0</v>
      </c>
      <c r="EH57" s="213" t="s">
        <v>249</v>
      </c>
      <c r="EK57" s="213" t="s">
        <v>747</v>
      </c>
      <c r="EL57" s="213" t="s">
        <v>743</v>
      </c>
      <c r="EM57" s="213">
        <v>0</v>
      </c>
      <c r="EN57" s="213">
        <v>0</v>
      </c>
      <c r="EO57" s="213">
        <v>0</v>
      </c>
      <c r="EP57" s="213" t="s">
        <v>249</v>
      </c>
      <c r="ES57" s="213" t="s">
        <v>748</v>
      </c>
      <c r="ET57" s="213" t="s">
        <v>743</v>
      </c>
      <c r="EU57" s="213">
        <v>0</v>
      </c>
      <c r="EV57" s="213">
        <v>0</v>
      </c>
      <c r="EW57" s="213">
        <v>0</v>
      </c>
      <c r="EX57" s="213" t="s">
        <v>249</v>
      </c>
      <c r="FA57" s="213" t="s">
        <v>749</v>
      </c>
      <c r="FB57" s="213" t="s">
        <v>743</v>
      </c>
      <c r="FC57" s="213">
        <v>0</v>
      </c>
      <c r="FD57" s="213">
        <v>0</v>
      </c>
      <c r="FE57" s="213">
        <v>0</v>
      </c>
      <c r="FF57" s="213" t="s">
        <v>249</v>
      </c>
      <c r="FI57" s="213" t="s">
        <v>750</v>
      </c>
      <c r="FJ57" s="213" t="s">
        <v>743</v>
      </c>
      <c r="FK57" s="213">
        <v>0</v>
      </c>
      <c r="FL57" s="213">
        <v>0</v>
      </c>
      <c r="FM57" s="213">
        <v>0</v>
      </c>
      <c r="FN57" s="213" t="s">
        <v>249</v>
      </c>
      <c r="FQ57" s="213" t="s">
        <v>751</v>
      </c>
      <c r="FR57" s="213" t="s">
        <v>743</v>
      </c>
      <c r="FS57" s="213">
        <v>0</v>
      </c>
      <c r="FT57" s="213">
        <v>0</v>
      </c>
      <c r="FU57" s="213">
        <v>0</v>
      </c>
      <c r="FV57" s="213" t="s">
        <v>249</v>
      </c>
      <c r="FY57" s="213">
        <v>28.3</v>
      </c>
      <c r="FZ57" s="213">
        <v>-18.7</v>
      </c>
      <c r="GF57" s="213" t="s">
        <v>752</v>
      </c>
    </row>
    <row r="58" spans="1:188" s="213" customFormat="1" x14ac:dyDescent="0.15">
      <c r="A58" s="213" t="s">
        <v>654</v>
      </c>
      <c r="B58" s="213">
        <v>4</v>
      </c>
      <c r="C58" s="213" t="s">
        <v>988</v>
      </c>
      <c r="D58" s="213">
        <v>614346097</v>
      </c>
      <c r="E58" s="213">
        <v>92303</v>
      </c>
      <c r="F58" s="213" t="s">
        <v>725</v>
      </c>
      <c r="G58" s="213">
        <v>847922</v>
      </c>
      <c r="H58" s="213">
        <v>710982</v>
      </c>
      <c r="I58" s="213">
        <v>6.8</v>
      </c>
      <c r="J58" s="213" t="s">
        <v>989</v>
      </c>
      <c r="K58" s="213" t="s">
        <v>727</v>
      </c>
      <c r="L58" s="213" t="s">
        <v>656</v>
      </c>
      <c r="M58" s="213" t="s">
        <v>728</v>
      </c>
      <c r="N58" s="213" t="s">
        <v>728</v>
      </c>
      <c r="O58" s="213" t="s">
        <v>729</v>
      </c>
      <c r="P58" s="213" t="s">
        <v>710</v>
      </c>
      <c r="Q58" s="213">
        <v>24.2</v>
      </c>
      <c r="R58" s="213">
        <v>142</v>
      </c>
      <c r="S58" s="213" t="s">
        <v>710</v>
      </c>
      <c r="T58" s="213">
        <v>-9999</v>
      </c>
      <c r="U58" s="213">
        <v>205</v>
      </c>
      <c r="V58" s="213">
        <v>447</v>
      </c>
      <c r="W58" s="213">
        <v>200</v>
      </c>
      <c r="X58" s="213" t="s">
        <v>710</v>
      </c>
      <c r="Y58" s="213">
        <v>0</v>
      </c>
      <c r="Z58" s="213">
        <v>40</v>
      </c>
      <c r="AA58" s="213" t="s">
        <v>730</v>
      </c>
      <c r="AB58" s="213" t="s">
        <v>731</v>
      </c>
      <c r="AC58" s="213" t="s">
        <v>729</v>
      </c>
      <c r="AD58" s="213" t="s">
        <v>732</v>
      </c>
      <c r="AE58" s="213">
        <v>0</v>
      </c>
      <c r="AF58" s="213">
        <v>7</v>
      </c>
      <c r="AG58" s="213" t="s">
        <v>249</v>
      </c>
      <c r="AH58" s="213">
        <v>-9999</v>
      </c>
      <c r="AI58" s="213">
        <v>181</v>
      </c>
      <c r="AJ58" s="213">
        <v>435</v>
      </c>
      <c r="AK58" s="213">
        <v>179</v>
      </c>
      <c r="AL58" s="213" t="s">
        <v>710</v>
      </c>
      <c r="AM58" s="213">
        <v>0</v>
      </c>
      <c r="AN58" s="213">
        <v>40</v>
      </c>
      <c r="AO58" s="213" t="s">
        <v>733</v>
      </c>
      <c r="AP58" s="213" t="s">
        <v>734</v>
      </c>
      <c r="AQ58" s="213">
        <v>1</v>
      </c>
      <c r="AR58" s="213" t="s">
        <v>735</v>
      </c>
      <c r="AS58" s="213">
        <v>0</v>
      </c>
      <c r="AT58" s="213">
        <v>-2</v>
      </c>
      <c r="AU58" s="213" t="s">
        <v>249</v>
      </c>
      <c r="AV58" s="213">
        <v>-9999</v>
      </c>
      <c r="AW58" s="213">
        <v>241</v>
      </c>
      <c r="AX58" s="213">
        <v>595</v>
      </c>
      <c r="AY58" s="213">
        <v>241</v>
      </c>
      <c r="AZ58" s="213" t="s">
        <v>710</v>
      </c>
      <c r="BA58" s="213">
        <v>0</v>
      </c>
      <c r="BB58" s="213">
        <v>40</v>
      </c>
      <c r="BC58" s="213" t="s">
        <v>736</v>
      </c>
      <c r="BD58" s="213" t="s">
        <v>734</v>
      </c>
      <c r="BE58" s="213">
        <v>2</v>
      </c>
      <c r="BF58" s="213" t="s">
        <v>735</v>
      </c>
      <c r="BG58" s="213">
        <v>0</v>
      </c>
      <c r="BH58" s="213">
        <v>3</v>
      </c>
      <c r="BI58" s="213" t="s">
        <v>249</v>
      </c>
      <c r="BJ58" s="213">
        <v>-9999</v>
      </c>
      <c r="BK58" s="213">
        <v>96</v>
      </c>
      <c r="BL58" s="213">
        <v>307</v>
      </c>
      <c r="BM58" s="213">
        <v>95</v>
      </c>
      <c r="BN58" s="213" t="s">
        <v>710</v>
      </c>
      <c r="BO58" s="213">
        <v>0</v>
      </c>
      <c r="BP58" s="213">
        <v>40</v>
      </c>
      <c r="BQ58" s="213" t="s">
        <v>737</v>
      </c>
      <c r="BR58" s="213" t="s">
        <v>734</v>
      </c>
      <c r="BS58" s="213">
        <v>3</v>
      </c>
      <c r="BT58" s="213" t="s">
        <v>735</v>
      </c>
      <c r="BU58" s="213">
        <v>0</v>
      </c>
      <c r="BV58" s="213">
        <v>0</v>
      </c>
      <c r="BW58" s="213" t="s">
        <v>249</v>
      </c>
      <c r="BX58" s="213">
        <v>-9999</v>
      </c>
      <c r="BY58" s="213">
        <v>191</v>
      </c>
      <c r="BZ58" s="213">
        <v>447</v>
      </c>
      <c r="CA58" s="213">
        <v>192</v>
      </c>
      <c r="CB58" s="213" t="s">
        <v>710</v>
      </c>
      <c r="CC58" s="213">
        <v>0</v>
      </c>
      <c r="CD58" s="213">
        <v>40</v>
      </c>
      <c r="CE58" s="213" t="s">
        <v>738</v>
      </c>
      <c r="CF58" s="213" t="s">
        <v>734</v>
      </c>
      <c r="CG58" s="213">
        <v>4</v>
      </c>
      <c r="CH58" s="213" t="s">
        <v>735</v>
      </c>
      <c r="CI58" s="213">
        <v>0</v>
      </c>
      <c r="CJ58" s="213">
        <v>4</v>
      </c>
      <c r="CK58" s="213" t="s">
        <v>249</v>
      </c>
      <c r="CL58" s="213">
        <v>-9999</v>
      </c>
      <c r="CM58" s="213">
        <v>137</v>
      </c>
      <c r="CN58" s="213">
        <v>358</v>
      </c>
      <c r="CO58" s="213">
        <v>135</v>
      </c>
      <c r="CP58" s="213" t="s">
        <v>710</v>
      </c>
      <c r="CQ58" s="213">
        <v>0</v>
      </c>
      <c r="CR58" s="213">
        <v>40</v>
      </c>
      <c r="CS58" s="213" t="s">
        <v>739</v>
      </c>
      <c r="CT58" s="213" t="s">
        <v>740</v>
      </c>
      <c r="CU58" s="213">
        <v>118</v>
      </c>
      <c r="CV58" s="213">
        <v>117</v>
      </c>
      <c r="CW58" s="213">
        <v>117</v>
      </c>
      <c r="CX58" s="213" t="s">
        <v>710</v>
      </c>
      <c r="CY58" s="213" t="s">
        <v>741</v>
      </c>
      <c r="CZ58" s="213" t="s">
        <v>740</v>
      </c>
      <c r="DA58" s="213">
        <v>131</v>
      </c>
      <c r="DB58" s="213">
        <v>131</v>
      </c>
      <c r="DC58" s="213">
        <v>131</v>
      </c>
      <c r="DD58" s="213" t="s">
        <v>710</v>
      </c>
      <c r="DE58" s="213" t="s">
        <v>742</v>
      </c>
      <c r="DF58" s="213" t="s">
        <v>743</v>
      </c>
      <c r="DG58" s="213">
        <v>0</v>
      </c>
      <c r="DH58" s="213">
        <v>0</v>
      </c>
      <c r="DI58" s="213">
        <v>0</v>
      </c>
      <c r="DJ58" s="213" t="s">
        <v>249</v>
      </c>
      <c r="DM58" s="213" t="s">
        <v>744</v>
      </c>
      <c r="DN58" s="213" t="s">
        <v>743</v>
      </c>
      <c r="DO58" s="213">
        <v>0</v>
      </c>
      <c r="DP58" s="213">
        <v>0</v>
      </c>
      <c r="DQ58" s="213">
        <v>0</v>
      </c>
      <c r="DR58" s="213" t="s">
        <v>249</v>
      </c>
      <c r="DU58" s="213" t="s">
        <v>745</v>
      </c>
      <c r="DV58" s="213" t="s">
        <v>743</v>
      </c>
      <c r="DW58" s="213">
        <v>0</v>
      </c>
      <c r="DX58" s="213">
        <v>0</v>
      </c>
      <c r="DY58" s="213">
        <v>0</v>
      </c>
      <c r="DZ58" s="213" t="s">
        <v>249</v>
      </c>
      <c r="EC58" s="213" t="s">
        <v>746</v>
      </c>
      <c r="ED58" s="213" t="s">
        <v>743</v>
      </c>
      <c r="EE58" s="213">
        <v>0</v>
      </c>
      <c r="EF58" s="213">
        <v>0</v>
      </c>
      <c r="EG58" s="213">
        <v>0</v>
      </c>
      <c r="EH58" s="213" t="s">
        <v>249</v>
      </c>
      <c r="EK58" s="213" t="s">
        <v>747</v>
      </c>
      <c r="EL58" s="213" t="s">
        <v>743</v>
      </c>
      <c r="EM58" s="213">
        <v>0</v>
      </c>
      <c r="EN58" s="213">
        <v>0</v>
      </c>
      <c r="EO58" s="213">
        <v>0</v>
      </c>
      <c r="EP58" s="213" t="s">
        <v>249</v>
      </c>
      <c r="ES58" s="213" t="s">
        <v>748</v>
      </c>
      <c r="ET58" s="213" t="s">
        <v>743</v>
      </c>
      <c r="EU58" s="213">
        <v>0</v>
      </c>
      <c r="EV58" s="213">
        <v>0</v>
      </c>
      <c r="EW58" s="213">
        <v>0</v>
      </c>
      <c r="EX58" s="213" t="s">
        <v>249</v>
      </c>
      <c r="FA58" s="213" t="s">
        <v>749</v>
      </c>
      <c r="FB58" s="213" t="s">
        <v>743</v>
      </c>
      <c r="FC58" s="213">
        <v>0</v>
      </c>
      <c r="FD58" s="213">
        <v>0</v>
      </c>
      <c r="FE58" s="213">
        <v>0</v>
      </c>
      <c r="FF58" s="213" t="s">
        <v>249</v>
      </c>
      <c r="FI58" s="213" t="s">
        <v>750</v>
      </c>
      <c r="FJ58" s="213" t="s">
        <v>743</v>
      </c>
      <c r="FK58" s="213">
        <v>0</v>
      </c>
      <c r="FL58" s="213">
        <v>0</v>
      </c>
      <c r="FM58" s="213">
        <v>0</v>
      </c>
      <c r="FN58" s="213" t="s">
        <v>249</v>
      </c>
      <c r="FQ58" s="213" t="s">
        <v>751</v>
      </c>
      <c r="FR58" s="213" t="s">
        <v>743</v>
      </c>
      <c r="FS58" s="213">
        <v>0</v>
      </c>
      <c r="FT58" s="213">
        <v>0</v>
      </c>
      <c r="FU58" s="213">
        <v>0</v>
      </c>
      <c r="FV58" s="213" t="s">
        <v>249</v>
      </c>
      <c r="FY58" s="213">
        <v>19.7</v>
      </c>
      <c r="FZ58" s="213">
        <v>-7.2</v>
      </c>
      <c r="GF58" s="213" t="s">
        <v>752</v>
      </c>
    </row>
    <row r="59" spans="1:188" s="213" customFormat="1" x14ac:dyDescent="0.15">
      <c r="A59" s="213" t="s">
        <v>654</v>
      </c>
      <c r="B59" s="213">
        <v>4</v>
      </c>
      <c r="C59" s="213" t="s">
        <v>990</v>
      </c>
      <c r="D59" s="213">
        <v>614347803</v>
      </c>
      <c r="E59" s="213">
        <v>92303</v>
      </c>
      <c r="F59" s="213" t="s">
        <v>725</v>
      </c>
      <c r="G59" s="213">
        <v>847922</v>
      </c>
      <c r="H59" s="213">
        <v>657194</v>
      </c>
      <c r="I59" s="213">
        <v>6.8</v>
      </c>
      <c r="J59" s="213" t="s">
        <v>991</v>
      </c>
      <c r="K59" s="213" t="s">
        <v>727</v>
      </c>
      <c r="L59" s="213" t="s">
        <v>656</v>
      </c>
      <c r="M59" s="213" t="s">
        <v>728</v>
      </c>
      <c r="N59" s="213" t="s">
        <v>728</v>
      </c>
      <c r="O59" s="213" t="s">
        <v>729</v>
      </c>
      <c r="P59" s="213" t="s">
        <v>710</v>
      </c>
      <c r="Q59" s="213">
        <v>24.1</v>
      </c>
      <c r="R59" s="213">
        <v>158</v>
      </c>
      <c r="S59" s="213" t="s">
        <v>710</v>
      </c>
      <c r="T59" s="213">
        <v>-9999</v>
      </c>
      <c r="U59" s="213">
        <v>219</v>
      </c>
      <c r="V59" s="213">
        <v>481</v>
      </c>
      <c r="W59" s="213">
        <v>210</v>
      </c>
      <c r="X59" s="213" t="s">
        <v>710</v>
      </c>
      <c r="Y59" s="213">
        <v>0</v>
      </c>
      <c r="Z59" s="213">
        <v>40</v>
      </c>
      <c r="AA59" s="213" t="s">
        <v>730</v>
      </c>
      <c r="AB59" s="213" t="s">
        <v>731</v>
      </c>
      <c r="AC59" s="213" t="s">
        <v>729</v>
      </c>
      <c r="AD59" s="213" t="s">
        <v>732</v>
      </c>
      <c r="AE59" s="213">
        <v>0</v>
      </c>
      <c r="AF59" s="213">
        <v>3</v>
      </c>
      <c r="AG59" s="213" t="s">
        <v>249</v>
      </c>
      <c r="AH59" s="213">
        <v>-9999</v>
      </c>
      <c r="AI59" s="213">
        <v>193</v>
      </c>
      <c r="AJ59" s="213">
        <v>456</v>
      </c>
      <c r="AK59" s="213">
        <v>190</v>
      </c>
      <c r="AL59" s="213" t="s">
        <v>710</v>
      </c>
      <c r="AM59" s="213">
        <v>0</v>
      </c>
      <c r="AN59" s="213">
        <v>40</v>
      </c>
      <c r="AO59" s="213" t="s">
        <v>733</v>
      </c>
      <c r="AP59" s="213" t="s">
        <v>734</v>
      </c>
      <c r="AQ59" s="213">
        <v>1</v>
      </c>
      <c r="AR59" s="213" t="s">
        <v>735</v>
      </c>
      <c r="AS59" s="213">
        <v>0</v>
      </c>
      <c r="AT59" s="213">
        <v>2</v>
      </c>
      <c r="AU59" s="213" t="s">
        <v>249</v>
      </c>
      <c r="AV59" s="213">
        <v>-9999</v>
      </c>
      <c r="AW59" s="213">
        <v>261</v>
      </c>
      <c r="AX59" s="213">
        <v>649</v>
      </c>
      <c r="AY59" s="213">
        <v>259</v>
      </c>
      <c r="AZ59" s="213" t="s">
        <v>710</v>
      </c>
      <c r="BA59" s="213">
        <v>0</v>
      </c>
      <c r="BB59" s="213">
        <v>40</v>
      </c>
      <c r="BC59" s="213" t="s">
        <v>736</v>
      </c>
      <c r="BD59" s="213" t="s">
        <v>734</v>
      </c>
      <c r="BE59" s="213">
        <v>2</v>
      </c>
      <c r="BF59" s="213" t="s">
        <v>735</v>
      </c>
      <c r="BG59" s="213">
        <v>0</v>
      </c>
      <c r="BH59" s="213">
        <v>0</v>
      </c>
      <c r="BI59" s="213" t="s">
        <v>249</v>
      </c>
      <c r="BJ59" s="213">
        <v>-9999</v>
      </c>
      <c r="BK59" s="213">
        <v>109</v>
      </c>
      <c r="BL59" s="213">
        <v>327</v>
      </c>
      <c r="BM59" s="213">
        <v>106</v>
      </c>
      <c r="BN59" s="213" t="s">
        <v>710</v>
      </c>
      <c r="BO59" s="213">
        <v>0</v>
      </c>
      <c r="BP59" s="213">
        <v>40</v>
      </c>
      <c r="BQ59" s="213" t="s">
        <v>737</v>
      </c>
      <c r="BR59" s="213" t="s">
        <v>734</v>
      </c>
      <c r="BS59" s="213">
        <v>3</v>
      </c>
      <c r="BT59" s="213" t="s">
        <v>735</v>
      </c>
      <c r="BU59" s="213">
        <v>0</v>
      </c>
      <c r="BV59" s="213">
        <v>8</v>
      </c>
      <c r="BW59" s="213" t="s">
        <v>249</v>
      </c>
      <c r="BX59" s="213">
        <v>-9999</v>
      </c>
      <c r="BY59" s="213">
        <v>153</v>
      </c>
      <c r="BZ59" s="213">
        <v>372</v>
      </c>
      <c r="CA59" s="213">
        <v>154</v>
      </c>
      <c r="CB59" s="213" t="s">
        <v>710</v>
      </c>
      <c r="CC59" s="213">
        <v>0</v>
      </c>
      <c r="CD59" s="213">
        <v>40</v>
      </c>
      <c r="CE59" s="213" t="s">
        <v>738</v>
      </c>
      <c r="CF59" s="213" t="s">
        <v>734</v>
      </c>
      <c r="CG59" s="213">
        <v>4</v>
      </c>
      <c r="CH59" s="213" t="s">
        <v>735</v>
      </c>
      <c r="CI59" s="213">
        <v>0</v>
      </c>
      <c r="CJ59" s="213">
        <v>3</v>
      </c>
      <c r="CK59" s="213" t="s">
        <v>249</v>
      </c>
      <c r="CL59" s="213">
        <v>-9999</v>
      </c>
      <c r="CM59" s="213">
        <v>148</v>
      </c>
      <c r="CN59" s="213">
        <v>384</v>
      </c>
      <c r="CO59" s="213">
        <v>145</v>
      </c>
      <c r="CP59" s="213" t="s">
        <v>710</v>
      </c>
      <c r="CQ59" s="213">
        <v>0</v>
      </c>
      <c r="CR59" s="213">
        <v>40</v>
      </c>
      <c r="CS59" s="213" t="s">
        <v>739</v>
      </c>
      <c r="CT59" s="213" t="s">
        <v>740</v>
      </c>
      <c r="CU59" s="213">
        <v>115</v>
      </c>
      <c r="CV59" s="213">
        <v>115</v>
      </c>
      <c r="CW59" s="213">
        <v>114</v>
      </c>
      <c r="CX59" s="213" t="s">
        <v>710</v>
      </c>
      <c r="CY59" s="213" t="s">
        <v>741</v>
      </c>
      <c r="CZ59" s="213" t="s">
        <v>740</v>
      </c>
      <c r="DA59" s="213">
        <v>105</v>
      </c>
      <c r="DB59" s="213">
        <v>105</v>
      </c>
      <c r="DC59" s="213">
        <v>105</v>
      </c>
      <c r="DD59" s="213" t="s">
        <v>710</v>
      </c>
      <c r="DE59" s="213" t="s">
        <v>742</v>
      </c>
      <c r="DF59" s="213" t="s">
        <v>743</v>
      </c>
      <c r="DG59" s="213">
        <v>0</v>
      </c>
      <c r="DH59" s="213">
        <v>0</v>
      </c>
      <c r="DI59" s="213">
        <v>0</v>
      </c>
      <c r="DJ59" s="213" t="s">
        <v>249</v>
      </c>
      <c r="DM59" s="213" t="s">
        <v>744</v>
      </c>
      <c r="DN59" s="213" t="s">
        <v>743</v>
      </c>
      <c r="DO59" s="213">
        <v>0</v>
      </c>
      <c r="DP59" s="213">
        <v>0</v>
      </c>
      <c r="DQ59" s="213">
        <v>0</v>
      </c>
      <c r="DR59" s="213" t="s">
        <v>249</v>
      </c>
      <c r="DU59" s="213" t="s">
        <v>745</v>
      </c>
      <c r="DV59" s="213" t="s">
        <v>743</v>
      </c>
      <c r="DW59" s="213">
        <v>0</v>
      </c>
      <c r="DX59" s="213">
        <v>0</v>
      </c>
      <c r="DY59" s="213">
        <v>0</v>
      </c>
      <c r="DZ59" s="213" t="s">
        <v>249</v>
      </c>
      <c r="EC59" s="213" t="s">
        <v>746</v>
      </c>
      <c r="ED59" s="213" t="s">
        <v>743</v>
      </c>
      <c r="EE59" s="213">
        <v>0</v>
      </c>
      <c r="EF59" s="213">
        <v>0</v>
      </c>
      <c r="EG59" s="213">
        <v>0</v>
      </c>
      <c r="EH59" s="213" t="s">
        <v>249</v>
      </c>
      <c r="EK59" s="213" t="s">
        <v>747</v>
      </c>
      <c r="EL59" s="213" t="s">
        <v>743</v>
      </c>
      <c r="EM59" s="213">
        <v>0</v>
      </c>
      <c r="EN59" s="213">
        <v>0</v>
      </c>
      <c r="EO59" s="213">
        <v>0</v>
      </c>
      <c r="EP59" s="213" t="s">
        <v>249</v>
      </c>
      <c r="ES59" s="213" t="s">
        <v>748</v>
      </c>
      <c r="ET59" s="213" t="s">
        <v>743</v>
      </c>
      <c r="EU59" s="213">
        <v>0</v>
      </c>
      <c r="EV59" s="213">
        <v>0</v>
      </c>
      <c r="EW59" s="213">
        <v>0</v>
      </c>
      <c r="EX59" s="213" t="s">
        <v>249</v>
      </c>
      <c r="FA59" s="213" t="s">
        <v>749</v>
      </c>
      <c r="FB59" s="213" t="s">
        <v>743</v>
      </c>
      <c r="FC59" s="213">
        <v>0</v>
      </c>
      <c r="FD59" s="213">
        <v>0</v>
      </c>
      <c r="FE59" s="213">
        <v>0</v>
      </c>
      <c r="FF59" s="213" t="s">
        <v>249</v>
      </c>
      <c r="FI59" s="213" t="s">
        <v>750</v>
      </c>
      <c r="FJ59" s="213" t="s">
        <v>743</v>
      </c>
      <c r="FK59" s="213">
        <v>0</v>
      </c>
      <c r="FL59" s="213">
        <v>0</v>
      </c>
      <c r="FM59" s="213">
        <v>0</v>
      </c>
      <c r="FN59" s="213" t="s">
        <v>249</v>
      </c>
      <c r="FQ59" s="213" t="s">
        <v>751</v>
      </c>
      <c r="FR59" s="213" t="s">
        <v>743</v>
      </c>
      <c r="FS59" s="213">
        <v>0</v>
      </c>
      <c r="FT59" s="213">
        <v>0</v>
      </c>
      <c r="FU59" s="213">
        <v>0</v>
      </c>
      <c r="FV59" s="213" t="s">
        <v>249</v>
      </c>
      <c r="FY59" s="213">
        <v>24.1</v>
      </c>
      <c r="FZ59" s="213">
        <v>-12.7</v>
      </c>
      <c r="GF59" s="213" t="s">
        <v>752</v>
      </c>
    </row>
    <row r="60" spans="1:188" s="213" customFormat="1" x14ac:dyDescent="0.15">
      <c r="A60" s="213" t="s">
        <v>654</v>
      </c>
      <c r="B60" s="213">
        <v>4</v>
      </c>
      <c r="C60" s="213" t="s">
        <v>992</v>
      </c>
      <c r="D60" s="213">
        <v>614346729</v>
      </c>
      <c r="E60" s="213">
        <v>92303</v>
      </c>
      <c r="F60" s="213" t="s">
        <v>725</v>
      </c>
      <c r="G60" s="213">
        <v>847922</v>
      </c>
      <c r="H60" s="213">
        <v>702829</v>
      </c>
      <c r="I60" s="213">
        <v>6.8</v>
      </c>
      <c r="J60" s="213" t="s">
        <v>993</v>
      </c>
      <c r="K60" s="213" t="s">
        <v>727</v>
      </c>
      <c r="L60" s="213" t="s">
        <v>656</v>
      </c>
      <c r="M60" s="213" t="s">
        <v>728</v>
      </c>
      <c r="N60" s="213" t="s">
        <v>728</v>
      </c>
      <c r="O60" s="213" t="s">
        <v>729</v>
      </c>
      <c r="P60" s="213" t="s">
        <v>710</v>
      </c>
      <c r="Q60" s="213">
        <v>24</v>
      </c>
      <c r="R60" s="213">
        <v>145</v>
      </c>
      <c r="S60" s="213" t="s">
        <v>710</v>
      </c>
      <c r="T60" s="213">
        <v>-9999</v>
      </c>
      <c r="U60" s="213">
        <v>221</v>
      </c>
      <c r="V60" s="213">
        <v>489</v>
      </c>
      <c r="W60" s="213">
        <v>216</v>
      </c>
      <c r="X60" s="213" t="s">
        <v>710</v>
      </c>
      <c r="Y60" s="213">
        <v>0</v>
      </c>
      <c r="Z60" s="213">
        <v>40</v>
      </c>
      <c r="AA60" s="213" t="s">
        <v>730</v>
      </c>
      <c r="AB60" s="213" t="s">
        <v>731</v>
      </c>
      <c r="AC60" s="213" t="s">
        <v>729</v>
      </c>
      <c r="AD60" s="213" t="s">
        <v>732</v>
      </c>
      <c r="AE60" s="213">
        <v>0</v>
      </c>
      <c r="AF60" s="213">
        <v>6</v>
      </c>
      <c r="AG60" s="213" t="s">
        <v>249</v>
      </c>
      <c r="AH60" s="213">
        <v>-9999</v>
      </c>
      <c r="AI60" s="213">
        <v>193</v>
      </c>
      <c r="AJ60" s="213">
        <v>464</v>
      </c>
      <c r="AK60" s="213">
        <v>192</v>
      </c>
      <c r="AL60" s="213" t="s">
        <v>710</v>
      </c>
      <c r="AM60" s="213">
        <v>0</v>
      </c>
      <c r="AN60" s="213">
        <v>40</v>
      </c>
      <c r="AO60" s="213" t="s">
        <v>733</v>
      </c>
      <c r="AP60" s="213" t="s">
        <v>734</v>
      </c>
      <c r="AQ60" s="213">
        <v>1</v>
      </c>
      <c r="AR60" s="213" t="s">
        <v>735</v>
      </c>
      <c r="AS60" s="213">
        <v>0</v>
      </c>
      <c r="AT60" s="213">
        <v>8</v>
      </c>
      <c r="AU60" s="213" t="s">
        <v>249</v>
      </c>
      <c r="AV60" s="213">
        <v>-9999</v>
      </c>
      <c r="AW60" s="213">
        <v>247</v>
      </c>
      <c r="AX60" s="213">
        <v>611</v>
      </c>
      <c r="AY60" s="213">
        <v>246</v>
      </c>
      <c r="AZ60" s="213" t="s">
        <v>710</v>
      </c>
      <c r="BA60" s="213">
        <v>0</v>
      </c>
      <c r="BB60" s="213">
        <v>40</v>
      </c>
      <c r="BC60" s="213" t="s">
        <v>736</v>
      </c>
      <c r="BD60" s="213" t="s">
        <v>734</v>
      </c>
      <c r="BE60" s="213">
        <v>2</v>
      </c>
      <c r="BF60" s="213" t="s">
        <v>735</v>
      </c>
      <c r="BG60" s="213">
        <v>0</v>
      </c>
      <c r="BH60" s="213">
        <v>0</v>
      </c>
      <c r="BI60" s="213" t="s">
        <v>249</v>
      </c>
      <c r="BJ60" s="213">
        <v>-9999</v>
      </c>
      <c r="BK60" s="213">
        <v>114</v>
      </c>
      <c r="BL60" s="213">
        <v>350</v>
      </c>
      <c r="BM60" s="213">
        <v>113</v>
      </c>
      <c r="BN60" s="213" t="s">
        <v>710</v>
      </c>
      <c r="BO60" s="213">
        <v>0</v>
      </c>
      <c r="BP60" s="213">
        <v>40</v>
      </c>
      <c r="BQ60" s="213" t="s">
        <v>737</v>
      </c>
      <c r="BR60" s="213" t="s">
        <v>734</v>
      </c>
      <c r="BS60" s="213">
        <v>3</v>
      </c>
      <c r="BT60" s="213" t="s">
        <v>735</v>
      </c>
      <c r="BU60" s="213">
        <v>0</v>
      </c>
      <c r="BV60" s="213">
        <v>3</v>
      </c>
      <c r="BW60" s="213" t="s">
        <v>249</v>
      </c>
      <c r="BX60" s="213">
        <v>-9999</v>
      </c>
      <c r="BY60" s="213">
        <v>174</v>
      </c>
      <c r="BZ60" s="213">
        <v>417</v>
      </c>
      <c r="CA60" s="213">
        <v>174</v>
      </c>
      <c r="CB60" s="213" t="s">
        <v>710</v>
      </c>
      <c r="CC60" s="213">
        <v>0</v>
      </c>
      <c r="CD60" s="213">
        <v>40</v>
      </c>
      <c r="CE60" s="213" t="s">
        <v>738</v>
      </c>
      <c r="CF60" s="213" t="s">
        <v>734</v>
      </c>
      <c r="CG60" s="213">
        <v>4</v>
      </c>
      <c r="CH60" s="213" t="s">
        <v>735</v>
      </c>
      <c r="CI60" s="213">
        <v>0</v>
      </c>
      <c r="CJ60" s="213">
        <v>4</v>
      </c>
      <c r="CK60" s="213" t="s">
        <v>249</v>
      </c>
      <c r="CL60" s="213">
        <v>-9999</v>
      </c>
      <c r="CM60" s="213">
        <v>153</v>
      </c>
      <c r="CN60" s="213">
        <v>401</v>
      </c>
      <c r="CO60" s="213">
        <v>152</v>
      </c>
      <c r="CP60" s="213" t="s">
        <v>710</v>
      </c>
      <c r="CQ60" s="213">
        <v>0</v>
      </c>
      <c r="CR60" s="213">
        <v>40</v>
      </c>
      <c r="CS60" s="213" t="s">
        <v>739</v>
      </c>
      <c r="CT60" s="213" t="s">
        <v>740</v>
      </c>
      <c r="CU60" s="213">
        <v>131</v>
      </c>
      <c r="CV60" s="213">
        <v>131</v>
      </c>
      <c r="CW60" s="213">
        <v>131</v>
      </c>
      <c r="CX60" s="213" t="s">
        <v>710</v>
      </c>
      <c r="CY60" s="213" t="s">
        <v>741</v>
      </c>
      <c r="CZ60" s="213" t="s">
        <v>740</v>
      </c>
      <c r="DA60" s="213">
        <v>125</v>
      </c>
      <c r="DB60" s="213">
        <v>125</v>
      </c>
      <c r="DC60" s="213">
        <v>125</v>
      </c>
      <c r="DD60" s="213" t="s">
        <v>710</v>
      </c>
      <c r="DE60" s="213" t="s">
        <v>742</v>
      </c>
      <c r="DF60" s="213" t="s">
        <v>743</v>
      </c>
      <c r="DG60" s="213">
        <v>0</v>
      </c>
      <c r="DH60" s="213">
        <v>0</v>
      </c>
      <c r="DI60" s="213">
        <v>0</v>
      </c>
      <c r="DJ60" s="213" t="s">
        <v>249</v>
      </c>
      <c r="DM60" s="213" t="s">
        <v>744</v>
      </c>
      <c r="DN60" s="213" t="s">
        <v>743</v>
      </c>
      <c r="DO60" s="213">
        <v>0</v>
      </c>
      <c r="DP60" s="213">
        <v>0</v>
      </c>
      <c r="DQ60" s="213">
        <v>0</v>
      </c>
      <c r="DR60" s="213" t="s">
        <v>249</v>
      </c>
      <c r="DU60" s="213" t="s">
        <v>745</v>
      </c>
      <c r="DV60" s="213" t="s">
        <v>743</v>
      </c>
      <c r="DW60" s="213">
        <v>0</v>
      </c>
      <c r="DX60" s="213">
        <v>0</v>
      </c>
      <c r="DY60" s="213">
        <v>0</v>
      </c>
      <c r="DZ60" s="213" t="s">
        <v>249</v>
      </c>
      <c r="EC60" s="213" t="s">
        <v>746</v>
      </c>
      <c r="ED60" s="213" t="s">
        <v>743</v>
      </c>
      <c r="EE60" s="213">
        <v>0</v>
      </c>
      <c r="EF60" s="213">
        <v>0</v>
      </c>
      <c r="EG60" s="213">
        <v>0</v>
      </c>
      <c r="EH60" s="213" t="s">
        <v>249</v>
      </c>
      <c r="EK60" s="213" t="s">
        <v>747</v>
      </c>
      <c r="EL60" s="213" t="s">
        <v>743</v>
      </c>
      <c r="EM60" s="213">
        <v>0</v>
      </c>
      <c r="EN60" s="213">
        <v>0</v>
      </c>
      <c r="EO60" s="213">
        <v>0</v>
      </c>
      <c r="EP60" s="213" t="s">
        <v>249</v>
      </c>
      <c r="ES60" s="213" t="s">
        <v>748</v>
      </c>
      <c r="ET60" s="213" t="s">
        <v>743</v>
      </c>
      <c r="EU60" s="213">
        <v>0</v>
      </c>
      <c r="EV60" s="213">
        <v>0</v>
      </c>
      <c r="EW60" s="213">
        <v>0</v>
      </c>
      <c r="EX60" s="213" t="s">
        <v>249</v>
      </c>
      <c r="FA60" s="213" t="s">
        <v>749</v>
      </c>
      <c r="FB60" s="213" t="s">
        <v>743</v>
      </c>
      <c r="FC60" s="213">
        <v>0</v>
      </c>
      <c r="FD60" s="213">
        <v>0</v>
      </c>
      <c r="FE60" s="213">
        <v>0</v>
      </c>
      <c r="FF60" s="213" t="s">
        <v>249</v>
      </c>
      <c r="FI60" s="213" t="s">
        <v>750</v>
      </c>
      <c r="FJ60" s="213" t="s">
        <v>743</v>
      </c>
      <c r="FK60" s="213">
        <v>0</v>
      </c>
      <c r="FL60" s="213">
        <v>0</v>
      </c>
      <c r="FM60" s="213">
        <v>0</v>
      </c>
      <c r="FN60" s="213" t="s">
        <v>249</v>
      </c>
      <c r="FQ60" s="213" t="s">
        <v>751</v>
      </c>
      <c r="FR60" s="213" t="s">
        <v>743</v>
      </c>
      <c r="FS60" s="213">
        <v>0</v>
      </c>
      <c r="FT60" s="213">
        <v>0</v>
      </c>
      <c r="FU60" s="213">
        <v>0</v>
      </c>
      <c r="FV60" s="213" t="s">
        <v>249</v>
      </c>
      <c r="FY60" s="213">
        <v>18.8</v>
      </c>
      <c r="FZ60" s="213">
        <v>-9</v>
      </c>
      <c r="GF60" s="213" t="s">
        <v>752</v>
      </c>
    </row>
    <row r="61" spans="1:188" s="213" customFormat="1" x14ac:dyDescent="0.15">
      <c r="A61" s="213" t="s">
        <v>654</v>
      </c>
      <c r="B61" s="213">
        <v>4</v>
      </c>
      <c r="C61" s="213" t="s">
        <v>994</v>
      </c>
      <c r="D61" s="213">
        <v>614347201</v>
      </c>
      <c r="E61" s="213">
        <v>92303</v>
      </c>
      <c r="F61" s="213" t="s">
        <v>725</v>
      </c>
      <c r="G61" s="213">
        <v>847922</v>
      </c>
      <c r="H61" s="213">
        <v>220000161</v>
      </c>
      <c r="I61" s="213">
        <v>6.8</v>
      </c>
      <c r="J61" s="213" t="s">
        <v>995</v>
      </c>
      <c r="K61" s="213" t="s">
        <v>727</v>
      </c>
      <c r="L61" s="213" t="s">
        <v>656</v>
      </c>
      <c r="M61" s="213" t="s">
        <v>728</v>
      </c>
      <c r="N61" s="213" t="s">
        <v>728</v>
      </c>
      <c r="O61" s="213" t="s">
        <v>729</v>
      </c>
      <c r="P61" s="213" t="s">
        <v>710</v>
      </c>
      <c r="Q61" s="213">
        <v>23.7</v>
      </c>
      <c r="R61" s="213">
        <v>156</v>
      </c>
      <c r="S61" s="213" t="s">
        <v>710</v>
      </c>
      <c r="T61" s="213">
        <v>-9999</v>
      </c>
      <c r="U61" s="213">
        <v>215</v>
      </c>
      <c r="V61" s="213">
        <v>460</v>
      </c>
      <c r="W61" s="213">
        <v>203</v>
      </c>
      <c r="X61" s="213" t="s">
        <v>710</v>
      </c>
      <c r="Y61" s="213">
        <v>0</v>
      </c>
      <c r="Z61" s="213">
        <v>40</v>
      </c>
      <c r="AA61" s="213" t="s">
        <v>730</v>
      </c>
      <c r="AB61" s="213" t="s">
        <v>731</v>
      </c>
      <c r="AC61" s="213" t="s">
        <v>729</v>
      </c>
      <c r="AD61" s="213" t="s">
        <v>732</v>
      </c>
      <c r="AE61" s="213">
        <v>0</v>
      </c>
      <c r="AF61" s="213">
        <v>7</v>
      </c>
      <c r="AG61" s="213" t="s">
        <v>249</v>
      </c>
      <c r="AH61" s="213">
        <v>-9999</v>
      </c>
      <c r="AI61" s="213">
        <v>198</v>
      </c>
      <c r="AJ61" s="213">
        <v>471</v>
      </c>
      <c r="AK61" s="213">
        <v>195</v>
      </c>
      <c r="AL61" s="213" t="s">
        <v>710</v>
      </c>
      <c r="AM61" s="213">
        <v>0</v>
      </c>
      <c r="AN61" s="213">
        <v>40</v>
      </c>
      <c r="AO61" s="213" t="s">
        <v>733</v>
      </c>
      <c r="AP61" s="213" t="s">
        <v>734</v>
      </c>
      <c r="AQ61" s="213">
        <v>1</v>
      </c>
      <c r="AR61" s="213" t="s">
        <v>735</v>
      </c>
      <c r="AS61" s="213">
        <v>0</v>
      </c>
      <c r="AT61" s="213">
        <v>4</v>
      </c>
      <c r="AU61" s="213" t="s">
        <v>249</v>
      </c>
      <c r="AV61" s="213">
        <v>-9999</v>
      </c>
      <c r="AW61" s="213">
        <v>261</v>
      </c>
      <c r="AX61" s="213">
        <v>638</v>
      </c>
      <c r="AY61" s="213">
        <v>256</v>
      </c>
      <c r="AZ61" s="213" t="s">
        <v>710</v>
      </c>
      <c r="BA61" s="213">
        <v>0</v>
      </c>
      <c r="BB61" s="213">
        <v>40</v>
      </c>
      <c r="BC61" s="213" t="s">
        <v>736</v>
      </c>
      <c r="BD61" s="213" t="s">
        <v>734</v>
      </c>
      <c r="BE61" s="213">
        <v>2</v>
      </c>
      <c r="BF61" s="213" t="s">
        <v>735</v>
      </c>
      <c r="BG61" s="213">
        <v>0</v>
      </c>
      <c r="BH61" s="213">
        <v>4</v>
      </c>
      <c r="BI61" s="213" t="s">
        <v>249</v>
      </c>
      <c r="BJ61" s="213">
        <v>-9999</v>
      </c>
      <c r="BK61" s="213">
        <v>110</v>
      </c>
      <c r="BL61" s="213">
        <v>328</v>
      </c>
      <c r="BM61" s="213">
        <v>107</v>
      </c>
      <c r="BN61" s="213" t="s">
        <v>710</v>
      </c>
      <c r="BO61" s="213">
        <v>0</v>
      </c>
      <c r="BP61" s="213">
        <v>40</v>
      </c>
      <c r="BQ61" s="213" t="s">
        <v>737</v>
      </c>
      <c r="BR61" s="213" t="s">
        <v>734</v>
      </c>
      <c r="BS61" s="213">
        <v>3</v>
      </c>
      <c r="BT61" s="213" t="s">
        <v>735</v>
      </c>
      <c r="BU61" s="213">
        <v>0</v>
      </c>
      <c r="BV61" s="213">
        <v>13</v>
      </c>
      <c r="BW61" s="213" t="s">
        <v>249</v>
      </c>
      <c r="BX61" s="213">
        <v>-9999</v>
      </c>
      <c r="BY61" s="213">
        <v>148</v>
      </c>
      <c r="BZ61" s="213">
        <v>359</v>
      </c>
      <c r="CA61" s="213">
        <v>147</v>
      </c>
      <c r="CB61" s="213" t="s">
        <v>710</v>
      </c>
      <c r="CC61" s="213">
        <v>0</v>
      </c>
      <c r="CD61" s="213">
        <v>40</v>
      </c>
      <c r="CE61" s="213" t="s">
        <v>738</v>
      </c>
      <c r="CF61" s="213" t="s">
        <v>734</v>
      </c>
      <c r="CG61" s="213">
        <v>4</v>
      </c>
      <c r="CH61" s="213" t="s">
        <v>735</v>
      </c>
      <c r="CI61" s="213">
        <v>0</v>
      </c>
      <c r="CJ61" s="213">
        <v>8</v>
      </c>
      <c r="CK61" s="213" t="s">
        <v>249</v>
      </c>
      <c r="CL61" s="213">
        <v>-9999</v>
      </c>
      <c r="CM61" s="213">
        <v>147</v>
      </c>
      <c r="CN61" s="213">
        <v>383</v>
      </c>
      <c r="CO61" s="213">
        <v>144</v>
      </c>
      <c r="CP61" s="213" t="s">
        <v>710</v>
      </c>
      <c r="CQ61" s="213">
        <v>0</v>
      </c>
      <c r="CR61" s="213">
        <v>40</v>
      </c>
      <c r="CS61" s="213" t="s">
        <v>739</v>
      </c>
      <c r="CT61" s="213" t="s">
        <v>740</v>
      </c>
      <c r="CU61" s="213">
        <v>115</v>
      </c>
      <c r="CV61" s="213">
        <v>114</v>
      </c>
      <c r="CW61" s="213">
        <v>113</v>
      </c>
      <c r="CX61" s="213" t="s">
        <v>710</v>
      </c>
      <c r="CY61" s="213" t="s">
        <v>741</v>
      </c>
      <c r="CZ61" s="213" t="s">
        <v>740</v>
      </c>
      <c r="DA61" s="213">
        <v>104</v>
      </c>
      <c r="DB61" s="213">
        <v>103</v>
      </c>
      <c r="DC61" s="213">
        <v>103</v>
      </c>
      <c r="DD61" s="213" t="s">
        <v>710</v>
      </c>
      <c r="DE61" s="213" t="s">
        <v>742</v>
      </c>
      <c r="DF61" s="213" t="s">
        <v>743</v>
      </c>
      <c r="DG61" s="213">
        <v>0</v>
      </c>
      <c r="DH61" s="213">
        <v>0</v>
      </c>
      <c r="DI61" s="213">
        <v>0</v>
      </c>
      <c r="DJ61" s="213" t="s">
        <v>249</v>
      </c>
      <c r="DM61" s="213" t="s">
        <v>744</v>
      </c>
      <c r="DN61" s="213" t="s">
        <v>743</v>
      </c>
      <c r="DO61" s="213">
        <v>0</v>
      </c>
      <c r="DP61" s="213">
        <v>0</v>
      </c>
      <c r="DQ61" s="213">
        <v>0</v>
      </c>
      <c r="DR61" s="213" t="s">
        <v>249</v>
      </c>
      <c r="DU61" s="213" t="s">
        <v>745</v>
      </c>
      <c r="DV61" s="213" t="s">
        <v>743</v>
      </c>
      <c r="DW61" s="213">
        <v>0</v>
      </c>
      <c r="DX61" s="213">
        <v>0</v>
      </c>
      <c r="DY61" s="213">
        <v>0</v>
      </c>
      <c r="DZ61" s="213" t="s">
        <v>249</v>
      </c>
      <c r="EC61" s="213" t="s">
        <v>746</v>
      </c>
      <c r="ED61" s="213" t="s">
        <v>743</v>
      </c>
      <c r="EE61" s="213">
        <v>0</v>
      </c>
      <c r="EF61" s="213">
        <v>0</v>
      </c>
      <c r="EG61" s="213">
        <v>0</v>
      </c>
      <c r="EH61" s="213" t="s">
        <v>249</v>
      </c>
      <c r="EK61" s="213" t="s">
        <v>747</v>
      </c>
      <c r="EL61" s="213" t="s">
        <v>743</v>
      </c>
      <c r="EM61" s="213">
        <v>0</v>
      </c>
      <c r="EN61" s="213">
        <v>0</v>
      </c>
      <c r="EO61" s="213">
        <v>0</v>
      </c>
      <c r="EP61" s="213" t="s">
        <v>249</v>
      </c>
      <c r="ES61" s="213" t="s">
        <v>748</v>
      </c>
      <c r="ET61" s="213" t="s">
        <v>743</v>
      </c>
      <c r="EU61" s="213">
        <v>0</v>
      </c>
      <c r="EV61" s="213">
        <v>0</v>
      </c>
      <c r="EW61" s="213">
        <v>0</v>
      </c>
      <c r="EX61" s="213" t="s">
        <v>249</v>
      </c>
      <c r="FA61" s="213" t="s">
        <v>749</v>
      </c>
      <c r="FB61" s="213" t="s">
        <v>743</v>
      </c>
      <c r="FC61" s="213">
        <v>0</v>
      </c>
      <c r="FD61" s="213">
        <v>0</v>
      </c>
      <c r="FE61" s="213">
        <v>0</v>
      </c>
      <c r="FF61" s="213" t="s">
        <v>249</v>
      </c>
      <c r="FI61" s="213" t="s">
        <v>750</v>
      </c>
      <c r="FJ61" s="213" t="s">
        <v>743</v>
      </c>
      <c r="FK61" s="213">
        <v>0</v>
      </c>
      <c r="FL61" s="213">
        <v>0</v>
      </c>
      <c r="FM61" s="213">
        <v>0</v>
      </c>
      <c r="FN61" s="213" t="s">
        <v>249</v>
      </c>
      <c r="FQ61" s="213" t="s">
        <v>751</v>
      </c>
      <c r="FR61" s="213" t="s">
        <v>743</v>
      </c>
      <c r="FS61" s="213">
        <v>0</v>
      </c>
      <c r="FT61" s="213">
        <v>0</v>
      </c>
      <c r="FU61" s="213">
        <v>0</v>
      </c>
      <c r="FV61" s="213" t="s">
        <v>249</v>
      </c>
      <c r="FY61" s="213">
        <v>21.2</v>
      </c>
      <c r="FZ61" s="213">
        <v>-9.8000000000000007</v>
      </c>
      <c r="GF61" s="213" t="s">
        <v>752</v>
      </c>
    </row>
    <row r="62" spans="1:188" s="213" customFormat="1" x14ac:dyDescent="0.15">
      <c r="A62" s="213" t="s">
        <v>654</v>
      </c>
      <c r="B62" s="213">
        <v>4</v>
      </c>
      <c r="C62" s="213" t="s">
        <v>996</v>
      </c>
      <c r="D62" s="213">
        <v>614351832</v>
      </c>
      <c r="E62" s="213">
        <v>92303</v>
      </c>
      <c r="F62" s="213" t="s">
        <v>725</v>
      </c>
      <c r="G62" s="213">
        <v>847922</v>
      </c>
      <c r="H62" s="213">
        <v>886194</v>
      </c>
      <c r="I62" s="213">
        <v>6.8</v>
      </c>
      <c r="J62" s="213" t="s">
        <v>997</v>
      </c>
      <c r="K62" s="213" t="s">
        <v>727</v>
      </c>
      <c r="L62" s="213" t="s">
        <v>656</v>
      </c>
      <c r="M62" s="213" t="s">
        <v>728</v>
      </c>
      <c r="N62" s="213" t="s">
        <v>728</v>
      </c>
      <c r="O62" s="213" t="s">
        <v>729</v>
      </c>
      <c r="P62" s="213" t="s">
        <v>710</v>
      </c>
      <c r="Q62" s="213">
        <v>24.5</v>
      </c>
      <c r="R62" s="213">
        <v>149</v>
      </c>
      <c r="S62" s="213" t="s">
        <v>710</v>
      </c>
      <c r="T62" s="213">
        <v>-9999</v>
      </c>
      <c r="U62" s="213">
        <v>234</v>
      </c>
      <c r="V62" s="213">
        <v>509</v>
      </c>
      <c r="W62" s="213">
        <v>225</v>
      </c>
      <c r="X62" s="213" t="s">
        <v>710</v>
      </c>
      <c r="Y62" s="213">
        <v>0</v>
      </c>
      <c r="Z62" s="213">
        <v>40</v>
      </c>
      <c r="AA62" s="213" t="s">
        <v>730</v>
      </c>
      <c r="AB62" s="213" t="s">
        <v>731</v>
      </c>
      <c r="AC62" s="213" t="s">
        <v>729</v>
      </c>
      <c r="AD62" s="213" t="s">
        <v>732</v>
      </c>
      <c r="AE62" s="213">
        <v>0</v>
      </c>
      <c r="AF62" s="213">
        <v>6</v>
      </c>
      <c r="AG62" s="213" t="s">
        <v>249</v>
      </c>
      <c r="AH62" s="213">
        <v>-9999</v>
      </c>
      <c r="AI62" s="213">
        <v>198</v>
      </c>
      <c r="AJ62" s="213">
        <v>475</v>
      </c>
      <c r="AK62" s="213">
        <v>196</v>
      </c>
      <c r="AL62" s="213" t="s">
        <v>710</v>
      </c>
      <c r="AM62" s="213">
        <v>0</v>
      </c>
      <c r="AN62" s="213">
        <v>40</v>
      </c>
      <c r="AO62" s="213" t="s">
        <v>733</v>
      </c>
      <c r="AP62" s="213" t="s">
        <v>734</v>
      </c>
      <c r="AQ62" s="213">
        <v>1</v>
      </c>
      <c r="AR62" s="213" t="s">
        <v>735</v>
      </c>
      <c r="AS62" s="213">
        <v>0</v>
      </c>
      <c r="AT62" s="213">
        <v>6</v>
      </c>
      <c r="AU62" s="213" t="s">
        <v>249</v>
      </c>
      <c r="AV62" s="213">
        <v>-9999</v>
      </c>
      <c r="AW62" s="213">
        <v>253</v>
      </c>
      <c r="AX62" s="213">
        <v>634</v>
      </c>
      <c r="AY62" s="213">
        <v>250</v>
      </c>
      <c r="AZ62" s="213" t="s">
        <v>710</v>
      </c>
      <c r="BA62" s="213">
        <v>0</v>
      </c>
      <c r="BB62" s="213">
        <v>40</v>
      </c>
      <c r="BC62" s="213" t="s">
        <v>736</v>
      </c>
      <c r="BD62" s="213" t="s">
        <v>734</v>
      </c>
      <c r="BE62" s="213">
        <v>2</v>
      </c>
      <c r="BF62" s="213" t="s">
        <v>735</v>
      </c>
      <c r="BG62" s="213">
        <v>0</v>
      </c>
      <c r="BH62" s="213">
        <v>2</v>
      </c>
      <c r="BI62" s="213" t="s">
        <v>249</v>
      </c>
      <c r="BJ62" s="213">
        <v>-9999</v>
      </c>
      <c r="BK62" s="213">
        <v>117</v>
      </c>
      <c r="BL62" s="213">
        <v>357</v>
      </c>
      <c r="BM62" s="213">
        <v>116</v>
      </c>
      <c r="BN62" s="213" t="s">
        <v>710</v>
      </c>
      <c r="BO62" s="213">
        <v>0</v>
      </c>
      <c r="BP62" s="213">
        <v>40</v>
      </c>
      <c r="BQ62" s="213" t="s">
        <v>737</v>
      </c>
      <c r="BR62" s="213" t="s">
        <v>734</v>
      </c>
      <c r="BS62" s="213">
        <v>3</v>
      </c>
      <c r="BT62" s="213" t="s">
        <v>735</v>
      </c>
      <c r="BU62" s="213">
        <v>0</v>
      </c>
      <c r="BV62" s="213">
        <v>2</v>
      </c>
      <c r="BW62" s="213" t="s">
        <v>249</v>
      </c>
      <c r="BX62" s="213">
        <v>-9999</v>
      </c>
      <c r="BY62" s="213">
        <v>201</v>
      </c>
      <c r="BZ62" s="213">
        <v>477</v>
      </c>
      <c r="CA62" s="213">
        <v>201</v>
      </c>
      <c r="CB62" s="213" t="s">
        <v>710</v>
      </c>
      <c r="CC62" s="213">
        <v>0</v>
      </c>
      <c r="CD62" s="213">
        <v>40</v>
      </c>
      <c r="CE62" s="213" t="s">
        <v>738</v>
      </c>
      <c r="CF62" s="213" t="s">
        <v>734</v>
      </c>
      <c r="CG62" s="213">
        <v>4</v>
      </c>
      <c r="CH62" s="213" t="s">
        <v>735</v>
      </c>
      <c r="CI62" s="213">
        <v>0</v>
      </c>
      <c r="CJ62" s="213">
        <v>5</v>
      </c>
      <c r="CK62" s="213" t="s">
        <v>249</v>
      </c>
      <c r="CL62" s="213">
        <v>-9999</v>
      </c>
      <c r="CM62" s="213">
        <v>142</v>
      </c>
      <c r="CN62" s="213">
        <v>371</v>
      </c>
      <c r="CO62" s="213">
        <v>140</v>
      </c>
      <c r="CP62" s="213" t="s">
        <v>710</v>
      </c>
      <c r="CQ62" s="213">
        <v>0</v>
      </c>
      <c r="CR62" s="213">
        <v>40</v>
      </c>
      <c r="CS62" s="213" t="s">
        <v>739</v>
      </c>
      <c r="CT62" s="213" t="s">
        <v>740</v>
      </c>
      <c r="CU62" s="213">
        <v>135</v>
      </c>
      <c r="CV62" s="213">
        <v>133</v>
      </c>
      <c r="CW62" s="213">
        <v>132</v>
      </c>
      <c r="CX62" s="213" t="s">
        <v>710</v>
      </c>
      <c r="CY62" s="213" t="s">
        <v>741</v>
      </c>
      <c r="CZ62" s="213" t="s">
        <v>740</v>
      </c>
      <c r="DA62" s="213">
        <v>143</v>
      </c>
      <c r="DB62" s="213">
        <v>143</v>
      </c>
      <c r="DC62" s="213">
        <v>143</v>
      </c>
      <c r="DD62" s="213" t="s">
        <v>710</v>
      </c>
      <c r="DE62" s="213" t="s">
        <v>742</v>
      </c>
      <c r="DF62" s="213" t="s">
        <v>743</v>
      </c>
      <c r="DG62" s="213">
        <v>0</v>
      </c>
      <c r="DH62" s="213">
        <v>0</v>
      </c>
      <c r="DI62" s="213">
        <v>0</v>
      </c>
      <c r="DJ62" s="213" t="s">
        <v>249</v>
      </c>
      <c r="DM62" s="213" t="s">
        <v>744</v>
      </c>
      <c r="DN62" s="213" t="s">
        <v>743</v>
      </c>
      <c r="DO62" s="213">
        <v>0</v>
      </c>
      <c r="DP62" s="213">
        <v>0</v>
      </c>
      <c r="DQ62" s="213">
        <v>0</v>
      </c>
      <c r="DR62" s="213" t="s">
        <v>249</v>
      </c>
      <c r="DU62" s="213" t="s">
        <v>745</v>
      </c>
      <c r="DV62" s="213" t="s">
        <v>743</v>
      </c>
      <c r="DW62" s="213">
        <v>0</v>
      </c>
      <c r="DX62" s="213">
        <v>0</v>
      </c>
      <c r="DY62" s="213">
        <v>0</v>
      </c>
      <c r="DZ62" s="213" t="s">
        <v>249</v>
      </c>
      <c r="EC62" s="213" t="s">
        <v>746</v>
      </c>
      <c r="ED62" s="213" t="s">
        <v>743</v>
      </c>
      <c r="EE62" s="213">
        <v>0</v>
      </c>
      <c r="EF62" s="213">
        <v>0</v>
      </c>
      <c r="EG62" s="213">
        <v>0</v>
      </c>
      <c r="EH62" s="213" t="s">
        <v>249</v>
      </c>
      <c r="EK62" s="213" t="s">
        <v>747</v>
      </c>
      <c r="EL62" s="213" t="s">
        <v>743</v>
      </c>
      <c r="EM62" s="213">
        <v>0</v>
      </c>
      <c r="EN62" s="213">
        <v>0</v>
      </c>
      <c r="EO62" s="213">
        <v>0</v>
      </c>
      <c r="EP62" s="213" t="s">
        <v>249</v>
      </c>
      <c r="ES62" s="213" t="s">
        <v>748</v>
      </c>
      <c r="ET62" s="213" t="s">
        <v>743</v>
      </c>
      <c r="EU62" s="213">
        <v>0</v>
      </c>
      <c r="EV62" s="213">
        <v>0</v>
      </c>
      <c r="EW62" s="213">
        <v>0</v>
      </c>
      <c r="EX62" s="213" t="s">
        <v>249</v>
      </c>
      <c r="FA62" s="213" t="s">
        <v>749</v>
      </c>
      <c r="FB62" s="213" t="s">
        <v>743</v>
      </c>
      <c r="FC62" s="213">
        <v>0</v>
      </c>
      <c r="FD62" s="213">
        <v>0</v>
      </c>
      <c r="FE62" s="213">
        <v>0</v>
      </c>
      <c r="FF62" s="213" t="s">
        <v>249</v>
      </c>
      <c r="FI62" s="213" t="s">
        <v>750</v>
      </c>
      <c r="FJ62" s="213" t="s">
        <v>743</v>
      </c>
      <c r="FK62" s="213">
        <v>0</v>
      </c>
      <c r="FL62" s="213">
        <v>0</v>
      </c>
      <c r="FM62" s="213">
        <v>0</v>
      </c>
      <c r="FN62" s="213" t="s">
        <v>249</v>
      </c>
      <c r="FQ62" s="213" t="s">
        <v>751</v>
      </c>
      <c r="FR62" s="213" t="s">
        <v>743</v>
      </c>
      <c r="FS62" s="213">
        <v>0</v>
      </c>
      <c r="FT62" s="213">
        <v>0</v>
      </c>
      <c r="FU62" s="213">
        <v>0</v>
      </c>
      <c r="FV62" s="213" t="s">
        <v>249</v>
      </c>
      <c r="FY62" s="213">
        <v>29.5</v>
      </c>
      <c r="FZ62" s="213">
        <v>-18</v>
      </c>
      <c r="GF62" s="213" t="s">
        <v>752</v>
      </c>
    </row>
    <row r="63" spans="1:188" s="213" customFormat="1" x14ac:dyDescent="0.15">
      <c r="A63" s="213" t="s">
        <v>654</v>
      </c>
      <c r="B63" s="213">
        <v>4</v>
      </c>
      <c r="C63" s="213" t="s">
        <v>998</v>
      </c>
      <c r="D63" s="213">
        <v>614351590</v>
      </c>
      <c r="E63" s="213">
        <v>92303</v>
      </c>
      <c r="F63" s="213" t="s">
        <v>725</v>
      </c>
      <c r="G63" s="213">
        <v>847922</v>
      </c>
      <c r="H63" s="213">
        <v>797004</v>
      </c>
      <c r="I63" s="213">
        <v>6.8</v>
      </c>
      <c r="J63" s="213" t="s">
        <v>999</v>
      </c>
      <c r="K63" s="213" t="s">
        <v>727</v>
      </c>
      <c r="L63" s="213" t="s">
        <v>656</v>
      </c>
      <c r="M63" s="213" t="s">
        <v>728</v>
      </c>
      <c r="N63" s="213" t="s">
        <v>728</v>
      </c>
      <c r="O63" s="213" t="s">
        <v>729</v>
      </c>
      <c r="P63" s="213" t="s">
        <v>710</v>
      </c>
      <c r="Q63" s="213">
        <v>24.1</v>
      </c>
      <c r="R63" s="213">
        <v>154</v>
      </c>
      <c r="S63" s="213" t="s">
        <v>710</v>
      </c>
      <c r="T63" s="213">
        <v>-9999</v>
      </c>
      <c r="U63" s="213">
        <v>231</v>
      </c>
      <c r="V63" s="213">
        <v>503</v>
      </c>
      <c r="W63" s="213">
        <v>224</v>
      </c>
      <c r="X63" s="213" t="s">
        <v>710</v>
      </c>
      <c r="Y63" s="213">
        <v>0</v>
      </c>
      <c r="Z63" s="213">
        <v>40</v>
      </c>
      <c r="AA63" s="213" t="s">
        <v>730</v>
      </c>
      <c r="AB63" s="213" t="s">
        <v>731</v>
      </c>
      <c r="AC63" s="213" t="s">
        <v>729</v>
      </c>
      <c r="AD63" s="213" t="s">
        <v>732</v>
      </c>
      <c r="AE63" s="213">
        <v>0</v>
      </c>
      <c r="AF63" s="213">
        <v>7</v>
      </c>
      <c r="AG63" s="213" t="s">
        <v>249</v>
      </c>
      <c r="AH63" s="213">
        <v>-9999</v>
      </c>
      <c r="AI63" s="213">
        <v>209</v>
      </c>
      <c r="AJ63" s="213">
        <v>496</v>
      </c>
      <c r="AK63" s="213">
        <v>205</v>
      </c>
      <c r="AL63" s="213" t="s">
        <v>710</v>
      </c>
      <c r="AM63" s="213">
        <v>0</v>
      </c>
      <c r="AN63" s="213">
        <v>40</v>
      </c>
      <c r="AO63" s="213" t="s">
        <v>733</v>
      </c>
      <c r="AP63" s="213" t="s">
        <v>734</v>
      </c>
      <c r="AQ63" s="213">
        <v>1</v>
      </c>
      <c r="AR63" s="213" t="s">
        <v>735</v>
      </c>
      <c r="AS63" s="213">
        <v>0</v>
      </c>
      <c r="AT63" s="213">
        <v>14</v>
      </c>
      <c r="AU63" s="213" t="s">
        <v>249</v>
      </c>
      <c r="AV63" s="213">
        <v>-9999</v>
      </c>
      <c r="AW63" s="213">
        <v>260</v>
      </c>
      <c r="AX63" s="213">
        <v>639</v>
      </c>
      <c r="AY63" s="213">
        <v>257</v>
      </c>
      <c r="AZ63" s="213" t="s">
        <v>710</v>
      </c>
      <c r="BA63" s="213">
        <v>0</v>
      </c>
      <c r="BB63" s="213">
        <v>40</v>
      </c>
      <c r="BC63" s="213" t="s">
        <v>736</v>
      </c>
      <c r="BD63" s="213" t="s">
        <v>734</v>
      </c>
      <c r="BE63" s="213">
        <v>2</v>
      </c>
      <c r="BF63" s="213" t="s">
        <v>735</v>
      </c>
      <c r="BG63" s="213">
        <v>0</v>
      </c>
      <c r="BH63" s="213">
        <v>2</v>
      </c>
      <c r="BI63" s="213" t="s">
        <v>249</v>
      </c>
      <c r="BJ63" s="213">
        <v>-9999</v>
      </c>
      <c r="BK63" s="213">
        <v>111</v>
      </c>
      <c r="BL63" s="213">
        <v>336</v>
      </c>
      <c r="BM63" s="213">
        <v>110</v>
      </c>
      <c r="BN63" s="213" t="s">
        <v>710</v>
      </c>
      <c r="BO63" s="213">
        <v>0</v>
      </c>
      <c r="BP63" s="213">
        <v>40</v>
      </c>
      <c r="BQ63" s="213" t="s">
        <v>737</v>
      </c>
      <c r="BR63" s="213" t="s">
        <v>734</v>
      </c>
      <c r="BS63" s="213">
        <v>3</v>
      </c>
      <c r="BT63" s="213" t="s">
        <v>735</v>
      </c>
      <c r="BU63" s="213">
        <v>0</v>
      </c>
      <c r="BV63" s="213">
        <v>4</v>
      </c>
      <c r="BW63" s="213" t="s">
        <v>249</v>
      </c>
      <c r="BX63" s="213">
        <v>-9999</v>
      </c>
      <c r="BY63" s="213">
        <v>180</v>
      </c>
      <c r="BZ63" s="213">
        <v>429</v>
      </c>
      <c r="CA63" s="213">
        <v>179</v>
      </c>
      <c r="CB63" s="213" t="s">
        <v>710</v>
      </c>
      <c r="CC63" s="213">
        <v>0</v>
      </c>
      <c r="CD63" s="213">
        <v>40</v>
      </c>
      <c r="CE63" s="213" t="s">
        <v>738</v>
      </c>
      <c r="CF63" s="213" t="s">
        <v>734</v>
      </c>
      <c r="CG63" s="213">
        <v>4</v>
      </c>
      <c r="CH63" s="213" t="s">
        <v>735</v>
      </c>
      <c r="CI63" s="213">
        <v>0</v>
      </c>
      <c r="CJ63" s="213">
        <v>6</v>
      </c>
      <c r="CK63" s="213" t="s">
        <v>249</v>
      </c>
      <c r="CL63" s="213">
        <v>-9999</v>
      </c>
      <c r="CM63" s="213">
        <v>149</v>
      </c>
      <c r="CN63" s="213">
        <v>390</v>
      </c>
      <c r="CO63" s="213">
        <v>146</v>
      </c>
      <c r="CP63" s="213" t="s">
        <v>710</v>
      </c>
      <c r="CQ63" s="213">
        <v>0</v>
      </c>
      <c r="CR63" s="213">
        <v>40</v>
      </c>
      <c r="CS63" s="213" t="s">
        <v>739</v>
      </c>
      <c r="CT63" s="213" t="s">
        <v>740</v>
      </c>
      <c r="CU63" s="213">
        <v>123</v>
      </c>
      <c r="CV63" s="213">
        <v>123</v>
      </c>
      <c r="CW63" s="213">
        <v>122</v>
      </c>
      <c r="CX63" s="213" t="s">
        <v>710</v>
      </c>
      <c r="CY63" s="213" t="s">
        <v>741</v>
      </c>
      <c r="CZ63" s="213" t="s">
        <v>740</v>
      </c>
      <c r="DA63" s="213">
        <v>113</v>
      </c>
      <c r="DB63" s="213">
        <v>113</v>
      </c>
      <c r="DC63" s="213">
        <v>113</v>
      </c>
      <c r="DD63" s="213" t="s">
        <v>710</v>
      </c>
      <c r="DE63" s="213" t="s">
        <v>742</v>
      </c>
      <c r="DF63" s="213" t="s">
        <v>743</v>
      </c>
      <c r="DG63" s="213">
        <v>0</v>
      </c>
      <c r="DH63" s="213">
        <v>0</v>
      </c>
      <c r="DI63" s="213">
        <v>0</v>
      </c>
      <c r="DJ63" s="213" t="s">
        <v>249</v>
      </c>
      <c r="DM63" s="213" t="s">
        <v>744</v>
      </c>
      <c r="DN63" s="213" t="s">
        <v>743</v>
      </c>
      <c r="DO63" s="213">
        <v>0</v>
      </c>
      <c r="DP63" s="213">
        <v>0</v>
      </c>
      <c r="DQ63" s="213">
        <v>0</v>
      </c>
      <c r="DR63" s="213" t="s">
        <v>249</v>
      </c>
      <c r="DU63" s="213" t="s">
        <v>745</v>
      </c>
      <c r="DV63" s="213" t="s">
        <v>743</v>
      </c>
      <c r="DW63" s="213">
        <v>0</v>
      </c>
      <c r="DX63" s="213">
        <v>0</v>
      </c>
      <c r="DY63" s="213">
        <v>0</v>
      </c>
      <c r="DZ63" s="213" t="s">
        <v>249</v>
      </c>
      <c r="EC63" s="213" t="s">
        <v>746</v>
      </c>
      <c r="ED63" s="213" t="s">
        <v>743</v>
      </c>
      <c r="EE63" s="213">
        <v>0</v>
      </c>
      <c r="EF63" s="213">
        <v>0</v>
      </c>
      <c r="EG63" s="213">
        <v>0</v>
      </c>
      <c r="EH63" s="213" t="s">
        <v>249</v>
      </c>
      <c r="EK63" s="213" t="s">
        <v>747</v>
      </c>
      <c r="EL63" s="213" t="s">
        <v>743</v>
      </c>
      <c r="EM63" s="213">
        <v>0</v>
      </c>
      <c r="EN63" s="213">
        <v>0</v>
      </c>
      <c r="EO63" s="213">
        <v>0</v>
      </c>
      <c r="EP63" s="213" t="s">
        <v>249</v>
      </c>
      <c r="ES63" s="213" t="s">
        <v>748</v>
      </c>
      <c r="ET63" s="213" t="s">
        <v>743</v>
      </c>
      <c r="EU63" s="213">
        <v>0</v>
      </c>
      <c r="EV63" s="213">
        <v>0</v>
      </c>
      <c r="EW63" s="213">
        <v>0</v>
      </c>
      <c r="EX63" s="213" t="s">
        <v>249</v>
      </c>
      <c r="FA63" s="213" t="s">
        <v>749</v>
      </c>
      <c r="FB63" s="213" t="s">
        <v>743</v>
      </c>
      <c r="FC63" s="213">
        <v>0</v>
      </c>
      <c r="FD63" s="213">
        <v>0</v>
      </c>
      <c r="FE63" s="213">
        <v>0</v>
      </c>
      <c r="FF63" s="213" t="s">
        <v>249</v>
      </c>
      <c r="FI63" s="213" t="s">
        <v>750</v>
      </c>
      <c r="FJ63" s="213" t="s">
        <v>743</v>
      </c>
      <c r="FK63" s="213">
        <v>0</v>
      </c>
      <c r="FL63" s="213">
        <v>0</v>
      </c>
      <c r="FM63" s="213">
        <v>0</v>
      </c>
      <c r="FN63" s="213" t="s">
        <v>249</v>
      </c>
      <c r="FQ63" s="213" t="s">
        <v>751</v>
      </c>
      <c r="FR63" s="213" t="s">
        <v>743</v>
      </c>
      <c r="FS63" s="213">
        <v>0</v>
      </c>
      <c r="FT63" s="213">
        <v>0</v>
      </c>
      <c r="FU63" s="213">
        <v>0</v>
      </c>
      <c r="FV63" s="213" t="s">
        <v>249</v>
      </c>
      <c r="FY63" s="213">
        <v>27.6</v>
      </c>
      <c r="FZ63" s="213">
        <v>-14</v>
      </c>
      <c r="GF63" s="213" t="s">
        <v>752</v>
      </c>
    </row>
    <row r="64" spans="1:188" s="213" customFormat="1" x14ac:dyDescent="0.15">
      <c r="A64" s="213" t="s">
        <v>654</v>
      </c>
      <c r="B64" s="213">
        <v>4</v>
      </c>
      <c r="C64" s="213" t="s">
        <v>1000</v>
      </c>
      <c r="D64" s="213">
        <v>614351220</v>
      </c>
      <c r="E64" s="213">
        <v>92303</v>
      </c>
      <c r="F64" s="213" t="s">
        <v>725</v>
      </c>
      <c r="G64" s="213">
        <v>847922</v>
      </c>
      <c r="H64" s="213">
        <v>742313</v>
      </c>
      <c r="I64" s="213">
        <v>6.8</v>
      </c>
      <c r="J64" s="213" t="s">
        <v>1001</v>
      </c>
      <c r="K64" s="213" t="s">
        <v>727</v>
      </c>
      <c r="L64" s="213" t="s">
        <v>656</v>
      </c>
      <c r="M64" s="213" t="s">
        <v>728</v>
      </c>
      <c r="N64" s="213" t="s">
        <v>728</v>
      </c>
      <c r="O64" s="213" t="s">
        <v>729</v>
      </c>
      <c r="P64" s="213" t="s">
        <v>710</v>
      </c>
      <c r="Q64" s="213">
        <v>24.7</v>
      </c>
      <c r="R64" s="213">
        <v>154</v>
      </c>
      <c r="S64" s="213" t="s">
        <v>710</v>
      </c>
      <c r="T64" s="213">
        <v>-9999</v>
      </c>
      <c r="U64" s="213">
        <v>219</v>
      </c>
      <c r="V64" s="213">
        <v>470</v>
      </c>
      <c r="W64" s="213">
        <v>210</v>
      </c>
      <c r="X64" s="213" t="s">
        <v>710</v>
      </c>
      <c r="Y64" s="213">
        <v>0</v>
      </c>
      <c r="Z64" s="213">
        <v>40</v>
      </c>
      <c r="AA64" s="213" t="s">
        <v>730</v>
      </c>
      <c r="AB64" s="213" t="s">
        <v>731</v>
      </c>
      <c r="AC64" s="213" t="s">
        <v>729</v>
      </c>
      <c r="AD64" s="213" t="s">
        <v>732</v>
      </c>
      <c r="AE64" s="213">
        <v>0</v>
      </c>
      <c r="AF64" s="213">
        <v>7</v>
      </c>
      <c r="AG64" s="213" t="s">
        <v>249</v>
      </c>
      <c r="AH64" s="213">
        <v>-9999</v>
      </c>
      <c r="AI64" s="213">
        <v>203</v>
      </c>
      <c r="AJ64" s="213">
        <v>483</v>
      </c>
      <c r="AK64" s="213">
        <v>199</v>
      </c>
      <c r="AL64" s="213" t="s">
        <v>710</v>
      </c>
      <c r="AM64" s="213">
        <v>0</v>
      </c>
      <c r="AN64" s="213">
        <v>40</v>
      </c>
      <c r="AO64" s="213" t="s">
        <v>733</v>
      </c>
      <c r="AP64" s="213" t="s">
        <v>734</v>
      </c>
      <c r="AQ64" s="213">
        <v>1</v>
      </c>
      <c r="AR64" s="213" t="s">
        <v>735</v>
      </c>
      <c r="AS64" s="213">
        <v>0</v>
      </c>
      <c r="AT64" s="213">
        <v>9</v>
      </c>
      <c r="AU64" s="213" t="s">
        <v>249</v>
      </c>
      <c r="AV64" s="213">
        <v>-9999</v>
      </c>
      <c r="AW64" s="213">
        <v>255</v>
      </c>
      <c r="AX64" s="213">
        <v>626</v>
      </c>
      <c r="AY64" s="213">
        <v>251</v>
      </c>
      <c r="AZ64" s="213" t="s">
        <v>710</v>
      </c>
      <c r="BA64" s="213">
        <v>0</v>
      </c>
      <c r="BB64" s="213">
        <v>40</v>
      </c>
      <c r="BC64" s="213" t="s">
        <v>736</v>
      </c>
      <c r="BD64" s="213" t="s">
        <v>734</v>
      </c>
      <c r="BE64" s="213">
        <v>2</v>
      </c>
      <c r="BF64" s="213" t="s">
        <v>735</v>
      </c>
      <c r="BG64" s="213">
        <v>0</v>
      </c>
      <c r="BH64" s="213">
        <v>0</v>
      </c>
      <c r="BI64" s="213" t="s">
        <v>249</v>
      </c>
      <c r="BJ64" s="213">
        <v>-9999</v>
      </c>
      <c r="BK64" s="213">
        <v>111</v>
      </c>
      <c r="BL64" s="213">
        <v>342</v>
      </c>
      <c r="BM64" s="213">
        <v>109</v>
      </c>
      <c r="BN64" s="213" t="s">
        <v>710</v>
      </c>
      <c r="BO64" s="213">
        <v>0</v>
      </c>
      <c r="BP64" s="213">
        <v>40</v>
      </c>
      <c r="BQ64" s="213" t="s">
        <v>737</v>
      </c>
      <c r="BR64" s="213" t="s">
        <v>734</v>
      </c>
      <c r="BS64" s="213">
        <v>3</v>
      </c>
      <c r="BT64" s="213" t="s">
        <v>735</v>
      </c>
      <c r="BU64" s="213">
        <v>0</v>
      </c>
      <c r="BV64" s="213">
        <v>8</v>
      </c>
      <c r="BW64" s="213" t="s">
        <v>249</v>
      </c>
      <c r="BX64" s="213">
        <v>-9999</v>
      </c>
      <c r="BY64" s="213">
        <v>167</v>
      </c>
      <c r="BZ64" s="213">
        <v>388</v>
      </c>
      <c r="CA64" s="213">
        <v>166</v>
      </c>
      <c r="CB64" s="213" t="s">
        <v>710</v>
      </c>
      <c r="CC64" s="213">
        <v>0</v>
      </c>
      <c r="CD64" s="213">
        <v>40</v>
      </c>
      <c r="CE64" s="213" t="s">
        <v>738</v>
      </c>
      <c r="CF64" s="213" t="s">
        <v>734</v>
      </c>
      <c r="CG64" s="213">
        <v>4</v>
      </c>
      <c r="CH64" s="213" t="s">
        <v>735</v>
      </c>
      <c r="CI64" s="213">
        <v>0</v>
      </c>
      <c r="CJ64" s="213">
        <v>5</v>
      </c>
      <c r="CK64" s="213" t="s">
        <v>249</v>
      </c>
      <c r="CL64" s="213">
        <v>-9999</v>
      </c>
      <c r="CM64" s="213">
        <v>139</v>
      </c>
      <c r="CN64" s="213">
        <v>375</v>
      </c>
      <c r="CO64" s="213">
        <v>135</v>
      </c>
      <c r="CP64" s="213" t="s">
        <v>710</v>
      </c>
      <c r="CQ64" s="213">
        <v>0</v>
      </c>
      <c r="CR64" s="213">
        <v>40</v>
      </c>
      <c r="CS64" s="213" t="s">
        <v>739</v>
      </c>
      <c r="CT64" s="213" t="s">
        <v>740</v>
      </c>
      <c r="CU64" s="213">
        <v>106</v>
      </c>
      <c r="CV64" s="213">
        <v>106</v>
      </c>
      <c r="CW64" s="213">
        <v>106</v>
      </c>
      <c r="CX64" s="213" t="s">
        <v>710</v>
      </c>
      <c r="CY64" s="213" t="s">
        <v>741</v>
      </c>
      <c r="CZ64" s="213" t="s">
        <v>740</v>
      </c>
      <c r="DA64" s="213">
        <v>101</v>
      </c>
      <c r="DB64" s="213">
        <v>101</v>
      </c>
      <c r="DC64" s="213">
        <v>101</v>
      </c>
      <c r="DD64" s="213" t="s">
        <v>710</v>
      </c>
      <c r="DE64" s="213" t="s">
        <v>742</v>
      </c>
      <c r="DF64" s="213" t="s">
        <v>743</v>
      </c>
      <c r="DG64" s="213">
        <v>0</v>
      </c>
      <c r="DH64" s="213">
        <v>0</v>
      </c>
      <c r="DI64" s="213">
        <v>0</v>
      </c>
      <c r="DJ64" s="213" t="s">
        <v>249</v>
      </c>
      <c r="DM64" s="213" t="s">
        <v>744</v>
      </c>
      <c r="DN64" s="213" t="s">
        <v>743</v>
      </c>
      <c r="DO64" s="213">
        <v>0</v>
      </c>
      <c r="DP64" s="213">
        <v>0</v>
      </c>
      <c r="DQ64" s="213">
        <v>0</v>
      </c>
      <c r="DR64" s="213" t="s">
        <v>249</v>
      </c>
      <c r="DU64" s="213" t="s">
        <v>745</v>
      </c>
      <c r="DV64" s="213" t="s">
        <v>743</v>
      </c>
      <c r="DW64" s="213">
        <v>0</v>
      </c>
      <c r="DX64" s="213">
        <v>0</v>
      </c>
      <c r="DY64" s="213">
        <v>0</v>
      </c>
      <c r="DZ64" s="213" t="s">
        <v>249</v>
      </c>
      <c r="EC64" s="213" t="s">
        <v>746</v>
      </c>
      <c r="ED64" s="213" t="s">
        <v>743</v>
      </c>
      <c r="EE64" s="213">
        <v>0</v>
      </c>
      <c r="EF64" s="213">
        <v>0</v>
      </c>
      <c r="EG64" s="213">
        <v>0</v>
      </c>
      <c r="EH64" s="213" t="s">
        <v>249</v>
      </c>
      <c r="EK64" s="213" t="s">
        <v>747</v>
      </c>
      <c r="EL64" s="213" t="s">
        <v>743</v>
      </c>
      <c r="EM64" s="213">
        <v>0</v>
      </c>
      <c r="EN64" s="213">
        <v>0</v>
      </c>
      <c r="EO64" s="213">
        <v>0</v>
      </c>
      <c r="EP64" s="213" t="s">
        <v>249</v>
      </c>
      <c r="ES64" s="213" t="s">
        <v>748</v>
      </c>
      <c r="ET64" s="213" t="s">
        <v>743</v>
      </c>
      <c r="EU64" s="213">
        <v>0</v>
      </c>
      <c r="EV64" s="213">
        <v>0</v>
      </c>
      <c r="EW64" s="213">
        <v>0</v>
      </c>
      <c r="EX64" s="213" t="s">
        <v>249</v>
      </c>
      <c r="FA64" s="213" t="s">
        <v>749</v>
      </c>
      <c r="FB64" s="213" t="s">
        <v>743</v>
      </c>
      <c r="FC64" s="213">
        <v>0</v>
      </c>
      <c r="FD64" s="213">
        <v>0</v>
      </c>
      <c r="FE64" s="213">
        <v>0</v>
      </c>
      <c r="FF64" s="213" t="s">
        <v>249</v>
      </c>
      <c r="FI64" s="213" t="s">
        <v>750</v>
      </c>
      <c r="FJ64" s="213" t="s">
        <v>743</v>
      </c>
      <c r="FK64" s="213">
        <v>0</v>
      </c>
      <c r="FL64" s="213">
        <v>0</v>
      </c>
      <c r="FM64" s="213">
        <v>0</v>
      </c>
      <c r="FN64" s="213" t="s">
        <v>249</v>
      </c>
      <c r="FQ64" s="213" t="s">
        <v>751</v>
      </c>
      <c r="FR64" s="213" t="s">
        <v>743</v>
      </c>
      <c r="FS64" s="213">
        <v>0</v>
      </c>
      <c r="FT64" s="213">
        <v>0</v>
      </c>
      <c r="FU64" s="213">
        <v>0</v>
      </c>
      <c r="FV64" s="213" t="s">
        <v>249</v>
      </c>
      <c r="FY64" s="213">
        <v>25.6</v>
      </c>
      <c r="FZ64" s="213">
        <v>-11.9</v>
      </c>
      <c r="GF64" s="213" t="s">
        <v>752</v>
      </c>
    </row>
    <row r="65" spans="1:188" s="213" customFormat="1" x14ac:dyDescent="0.15">
      <c r="A65" s="213" t="s">
        <v>654</v>
      </c>
      <c r="B65" s="213">
        <v>4</v>
      </c>
      <c r="C65" s="213" t="s">
        <v>1002</v>
      </c>
      <c r="D65" s="213">
        <v>614350974</v>
      </c>
      <c r="E65" s="213">
        <v>92303</v>
      </c>
      <c r="F65" s="213" t="s">
        <v>725</v>
      </c>
      <c r="G65" s="213">
        <v>847922</v>
      </c>
      <c r="H65" s="213">
        <v>604077</v>
      </c>
      <c r="I65" s="213">
        <v>6.8</v>
      </c>
      <c r="J65" s="213" t="s">
        <v>1003</v>
      </c>
      <c r="K65" s="213" t="s">
        <v>727</v>
      </c>
      <c r="L65" s="213" t="s">
        <v>656</v>
      </c>
      <c r="M65" s="213" t="s">
        <v>728</v>
      </c>
      <c r="N65" s="213" t="s">
        <v>728</v>
      </c>
      <c r="O65" s="213" t="s">
        <v>729</v>
      </c>
      <c r="P65" s="213" t="s">
        <v>710</v>
      </c>
      <c r="Q65" s="213">
        <v>25.7</v>
      </c>
      <c r="R65" s="213">
        <v>146</v>
      </c>
      <c r="S65" s="213" t="s">
        <v>710</v>
      </c>
      <c r="T65" s="213">
        <v>-9999</v>
      </c>
      <c r="U65" s="213">
        <v>197</v>
      </c>
      <c r="V65" s="213">
        <v>436</v>
      </c>
      <c r="W65" s="213">
        <v>192</v>
      </c>
      <c r="X65" s="213" t="s">
        <v>710</v>
      </c>
      <c r="Y65" s="213">
        <v>0</v>
      </c>
      <c r="Z65" s="213">
        <v>40</v>
      </c>
      <c r="AA65" s="213" t="s">
        <v>730</v>
      </c>
      <c r="AB65" s="213" t="s">
        <v>731</v>
      </c>
      <c r="AC65" s="213" t="s">
        <v>729</v>
      </c>
      <c r="AD65" s="213" t="s">
        <v>732</v>
      </c>
      <c r="AE65" s="213">
        <v>0</v>
      </c>
      <c r="AF65" s="213">
        <v>3</v>
      </c>
      <c r="AG65" s="213" t="s">
        <v>249</v>
      </c>
      <c r="AH65" s="213">
        <v>-9999</v>
      </c>
      <c r="AI65" s="213">
        <v>205</v>
      </c>
      <c r="AJ65" s="213">
        <v>484</v>
      </c>
      <c r="AK65" s="213">
        <v>201</v>
      </c>
      <c r="AL65" s="213" t="s">
        <v>710</v>
      </c>
      <c r="AM65" s="213">
        <v>0</v>
      </c>
      <c r="AN65" s="213">
        <v>40</v>
      </c>
      <c r="AO65" s="213" t="s">
        <v>733</v>
      </c>
      <c r="AP65" s="213" t="s">
        <v>734</v>
      </c>
      <c r="AQ65" s="213">
        <v>1</v>
      </c>
      <c r="AR65" s="213" t="s">
        <v>735</v>
      </c>
      <c r="AS65" s="213">
        <v>0</v>
      </c>
      <c r="AT65" s="213">
        <v>8</v>
      </c>
      <c r="AU65" s="213" t="s">
        <v>249</v>
      </c>
      <c r="AV65" s="213">
        <v>-9999</v>
      </c>
      <c r="AW65" s="213">
        <v>237</v>
      </c>
      <c r="AX65" s="213">
        <v>575</v>
      </c>
      <c r="AY65" s="213">
        <v>233</v>
      </c>
      <c r="AZ65" s="213" t="s">
        <v>710</v>
      </c>
      <c r="BA65" s="213">
        <v>0</v>
      </c>
      <c r="BB65" s="213">
        <v>40</v>
      </c>
      <c r="BC65" s="213" t="s">
        <v>736</v>
      </c>
      <c r="BD65" s="213" t="s">
        <v>734</v>
      </c>
      <c r="BE65" s="213">
        <v>2</v>
      </c>
      <c r="BF65" s="213" t="s">
        <v>735</v>
      </c>
      <c r="BG65" s="213">
        <v>0</v>
      </c>
      <c r="BH65" s="213">
        <v>4</v>
      </c>
      <c r="BI65" s="213" t="s">
        <v>249</v>
      </c>
      <c r="BJ65" s="213">
        <v>-9999</v>
      </c>
      <c r="BK65" s="213">
        <v>107</v>
      </c>
      <c r="BL65" s="213">
        <v>321</v>
      </c>
      <c r="BM65" s="213">
        <v>106</v>
      </c>
      <c r="BN65" s="213" t="s">
        <v>710</v>
      </c>
      <c r="BO65" s="213">
        <v>0</v>
      </c>
      <c r="BP65" s="213">
        <v>40</v>
      </c>
      <c r="BQ65" s="213" t="s">
        <v>737</v>
      </c>
      <c r="BR65" s="213" t="s">
        <v>734</v>
      </c>
      <c r="BS65" s="213">
        <v>3</v>
      </c>
      <c r="BT65" s="213" t="s">
        <v>735</v>
      </c>
      <c r="BU65" s="213">
        <v>0</v>
      </c>
      <c r="BV65" s="213">
        <v>2</v>
      </c>
      <c r="BW65" s="213" t="s">
        <v>249</v>
      </c>
      <c r="BX65" s="213">
        <v>-9999</v>
      </c>
      <c r="BY65" s="213">
        <v>167</v>
      </c>
      <c r="BZ65" s="213">
        <v>406</v>
      </c>
      <c r="CA65" s="213">
        <v>166</v>
      </c>
      <c r="CB65" s="213" t="s">
        <v>710</v>
      </c>
      <c r="CC65" s="213">
        <v>0</v>
      </c>
      <c r="CD65" s="213">
        <v>40</v>
      </c>
      <c r="CE65" s="213" t="s">
        <v>738</v>
      </c>
      <c r="CF65" s="213" t="s">
        <v>734</v>
      </c>
      <c r="CG65" s="213">
        <v>4</v>
      </c>
      <c r="CH65" s="213" t="s">
        <v>735</v>
      </c>
      <c r="CI65" s="213">
        <v>0</v>
      </c>
      <c r="CJ65" s="213">
        <v>6</v>
      </c>
      <c r="CK65" s="213" t="s">
        <v>249</v>
      </c>
      <c r="CL65" s="213">
        <v>-9999</v>
      </c>
      <c r="CM65" s="213">
        <v>127</v>
      </c>
      <c r="CN65" s="213">
        <v>334</v>
      </c>
      <c r="CO65" s="213">
        <v>125</v>
      </c>
      <c r="CP65" s="213" t="s">
        <v>710</v>
      </c>
      <c r="CQ65" s="213">
        <v>0</v>
      </c>
      <c r="CR65" s="213">
        <v>40</v>
      </c>
      <c r="CS65" s="213" t="s">
        <v>739</v>
      </c>
      <c r="CT65" s="213" t="s">
        <v>740</v>
      </c>
      <c r="CU65" s="213">
        <v>111</v>
      </c>
      <c r="CV65" s="213">
        <v>111</v>
      </c>
      <c r="CW65" s="213">
        <v>110</v>
      </c>
      <c r="CX65" s="213" t="s">
        <v>710</v>
      </c>
      <c r="CY65" s="213" t="s">
        <v>741</v>
      </c>
      <c r="CZ65" s="213" t="s">
        <v>740</v>
      </c>
      <c r="DA65" s="213">
        <v>103</v>
      </c>
      <c r="DB65" s="213">
        <v>102</v>
      </c>
      <c r="DC65" s="213">
        <v>102</v>
      </c>
      <c r="DD65" s="213" t="s">
        <v>710</v>
      </c>
      <c r="DE65" s="213" t="s">
        <v>742</v>
      </c>
      <c r="DF65" s="213" t="s">
        <v>743</v>
      </c>
      <c r="DG65" s="213">
        <v>0</v>
      </c>
      <c r="DH65" s="213">
        <v>0</v>
      </c>
      <c r="DI65" s="213">
        <v>0</v>
      </c>
      <c r="DJ65" s="213" t="s">
        <v>249</v>
      </c>
      <c r="DM65" s="213" t="s">
        <v>744</v>
      </c>
      <c r="DN65" s="213" t="s">
        <v>743</v>
      </c>
      <c r="DO65" s="213">
        <v>0</v>
      </c>
      <c r="DP65" s="213">
        <v>0</v>
      </c>
      <c r="DQ65" s="213">
        <v>0</v>
      </c>
      <c r="DR65" s="213" t="s">
        <v>249</v>
      </c>
      <c r="DU65" s="213" t="s">
        <v>745</v>
      </c>
      <c r="DV65" s="213" t="s">
        <v>743</v>
      </c>
      <c r="DW65" s="213">
        <v>0</v>
      </c>
      <c r="DX65" s="213">
        <v>0</v>
      </c>
      <c r="DY65" s="213">
        <v>0</v>
      </c>
      <c r="DZ65" s="213" t="s">
        <v>249</v>
      </c>
      <c r="EC65" s="213" t="s">
        <v>746</v>
      </c>
      <c r="ED65" s="213" t="s">
        <v>743</v>
      </c>
      <c r="EE65" s="213">
        <v>0</v>
      </c>
      <c r="EF65" s="213">
        <v>0</v>
      </c>
      <c r="EG65" s="213">
        <v>0</v>
      </c>
      <c r="EH65" s="213" t="s">
        <v>249</v>
      </c>
      <c r="EK65" s="213" t="s">
        <v>747</v>
      </c>
      <c r="EL65" s="213" t="s">
        <v>743</v>
      </c>
      <c r="EM65" s="213">
        <v>0</v>
      </c>
      <c r="EN65" s="213">
        <v>0</v>
      </c>
      <c r="EO65" s="213">
        <v>0</v>
      </c>
      <c r="EP65" s="213" t="s">
        <v>249</v>
      </c>
      <c r="ES65" s="213" t="s">
        <v>748</v>
      </c>
      <c r="ET65" s="213" t="s">
        <v>743</v>
      </c>
      <c r="EU65" s="213">
        <v>0</v>
      </c>
      <c r="EV65" s="213">
        <v>0</v>
      </c>
      <c r="EW65" s="213">
        <v>0</v>
      </c>
      <c r="EX65" s="213" t="s">
        <v>249</v>
      </c>
      <c r="FA65" s="213" t="s">
        <v>749</v>
      </c>
      <c r="FB65" s="213" t="s">
        <v>743</v>
      </c>
      <c r="FC65" s="213">
        <v>0</v>
      </c>
      <c r="FD65" s="213">
        <v>0</v>
      </c>
      <c r="FE65" s="213">
        <v>0</v>
      </c>
      <c r="FF65" s="213" t="s">
        <v>249</v>
      </c>
      <c r="FI65" s="213" t="s">
        <v>750</v>
      </c>
      <c r="FJ65" s="213" t="s">
        <v>743</v>
      </c>
      <c r="FK65" s="213">
        <v>0</v>
      </c>
      <c r="FL65" s="213">
        <v>0</v>
      </c>
      <c r="FM65" s="213">
        <v>0</v>
      </c>
      <c r="FN65" s="213" t="s">
        <v>249</v>
      </c>
      <c r="FQ65" s="213" t="s">
        <v>751</v>
      </c>
      <c r="FR65" s="213" t="s">
        <v>743</v>
      </c>
      <c r="FS65" s="213">
        <v>0</v>
      </c>
      <c r="FT65" s="213">
        <v>0</v>
      </c>
      <c r="FU65" s="213">
        <v>0</v>
      </c>
      <c r="FV65" s="213" t="s">
        <v>249</v>
      </c>
      <c r="FY65" s="213">
        <v>23.7</v>
      </c>
      <c r="FZ65" s="213">
        <v>-7.5</v>
      </c>
      <c r="GF65" s="213" t="s">
        <v>752</v>
      </c>
    </row>
    <row r="66" spans="1:188" s="213" customFormat="1" x14ac:dyDescent="0.15">
      <c r="A66" s="213" t="s">
        <v>654</v>
      </c>
      <c r="B66" s="213">
        <v>4</v>
      </c>
      <c r="C66" s="213" t="s">
        <v>1004</v>
      </c>
      <c r="D66" s="213">
        <v>614350660</v>
      </c>
      <c r="E66" s="213">
        <v>92303</v>
      </c>
      <c r="F66" s="213" t="s">
        <v>725</v>
      </c>
      <c r="G66" s="213">
        <v>847922</v>
      </c>
      <c r="H66" s="213">
        <v>617583</v>
      </c>
      <c r="I66" s="213">
        <v>6.8</v>
      </c>
      <c r="J66" s="213" t="s">
        <v>1005</v>
      </c>
      <c r="K66" s="213" t="s">
        <v>727</v>
      </c>
      <c r="L66" s="213" t="s">
        <v>656</v>
      </c>
      <c r="M66" s="213" t="s">
        <v>728</v>
      </c>
      <c r="N66" s="213" t="s">
        <v>728</v>
      </c>
      <c r="O66" s="213" t="s">
        <v>729</v>
      </c>
      <c r="P66" s="213" t="s">
        <v>710</v>
      </c>
      <c r="Q66" s="213">
        <v>24.2</v>
      </c>
      <c r="R66" s="213">
        <v>126</v>
      </c>
      <c r="S66" s="213" t="s">
        <v>710</v>
      </c>
      <c r="T66" s="213">
        <v>-9999</v>
      </c>
      <c r="U66" s="213">
        <v>213</v>
      </c>
      <c r="V66" s="213">
        <v>451</v>
      </c>
      <c r="W66" s="213">
        <v>203</v>
      </c>
      <c r="X66" s="213" t="s">
        <v>710</v>
      </c>
      <c r="Y66" s="213">
        <v>0</v>
      </c>
      <c r="Z66" s="213">
        <v>40</v>
      </c>
      <c r="AA66" s="213" t="s">
        <v>730</v>
      </c>
      <c r="AB66" s="213" t="s">
        <v>731</v>
      </c>
      <c r="AC66" s="213" t="s">
        <v>729</v>
      </c>
      <c r="AD66" s="213" t="s">
        <v>732</v>
      </c>
      <c r="AE66" s="213">
        <v>0</v>
      </c>
      <c r="AF66" s="213">
        <v>4</v>
      </c>
      <c r="AG66" s="213" t="s">
        <v>249</v>
      </c>
      <c r="AH66" s="213">
        <v>-9999</v>
      </c>
      <c r="AI66" s="213">
        <v>197</v>
      </c>
      <c r="AJ66" s="213">
        <v>470</v>
      </c>
      <c r="AK66" s="213">
        <v>191</v>
      </c>
      <c r="AL66" s="213" t="s">
        <v>710</v>
      </c>
      <c r="AM66" s="213">
        <v>0</v>
      </c>
      <c r="AN66" s="213">
        <v>40</v>
      </c>
      <c r="AO66" s="213" t="s">
        <v>733</v>
      </c>
      <c r="AP66" s="213" t="s">
        <v>734</v>
      </c>
      <c r="AQ66" s="213">
        <v>1</v>
      </c>
      <c r="AR66" s="213" t="s">
        <v>735</v>
      </c>
      <c r="AS66" s="213">
        <v>0</v>
      </c>
      <c r="AT66" s="213">
        <v>3</v>
      </c>
      <c r="AU66" s="213" t="s">
        <v>249</v>
      </c>
      <c r="AV66" s="213">
        <v>-9999</v>
      </c>
      <c r="AW66" s="213">
        <v>265</v>
      </c>
      <c r="AX66" s="213">
        <v>652</v>
      </c>
      <c r="AY66" s="213">
        <v>259</v>
      </c>
      <c r="AZ66" s="213" t="s">
        <v>710</v>
      </c>
      <c r="BA66" s="213">
        <v>0</v>
      </c>
      <c r="BB66" s="213">
        <v>40</v>
      </c>
      <c r="BC66" s="213" t="s">
        <v>736</v>
      </c>
      <c r="BD66" s="213" t="s">
        <v>734</v>
      </c>
      <c r="BE66" s="213">
        <v>2</v>
      </c>
      <c r="BF66" s="213" t="s">
        <v>735</v>
      </c>
      <c r="BG66" s="213">
        <v>0</v>
      </c>
      <c r="BH66" s="213">
        <v>0</v>
      </c>
      <c r="BI66" s="213" t="s">
        <v>249</v>
      </c>
      <c r="BJ66" s="213">
        <v>-9999</v>
      </c>
      <c r="BK66" s="213">
        <v>91</v>
      </c>
      <c r="BL66" s="213">
        <v>279</v>
      </c>
      <c r="BM66" s="213">
        <v>89</v>
      </c>
      <c r="BN66" s="213" t="s">
        <v>710</v>
      </c>
      <c r="BO66" s="213">
        <v>0</v>
      </c>
      <c r="BP66" s="213">
        <v>40</v>
      </c>
      <c r="BQ66" s="213" t="s">
        <v>737</v>
      </c>
      <c r="BR66" s="213" t="s">
        <v>734</v>
      </c>
      <c r="BS66" s="213">
        <v>3</v>
      </c>
      <c r="BT66" s="213" t="s">
        <v>735</v>
      </c>
      <c r="BU66" s="213">
        <v>0</v>
      </c>
      <c r="BV66" s="213">
        <v>3</v>
      </c>
      <c r="BW66" s="213" t="s">
        <v>249</v>
      </c>
      <c r="BX66" s="213">
        <v>-9999</v>
      </c>
      <c r="BY66" s="213">
        <v>167</v>
      </c>
      <c r="BZ66" s="213">
        <v>391</v>
      </c>
      <c r="CA66" s="213">
        <v>165</v>
      </c>
      <c r="CB66" s="213" t="s">
        <v>710</v>
      </c>
      <c r="CC66" s="213">
        <v>0</v>
      </c>
      <c r="CD66" s="213">
        <v>40</v>
      </c>
      <c r="CE66" s="213" t="s">
        <v>738</v>
      </c>
      <c r="CF66" s="213" t="s">
        <v>734</v>
      </c>
      <c r="CG66" s="213">
        <v>4</v>
      </c>
      <c r="CH66" s="213" t="s">
        <v>735</v>
      </c>
      <c r="CI66" s="213">
        <v>0</v>
      </c>
      <c r="CJ66" s="213">
        <v>3</v>
      </c>
      <c r="CK66" s="213" t="s">
        <v>249</v>
      </c>
      <c r="CL66" s="213">
        <v>-9999</v>
      </c>
      <c r="CM66" s="213">
        <v>142</v>
      </c>
      <c r="CN66" s="213">
        <v>381</v>
      </c>
      <c r="CO66" s="213">
        <v>138</v>
      </c>
      <c r="CP66" s="213" t="s">
        <v>710</v>
      </c>
      <c r="CQ66" s="213">
        <v>0</v>
      </c>
      <c r="CR66" s="213">
        <v>40</v>
      </c>
      <c r="CS66" s="213" t="s">
        <v>739</v>
      </c>
      <c r="CT66" s="213" t="s">
        <v>740</v>
      </c>
      <c r="CU66" s="213">
        <v>132</v>
      </c>
      <c r="CV66" s="213">
        <v>131</v>
      </c>
      <c r="CW66" s="213">
        <v>131</v>
      </c>
      <c r="CX66" s="213" t="s">
        <v>710</v>
      </c>
      <c r="CY66" s="213" t="s">
        <v>741</v>
      </c>
      <c r="CZ66" s="213" t="s">
        <v>740</v>
      </c>
      <c r="DA66" s="213">
        <v>117</v>
      </c>
      <c r="DB66" s="213">
        <v>117</v>
      </c>
      <c r="DC66" s="213">
        <v>117</v>
      </c>
      <c r="DD66" s="213" t="s">
        <v>710</v>
      </c>
      <c r="DE66" s="213" t="s">
        <v>742</v>
      </c>
      <c r="DF66" s="213" t="s">
        <v>743</v>
      </c>
      <c r="DG66" s="213">
        <v>0</v>
      </c>
      <c r="DH66" s="213">
        <v>0</v>
      </c>
      <c r="DI66" s="213">
        <v>0</v>
      </c>
      <c r="DJ66" s="213" t="s">
        <v>249</v>
      </c>
      <c r="DM66" s="213" t="s">
        <v>744</v>
      </c>
      <c r="DN66" s="213" t="s">
        <v>743</v>
      </c>
      <c r="DO66" s="213">
        <v>0</v>
      </c>
      <c r="DP66" s="213">
        <v>0</v>
      </c>
      <c r="DQ66" s="213">
        <v>0</v>
      </c>
      <c r="DR66" s="213" t="s">
        <v>249</v>
      </c>
      <c r="DU66" s="213" t="s">
        <v>745</v>
      </c>
      <c r="DV66" s="213" t="s">
        <v>743</v>
      </c>
      <c r="DW66" s="213">
        <v>0</v>
      </c>
      <c r="DX66" s="213">
        <v>0</v>
      </c>
      <c r="DY66" s="213">
        <v>0</v>
      </c>
      <c r="DZ66" s="213" t="s">
        <v>249</v>
      </c>
      <c r="EC66" s="213" t="s">
        <v>746</v>
      </c>
      <c r="ED66" s="213" t="s">
        <v>743</v>
      </c>
      <c r="EE66" s="213">
        <v>0</v>
      </c>
      <c r="EF66" s="213">
        <v>0</v>
      </c>
      <c r="EG66" s="213">
        <v>0</v>
      </c>
      <c r="EH66" s="213" t="s">
        <v>249</v>
      </c>
      <c r="EK66" s="213" t="s">
        <v>747</v>
      </c>
      <c r="EL66" s="213" t="s">
        <v>743</v>
      </c>
      <c r="EM66" s="213">
        <v>0</v>
      </c>
      <c r="EN66" s="213">
        <v>0</v>
      </c>
      <c r="EO66" s="213">
        <v>0</v>
      </c>
      <c r="EP66" s="213" t="s">
        <v>249</v>
      </c>
      <c r="ES66" s="213" t="s">
        <v>748</v>
      </c>
      <c r="ET66" s="213" t="s">
        <v>743</v>
      </c>
      <c r="EU66" s="213">
        <v>0</v>
      </c>
      <c r="EV66" s="213">
        <v>0</v>
      </c>
      <c r="EW66" s="213">
        <v>0</v>
      </c>
      <c r="EX66" s="213" t="s">
        <v>249</v>
      </c>
      <c r="FA66" s="213" t="s">
        <v>749</v>
      </c>
      <c r="FB66" s="213" t="s">
        <v>743</v>
      </c>
      <c r="FC66" s="213">
        <v>0</v>
      </c>
      <c r="FD66" s="213">
        <v>0</v>
      </c>
      <c r="FE66" s="213">
        <v>0</v>
      </c>
      <c r="FF66" s="213" t="s">
        <v>249</v>
      </c>
      <c r="FI66" s="213" t="s">
        <v>750</v>
      </c>
      <c r="FJ66" s="213" t="s">
        <v>743</v>
      </c>
      <c r="FK66" s="213">
        <v>0</v>
      </c>
      <c r="FL66" s="213">
        <v>0</v>
      </c>
      <c r="FM66" s="213">
        <v>0</v>
      </c>
      <c r="FN66" s="213" t="s">
        <v>249</v>
      </c>
      <c r="FQ66" s="213" t="s">
        <v>751</v>
      </c>
      <c r="FR66" s="213" t="s">
        <v>743</v>
      </c>
      <c r="FS66" s="213">
        <v>0</v>
      </c>
      <c r="FT66" s="213">
        <v>0</v>
      </c>
      <c r="FU66" s="213">
        <v>0</v>
      </c>
      <c r="FV66" s="213" t="s">
        <v>249</v>
      </c>
      <c r="FY66" s="213">
        <v>23.9</v>
      </c>
      <c r="FZ66" s="213">
        <v>-18.2</v>
      </c>
      <c r="GF66" s="213" t="s">
        <v>752</v>
      </c>
    </row>
    <row r="67" spans="1:188" s="213" customFormat="1" x14ac:dyDescent="0.15">
      <c r="A67" s="213" t="s">
        <v>654</v>
      </c>
      <c r="B67" s="213">
        <v>4</v>
      </c>
      <c r="C67" s="213" t="s">
        <v>1006</v>
      </c>
      <c r="D67" s="213">
        <v>614350499</v>
      </c>
      <c r="E67" s="213">
        <v>92303</v>
      </c>
      <c r="F67" s="213" t="s">
        <v>725</v>
      </c>
      <c r="G67" s="213">
        <v>847922</v>
      </c>
      <c r="H67" s="213">
        <v>725382</v>
      </c>
      <c r="I67" s="213">
        <v>6.8</v>
      </c>
      <c r="J67" s="213" t="s">
        <v>1007</v>
      </c>
      <c r="K67" s="213" t="s">
        <v>727</v>
      </c>
      <c r="L67" s="213" t="s">
        <v>656</v>
      </c>
      <c r="M67" s="213" t="s">
        <v>728</v>
      </c>
      <c r="N67" s="213" t="s">
        <v>728</v>
      </c>
      <c r="O67" s="213" t="s">
        <v>729</v>
      </c>
      <c r="P67" s="213" t="s">
        <v>710</v>
      </c>
      <c r="Q67" s="213">
        <v>23.8</v>
      </c>
      <c r="R67" s="213">
        <v>147</v>
      </c>
      <c r="S67" s="213" t="s">
        <v>710</v>
      </c>
      <c r="T67" s="213">
        <v>-9999</v>
      </c>
      <c r="U67" s="213">
        <v>206</v>
      </c>
      <c r="V67" s="213">
        <v>452</v>
      </c>
      <c r="W67" s="213">
        <v>204</v>
      </c>
      <c r="X67" s="213" t="s">
        <v>710</v>
      </c>
      <c r="Y67" s="213">
        <v>0</v>
      </c>
      <c r="Z67" s="213">
        <v>40</v>
      </c>
      <c r="AA67" s="213" t="s">
        <v>730</v>
      </c>
      <c r="AB67" s="213" t="s">
        <v>731</v>
      </c>
      <c r="AC67" s="213" t="s">
        <v>729</v>
      </c>
      <c r="AD67" s="213" t="s">
        <v>732</v>
      </c>
      <c r="AE67" s="213">
        <v>0</v>
      </c>
      <c r="AF67" s="213">
        <v>4</v>
      </c>
      <c r="AG67" s="213" t="s">
        <v>249</v>
      </c>
      <c r="AH67" s="213">
        <v>-9999</v>
      </c>
      <c r="AI67" s="213">
        <v>223</v>
      </c>
      <c r="AJ67" s="213">
        <v>531</v>
      </c>
      <c r="AK67" s="213">
        <v>221</v>
      </c>
      <c r="AL67" s="213" t="s">
        <v>710</v>
      </c>
      <c r="AM67" s="213">
        <v>0</v>
      </c>
      <c r="AN67" s="213">
        <v>40</v>
      </c>
      <c r="AO67" s="213" t="s">
        <v>733</v>
      </c>
      <c r="AP67" s="213" t="s">
        <v>734</v>
      </c>
      <c r="AQ67" s="213">
        <v>1</v>
      </c>
      <c r="AR67" s="213" t="s">
        <v>735</v>
      </c>
      <c r="AS67" s="213">
        <v>0</v>
      </c>
      <c r="AT67" s="213">
        <v>6</v>
      </c>
      <c r="AU67" s="213" t="s">
        <v>249</v>
      </c>
      <c r="AV67" s="213">
        <v>-9999</v>
      </c>
      <c r="AW67" s="213">
        <v>292</v>
      </c>
      <c r="AX67" s="213">
        <v>721</v>
      </c>
      <c r="AY67" s="213">
        <v>290</v>
      </c>
      <c r="AZ67" s="213" t="s">
        <v>710</v>
      </c>
      <c r="BA67" s="213">
        <v>0</v>
      </c>
      <c r="BB67" s="213">
        <v>40</v>
      </c>
      <c r="BC67" s="213" t="s">
        <v>736</v>
      </c>
      <c r="BD67" s="213" t="s">
        <v>734</v>
      </c>
      <c r="BE67" s="213">
        <v>2</v>
      </c>
      <c r="BF67" s="213" t="s">
        <v>735</v>
      </c>
      <c r="BG67" s="213">
        <v>0</v>
      </c>
      <c r="BH67" s="213">
        <v>3</v>
      </c>
      <c r="BI67" s="213" t="s">
        <v>249</v>
      </c>
      <c r="BJ67" s="213">
        <v>-9999</v>
      </c>
      <c r="BK67" s="213">
        <v>102</v>
      </c>
      <c r="BL67" s="213">
        <v>315</v>
      </c>
      <c r="BM67" s="213">
        <v>100</v>
      </c>
      <c r="BN67" s="213" t="s">
        <v>710</v>
      </c>
      <c r="BO67" s="213">
        <v>0</v>
      </c>
      <c r="BP67" s="213">
        <v>40</v>
      </c>
      <c r="BQ67" s="213" t="s">
        <v>737</v>
      </c>
      <c r="BR67" s="213" t="s">
        <v>734</v>
      </c>
      <c r="BS67" s="213">
        <v>3</v>
      </c>
      <c r="BT67" s="213" t="s">
        <v>735</v>
      </c>
      <c r="BU67" s="213">
        <v>0</v>
      </c>
      <c r="BV67" s="213">
        <v>8</v>
      </c>
      <c r="BW67" s="213" t="s">
        <v>249</v>
      </c>
      <c r="BX67" s="213">
        <v>-9999</v>
      </c>
      <c r="BY67" s="213">
        <v>175</v>
      </c>
      <c r="BZ67" s="213">
        <v>405</v>
      </c>
      <c r="CA67" s="213">
        <v>174</v>
      </c>
      <c r="CB67" s="213" t="s">
        <v>710</v>
      </c>
      <c r="CC67" s="213">
        <v>0</v>
      </c>
      <c r="CD67" s="213">
        <v>40</v>
      </c>
      <c r="CE67" s="213" t="s">
        <v>738</v>
      </c>
      <c r="CF67" s="213" t="s">
        <v>734</v>
      </c>
      <c r="CG67" s="213">
        <v>4</v>
      </c>
      <c r="CH67" s="213" t="s">
        <v>735</v>
      </c>
      <c r="CI67" s="213">
        <v>0</v>
      </c>
      <c r="CJ67" s="213">
        <v>4</v>
      </c>
      <c r="CK67" s="213" t="s">
        <v>249</v>
      </c>
      <c r="CL67" s="213">
        <v>-9999</v>
      </c>
      <c r="CM67" s="213">
        <v>150</v>
      </c>
      <c r="CN67" s="213">
        <v>404</v>
      </c>
      <c r="CO67" s="213">
        <v>148</v>
      </c>
      <c r="CP67" s="213" t="s">
        <v>710</v>
      </c>
      <c r="CQ67" s="213">
        <v>0</v>
      </c>
      <c r="CR67" s="213">
        <v>40</v>
      </c>
      <c r="CS67" s="213" t="s">
        <v>739</v>
      </c>
      <c r="CT67" s="213" t="s">
        <v>740</v>
      </c>
      <c r="CU67" s="213">
        <v>130</v>
      </c>
      <c r="CV67" s="213">
        <v>129</v>
      </c>
      <c r="CW67" s="213">
        <v>129</v>
      </c>
      <c r="CX67" s="213" t="s">
        <v>710</v>
      </c>
      <c r="CY67" s="213" t="s">
        <v>741</v>
      </c>
      <c r="CZ67" s="213" t="s">
        <v>740</v>
      </c>
      <c r="DA67" s="213">
        <v>123</v>
      </c>
      <c r="DB67" s="213">
        <v>123</v>
      </c>
      <c r="DC67" s="213">
        <v>123</v>
      </c>
      <c r="DD67" s="213" t="s">
        <v>710</v>
      </c>
      <c r="DE67" s="213" t="s">
        <v>742</v>
      </c>
      <c r="DF67" s="213" t="s">
        <v>743</v>
      </c>
      <c r="DG67" s="213">
        <v>0</v>
      </c>
      <c r="DH67" s="213">
        <v>0</v>
      </c>
      <c r="DI67" s="213">
        <v>0</v>
      </c>
      <c r="DJ67" s="213" t="s">
        <v>249</v>
      </c>
      <c r="DM67" s="213" t="s">
        <v>744</v>
      </c>
      <c r="DN67" s="213" t="s">
        <v>743</v>
      </c>
      <c r="DO67" s="213">
        <v>0</v>
      </c>
      <c r="DP67" s="213">
        <v>0</v>
      </c>
      <c r="DQ67" s="213">
        <v>0</v>
      </c>
      <c r="DR67" s="213" t="s">
        <v>249</v>
      </c>
      <c r="DU67" s="213" t="s">
        <v>745</v>
      </c>
      <c r="DV67" s="213" t="s">
        <v>743</v>
      </c>
      <c r="DW67" s="213">
        <v>0</v>
      </c>
      <c r="DX67" s="213">
        <v>0</v>
      </c>
      <c r="DY67" s="213">
        <v>0</v>
      </c>
      <c r="DZ67" s="213" t="s">
        <v>249</v>
      </c>
      <c r="EC67" s="213" t="s">
        <v>746</v>
      </c>
      <c r="ED67" s="213" t="s">
        <v>743</v>
      </c>
      <c r="EE67" s="213">
        <v>0</v>
      </c>
      <c r="EF67" s="213">
        <v>0</v>
      </c>
      <c r="EG67" s="213">
        <v>0</v>
      </c>
      <c r="EH67" s="213" t="s">
        <v>249</v>
      </c>
      <c r="EK67" s="213" t="s">
        <v>747</v>
      </c>
      <c r="EL67" s="213" t="s">
        <v>743</v>
      </c>
      <c r="EM67" s="213">
        <v>0</v>
      </c>
      <c r="EN67" s="213">
        <v>0</v>
      </c>
      <c r="EO67" s="213">
        <v>0</v>
      </c>
      <c r="EP67" s="213" t="s">
        <v>249</v>
      </c>
      <c r="ES67" s="213" t="s">
        <v>748</v>
      </c>
      <c r="ET67" s="213" t="s">
        <v>743</v>
      </c>
      <c r="EU67" s="213">
        <v>0</v>
      </c>
      <c r="EV67" s="213">
        <v>0</v>
      </c>
      <c r="EW67" s="213">
        <v>0</v>
      </c>
      <c r="EX67" s="213" t="s">
        <v>249</v>
      </c>
      <c r="FA67" s="213" t="s">
        <v>749</v>
      </c>
      <c r="FB67" s="213" t="s">
        <v>743</v>
      </c>
      <c r="FC67" s="213">
        <v>0</v>
      </c>
      <c r="FD67" s="213">
        <v>0</v>
      </c>
      <c r="FE67" s="213">
        <v>0</v>
      </c>
      <c r="FF67" s="213" t="s">
        <v>249</v>
      </c>
      <c r="FI67" s="213" t="s">
        <v>750</v>
      </c>
      <c r="FJ67" s="213" t="s">
        <v>743</v>
      </c>
      <c r="FK67" s="213">
        <v>0</v>
      </c>
      <c r="FL67" s="213">
        <v>0</v>
      </c>
      <c r="FM67" s="213">
        <v>0</v>
      </c>
      <c r="FN67" s="213" t="s">
        <v>249</v>
      </c>
      <c r="FQ67" s="213" t="s">
        <v>751</v>
      </c>
      <c r="FR67" s="213" t="s">
        <v>743</v>
      </c>
      <c r="FS67" s="213">
        <v>0</v>
      </c>
      <c r="FT67" s="213">
        <v>0</v>
      </c>
      <c r="FU67" s="213">
        <v>0</v>
      </c>
      <c r="FV67" s="213" t="s">
        <v>249</v>
      </c>
      <c r="FY67" s="213">
        <v>24.4</v>
      </c>
      <c r="FZ67" s="213">
        <v>-19.2</v>
      </c>
      <c r="GF67" s="213" t="s">
        <v>752</v>
      </c>
    </row>
    <row r="68" spans="1:188" s="213" customFormat="1" x14ac:dyDescent="0.15">
      <c r="A68" s="213" t="s">
        <v>654</v>
      </c>
      <c r="B68" s="213">
        <v>4</v>
      </c>
      <c r="C68" s="213" t="s">
        <v>1008</v>
      </c>
      <c r="D68" s="213">
        <v>614351129</v>
      </c>
      <c r="E68" s="213">
        <v>92303</v>
      </c>
      <c r="F68" s="213" t="s">
        <v>725</v>
      </c>
      <c r="G68" s="213">
        <v>847922</v>
      </c>
      <c r="H68" s="213">
        <v>710982</v>
      </c>
      <c r="I68" s="213">
        <v>6.8</v>
      </c>
      <c r="J68" s="213" t="s">
        <v>1009</v>
      </c>
      <c r="K68" s="213" t="s">
        <v>727</v>
      </c>
      <c r="L68" s="213" t="s">
        <v>656</v>
      </c>
      <c r="M68" s="213" t="s">
        <v>728</v>
      </c>
      <c r="N68" s="213" t="s">
        <v>728</v>
      </c>
      <c r="O68" s="213" t="s">
        <v>729</v>
      </c>
      <c r="P68" s="213" t="s">
        <v>710</v>
      </c>
      <c r="Q68" s="213">
        <v>24.8</v>
      </c>
      <c r="R68" s="213">
        <v>135</v>
      </c>
      <c r="S68" s="213" t="s">
        <v>710</v>
      </c>
      <c r="T68" s="213">
        <v>-9999</v>
      </c>
      <c r="U68" s="213">
        <v>215</v>
      </c>
      <c r="V68" s="213">
        <v>478</v>
      </c>
      <c r="W68" s="213">
        <v>209</v>
      </c>
      <c r="X68" s="213" t="s">
        <v>710</v>
      </c>
      <c r="Y68" s="213">
        <v>0</v>
      </c>
      <c r="Z68" s="213">
        <v>40</v>
      </c>
      <c r="AA68" s="213" t="s">
        <v>730</v>
      </c>
      <c r="AB68" s="213" t="s">
        <v>731</v>
      </c>
      <c r="AC68" s="213" t="s">
        <v>729</v>
      </c>
      <c r="AD68" s="213" t="s">
        <v>732</v>
      </c>
      <c r="AE68" s="213">
        <v>0</v>
      </c>
      <c r="AF68" s="213">
        <v>8</v>
      </c>
      <c r="AG68" s="213" t="s">
        <v>249</v>
      </c>
      <c r="AH68" s="213">
        <v>-9999</v>
      </c>
      <c r="AI68" s="213">
        <v>184</v>
      </c>
      <c r="AJ68" s="213">
        <v>439</v>
      </c>
      <c r="AK68" s="213">
        <v>182</v>
      </c>
      <c r="AL68" s="213" t="s">
        <v>710</v>
      </c>
      <c r="AM68" s="213">
        <v>0</v>
      </c>
      <c r="AN68" s="213">
        <v>40</v>
      </c>
      <c r="AO68" s="213" t="s">
        <v>733</v>
      </c>
      <c r="AP68" s="213" t="s">
        <v>734</v>
      </c>
      <c r="AQ68" s="213">
        <v>1</v>
      </c>
      <c r="AR68" s="213" t="s">
        <v>735</v>
      </c>
      <c r="AS68" s="213">
        <v>0</v>
      </c>
      <c r="AT68" s="213">
        <v>-6</v>
      </c>
      <c r="AU68" s="213" t="s">
        <v>249</v>
      </c>
      <c r="AV68" s="213">
        <v>-9999</v>
      </c>
      <c r="AW68" s="213">
        <v>259</v>
      </c>
      <c r="AX68" s="213">
        <v>645</v>
      </c>
      <c r="AY68" s="213">
        <v>258</v>
      </c>
      <c r="AZ68" s="213" t="s">
        <v>710</v>
      </c>
      <c r="BA68" s="213">
        <v>0</v>
      </c>
      <c r="BB68" s="213">
        <v>40</v>
      </c>
      <c r="BC68" s="213" t="s">
        <v>736</v>
      </c>
      <c r="BD68" s="213" t="s">
        <v>734</v>
      </c>
      <c r="BE68" s="213">
        <v>2</v>
      </c>
      <c r="BF68" s="213" t="s">
        <v>735</v>
      </c>
      <c r="BG68" s="213">
        <v>0</v>
      </c>
      <c r="BH68" s="213">
        <v>2</v>
      </c>
      <c r="BI68" s="213" t="s">
        <v>249</v>
      </c>
      <c r="BJ68" s="213">
        <v>-9999</v>
      </c>
      <c r="BK68" s="213">
        <v>102</v>
      </c>
      <c r="BL68" s="213">
        <v>313</v>
      </c>
      <c r="BM68" s="213">
        <v>100</v>
      </c>
      <c r="BN68" s="213" t="s">
        <v>710</v>
      </c>
      <c r="BO68" s="213">
        <v>0</v>
      </c>
      <c r="BP68" s="213">
        <v>40</v>
      </c>
      <c r="BQ68" s="213" t="s">
        <v>737</v>
      </c>
      <c r="BR68" s="213" t="s">
        <v>734</v>
      </c>
      <c r="BS68" s="213">
        <v>3</v>
      </c>
      <c r="BT68" s="213" t="s">
        <v>735</v>
      </c>
      <c r="BU68" s="213">
        <v>0</v>
      </c>
      <c r="BV68" s="213">
        <v>0</v>
      </c>
      <c r="BW68" s="213" t="s">
        <v>249</v>
      </c>
      <c r="BX68" s="213">
        <v>-9999</v>
      </c>
      <c r="BY68" s="213">
        <v>194</v>
      </c>
      <c r="BZ68" s="213">
        <v>473</v>
      </c>
      <c r="CA68" s="213">
        <v>194</v>
      </c>
      <c r="CB68" s="213" t="s">
        <v>710</v>
      </c>
      <c r="CC68" s="213">
        <v>0</v>
      </c>
      <c r="CD68" s="213">
        <v>40</v>
      </c>
      <c r="CE68" s="213" t="s">
        <v>738</v>
      </c>
      <c r="CF68" s="213" t="s">
        <v>734</v>
      </c>
      <c r="CG68" s="213">
        <v>4</v>
      </c>
      <c r="CH68" s="213" t="s">
        <v>735</v>
      </c>
      <c r="CI68" s="213">
        <v>0</v>
      </c>
      <c r="CJ68" s="213">
        <v>5</v>
      </c>
      <c r="CK68" s="213" t="s">
        <v>249</v>
      </c>
      <c r="CL68" s="213">
        <v>-9999</v>
      </c>
      <c r="CM68" s="213">
        <v>131</v>
      </c>
      <c r="CN68" s="213">
        <v>343</v>
      </c>
      <c r="CO68" s="213">
        <v>129</v>
      </c>
      <c r="CP68" s="213" t="s">
        <v>710</v>
      </c>
      <c r="CQ68" s="213">
        <v>0</v>
      </c>
      <c r="CR68" s="213">
        <v>40</v>
      </c>
      <c r="CS68" s="213" t="s">
        <v>739</v>
      </c>
      <c r="CT68" s="213" t="s">
        <v>740</v>
      </c>
      <c r="CU68" s="213">
        <v>116</v>
      </c>
      <c r="CV68" s="213">
        <v>115</v>
      </c>
      <c r="CW68" s="213">
        <v>115</v>
      </c>
      <c r="CX68" s="213" t="s">
        <v>710</v>
      </c>
      <c r="CY68" s="213" t="s">
        <v>741</v>
      </c>
      <c r="CZ68" s="213" t="s">
        <v>740</v>
      </c>
      <c r="DA68" s="213">
        <v>114</v>
      </c>
      <c r="DB68" s="213">
        <v>114</v>
      </c>
      <c r="DC68" s="213">
        <v>114</v>
      </c>
      <c r="DD68" s="213" t="s">
        <v>710</v>
      </c>
      <c r="DE68" s="213" t="s">
        <v>742</v>
      </c>
      <c r="DF68" s="213" t="s">
        <v>743</v>
      </c>
      <c r="DG68" s="213">
        <v>0</v>
      </c>
      <c r="DH68" s="213">
        <v>0</v>
      </c>
      <c r="DI68" s="213">
        <v>0</v>
      </c>
      <c r="DJ68" s="213" t="s">
        <v>249</v>
      </c>
      <c r="DM68" s="213" t="s">
        <v>744</v>
      </c>
      <c r="DN68" s="213" t="s">
        <v>743</v>
      </c>
      <c r="DO68" s="213">
        <v>0</v>
      </c>
      <c r="DP68" s="213">
        <v>0</v>
      </c>
      <c r="DQ68" s="213">
        <v>0</v>
      </c>
      <c r="DR68" s="213" t="s">
        <v>249</v>
      </c>
      <c r="DU68" s="213" t="s">
        <v>745</v>
      </c>
      <c r="DV68" s="213" t="s">
        <v>743</v>
      </c>
      <c r="DW68" s="213">
        <v>0</v>
      </c>
      <c r="DX68" s="213">
        <v>0</v>
      </c>
      <c r="DY68" s="213">
        <v>0</v>
      </c>
      <c r="DZ68" s="213" t="s">
        <v>249</v>
      </c>
      <c r="EC68" s="213" t="s">
        <v>746</v>
      </c>
      <c r="ED68" s="213" t="s">
        <v>743</v>
      </c>
      <c r="EE68" s="213">
        <v>0</v>
      </c>
      <c r="EF68" s="213">
        <v>0</v>
      </c>
      <c r="EG68" s="213">
        <v>0</v>
      </c>
      <c r="EH68" s="213" t="s">
        <v>249</v>
      </c>
      <c r="EK68" s="213" t="s">
        <v>747</v>
      </c>
      <c r="EL68" s="213" t="s">
        <v>743</v>
      </c>
      <c r="EM68" s="213">
        <v>0</v>
      </c>
      <c r="EN68" s="213">
        <v>0</v>
      </c>
      <c r="EO68" s="213">
        <v>0</v>
      </c>
      <c r="EP68" s="213" t="s">
        <v>249</v>
      </c>
      <c r="ES68" s="213" t="s">
        <v>748</v>
      </c>
      <c r="ET68" s="213" t="s">
        <v>743</v>
      </c>
      <c r="EU68" s="213">
        <v>0</v>
      </c>
      <c r="EV68" s="213">
        <v>0</v>
      </c>
      <c r="EW68" s="213">
        <v>0</v>
      </c>
      <c r="EX68" s="213" t="s">
        <v>249</v>
      </c>
      <c r="FA68" s="213" t="s">
        <v>749</v>
      </c>
      <c r="FB68" s="213" t="s">
        <v>743</v>
      </c>
      <c r="FC68" s="213">
        <v>0</v>
      </c>
      <c r="FD68" s="213">
        <v>0</v>
      </c>
      <c r="FE68" s="213">
        <v>0</v>
      </c>
      <c r="FF68" s="213" t="s">
        <v>249</v>
      </c>
      <c r="FI68" s="213" t="s">
        <v>750</v>
      </c>
      <c r="FJ68" s="213" t="s">
        <v>743</v>
      </c>
      <c r="FK68" s="213">
        <v>0</v>
      </c>
      <c r="FL68" s="213">
        <v>0</v>
      </c>
      <c r="FM68" s="213">
        <v>0</v>
      </c>
      <c r="FN68" s="213" t="s">
        <v>249</v>
      </c>
      <c r="FQ68" s="213" t="s">
        <v>751</v>
      </c>
      <c r="FR68" s="213" t="s">
        <v>743</v>
      </c>
      <c r="FS68" s="213">
        <v>0</v>
      </c>
      <c r="FT68" s="213">
        <v>0</v>
      </c>
      <c r="FU68" s="213">
        <v>0</v>
      </c>
      <c r="FV68" s="213" t="s">
        <v>249</v>
      </c>
      <c r="FY68" s="213">
        <v>27</v>
      </c>
      <c r="FZ68" s="213">
        <v>-13</v>
      </c>
      <c r="GF68" s="213" t="s">
        <v>752</v>
      </c>
    </row>
    <row r="69" spans="1:188" s="213" customFormat="1" x14ac:dyDescent="0.15">
      <c r="A69" s="213" t="s">
        <v>654</v>
      </c>
      <c r="B69" s="213">
        <v>4</v>
      </c>
      <c r="C69" s="213" t="s">
        <v>1010</v>
      </c>
      <c r="D69" s="213">
        <v>614350803</v>
      </c>
      <c r="E69" s="213">
        <v>92303</v>
      </c>
      <c r="F69" s="213" t="s">
        <v>725</v>
      </c>
      <c r="G69" s="213">
        <v>847922</v>
      </c>
      <c r="H69" s="213">
        <v>657194</v>
      </c>
      <c r="I69" s="213">
        <v>6.8</v>
      </c>
      <c r="J69" s="213" t="s">
        <v>1011</v>
      </c>
      <c r="K69" s="213" t="s">
        <v>727</v>
      </c>
      <c r="L69" s="213" t="s">
        <v>656</v>
      </c>
      <c r="M69" s="213" t="s">
        <v>728</v>
      </c>
      <c r="N69" s="213" t="s">
        <v>728</v>
      </c>
      <c r="O69" s="213" t="s">
        <v>729</v>
      </c>
      <c r="P69" s="213" t="s">
        <v>710</v>
      </c>
      <c r="Q69" s="213">
        <v>26.2</v>
      </c>
      <c r="R69" s="213">
        <v>149</v>
      </c>
      <c r="S69" s="213" t="s">
        <v>710</v>
      </c>
      <c r="T69" s="213">
        <v>-9999</v>
      </c>
      <c r="U69" s="213">
        <v>238</v>
      </c>
      <c r="V69" s="213">
        <v>528</v>
      </c>
      <c r="W69" s="213">
        <v>231</v>
      </c>
      <c r="X69" s="213" t="s">
        <v>710</v>
      </c>
      <c r="Y69" s="213">
        <v>0</v>
      </c>
      <c r="Z69" s="213">
        <v>40</v>
      </c>
      <c r="AA69" s="213" t="s">
        <v>730</v>
      </c>
      <c r="AB69" s="213" t="s">
        <v>731</v>
      </c>
      <c r="AC69" s="213" t="s">
        <v>729</v>
      </c>
      <c r="AD69" s="213" t="s">
        <v>732</v>
      </c>
      <c r="AE69" s="213">
        <v>0</v>
      </c>
      <c r="AF69" s="213">
        <v>4</v>
      </c>
      <c r="AG69" s="213" t="s">
        <v>249</v>
      </c>
      <c r="AH69" s="213">
        <v>-9999</v>
      </c>
      <c r="AI69" s="213">
        <v>206</v>
      </c>
      <c r="AJ69" s="213">
        <v>489</v>
      </c>
      <c r="AK69" s="213">
        <v>204</v>
      </c>
      <c r="AL69" s="213" t="s">
        <v>710</v>
      </c>
      <c r="AM69" s="213">
        <v>0</v>
      </c>
      <c r="AN69" s="213">
        <v>40</v>
      </c>
      <c r="AO69" s="213" t="s">
        <v>733</v>
      </c>
      <c r="AP69" s="213" t="s">
        <v>734</v>
      </c>
      <c r="AQ69" s="213">
        <v>1</v>
      </c>
      <c r="AR69" s="213" t="s">
        <v>735</v>
      </c>
      <c r="AS69" s="213">
        <v>0</v>
      </c>
      <c r="AT69" s="213">
        <v>2</v>
      </c>
      <c r="AU69" s="213" t="s">
        <v>249</v>
      </c>
      <c r="AV69" s="213">
        <v>-9999</v>
      </c>
      <c r="AW69" s="213">
        <v>287</v>
      </c>
      <c r="AX69" s="213">
        <v>718</v>
      </c>
      <c r="AY69" s="213">
        <v>286</v>
      </c>
      <c r="AZ69" s="213" t="s">
        <v>710</v>
      </c>
      <c r="BA69" s="213">
        <v>0</v>
      </c>
      <c r="BB69" s="213">
        <v>40</v>
      </c>
      <c r="BC69" s="213" t="s">
        <v>736</v>
      </c>
      <c r="BD69" s="213" t="s">
        <v>734</v>
      </c>
      <c r="BE69" s="213">
        <v>2</v>
      </c>
      <c r="BF69" s="213" t="s">
        <v>735</v>
      </c>
      <c r="BG69" s="213">
        <v>0</v>
      </c>
      <c r="BH69" s="213">
        <v>2</v>
      </c>
      <c r="BI69" s="213" t="s">
        <v>249</v>
      </c>
      <c r="BJ69" s="213">
        <v>-9999</v>
      </c>
      <c r="BK69" s="213">
        <v>116</v>
      </c>
      <c r="BL69" s="213">
        <v>350</v>
      </c>
      <c r="BM69" s="213">
        <v>115</v>
      </c>
      <c r="BN69" s="213" t="s">
        <v>710</v>
      </c>
      <c r="BO69" s="213">
        <v>0</v>
      </c>
      <c r="BP69" s="213">
        <v>40</v>
      </c>
      <c r="BQ69" s="213" t="s">
        <v>737</v>
      </c>
      <c r="BR69" s="213" t="s">
        <v>734</v>
      </c>
      <c r="BS69" s="213">
        <v>3</v>
      </c>
      <c r="BT69" s="213" t="s">
        <v>735</v>
      </c>
      <c r="BU69" s="213">
        <v>0</v>
      </c>
      <c r="BV69" s="213">
        <v>7</v>
      </c>
      <c r="BW69" s="213" t="s">
        <v>249</v>
      </c>
      <c r="BX69" s="213">
        <v>-9999</v>
      </c>
      <c r="BY69" s="213">
        <v>165</v>
      </c>
      <c r="BZ69" s="213">
        <v>410</v>
      </c>
      <c r="CA69" s="213">
        <v>165</v>
      </c>
      <c r="CB69" s="213" t="s">
        <v>710</v>
      </c>
      <c r="CC69" s="213">
        <v>0</v>
      </c>
      <c r="CD69" s="213">
        <v>40</v>
      </c>
      <c r="CE69" s="213" t="s">
        <v>738</v>
      </c>
      <c r="CF69" s="213" t="s">
        <v>734</v>
      </c>
      <c r="CG69" s="213">
        <v>4</v>
      </c>
      <c r="CH69" s="213" t="s">
        <v>735</v>
      </c>
      <c r="CI69" s="213">
        <v>0</v>
      </c>
      <c r="CJ69" s="213">
        <v>3</v>
      </c>
      <c r="CK69" s="213" t="s">
        <v>249</v>
      </c>
      <c r="CL69" s="213">
        <v>-9999</v>
      </c>
      <c r="CM69" s="213">
        <v>183</v>
      </c>
      <c r="CN69" s="213">
        <v>475</v>
      </c>
      <c r="CO69" s="213">
        <v>181</v>
      </c>
      <c r="CP69" s="213" t="s">
        <v>710</v>
      </c>
      <c r="CQ69" s="213">
        <v>0</v>
      </c>
      <c r="CR69" s="213">
        <v>40</v>
      </c>
      <c r="CS69" s="213" t="s">
        <v>739</v>
      </c>
      <c r="CT69" s="213" t="s">
        <v>740</v>
      </c>
      <c r="CU69" s="213">
        <v>116</v>
      </c>
      <c r="CV69" s="213">
        <v>115</v>
      </c>
      <c r="CW69" s="213">
        <v>115</v>
      </c>
      <c r="CX69" s="213" t="s">
        <v>710</v>
      </c>
      <c r="CY69" s="213" t="s">
        <v>741</v>
      </c>
      <c r="CZ69" s="213" t="s">
        <v>740</v>
      </c>
      <c r="DA69" s="213">
        <v>97</v>
      </c>
      <c r="DB69" s="213">
        <v>96</v>
      </c>
      <c r="DC69" s="213">
        <v>96</v>
      </c>
      <c r="DD69" s="213" t="s">
        <v>710</v>
      </c>
      <c r="DE69" s="213" t="s">
        <v>742</v>
      </c>
      <c r="DF69" s="213" t="s">
        <v>743</v>
      </c>
      <c r="DG69" s="213">
        <v>0</v>
      </c>
      <c r="DH69" s="213">
        <v>0</v>
      </c>
      <c r="DI69" s="213">
        <v>0</v>
      </c>
      <c r="DJ69" s="213" t="s">
        <v>249</v>
      </c>
      <c r="DM69" s="213" t="s">
        <v>744</v>
      </c>
      <c r="DN69" s="213" t="s">
        <v>743</v>
      </c>
      <c r="DO69" s="213">
        <v>0</v>
      </c>
      <c r="DP69" s="213">
        <v>0</v>
      </c>
      <c r="DQ69" s="213">
        <v>0</v>
      </c>
      <c r="DR69" s="213" t="s">
        <v>249</v>
      </c>
      <c r="DU69" s="213" t="s">
        <v>745</v>
      </c>
      <c r="DV69" s="213" t="s">
        <v>743</v>
      </c>
      <c r="DW69" s="213">
        <v>0</v>
      </c>
      <c r="DX69" s="213">
        <v>0</v>
      </c>
      <c r="DY69" s="213">
        <v>0</v>
      </c>
      <c r="DZ69" s="213" t="s">
        <v>249</v>
      </c>
      <c r="EC69" s="213" t="s">
        <v>746</v>
      </c>
      <c r="ED69" s="213" t="s">
        <v>743</v>
      </c>
      <c r="EE69" s="213">
        <v>0</v>
      </c>
      <c r="EF69" s="213">
        <v>0</v>
      </c>
      <c r="EG69" s="213">
        <v>0</v>
      </c>
      <c r="EH69" s="213" t="s">
        <v>249</v>
      </c>
      <c r="EK69" s="213" t="s">
        <v>747</v>
      </c>
      <c r="EL69" s="213" t="s">
        <v>743</v>
      </c>
      <c r="EM69" s="213">
        <v>0</v>
      </c>
      <c r="EN69" s="213">
        <v>0</v>
      </c>
      <c r="EO69" s="213">
        <v>0</v>
      </c>
      <c r="EP69" s="213" t="s">
        <v>249</v>
      </c>
      <c r="ES69" s="213" t="s">
        <v>748</v>
      </c>
      <c r="ET69" s="213" t="s">
        <v>743</v>
      </c>
      <c r="EU69" s="213">
        <v>0</v>
      </c>
      <c r="EV69" s="213">
        <v>0</v>
      </c>
      <c r="EW69" s="213">
        <v>0</v>
      </c>
      <c r="EX69" s="213" t="s">
        <v>249</v>
      </c>
      <c r="FA69" s="213" t="s">
        <v>749</v>
      </c>
      <c r="FB69" s="213" t="s">
        <v>743</v>
      </c>
      <c r="FC69" s="213">
        <v>0</v>
      </c>
      <c r="FD69" s="213">
        <v>0</v>
      </c>
      <c r="FE69" s="213">
        <v>0</v>
      </c>
      <c r="FF69" s="213" t="s">
        <v>249</v>
      </c>
      <c r="FI69" s="213" t="s">
        <v>750</v>
      </c>
      <c r="FJ69" s="213" t="s">
        <v>743</v>
      </c>
      <c r="FK69" s="213">
        <v>0</v>
      </c>
      <c r="FL69" s="213">
        <v>0</v>
      </c>
      <c r="FM69" s="213">
        <v>0</v>
      </c>
      <c r="FN69" s="213" t="s">
        <v>249</v>
      </c>
      <c r="FQ69" s="213" t="s">
        <v>751</v>
      </c>
      <c r="FR69" s="213" t="s">
        <v>743</v>
      </c>
      <c r="FS69" s="213">
        <v>0</v>
      </c>
      <c r="FT69" s="213">
        <v>0</v>
      </c>
      <c r="FU69" s="213">
        <v>0</v>
      </c>
      <c r="FV69" s="213" t="s">
        <v>249</v>
      </c>
      <c r="FY69" s="213">
        <v>24</v>
      </c>
      <c r="FZ69" s="213">
        <v>-12.9</v>
      </c>
      <c r="GF69" s="213" t="s">
        <v>752</v>
      </c>
    </row>
    <row r="70" spans="1:188" s="213" customFormat="1" x14ac:dyDescent="0.15">
      <c r="A70" s="213" t="s">
        <v>654</v>
      </c>
      <c r="B70" s="213">
        <v>4</v>
      </c>
      <c r="C70" s="213" t="s">
        <v>1012</v>
      </c>
      <c r="D70" s="213">
        <v>614351713</v>
      </c>
      <c r="E70" s="213">
        <v>92303</v>
      </c>
      <c r="F70" s="213" t="s">
        <v>725</v>
      </c>
      <c r="G70" s="213">
        <v>847922</v>
      </c>
      <c r="H70" s="213">
        <v>702829</v>
      </c>
      <c r="I70" s="213">
        <v>6.8</v>
      </c>
      <c r="J70" s="213" t="s">
        <v>1013</v>
      </c>
      <c r="K70" s="213" t="s">
        <v>727</v>
      </c>
      <c r="L70" s="213" t="s">
        <v>656</v>
      </c>
      <c r="M70" s="213" t="s">
        <v>728</v>
      </c>
      <c r="N70" s="213" t="s">
        <v>728</v>
      </c>
      <c r="O70" s="213" t="s">
        <v>729</v>
      </c>
      <c r="P70" s="213" t="s">
        <v>710</v>
      </c>
      <c r="Q70" s="213">
        <v>23.9</v>
      </c>
      <c r="R70" s="213">
        <v>152</v>
      </c>
      <c r="S70" s="213" t="s">
        <v>710</v>
      </c>
      <c r="T70" s="213">
        <v>-9999</v>
      </c>
      <c r="U70" s="213">
        <v>223</v>
      </c>
      <c r="V70" s="213">
        <v>494</v>
      </c>
      <c r="W70" s="213">
        <v>218</v>
      </c>
      <c r="X70" s="213" t="s">
        <v>710</v>
      </c>
      <c r="Y70" s="213">
        <v>0</v>
      </c>
      <c r="Z70" s="213">
        <v>40</v>
      </c>
      <c r="AA70" s="213" t="s">
        <v>730</v>
      </c>
      <c r="AB70" s="213" t="s">
        <v>731</v>
      </c>
      <c r="AC70" s="213" t="s">
        <v>729</v>
      </c>
      <c r="AD70" s="213" t="s">
        <v>732</v>
      </c>
      <c r="AE70" s="213">
        <v>0</v>
      </c>
      <c r="AF70" s="213">
        <v>6</v>
      </c>
      <c r="AG70" s="213" t="s">
        <v>249</v>
      </c>
      <c r="AH70" s="213">
        <v>-9999</v>
      </c>
      <c r="AI70" s="213">
        <v>202</v>
      </c>
      <c r="AJ70" s="213">
        <v>479</v>
      </c>
      <c r="AK70" s="213">
        <v>199</v>
      </c>
      <c r="AL70" s="213" t="s">
        <v>710</v>
      </c>
      <c r="AM70" s="213">
        <v>0</v>
      </c>
      <c r="AN70" s="213">
        <v>40</v>
      </c>
      <c r="AO70" s="213" t="s">
        <v>733</v>
      </c>
      <c r="AP70" s="213" t="s">
        <v>734</v>
      </c>
      <c r="AQ70" s="213">
        <v>1</v>
      </c>
      <c r="AR70" s="213" t="s">
        <v>735</v>
      </c>
      <c r="AS70" s="213">
        <v>0</v>
      </c>
      <c r="AT70" s="213">
        <v>13</v>
      </c>
      <c r="AU70" s="213" t="s">
        <v>249</v>
      </c>
      <c r="AV70" s="213">
        <v>-9999</v>
      </c>
      <c r="AW70" s="213">
        <v>254</v>
      </c>
      <c r="AX70" s="213">
        <v>626</v>
      </c>
      <c r="AY70" s="213">
        <v>250</v>
      </c>
      <c r="AZ70" s="213" t="s">
        <v>710</v>
      </c>
      <c r="BA70" s="213">
        <v>0</v>
      </c>
      <c r="BB70" s="213">
        <v>40</v>
      </c>
      <c r="BC70" s="213" t="s">
        <v>736</v>
      </c>
      <c r="BD70" s="213" t="s">
        <v>734</v>
      </c>
      <c r="BE70" s="213">
        <v>2</v>
      </c>
      <c r="BF70" s="213" t="s">
        <v>735</v>
      </c>
      <c r="BG70" s="213">
        <v>0</v>
      </c>
      <c r="BH70" s="213">
        <v>2</v>
      </c>
      <c r="BI70" s="213" t="s">
        <v>249</v>
      </c>
      <c r="BJ70" s="213">
        <v>-9999</v>
      </c>
      <c r="BK70" s="213">
        <v>116</v>
      </c>
      <c r="BL70" s="213">
        <v>353</v>
      </c>
      <c r="BM70" s="213">
        <v>114</v>
      </c>
      <c r="BN70" s="213" t="s">
        <v>710</v>
      </c>
      <c r="BO70" s="213">
        <v>0</v>
      </c>
      <c r="BP70" s="213">
        <v>40</v>
      </c>
      <c r="BQ70" s="213" t="s">
        <v>737</v>
      </c>
      <c r="BR70" s="213" t="s">
        <v>734</v>
      </c>
      <c r="BS70" s="213">
        <v>3</v>
      </c>
      <c r="BT70" s="213" t="s">
        <v>735</v>
      </c>
      <c r="BU70" s="213">
        <v>0</v>
      </c>
      <c r="BV70" s="213">
        <v>4</v>
      </c>
      <c r="BW70" s="213" t="s">
        <v>249</v>
      </c>
      <c r="BX70" s="213">
        <v>-9999</v>
      </c>
      <c r="BY70" s="213">
        <v>175</v>
      </c>
      <c r="BZ70" s="213">
        <v>423</v>
      </c>
      <c r="CA70" s="213">
        <v>175</v>
      </c>
      <c r="CB70" s="213" t="s">
        <v>710</v>
      </c>
      <c r="CC70" s="213">
        <v>0</v>
      </c>
      <c r="CD70" s="213">
        <v>40</v>
      </c>
      <c r="CE70" s="213" t="s">
        <v>738</v>
      </c>
      <c r="CF70" s="213" t="s">
        <v>734</v>
      </c>
      <c r="CG70" s="213">
        <v>4</v>
      </c>
      <c r="CH70" s="213" t="s">
        <v>735</v>
      </c>
      <c r="CI70" s="213">
        <v>0</v>
      </c>
      <c r="CJ70" s="213">
        <v>6</v>
      </c>
      <c r="CK70" s="213" t="s">
        <v>249</v>
      </c>
      <c r="CL70" s="213">
        <v>-9999</v>
      </c>
      <c r="CM70" s="213">
        <v>155</v>
      </c>
      <c r="CN70" s="213">
        <v>407</v>
      </c>
      <c r="CO70" s="213">
        <v>153</v>
      </c>
      <c r="CP70" s="213" t="s">
        <v>710</v>
      </c>
      <c r="CQ70" s="213">
        <v>0</v>
      </c>
      <c r="CR70" s="213">
        <v>40</v>
      </c>
      <c r="CS70" s="213" t="s">
        <v>739</v>
      </c>
      <c r="CT70" s="213" t="s">
        <v>740</v>
      </c>
      <c r="CU70" s="213">
        <v>137</v>
      </c>
      <c r="CV70" s="213">
        <v>137</v>
      </c>
      <c r="CW70" s="213">
        <v>136</v>
      </c>
      <c r="CX70" s="213" t="s">
        <v>710</v>
      </c>
      <c r="CY70" s="213" t="s">
        <v>741</v>
      </c>
      <c r="CZ70" s="213" t="s">
        <v>740</v>
      </c>
      <c r="DA70" s="213">
        <v>114</v>
      </c>
      <c r="DB70" s="213">
        <v>114</v>
      </c>
      <c r="DC70" s="213">
        <v>114</v>
      </c>
      <c r="DD70" s="213" t="s">
        <v>710</v>
      </c>
      <c r="DE70" s="213" t="s">
        <v>742</v>
      </c>
      <c r="DF70" s="213" t="s">
        <v>743</v>
      </c>
      <c r="DG70" s="213">
        <v>0</v>
      </c>
      <c r="DH70" s="213">
        <v>0</v>
      </c>
      <c r="DI70" s="213">
        <v>0</v>
      </c>
      <c r="DJ70" s="213" t="s">
        <v>249</v>
      </c>
      <c r="DM70" s="213" t="s">
        <v>744</v>
      </c>
      <c r="DN70" s="213" t="s">
        <v>743</v>
      </c>
      <c r="DO70" s="213">
        <v>0</v>
      </c>
      <c r="DP70" s="213">
        <v>0</v>
      </c>
      <c r="DQ70" s="213">
        <v>0</v>
      </c>
      <c r="DR70" s="213" t="s">
        <v>249</v>
      </c>
      <c r="DU70" s="213" t="s">
        <v>745</v>
      </c>
      <c r="DV70" s="213" t="s">
        <v>743</v>
      </c>
      <c r="DW70" s="213">
        <v>0</v>
      </c>
      <c r="DX70" s="213">
        <v>0</v>
      </c>
      <c r="DY70" s="213">
        <v>0</v>
      </c>
      <c r="DZ70" s="213" t="s">
        <v>249</v>
      </c>
      <c r="EC70" s="213" t="s">
        <v>746</v>
      </c>
      <c r="ED70" s="213" t="s">
        <v>743</v>
      </c>
      <c r="EE70" s="213">
        <v>0</v>
      </c>
      <c r="EF70" s="213">
        <v>0</v>
      </c>
      <c r="EG70" s="213">
        <v>0</v>
      </c>
      <c r="EH70" s="213" t="s">
        <v>249</v>
      </c>
      <c r="EK70" s="213" t="s">
        <v>747</v>
      </c>
      <c r="EL70" s="213" t="s">
        <v>743</v>
      </c>
      <c r="EM70" s="213">
        <v>0</v>
      </c>
      <c r="EN70" s="213">
        <v>0</v>
      </c>
      <c r="EO70" s="213">
        <v>0</v>
      </c>
      <c r="EP70" s="213" t="s">
        <v>249</v>
      </c>
      <c r="ES70" s="213" t="s">
        <v>748</v>
      </c>
      <c r="ET70" s="213" t="s">
        <v>743</v>
      </c>
      <c r="EU70" s="213">
        <v>0</v>
      </c>
      <c r="EV70" s="213">
        <v>0</v>
      </c>
      <c r="EW70" s="213">
        <v>0</v>
      </c>
      <c r="EX70" s="213" t="s">
        <v>249</v>
      </c>
      <c r="FA70" s="213" t="s">
        <v>749</v>
      </c>
      <c r="FB70" s="213" t="s">
        <v>743</v>
      </c>
      <c r="FC70" s="213">
        <v>0</v>
      </c>
      <c r="FD70" s="213">
        <v>0</v>
      </c>
      <c r="FE70" s="213">
        <v>0</v>
      </c>
      <c r="FF70" s="213" t="s">
        <v>249</v>
      </c>
      <c r="FI70" s="213" t="s">
        <v>750</v>
      </c>
      <c r="FJ70" s="213" t="s">
        <v>743</v>
      </c>
      <c r="FK70" s="213">
        <v>0</v>
      </c>
      <c r="FL70" s="213">
        <v>0</v>
      </c>
      <c r="FM70" s="213">
        <v>0</v>
      </c>
      <c r="FN70" s="213" t="s">
        <v>249</v>
      </c>
      <c r="FQ70" s="213" t="s">
        <v>751</v>
      </c>
      <c r="FR70" s="213" t="s">
        <v>743</v>
      </c>
      <c r="FS70" s="213">
        <v>0</v>
      </c>
      <c r="FT70" s="213">
        <v>0</v>
      </c>
      <c r="FU70" s="213">
        <v>0</v>
      </c>
      <c r="FV70" s="213" t="s">
        <v>249</v>
      </c>
      <c r="FY70" s="213">
        <v>25.4</v>
      </c>
      <c r="FZ70" s="213">
        <v>-13.1</v>
      </c>
      <c r="GF70" s="213" t="s">
        <v>752</v>
      </c>
    </row>
    <row r="71" spans="1:188" s="213" customFormat="1" x14ac:dyDescent="0.15">
      <c r="A71" s="213" t="s">
        <v>654</v>
      </c>
      <c r="B71" s="213">
        <v>4</v>
      </c>
      <c r="C71" s="213" t="s">
        <v>1014</v>
      </c>
      <c r="D71" s="213">
        <v>614351397</v>
      </c>
      <c r="E71" s="213">
        <v>92303</v>
      </c>
      <c r="F71" s="213" t="s">
        <v>725</v>
      </c>
      <c r="G71" s="213">
        <v>847922</v>
      </c>
      <c r="H71" s="213">
        <v>220000161</v>
      </c>
      <c r="I71" s="213">
        <v>6.8</v>
      </c>
      <c r="J71" s="213" t="s">
        <v>1015</v>
      </c>
      <c r="K71" s="213" t="s">
        <v>727</v>
      </c>
      <c r="L71" s="213" t="s">
        <v>656</v>
      </c>
      <c r="M71" s="213" t="s">
        <v>728</v>
      </c>
      <c r="N71" s="213" t="s">
        <v>728</v>
      </c>
      <c r="O71" s="213" t="s">
        <v>729</v>
      </c>
      <c r="P71" s="213" t="s">
        <v>710</v>
      </c>
      <c r="Q71" s="213">
        <v>24.1</v>
      </c>
      <c r="R71" s="213">
        <v>156</v>
      </c>
      <c r="S71" s="213" t="s">
        <v>710</v>
      </c>
      <c r="T71" s="213">
        <v>-9999</v>
      </c>
      <c r="U71" s="213">
        <v>214</v>
      </c>
      <c r="V71" s="213">
        <v>457</v>
      </c>
      <c r="W71" s="213">
        <v>202</v>
      </c>
      <c r="X71" s="213" t="s">
        <v>710</v>
      </c>
      <c r="Y71" s="213">
        <v>0</v>
      </c>
      <c r="Z71" s="213">
        <v>40</v>
      </c>
      <c r="AA71" s="213" t="s">
        <v>730</v>
      </c>
      <c r="AB71" s="213" t="s">
        <v>731</v>
      </c>
      <c r="AC71" s="213" t="s">
        <v>729</v>
      </c>
      <c r="AD71" s="213" t="s">
        <v>732</v>
      </c>
      <c r="AE71" s="213">
        <v>0</v>
      </c>
      <c r="AF71" s="213">
        <v>9</v>
      </c>
      <c r="AG71" s="213" t="s">
        <v>249</v>
      </c>
      <c r="AH71" s="213">
        <v>-9999</v>
      </c>
      <c r="AI71" s="213">
        <v>191</v>
      </c>
      <c r="AJ71" s="213">
        <v>453</v>
      </c>
      <c r="AK71" s="213">
        <v>188</v>
      </c>
      <c r="AL71" s="213" t="s">
        <v>710</v>
      </c>
      <c r="AM71" s="213">
        <v>0</v>
      </c>
      <c r="AN71" s="213">
        <v>40</v>
      </c>
      <c r="AO71" s="213" t="s">
        <v>733</v>
      </c>
      <c r="AP71" s="213" t="s">
        <v>734</v>
      </c>
      <c r="AQ71" s="213">
        <v>1</v>
      </c>
      <c r="AR71" s="213" t="s">
        <v>735</v>
      </c>
      <c r="AS71" s="213">
        <v>0</v>
      </c>
      <c r="AT71" s="213">
        <v>1</v>
      </c>
      <c r="AU71" s="213" t="s">
        <v>249</v>
      </c>
      <c r="AV71" s="213">
        <v>-9999</v>
      </c>
      <c r="AW71" s="213">
        <v>262</v>
      </c>
      <c r="AX71" s="213">
        <v>644</v>
      </c>
      <c r="AY71" s="213">
        <v>257</v>
      </c>
      <c r="AZ71" s="213" t="s">
        <v>710</v>
      </c>
      <c r="BA71" s="213">
        <v>0</v>
      </c>
      <c r="BB71" s="213">
        <v>40</v>
      </c>
      <c r="BC71" s="213" t="s">
        <v>736</v>
      </c>
      <c r="BD71" s="213" t="s">
        <v>734</v>
      </c>
      <c r="BE71" s="213">
        <v>2</v>
      </c>
      <c r="BF71" s="213" t="s">
        <v>735</v>
      </c>
      <c r="BG71" s="213">
        <v>0</v>
      </c>
      <c r="BH71" s="213">
        <v>2</v>
      </c>
      <c r="BI71" s="213" t="s">
        <v>249</v>
      </c>
      <c r="BJ71" s="213">
        <v>-9999</v>
      </c>
      <c r="BK71" s="213">
        <v>106</v>
      </c>
      <c r="BL71" s="213">
        <v>315</v>
      </c>
      <c r="BM71" s="213">
        <v>104</v>
      </c>
      <c r="BN71" s="213" t="s">
        <v>710</v>
      </c>
      <c r="BO71" s="213">
        <v>0</v>
      </c>
      <c r="BP71" s="213">
        <v>40</v>
      </c>
      <c r="BQ71" s="213" t="s">
        <v>737</v>
      </c>
      <c r="BR71" s="213" t="s">
        <v>734</v>
      </c>
      <c r="BS71" s="213">
        <v>3</v>
      </c>
      <c r="BT71" s="213" t="s">
        <v>735</v>
      </c>
      <c r="BU71" s="213">
        <v>0</v>
      </c>
      <c r="BV71" s="213">
        <v>10</v>
      </c>
      <c r="BW71" s="213" t="s">
        <v>249</v>
      </c>
      <c r="BX71" s="213">
        <v>-9999</v>
      </c>
      <c r="BY71" s="213">
        <v>152</v>
      </c>
      <c r="BZ71" s="213">
        <v>358</v>
      </c>
      <c r="CA71" s="213">
        <v>151</v>
      </c>
      <c r="CB71" s="213" t="s">
        <v>710</v>
      </c>
      <c r="CC71" s="213">
        <v>0</v>
      </c>
      <c r="CD71" s="213">
        <v>40</v>
      </c>
      <c r="CE71" s="213" t="s">
        <v>738</v>
      </c>
      <c r="CF71" s="213" t="s">
        <v>734</v>
      </c>
      <c r="CG71" s="213">
        <v>4</v>
      </c>
      <c r="CH71" s="213" t="s">
        <v>735</v>
      </c>
      <c r="CI71" s="213">
        <v>0</v>
      </c>
      <c r="CJ71" s="213">
        <v>5</v>
      </c>
      <c r="CK71" s="213" t="s">
        <v>249</v>
      </c>
      <c r="CL71" s="213">
        <v>-9999</v>
      </c>
      <c r="CM71" s="213">
        <v>145</v>
      </c>
      <c r="CN71" s="213">
        <v>377</v>
      </c>
      <c r="CO71" s="213">
        <v>141</v>
      </c>
      <c r="CP71" s="213" t="s">
        <v>710</v>
      </c>
      <c r="CQ71" s="213">
        <v>0</v>
      </c>
      <c r="CR71" s="213">
        <v>40</v>
      </c>
      <c r="CS71" s="213" t="s">
        <v>739</v>
      </c>
      <c r="CT71" s="213" t="s">
        <v>740</v>
      </c>
      <c r="CU71" s="213">
        <v>113</v>
      </c>
      <c r="CV71" s="213">
        <v>113</v>
      </c>
      <c r="CW71" s="213">
        <v>112</v>
      </c>
      <c r="CX71" s="213" t="s">
        <v>710</v>
      </c>
      <c r="CY71" s="213" t="s">
        <v>741</v>
      </c>
      <c r="CZ71" s="213" t="s">
        <v>740</v>
      </c>
      <c r="DA71" s="213">
        <v>105</v>
      </c>
      <c r="DB71" s="213">
        <v>105</v>
      </c>
      <c r="DC71" s="213">
        <v>105</v>
      </c>
      <c r="DD71" s="213" t="s">
        <v>710</v>
      </c>
      <c r="DE71" s="213" t="s">
        <v>742</v>
      </c>
      <c r="DF71" s="213" t="s">
        <v>743</v>
      </c>
      <c r="DG71" s="213">
        <v>0</v>
      </c>
      <c r="DH71" s="213">
        <v>0</v>
      </c>
      <c r="DI71" s="213">
        <v>0</v>
      </c>
      <c r="DJ71" s="213" t="s">
        <v>249</v>
      </c>
      <c r="DM71" s="213" t="s">
        <v>744</v>
      </c>
      <c r="DN71" s="213" t="s">
        <v>743</v>
      </c>
      <c r="DO71" s="213">
        <v>0</v>
      </c>
      <c r="DP71" s="213">
        <v>0</v>
      </c>
      <c r="DQ71" s="213">
        <v>0</v>
      </c>
      <c r="DR71" s="213" t="s">
        <v>249</v>
      </c>
      <c r="DU71" s="213" t="s">
        <v>745</v>
      </c>
      <c r="DV71" s="213" t="s">
        <v>743</v>
      </c>
      <c r="DW71" s="213">
        <v>0</v>
      </c>
      <c r="DX71" s="213">
        <v>0</v>
      </c>
      <c r="DY71" s="213">
        <v>0</v>
      </c>
      <c r="DZ71" s="213" t="s">
        <v>249</v>
      </c>
      <c r="EC71" s="213" t="s">
        <v>746</v>
      </c>
      <c r="ED71" s="213" t="s">
        <v>743</v>
      </c>
      <c r="EE71" s="213">
        <v>0</v>
      </c>
      <c r="EF71" s="213">
        <v>0</v>
      </c>
      <c r="EG71" s="213">
        <v>0</v>
      </c>
      <c r="EH71" s="213" t="s">
        <v>249</v>
      </c>
      <c r="EK71" s="213" t="s">
        <v>747</v>
      </c>
      <c r="EL71" s="213" t="s">
        <v>743</v>
      </c>
      <c r="EM71" s="213">
        <v>0</v>
      </c>
      <c r="EN71" s="213">
        <v>0</v>
      </c>
      <c r="EO71" s="213">
        <v>0</v>
      </c>
      <c r="EP71" s="213" t="s">
        <v>249</v>
      </c>
      <c r="ES71" s="213" t="s">
        <v>748</v>
      </c>
      <c r="ET71" s="213" t="s">
        <v>743</v>
      </c>
      <c r="EU71" s="213">
        <v>0</v>
      </c>
      <c r="EV71" s="213">
        <v>0</v>
      </c>
      <c r="EW71" s="213">
        <v>0</v>
      </c>
      <c r="EX71" s="213" t="s">
        <v>249</v>
      </c>
      <c r="FA71" s="213" t="s">
        <v>749</v>
      </c>
      <c r="FB71" s="213" t="s">
        <v>743</v>
      </c>
      <c r="FC71" s="213">
        <v>0</v>
      </c>
      <c r="FD71" s="213">
        <v>0</v>
      </c>
      <c r="FE71" s="213">
        <v>0</v>
      </c>
      <c r="FF71" s="213" t="s">
        <v>249</v>
      </c>
      <c r="FI71" s="213" t="s">
        <v>750</v>
      </c>
      <c r="FJ71" s="213" t="s">
        <v>743</v>
      </c>
      <c r="FK71" s="213">
        <v>0</v>
      </c>
      <c r="FL71" s="213">
        <v>0</v>
      </c>
      <c r="FM71" s="213">
        <v>0</v>
      </c>
      <c r="FN71" s="213" t="s">
        <v>249</v>
      </c>
      <c r="FQ71" s="213" t="s">
        <v>751</v>
      </c>
      <c r="FR71" s="213" t="s">
        <v>743</v>
      </c>
      <c r="FS71" s="213">
        <v>0</v>
      </c>
      <c r="FT71" s="213">
        <v>0</v>
      </c>
      <c r="FU71" s="213">
        <v>0</v>
      </c>
      <c r="FV71" s="213" t="s">
        <v>249</v>
      </c>
      <c r="FY71" s="213">
        <v>23.4</v>
      </c>
      <c r="FZ71" s="213">
        <v>-12.6</v>
      </c>
      <c r="GF71" s="213" t="s">
        <v>752</v>
      </c>
    </row>
    <row r="72" spans="1:188" s="213" customFormat="1" x14ac:dyDescent="0.15">
      <c r="A72" s="213" t="s">
        <v>654</v>
      </c>
      <c r="B72" s="213">
        <v>4</v>
      </c>
      <c r="C72" s="213" t="s">
        <v>1034</v>
      </c>
      <c r="D72" s="213">
        <v>614383328</v>
      </c>
      <c r="E72" s="213">
        <v>92303</v>
      </c>
      <c r="F72" s="213" t="s">
        <v>725</v>
      </c>
      <c r="G72" s="213">
        <v>847922</v>
      </c>
      <c r="H72" s="213">
        <v>886194</v>
      </c>
      <c r="I72" s="213">
        <v>6.8</v>
      </c>
      <c r="J72" s="213" t="s">
        <v>1035</v>
      </c>
      <c r="K72" s="213" t="s">
        <v>727</v>
      </c>
      <c r="L72" s="213" t="s">
        <v>656</v>
      </c>
      <c r="M72" s="213" t="s">
        <v>728</v>
      </c>
      <c r="N72" s="213" t="s">
        <v>728</v>
      </c>
      <c r="O72" s="213" t="s">
        <v>729</v>
      </c>
      <c r="P72" s="213" t="s">
        <v>710</v>
      </c>
      <c r="Q72" s="213">
        <v>24.8</v>
      </c>
      <c r="R72" s="213">
        <v>126</v>
      </c>
      <c r="S72" s="213" t="s">
        <v>710</v>
      </c>
      <c r="T72" s="213">
        <v>-9999</v>
      </c>
      <c r="U72" s="213">
        <v>196</v>
      </c>
      <c r="V72" s="213">
        <v>434</v>
      </c>
      <c r="W72" s="213">
        <v>182</v>
      </c>
      <c r="X72" s="213" t="s">
        <v>710</v>
      </c>
      <c r="Y72" s="213">
        <v>0</v>
      </c>
      <c r="Z72" s="213">
        <v>40</v>
      </c>
      <c r="AA72" s="213" t="s">
        <v>730</v>
      </c>
      <c r="AB72" s="213" t="s">
        <v>731</v>
      </c>
      <c r="AC72" s="213" t="s">
        <v>729</v>
      </c>
      <c r="AD72" s="213" t="s">
        <v>732</v>
      </c>
      <c r="AE72" s="213">
        <v>0</v>
      </c>
      <c r="AF72" s="213">
        <v>3</v>
      </c>
      <c r="AG72" s="213" t="s">
        <v>249</v>
      </c>
      <c r="AH72" s="213">
        <v>-9999</v>
      </c>
      <c r="AI72" s="213">
        <v>184</v>
      </c>
      <c r="AJ72" s="213">
        <v>429</v>
      </c>
      <c r="AK72" s="213">
        <v>177</v>
      </c>
      <c r="AL72" s="213" t="s">
        <v>710</v>
      </c>
      <c r="AM72" s="213">
        <v>0</v>
      </c>
      <c r="AN72" s="213">
        <v>40</v>
      </c>
      <c r="AO72" s="213" t="s">
        <v>733</v>
      </c>
      <c r="AP72" s="213" t="s">
        <v>734</v>
      </c>
      <c r="AQ72" s="213">
        <v>1</v>
      </c>
      <c r="AR72" s="213" t="s">
        <v>735</v>
      </c>
      <c r="AS72" s="213">
        <v>0</v>
      </c>
      <c r="AT72" s="213">
        <v>-9</v>
      </c>
      <c r="AU72" s="213" t="s">
        <v>249</v>
      </c>
      <c r="AV72" s="213">
        <v>-9999</v>
      </c>
      <c r="AW72" s="213">
        <v>239</v>
      </c>
      <c r="AX72" s="213">
        <v>585</v>
      </c>
      <c r="AY72" s="213">
        <v>233</v>
      </c>
      <c r="AZ72" s="213" t="s">
        <v>710</v>
      </c>
      <c r="BA72" s="213">
        <v>0</v>
      </c>
      <c r="BB72" s="213">
        <v>40</v>
      </c>
      <c r="BC72" s="213" t="s">
        <v>736</v>
      </c>
      <c r="BD72" s="213" t="s">
        <v>734</v>
      </c>
      <c r="BE72" s="213">
        <v>2</v>
      </c>
      <c r="BF72" s="213" t="s">
        <v>735</v>
      </c>
      <c r="BG72" s="213">
        <v>0</v>
      </c>
      <c r="BH72" s="213">
        <v>0</v>
      </c>
      <c r="BI72" s="213" t="s">
        <v>249</v>
      </c>
      <c r="BJ72" s="213">
        <v>-9999</v>
      </c>
      <c r="BK72" s="213">
        <v>109</v>
      </c>
      <c r="BL72" s="213">
        <v>323</v>
      </c>
      <c r="BM72" s="213">
        <v>104</v>
      </c>
      <c r="BN72" s="213" t="s">
        <v>710</v>
      </c>
      <c r="BO72" s="213">
        <v>0</v>
      </c>
      <c r="BP72" s="213">
        <v>40</v>
      </c>
      <c r="BQ72" s="213" t="s">
        <v>737</v>
      </c>
      <c r="BR72" s="213" t="s">
        <v>734</v>
      </c>
      <c r="BS72" s="213">
        <v>3</v>
      </c>
      <c r="BT72" s="213" t="s">
        <v>735</v>
      </c>
      <c r="BU72" s="213">
        <v>0</v>
      </c>
      <c r="BV72" s="213">
        <v>-3</v>
      </c>
      <c r="BW72" s="213" t="s">
        <v>249</v>
      </c>
      <c r="BX72" s="213">
        <v>-9999</v>
      </c>
      <c r="BY72" s="213">
        <v>177</v>
      </c>
      <c r="BZ72" s="213">
        <v>423</v>
      </c>
      <c r="CA72" s="213">
        <v>173</v>
      </c>
      <c r="CB72" s="213" t="s">
        <v>710</v>
      </c>
      <c r="CC72" s="213">
        <v>0</v>
      </c>
      <c r="CD72" s="213">
        <v>40</v>
      </c>
      <c r="CE72" s="213" t="s">
        <v>738</v>
      </c>
      <c r="CF72" s="213" t="s">
        <v>734</v>
      </c>
      <c r="CG72" s="213">
        <v>4</v>
      </c>
      <c r="CH72" s="213" t="s">
        <v>735</v>
      </c>
      <c r="CI72" s="213">
        <v>0</v>
      </c>
      <c r="CJ72" s="213">
        <v>2</v>
      </c>
      <c r="CK72" s="213" t="s">
        <v>249</v>
      </c>
      <c r="CL72" s="213">
        <v>-9999</v>
      </c>
      <c r="CM72" s="213">
        <v>131</v>
      </c>
      <c r="CN72" s="213">
        <v>335</v>
      </c>
      <c r="CO72" s="213">
        <v>126</v>
      </c>
      <c r="CP72" s="213" t="s">
        <v>710</v>
      </c>
      <c r="CQ72" s="213">
        <v>0</v>
      </c>
      <c r="CR72" s="213">
        <v>40</v>
      </c>
      <c r="CS72" s="213" t="s">
        <v>739</v>
      </c>
      <c r="CT72" s="213" t="s">
        <v>740</v>
      </c>
      <c r="CU72" s="213">
        <v>113</v>
      </c>
      <c r="CV72" s="213">
        <v>112</v>
      </c>
      <c r="CW72" s="213">
        <v>111</v>
      </c>
      <c r="CX72" s="213" t="s">
        <v>710</v>
      </c>
      <c r="CY72" s="213" t="s">
        <v>741</v>
      </c>
      <c r="CZ72" s="213" t="s">
        <v>740</v>
      </c>
      <c r="DA72" s="213">
        <v>110</v>
      </c>
      <c r="DB72" s="213">
        <v>109</v>
      </c>
      <c r="DC72" s="213">
        <v>109</v>
      </c>
      <c r="DD72" s="213" t="s">
        <v>710</v>
      </c>
      <c r="DE72" s="213" t="s">
        <v>742</v>
      </c>
      <c r="DF72" s="213" t="s">
        <v>743</v>
      </c>
      <c r="DG72" s="213">
        <v>0</v>
      </c>
      <c r="DH72" s="213">
        <v>0</v>
      </c>
      <c r="DI72" s="213">
        <v>0</v>
      </c>
      <c r="DJ72" s="213" t="s">
        <v>249</v>
      </c>
      <c r="DM72" s="213" t="s">
        <v>744</v>
      </c>
      <c r="DN72" s="213" t="s">
        <v>743</v>
      </c>
      <c r="DO72" s="213">
        <v>0</v>
      </c>
      <c r="DP72" s="213">
        <v>0</v>
      </c>
      <c r="DQ72" s="213">
        <v>0</v>
      </c>
      <c r="DR72" s="213" t="s">
        <v>249</v>
      </c>
      <c r="DU72" s="213" t="s">
        <v>745</v>
      </c>
      <c r="DV72" s="213" t="s">
        <v>743</v>
      </c>
      <c r="DW72" s="213">
        <v>0</v>
      </c>
      <c r="DX72" s="213">
        <v>0</v>
      </c>
      <c r="DY72" s="213">
        <v>0</v>
      </c>
      <c r="DZ72" s="213" t="s">
        <v>249</v>
      </c>
      <c r="EC72" s="213" t="s">
        <v>746</v>
      </c>
      <c r="ED72" s="213" t="s">
        <v>743</v>
      </c>
      <c r="EE72" s="213">
        <v>0</v>
      </c>
      <c r="EF72" s="213">
        <v>0</v>
      </c>
      <c r="EG72" s="213">
        <v>0</v>
      </c>
      <c r="EH72" s="213" t="s">
        <v>249</v>
      </c>
      <c r="EK72" s="213" t="s">
        <v>747</v>
      </c>
      <c r="EL72" s="213" t="s">
        <v>743</v>
      </c>
      <c r="EM72" s="213">
        <v>0</v>
      </c>
      <c r="EN72" s="213">
        <v>0</v>
      </c>
      <c r="EO72" s="213">
        <v>0</v>
      </c>
      <c r="EP72" s="213" t="s">
        <v>249</v>
      </c>
      <c r="ES72" s="213" t="s">
        <v>748</v>
      </c>
      <c r="ET72" s="213" t="s">
        <v>743</v>
      </c>
      <c r="EU72" s="213">
        <v>0</v>
      </c>
      <c r="EV72" s="213">
        <v>0</v>
      </c>
      <c r="EW72" s="213">
        <v>0</v>
      </c>
      <c r="EX72" s="213" t="s">
        <v>249</v>
      </c>
      <c r="FA72" s="213" t="s">
        <v>749</v>
      </c>
      <c r="FB72" s="213" t="s">
        <v>743</v>
      </c>
      <c r="FC72" s="213">
        <v>0</v>
      </c>
      <c r="FD72" s="213">
        <v>0</v>
      </c>
      <c r="FE72" s="213">
        <v>0</v>
      </c>
      <c r="FF72" s="213" t="s">
        <v>249</v>
      </c>
      <c r="FI72" s="213" t="s">
        <v>750</v>
      </c>
      <c r="FJ72" s="213" t="s">
        <v>743</v>
      </c>
      <c r="FK72" s="213">
        <v>0</v>
      </c>
      <c r="FL72" s="213">
        <v>0</v>
      </c>
      <c r="FM72" s="213">
        <v>0</v>
      </c>
      <c r="FN72" s="213" t="s">
        <v>249</v>
      </c>
      <c r="FQ72" s="213" t="s">
        <v>751</v>
      </c>
      <c r="FR72" s="213" t="s">
        <v>743</v>
      </c>
      <c r="FS72" s="213">
        <v>0</v>
      </c>
      <c r="FT72" s="213">
        <v>0</v>
      </c>
      <c r="FU72" s="213">
        <v>0</v>
      </c>
      <c r="FV72" s="213" t="s">
        <v>249</v>
      </c>
      <c r="FY72" s="213">
        <v>28.9</v>
      </c>
      <c r="FZ72" s="213">
        <v>-20.9</v>
      </c>
      <c r="GF72" s="213" t="s">
        <v>752</v>
      </c>
    </row>
    <row r="73" spans="1:188" s="213" customFormat="1" x14ac:dyDescent="0.15">
      <c r="A73" s="213" t="s">
        <v>654</v>
      </c>
      <c r="B73" s="213">
        <v>4</v>
      </c>
      <c r="C73" s="213" t="s">
        <v>1036</v>
      </c>
      <c r="D73" s="213">
        <v>614383866</v>
      </c>
      <c r="E73" s="213">
        <v>92303</v>
      </c>
      <c r="F73" s="213" t="s">
        <v>725</v>
      </c>
      <c r="G73" s="213">
        <v>847922</v>
      </c>
      <c r="H73" s="213">
        <v>797004</v>
      </c>
      <c r="I73" s="213">
        <v>6.8</v>
      </c>
      <c r="J73" s="213" t="s">
        <v>1037</v>
      </c>
      <c r="K73" s="213" t="s">
        <v>727</v>
      </c>
      <c r="L73" s="213" t="s">
        <v>656</v>
      </c>
      <c r="M73" s="213" t="s">
        <v>728</v>
      </c>
      <c r="N73" s="213" t="s">
        <v>728</v>
      </c>
      <c r="O73" s="213" t="s">
        <v>729</v>
      </c>
      <c r="P73" s="213" t="s">
        <v>710</v>
      </c>
      <c r="Q73" s="213">
        <v>23.6</v>
      </c>
      <c r="R73" s="213">
        <v>149</v>
      </c>
      <c r="S73" s="213" t="s">
        <v>710</v>
      </c>
      <c r="T73" s="213">
        <v>-9999</v>
      </c>
      <c r="U73" s="213">
        <v>222</v>
      </c>
      <c r="V73" s="213">
        <v>484</v>
      </c>
      <c r="W73" s="213">
        <v>215</v>
      </c>
      <c r="X73" s="213" t="s">
        <v>710</v>
      </c>
      <c r="Y73" s="213">
        <v>0</v>
      </c>
      <c r="Z73" s="213">
        <v>40</v>
      </c>
      <c r="AA73" s="213" t="s">
        <v>730</v>
      </c>
      <c r="AB73" s="213" t="s">
        <v>731</v>
      </c>
      <c r="AC73" s="213" t="s">
        <v>729</v>
      </c>
      <c r="AD73" s="213" t="s">
        <v>732</v>
      </c>
      <c r="AE73" s="213">
        <v>0</v>
      </c>
      <c r="AF73" s="213">
        <v>7</v>
      </c>
      <c r="AG73" s="213" t="s">
        <v>249</v>
      </c>
      <c r="AH73" s="213">
        <v>-9999</v>
      </c>
      <c r="AI73" s="213">
        <v>197</v>
      </c>
      <c r="AJ73" s="213">
        <v>471</v>
      </c>
      <c r="AK73" s="213">
        <v>194</v>
      </c>
      <c r="AL73" s="213" t="s">
        <v>710</v>
      </c>
      <c r="AM73" s="213">
        <v>0</v>
      </c>
      <c r="AN73" s="213">
        <v>40</v>
      </c>
      <c r="AO73" s="213" t="s">
        <v>733</v>
      </c>
      <c r="AP73" s="213" t="s">
        <v>734</v>
      </c>
      <c r="AQ73" s="213">
        <v>1</v>
      </c>
      <c r="AR73" s="213" t="s">
        <v>735</v>
      </c>
      <c r="AS73" s="213">
        <v>0</v>
      </c>
      <c r="AT73" s="213">
        <v>10</v>
      </c>
      <c r="AU73" s="213" t="s">
        <v>249</v>
      </c>
      <c r="AV73" s="213">
        <v>-9999</v>
      </c>
      <c r="AW73" s="213">
        <v>253</v>
      </c>
      <c r="AX73" s="213">
        <v>620</v>
      </c>
      <c r="AY73" s="213">
        <v>249</v>
      </c>
      <c r="AZ73" s="213" t="s">
        <v>710</v>
      </c>
      <c r="BA73" s="213">
        <v>0</v>
      </c>
      <c r="BB73" s="213">
        <v>40</v>
      </c>
      <c r="BC73" s="213" t="s">
        <v>736</v>
      </c>
      <c r="BD73" s="213" t="s">
        <v>734</v>
      </c>
      <c r="BE73" s="213">
        <v>2</v>
      </c>
      <c r="BF73" s="213" t="s">
        <v>735</v>
      </c>
      <c r="BG73" s="213">
        <v>0</v>
      </c>
      <c r="BH73" s="213">
        <v>1</v>
      </c>
      <c r="BI73" s="213" t="s">
        <v>249</v>
      </c>
      <c r="BJ73" s="213">
        <v>-9999</v>
      </c>
      <c r="BK73" s="213">
        <v>112</v>
      </c>
      <c r="BL73" s="213">
        <v>341</v>
      </c>
      <c r="BM73" s="213">
        <v>110</v>
      </c>
      <c r="BN73" s="213" t="s">
        <v>710</v>
      </c>
      <c r="BO73" s="213">
        <v>0</v>
      </c>
      <c r="BP73" s="213">
        <v>40</v>
      </c>
      <c r="BQ73" s="213" t="s">
        <v>737</v>
      </c>
      <c r="BR73" s="213" t="s">
        <v>734</v>
      </c>
      <c r="BS73" s="213">
        <v>3</v>
      </c>
      <c r="BT73" s="213" t="s">
        <v>735</v>
      </c>
      <c r="BU73" s="213">
        <v>0</v>
      </c>
      <c r="BV73" s="213">
        <v>3</v>
      </c>
      <c r="BW73" s="213" t="s">
        <v>249</v>
      </c>
      <c r="BX73" s="213">
        <v>-9999</v>
      </c>
      <c r="BY73" s="213">
        <v>181</v>
      </c>
      <c r="BZ73" s="213">
        <v>427</v>
      </c>
      <c r="CA73" s="213">
        <v>180</v>
      </c>
      <c r="CB73" s="213" t="s">
        <v>710</v>
      </c>
      <c r="CC73" s="213">
        <v>0</v>
      </c>
      <c r="CD73" s="213">
        <v>40</v>
      </c>
      <c r="CE73" s="213" t="s">
        <v>738</v>
      </c>
      <c r="CF73" s="213" t="s">
        <v>734</v>
      </c>
      <c r="CG73" s="213">
        <v>4</v>
      </c>
      <c r="CH73" s="213" t="s">
        <v>735</v>
      </c>
      <c r="CI73" s="213">
        <v>0</v>
      </c>
      <c r="CJ73" s="213">
        <v>5</v>
      </c>
      <c r="CK73" s="213" t="s">
        <v>249</v>
      </c>
      <c r="CL73" s="213">
        <v>-9999</v>
      </c>
      <c r="CM73" s="213">
        <v>147</v>
      </c>
      <c r="CN73" s="213">
        <v>384</v>
      </c>
      <c r="CO73" s="213">
        <v>144</v>
      </c>
      <c r="CP73" s="213" t="s">
        <v>710</v>
      </c>
      <c r="CQ73" s="213">
        <v>0</v>
      </c>
      <c r="CR73" s="213">
        <v>40</v>
      </c>
      <c r="CS73" s="213" t="s">
        <v>739</v>
      </c>
      <c r="CT73" s="213" t="s">
        <v>740</v>
      </c>
      <c r="CU73" s="213">
        <v>123</v>
      </c>
      <c r="CV73" s="213">
        <v>123</v>
      </c>
      <c r="CW73" s="213">
        <v>122</v>
      </c>
      <c r="CX73" s="213" t="s">
        <v>710</v>
      </c>
      <c r="CY73" s="213" t="s">
        <v>741</v>
      </c>
      <c r="CZ73" s="213" t="s">
        <v>740</v>
      </c>
      <c r="DA73" s="213">
        <v>117</v>
      </c>
      <c r="DB73" s="213">
        <v>116</v>
      </c>
      <c r="DC73" s="213">
        <v>116</v>
      </c>
      <c r="DD73" s="213" t="s">
        <v>710</v>
      </c>
      <c r="DE73" s="213" t="s">
        <v>742</v>
      </c>
      <c r="DF73" s="213" t="s">
        <v>743</v>
      </c>
      <c r="DG73" s="213">
        <v>0</v>
      </c>
      <c r="DH73" s="213">
        <v>0</v>
      </c>
      <c r="DI73" s="213">
        <v>0</v>
      </c>
      <c r="DJ73" s="213" t="s">
        <v>249</v>
      </c>
      <c r="DM73" s="213" t="s">
        <v>744</v>
      </c>
      <c r="DN73" s="213" t="s">
        <v>743</v>
      </c>
      <c r="DO73" s="213">
        <v>0</v>
      </c>
      <c r="DP73" s="213">
        <v>0</v>
      </c>
      <c r="DQ73" s="213">
        <v>0</v>
      </c>
      <c r="DR73" s="213" t="s">
        <v>249</v>
      </c>
      <c r="DU73" s="213" t="s">
        <v>745</v>
      </c>
      <c r="DV73" s="213" t="s">
        <v>743</v>
      </c>
      <c r="DW73" s="213">
        <v>0</v>
      </c>
      <c r="DX73" s="213">
        <v>0</v>
      </c>
      <c r="DY73" s="213">
        <v>0</v>
      </c>
      <c r="DZ73" s="213" t="s">
        <v>249</v>
      </c>
      <c r="EC73" s="213" t="s">
        <v>746</v>
      </c>
      <c r="ED73" s="213" t="s">
        <v>743</v>
      </c>
      <c r="EE73" s="213">
        <v>0</v>
      </c>
      <c r="EF73" s="213">
        <v>0</v>
      </c>
      <c r="EG73" s="213">
        <v>0</v>
      </c>
      <c r="EH73" s="213" t="s">
        <v>249</v>
      </c>
      <c r="EK73" s="213" t="s">
        <v>747</v>
      </c>
      <c r="EL73" s="213" t="s">
        <v>743</v>
      </c>
      <c r="EM73" s="213">
        <v>0</v>
      </c>
      <c r="EN73" s="213">
        <v>0</v>
      </c>
      <c r="EO73" s="213">
        <v>0</v>
      </c>
      <c r="EP73" s="213" t="s">
        <v>249</v>
      </c>
      <c r="ES73" s="213" t="s">
        <v>748</v>
      </c>
      <c r="ET73" s="213" t="s">
        <v>743</v>
      </c>
      <c r="EU73" s="213">
        <v>0</v>
      </c>
      <c r="EV73" s="213">
        <v>0</v>
      </c>
      <c r="EW73" s="213">
        <v>0</v>
      </c>
      <c r="EX73" s="213" t="s">
        <v>249</v>
      </c>
      <c r="FA73" s="213" t="s">
        <v>749</v>
      </c>
      <c r="FB73" s="213" t="s">
        <v>743</v>
      </c>
      <c r="FC73" s="213">
        <v>0</v>
      </c>
      <c r="FD73" s="213">
        <v>0</v>
      </c>
      <c r="FE73" s="213">
        <v>0</v>
      </c>
      <c r="FF73" s="213" t="s">
        <v>249</v>
      </c>
      <c r="FI73" s="213" t="s">
        <v>750</v>
      </c>
      <c r="FJ73" s="213" t="s">
        <v>743</v>
      </c>
      <c r="FK73" s="213">
        <v>0</v>
      </c>
      <c r="FL73" s="213">
        <v>0</v>
      </c>
      <c r="FM73" s="213">
        <v>0</v>
      </c>
      <c r="FN73" s="213" t="s">
        <v>249</v>
      </c>
      <c r="FQ73" s="213" t="s">
        <v>751</v>
      </c>
      <c r="FR73" s="213" t="s">
        <v>743</v>
      </c>
      <c r="FS73" s="213">
        <v>0</v>
      </c>
      <c r="FT73" s="213">
        <v>0</v>
      </c>
      <c r="FU73" s="213">
        <v>0</v>
      </c>
      <c r="FV73" s="213" t="s">
        <v>249</v>
      </c>
      <c r="FY73" s="213">
        <v>16.600000000000001</v>
      </c>
      <c r="FZ73" s="213">
        <v>-8.4</v>
      </c>
      <c r="GF73" s="213" t="s">
        <v>752</v>
      </c>
    </row>
    <row r="74" spans="1:188" s="213" customFormat="1" x14ac:dyDescent="0.15">
      <c r="A74" s="213" t="s">
        <v>654</v>
      </c>
      <c r="B74" s="213">
        <v>4</v>
      </c>
      <c r="C74" s="213" t="s">
        <v>1038</v>
      </c>
      <c r="D74" s="213">
        <v>614352842</v>
      </c>
      <c r="E74" s="213">
        <v>92303</v>
      </c>
      <c r="F74" s="213" t="s">
        <v>725</v>
      </c>
      <c r="G74" s="213">
        <v>847922</v>
      </c>
      <c r="H74" s="213">
        <v>742313</v>
      </c>
      <c r="I74" s="213">
        <v>6.8</v>
      </c>
      <c r="J74" s="213" t="s">
        <v>1039</v>
      </c>
      <c r="K74" s="213" t="s">
        <v>727</v>
      </c>
      <c r="L74" s="213" t="s">
        <v>656</v>
      </c>
      <c r="M74" s="213" t="s">
        <v>728</v>
      </c>
      <c r="N74" s="213" t="s">
        <v>728</v>
      </c>
      <c r="O74" s="213" t="s">
        <v>729</v>
      </c>
      <c r="P74" s="213" t="s">
        <v>710</v>
      </c>
      <c r="Q74" s="213">
        <v>25.5</v>
      </c>
      <c r="R74" s="213">
        <v>151</v>
      </c>
      <c r="S74" s="213" t="s">
        <v>710</v>
      </c>
      <c r="T74" s="213">
        <v>-9999</v>
      </c>
      <c r="U74" s="213">
        <v>216</v>
      </c>
      <c r="V74" s="213">
        <v>468</v>
      </c>
      <c r="W74" s="213">
        <v>207</v>
      </c>
      <c r="X74" s="213" t="s">
        <v>710</v>
      </c>
      <c r="Y74" s="213">
        <v>0</v>
      </c>
      <c r="Z74" s="213">
        <v>40</v>
      </c>
      <c r="AA74" s="213" t="s">
        <v>730</v>
      </c>
      <c r="AB74" s="213" t="s">
        <v>731</v>
      </c>
      <c r="AC74" s="213" t="s">
        <v>729</v>
      </c>
      <c r="AD74" s="213" t="s">
        <v>732</v>
      </c>
      <c r="AE74" s="213">
        <v>0</v>
      </c>
      <c r="AF74" s="213">
        <v>5</v>
      </c>
      <c r="AG74" s="213" t="s">
        <v>249</v>
      </c>
      <c r="AH74" s="213">
        <v>-9999</v>
      </c>
      <c r="AI74" s="213">
        <v>206</v>
      </c>
      <c r="AJ74" s="213">
        <v>492</v>
      </c>
      <c r="AK74" s="213">
        <v>202</v>
      </c>
      <c r="AL74" s="213" t="s">
        <v>710</v>
      </c>
      <c r="AM74" s="213">
        <v>0</v>
      </c>
      <c r="AN74" s="213">
        <v>40</v>
      </c>
      <c r="AO74" s="213" t="s">
        <v>733</v>
      </c>
      <c r="AP74" s="213" t="s">
        <v>734</v>
      </c>
      <c r="AQ74" s="213">
        <v>1</v>
      </c>
      <c r="AR74" s="213" t="s">
        <v>735</v>
      </c>
      <c r="AS74" s="213">
        <v>0</v>
      </c>
      <c r="AT74" s="213">
        <v>6</v>
      </c>
      <c r="AU74" s="213" t="s">
        <v>249</v>
      </c>
      <c r="AV74" s="213">
        <v>-9999</v>
      </c>
      <c r="AW74" s="213">
        <v>255</v>
      </c>
      <c r="AX74" s="213">
        <v>625</v>
      </c>
      <c r="AY74" s="213">
        <v>251</v>
      </c>
      <c r="AZ74" s="213" t="s">
        <v>710</v>
      </c>
      <c r="BA74" s="213">
        <v>0</v>
      </c>
      <c r="BB74" s="213">
        <v>40</v>
      </c>
      <c r="BC74" s="213" t="s">
        <v>736</v>
      </c>
      <c r="BD74" s="213" t="s">
        <v>734</v>
      </c>
      <c r="BE74" s="213">
        <v>2</v>
      </c>
      <c r="BF74" s="213" t="s">
        <v>735</v>
      </c>
      <c r="BG74" s="213">
        <v>0</v>
      </c>
      <c r="BH74" s="213">
        <v>-2</v>
      </c>
      <c r="BI74" s="213" t="s">
        <v>249</v>
      </c>
      <c r="BJ74" s="213">
        <v>-9999</v>
      </c>
      <c r="BK74" s="213">
        <v>112</v>
      </c>
      <c r="BL74" s="213">
        <v>348</v>
      </c>
      <c r="BM74" s="213">
        <v>110</v>
      </c>
      <c r="BN74" s="213" t="s">
        <v>710</v>
      </c>
      <c r="BO74" s="213">
        <v>0</v>
      </c>
      <c r="BP74" s="213">
        <v>40</v>
      </c>
      <c r="BQ74" s="213" t="s">
        <v>737</v>
      </c>
      <c r="BR74" s="213" t="s">
        <v>734</v>
      </c>
      <c r="BS74" s="213">
        <v>3</v>
      </c>
      <c r="BT74" s="213" t="s">
        <v>735</v>
      </c>
      <c r="BU74" s="213">
        <v>0</v>
      </c>
      <c r="BV74" s="213">
        <v>9</v>
      </c>
      <c r="BW74" s="213" t="s">
        <v>249</v>
      </c>
      <c r="BX74" s="213">
        <v>-9999</v>
      </c>
      <c r="BY74" s="213">
        <v>171</v>
      </c>
      <c r="BZ74" s="213">
        <v>390</v>
      </c>
      <c r="CA74" s="213">
        <v>169</v>
      </c>
      <c r="CB74" s="213" t="s">
        <v>710</v>
      </c>
      <c r="CC74" s="213">
        <v>0</v>
      </c>
      <c r="CD74" s="213">
        <v>40</v>
      </c>
      <c r="CE74" s="213" t="s">
        <v>738</v>
      </c>
      <c r="CF74" s="213" t="s">
        <v>734</v>
      </c>
      <c r="CG74" s="213">
        <v>4</v>
      </c>
      <c r="CH74" s="213" t="s">
        <v>735</v>
      </c>
      <c r="CI74" s="213">
        <v>0</v>
      </c>
      <c r="CJ74" s="213">
        <v>3</v>
      </c>
      <c r="CK74" s="213" t="s">
        <v>249</v>
      </c>
      <c r="CL74" s="213">
        <v>-9999</v>
      </c>
      <c r="CM74" s="213">
        <v>137</v>
      </c>
      <c r="CN74" s="213">
        <v>374</v>
      </c>
      <c r="CO74" s="213">
        <v>134</v>
      </c>
      <c r="CP74" s="213" t="s">
        <v>710</v>
      </c>
      <c r="CQ74" s="213">
        <v>0</v>
      </c>
      <c r="CR74" s="213">
        <v>40</v>
      </c>
      <c r="CS74" s="213" t="s">
        <v>739</v>
      </c>
      <c r="CT74" s="213" t="s">
        <v>740</v>
      </c>
      <c r="CU74" s="213">
        <v>112</v>
      </c>
      <c r="CV74" s="213">
        <v>111</v>
      </c>
      <c r="CW74" s="213">
        <v>111</v>
      </c>
      <c r="CX74" s="213" t="s">
        <v>710</v>
      </c>
      <c r="CY74" s="213" t="s">
        <v>741</v>
      </c>
      <c r="CZ74" s="213" t="s">
        <v>740</v>
      </c>
      <c r="DA74" s="213">
        <v>113</v>
      </c>
      <c r="DB74" s="213">
        <v>112</v>
      </c>
      <c r="DC74" s="213">
        <v>112</v>
      </c>
      <c r="DD74" s="213" t="s">
        <v>710</v>
      </c>
      <c r="DE74" s="213" t="s">
        <v>742</v>
      </c>
      <c r="DF74" s="213" t="s">
        <v>743</v>
      </c>
      <c r="DG74" s="213">
        <v>0</v>
      </c>
      <c r="DH74" s="213">
        <v>0</v>
      </c>
      <c r="DI74" s="213">
        <v>0</v>
      </c>
      <c r="DJ74" s="213" t="s">
        <v>249</v>
      </c>
      <c r="DM74" s="213" t="s">
        <v>744</v>
      </c>
      <c r="DN74" s="213" t="s">
        <v>743</v>
      </c>
      <c r="DO74" s="213">
        <v>0</v>
      </c>
      <c r="DP74" s="213">
        <v>0</v>
      </c>
      <c r="DQ74" s="213">
        <v>0</v>
      </c>
      <c r="DR74" s="213" t="s">
        <v>249</v>
      </c>
      <c r="DU74" s="213" t="s">
        <v>745</v>
      </c>
      <c r="DV74" s="213" t="s">
        <v>743</v>
      </c>
      <c r="DW74" s="213">
        <v>0</v>
      </c>
      <c r="DX74" s="213">
        <v>0</v>
      </c>
      <c r="DY74" s="213">
        <v>0</v>
      </c>
      <c r="DZ74" s="213" t="s">
        <v>249</v>
      </c>
      <c r="EC74" s="213" t="s">
        <v>746</v>
      </c>
      <c r="ED74" s="213" t="s">
        <v>743</v>
      </c>
      <c r="EE74" s="213">
        <v>0</v>
      </c>
      <c r="EF74" s="213">
        <v>0</v>
      </c>
      <c r="EG74" s="213">
        <v>0</v>
      </c>
      <c r="EH74" s="213" t="s">
        <v>249</v>
      </c>
      <c r="EK74" s="213" t="s">
        <v>747</v>
      </c>
      <c r="EL74" s="213" t="s">
        <v>743</v>
      </c>
      <c r="EM74" s="213">
        <v>0</v>
      </c>
      <c r="EN74" s="213">
        <v>0</v>
      </c>
      <c r="EO74" s="213">
        <v>0</v>
      </c>
      <c r="EP74" s="213" t="s">
        <v>249</v>
      </c>
      <c r="ES74" s="213" t="s">
        <v>748</v>
      </c>
      <c r="ET74" s="213" t="s">
        <v>743</v>
      </c>
      <c r="EU74" s="213">
        <v>0</v>
      </c>
      <c r="EV74" s="213">
        <v>0</v>
      </c>
      <c r="EW74" s="213">
        <v>0</v>
      </c>
      <c r="EX74" s="213" t="s">
        <v>249</v>
      </c>
      <c r="FA74" s="213" t="s">
        <v>749</v>
      </c>
      <c r="FB74" s="213" t="s">
        <v>743</v>
      </c>
      <c r="FC74" s="213">
        <v>0</v>
      </c>
      <c r="FD74" s="213">
        <v>0</v>
      </c>
      <c r="FE74" s="213">
        <v>0</v>
      </c>
      <c r="FF74" s="213" t="s">
        <v>249</v>
      </c>
      <c r="FI74" s="213" t="s">
        <v>750</v>
      </c>
      <c r="FJ74" s="213" t="s">
        <v>743</v>
      </c>
      <c r="FK74" s="213">
        <v>0</v>
      </c>
      <c r="FL74" s="213">
        <v>0</v>
      </c>
      <c r="FM74" s="213">
        <v>0</v>
      </c>
      <c r="FN74" s="213" t="s">
        <v>249</v>
      </c>
      <c r="FQ74" s="213" t="s">
        <v>751</v>
      </c>
      <c r="FR74" s="213" t="s">
        <v>743</v>
      </c>
      <c r="FS74" s="213">
        <v>0</v>
      </c>
      <c r="FT74" s="213">
        <v>0</v>
      </c>
      <c r="FU74" s="213">
        <v>0</v>
      </c>
      <c r="FV74" s="213" t="s">
        <v>249</v>
      </c>
      <c r="FY74" s="213">
        <v>21.6</v>
      </c>
      <c r="FZ74" s="213">
        <v>-10</v>
      </c>
      <c r="GF74" s="213" t="s">
        <v>752</v>
      </c>
    </row>
    <row r="75" spans="1:188" s="213" customFormat="1" x14ac:dyDescent="0.15">
      <c r="A75" s="213" t="s">
        <v>654</v>
      </c>
      <c r="B75" s="213">
        <v>4</v>
      </c>
      <c r="C75" s="213" t="s">
        <v>1040</v>
      </c>
      <c r="D75" s="213">
        <v>614384298</v>
      </c>
      <c r="E75" s="213">
        <v>92303</v>
      </c>
      <c r="F75" s="213" t="s">
        <v>725</v>
      </c>
      <c r="G75" s="213">
        <v>847922</v>
      </c>
      <c r="H75" s="213">
        <v>604077</v>
      </c>
      <c r="I75" s="213">
        <v>6.8</v>
      </c>
      <c r="J75" s="213" t="s">
        <v>1041</v>
      </c>
      <c r="K75" s="213" t="s">
        <v>727</v>
      </c>
      <c r="L75" s="213" t="s">
        <v>656</v>
      </c>
      <c r="M75" s="213" t="s">
        <v>728</v>
      </c>
      <c r="N75" s="213" t="s">
        <v>728</v>
      </c>
      <c r="O75" s="213" t="s">
        <v>729</v>
      </c>
      <c r="P75" s="213" t="s">
        <v>710</v>
      </c>
      <c r="Q75" s="213">
        <v>26.1</v>
      </c>
      <c r="R75" s="213">
        <v>132</v>
      </c>
      <c r="S75" s="213" t="s">
        <v>710</v>
      </c>
      <c r="T75" s="213">
        <v>-9999</v>
      </c>
      <c r="U75" s="213">
        <v>184</v>
      </c>
      <c r="V75" s="213">
        <v>411</v>
      </c>
      <c r="W75" s="213">
        <v>180</v>
      </c>
      <c r="X75" s="213" t="s">
        <v>710</v>
      </c>
      <c r="Y75" s="213">
        <v>0</v>
      </c>
      <c r="Z75" s="213">
        <v>40</v>
      </c>
      <c r="AA75" s="213" t="s">
        <v>730</v>
      </c>
      <c r="AB75" s="213" t="s">
        <v>731</v>
      </c>
      <c r="AC75" s="213" t="s">
        <v>729</v>
      </c>
      <c r="AD75" s="213" t="s">
        <v>732</v>
      </c>
      <c r="AE75" s="213">
        <v>0</v>
      </c>
      <c r="AF75" s="213">
        <v>6</v>
      </c>
      <c r="AG75" s="213" t="s">
        <v>249</v>
      </c>
      <c r="AH75" s="213">
        <v>-9999</v>
      </c>
      <c r="AI75" s="213">
        <v>194</v>
      </c>
      <c r="AJ75" s="213">
        <v>458</v>
      </c>
      <c r="AK75" s="213">
        <v>191</v>
      </c>
      <c r="AL75" s="213" t="s">
        <v>710</v>
      </c>
      <c r="AM75" s="213">
        <v>0</v>
      </c>
      <c r="AN75" s="213">
        <v>40</v>
      </c>
      <c r="AO75" s="213" t="s">
        <v>733</v>
      </c>
      <c r="AP75" s="213" t="s">
        <v>734</v>
      </c>
      <c r="AQ75" s="213">
        <v>1</v>
      </c>
      <c r="AR75" s="213" t="s">
        <v>735</v>
      </c>
      <c r="AS75" s="213">
        <v>0</v>
      </c>
      <c r="AT75" s="213">
        <v>1</v>
      </c>
      <c r="AU75" s="213" t="s">
        <v>249</v>
      </c>
      <c r="AV75" s="213">
        <v>-9999</v>
      </c>
      <c r="AW75" s="213">
        <v>223</v>
      </c>
      <c r="AX75" s="213">
        <v>541</v>
      </c>
      <c r="AY75" s="213">
        <v>221</v>
      </c>
      <c r="AZ75" s="213" t="s">
        <v>710</v>
      </c>
      <c r="BA75" s="213">
        <v>0</v>
      </c>
      <c r="BB75" s="213">
        <v>40</v>
      </c>
      <c r="BC75" s="213" t="s">
        <v>736</v>
      </c>
      <c r="BD75" s="213" t="s">
        <v>734</v>
      </c>
      <c r="BE75" s="213">
        <v>2</v>
      </c>
      <c r="BF75" s="213" t="s">
        <v>735</v>
      </c>
      <c r="BG75" s="213">
        <v>0</v>
      </c>
      <c r="BH75" s="213">
        <v>-1</v>
      </c>
      <c r="BI75" s="213" t="s">
        <v>249</v>
      </c>
      <c r="BJ75" s="213">
        <v>-9999</v>
      </c>
      <c r="BK75" s="213">
        <v>103</v>
      </c>
      <c r="BL75" s="213">
        <v>311</v>
      </c>
      <c r="BM75" s="213">
        <v>101</v>
      </c>
      <c r="BN75" s="213" t="s">
        <v>710</v>
      </c>
      <c r="BO75" s="213">
        <v>0</v>
      </c>
      <c r="BP75" s="213">
        <v>40</v>
      </c>
      <c r="BQ75" s="213" t="s">
        <v>737</v>
      </c>
      <c r="BR75" s="213" t="s">
        <v>734</v>
      </c>
      <c r="BS75" s="213">
        <v>3</v>
      </c>
      <c r="BT75" s="213" t="s">
        <v>735</v>
      </c>
      <c r="BU75" s="213">
        <v>0</v>
      </c>
      <c r="BV75" s="213">
        <v>1</v>
      </c>
      <c r="BW75" s="213" t="s">
        <v>249</v>
      </c>
      <c r="BX75" s="213">
        <v>-9999</v>
      </c>
      <c r="BY75" s="213">
        <v>168</v>
      </c>
      <c r="BZ75" s="213">
        <v>395</v>
      </c>
      <c r="CA75" s="213">
        <v>167</v>
      </c>
      <c r="CB75" s="213" t="s">
        <v>710</v>
      </c>
      <c r="CC75" s="213">
        <v>0</v>
      </c>
      <c r="CD75" s="213">
        <v>40</v>
      </c>
      <c r="CE75" s="213" t="s">
        <v>738</v>
      </c>
      <c r="CF75" s="213" t="s">
        <v>734</v>
      </c>
      <c r="CG75" s="213">
        <v>4</v>
      </c>
      <c r="CH75" s="213" t="s">
        <v>735</v>
      </c>
      <c r="CI75" s="213">
        <v>0</v>
      </c>
      <c r="CJ75" s="213">
        <v>4</v>
      </c>
      <c r="CK75" s="213" t="s">
        <v>249</v>
      </c>
      <c r="CL75" s="213">
        <v>-9999</v>
      </c>
      <c r="CM75" s="213">
        <v>140</v>
      </c>
      <c r="CN75" s="213">
        <v>366</v>
      </c>
      <c r="CO75" s="213">
        <v>138</v>
      </c>
      <c r="CP75" s="213" t="s">
        <v>710</v>
      </c>
      <c r="CQ75" s="213">
        <v>0</v>
      </c>
      <c r="CR75" s="213">
        <v>40</v>
      </c>
      <c r="CS75" s="213" t="s">
        <v>739</v>
      </c>
      <c r="CT75" s="213" t="s">
        <v>740</v>
      </c>
      <c r="CU75" s="213">
        <v>114</v>
      </c>
      <c r="CV75" s="213">
        <v>113</v>
      </c>
      <c r="CW75" s="213">
        <v>113</v>
      </c>
      <c r="CX75" s="213" t="s">
        <v>710</v>
      </c>
      <c r="CY75" s="213" t="s">
        <v>741</v>
      </c>
      <c r="CZ75" s="213" t="s">
        <v>740</v>
      </c>
      <c r="DA75" s="213">
        <v>97</v>
      </c>
      <c r="DB75" s="213">
        <v>97</v>
      </c>
      <c r="DC75" s="213">
        <v>97</v>
      </c>
      <c r="DD75" s="213" t="s">
        <v>710</v>
      </c>
      <c r="DE75" s="213" t="s">
        <v>742</v>
      </c>
      <c r="DF75" s="213" t="s">
        <v>743</v>
      </c>
      <c r="DG75" s="213">
        <v>0</v>
      </c>
      <c r="DH75" s="213">
        <v>0</v>
      </c>
      <c r="DI75" s="213">
        <v>0</v>
      </c>
      <c r="DJ75" s="213" t="s">
        <v>249</v>
      </c>
      <c r="DM75" s="213" t="s">
        <v>744</v>
      </c>
      <c r="DN75" s="213" t="s">
        <v>743</v>
      </c>
      <c r="DO75" s="213">
        <v>0</v>
      </c>
      <c r="DP75" s="213">
        <v>0</v>
      </c>
      <c r="DQ75" s="213">
        <v>0</v>
      </c>
      <c r="DR75" s="213" t="s">
        <v>249</v>
      </c>
      <c r="DU75" s="213" t="s">
        <v>745</v>
      </c>
      <c r="DV75" s="213" t="s">
        <v>743</v>
      </c>
      <c r="DW75" s="213">
        <v>0</v>
      </c>
      <c r="DX75" s="213">
        <v>0</v>
      </c>
      <c r="DY75" s="213">
        <v>0</v>
      </c>
      <c r="DZ75" s="213" t="s">
        <v>249</v>
      </c>
      <c r="EC75" s="213" t="s">
        <v>746</v>
      </c>
      <c r="ED75" s="213" t="s">
        <v>743</v>
      </c>
      <c r="EE75" s="213">
        <v>0</v>
      </c>
      <c r="EF75" s="213">
        <v>0</v>
      </c>
      <c r="EG75" s="213">
        <v>0</v>
      </c>
      <c r="EH75" s="213" t="s">
        <v>249</v>
      </c>
      <c r="EK75" s="213" t="s">
        <v>747</v>
      </c>
      <c r="EL75" s="213" t="s">
        <v>743</v>
      </c>
      <c r="EM75" s="213">
        <v>0</v>
      </c>
      <c r="EN75" s="213">
        <v>0</v>
      </c>
      <c r="EO75" s="213">
        <v>0</v>
      </c>
      <c r="EP75" s="213" t="s">
        <v>249</v>
      </c>
      <c r="ES75" s="213" t="s">
        <v>748</v>
      </c>
      <c r="ET75" s="213" t="s">
        <v>743</v>
      </c>
      <c r="EU75" s="213">
        <v>0</v>
      </c>
      <c r="EV75" s="213">
        <v>0</v>
      </c>
      <c r="EW75" s="213">
        <v>0</v>
      </c>
      <c r="EX75" s="213" t="s">
        <v>249</v>
      </c>
      <c r="FA75" s="213" t="s">
        <v>749</v>
      </c>
      <c r="FB75" s="213" t="s">
        <v>743</v>
      </c>
      <c r="FC75" s="213">
        <v>0</v>
      </c>
      <c r="FD75" s="213">
        <v>0</v>
      </c>
      <c r="FE75" s="213">
        <v>0</v>
      </c>
      <c r="FF75" s="213" t="s">
        <v>249</v>
      </c>
      <c r="FI75" s="213" t="s">
        <v>750</v>
      </c>
      <c r="FJ75" s="213" t="s">
        <v>743</v>
      </c>
      <c r="FK75" s="213">
        <v>0</v>
      </c>
      <c r="FL75" s="213">
        <v>0</v>
      </c>
      <c r="FM75" s="213">
        <v>0</v>
      </c>
      <c r="FN75" s="213" t="s">
        <v>249</v>
      </c>
      <c r="FQ75" s="213" t="s">
        <v>751</v>
      </c>
      <c r="FR75" s="213" t="s">
        <v>743</v>
      </c>
      <c r="FS75" s="213">
        <v>0</v>
      </c>
      <c r="FT75" s="213">
        <v>0</v>
      </c>
      <c r="FU75" s="213">
        <v>0</v>
      </c>
      <c r="FV75" s="213" t="s">
        <v>249</v>
      </c>
      <c r="FY75" s="213">
        <v>23.1</v>
      </c>
      <c r="FZ75" s="213">
        <v>-8.4</v>
      </c>
      <c r="GF75" s="213" t="s">
        <v>752</v>
      </c>
    </row>
    <row r="76" spans="1:188" s="213" customFormat="1" x14ac:dyDescent="0.15">
      <c r="A76" s="213" t="s">
        <v>654</v>
      </c>
      <c r="B76" s="213">
        <v>4</v>
      </c>
      <c r="C76" s="213" t="s">
        <v>1042</v>
      </c>
      <c r="D76" s="213">
        <v>614352910</v>
      </c>
      <c r="E76" s="213">
        <v>92303</v>
      </c>
      <c r="F76" s="213" t="s">
        <v>725</v>
      </c>
      <c r="G76" s="213">
        <v>847922</v>
      </c>
      <c r="H76" s="213">
        <v>617583</v>
      </c>
      <c r="I76" s="213">
        <v>6.8</v>
      </c>
      <c r="J76" s="213" t="s">
        <v>1043</v>
      </c>
      <c r="K76" s="213" t="s">
        <v>727</v>
      </c>
      <c r="L76" s="213" t="s">
        <v>656</v>
      </c>
      <c r="M76" s="213" t="s">
        <v>728</v>
      </c>
      <c r="N76" s="213" t="s">
        <v>728</v>
      </c>
      <c r="O76" s="213" t="s">
        <v>729</v>
      </c>
      <c r="P76" s="213" t="s">
        <v>710</v>
      </c>
      <c r="Q76" s="213">
        <v>23.4</v>
      </c>
      <c r="R76" s="213">
        <v>142</v>
      </c>
      <c r="S76" s="213" t="s">
        <v>710</v>
      </c>
      <c r="T76" s="213">
        <v>-9999</v>
      </c>
      <c r="U76" s="213">
        <v>208</v>
      </c>
      <c r="V76" s="213">
        <v>440</v>
      </c>
      <c r="W76" s="213">
        <v>195</v>
      </c>
      <c r="X76" s="213" t="s">
        <v>710</v>
      </c>
      <c r="Y76" s="213">
        <v>0</v>
      </c>
      <c r="Z76" s="213">
        <v>40</v>
      </c>
      <c r="AA76" s="213" t="s">
        <v>730</v>
      </c>
      <c r="AB76" s="213" t="s">
        <v>731</v>
      </c>
      <c r="AC76" s="213" t="s">
        <v>729</v>
      </c>
      <c r="AD76" s="213" t="s">
        <v>732</v>
      </c>
      <c r="AE76" s="213">
        <v>0</v>
      </c>
      <c r="AF76" s="213">
        <v>8</v>
      </c>
      <c r="AG76" s="213" t="s">
        <v>249</v>
      </c>
      <c r="AH76" s="213">
        <v>-9999</v>
      </c>
      <c r="AI76" s="213">
        <v>192</v>
      </c>
      <c r="AJ76" s="213">
        <v>457</v>
      </c>
      <c r="AK76" s="213">
        <v>184</v>
      </c>
      <c r="AL76" s="213" t="s">
        <v>710</v>
      </c>
      <c r="AM76" s="213">
        <v>0</v>
      </c>
      <c r="AN76" s="213">
        <v>40</v>
      </c>
      <c r="AO76" s="213" t="s">
        <v>733</v>
      </c>
      <c r="AP76" s="213" t="s">
        <v>734</v>
      </c>
      <c r="AQ76" s="213">
        <v>1</v>
      </c>
      <c r="AR76" s="213" t="s">
        <v>735</v>
      </c>
      <c r="AS76" s="213">
        <v>0</v>
      </c>
      <c r="AT76" s="213">
        <v>12</v>
      </c>
      <c r="AU76" s="213" t="s">
        <v>249</v>
      </c>
      <c r="AV76" s="213">
        <v>-9999</v>
      </c>
      <c r="AW76" s="213">
        <v>260</v>
      </c>
      <c r="AX76" s="213">
        <v>646</v>
      </c>
      <c r="AY76" s="213">
        <v>253</v>
      </c>
      <c r="AZ76" s="213" t="s">
        <v>710</v>
      </c>
      <c r="BA76" s="213">
        <v>0</v>
      </c>
      <c r="BB76" s="213">
        <v>40</v>
      </c>
      <c r="BC76" s="213" t="s">
        <v>736</v>
      </c>
      <c r="BD76" s="213" t="s">
        <v>734</v>
      </c>
      <c r="BE76" s="213">
        <v>2</v>
      </c>
      <c r="BF76" s="213" t="s">
        <v>735</v>
      </c>
      <c r="BG76" s="213">
        <v>0</v>
      </c>
      <c r="BH76" s="213">
        <v>2</v>
      </c>
      <c r="BI76" s="213" t="s">
        <v>249</v>
      </c>
      <c r="BJ76" s="213">
        <v>-9999</v>
      </c>
      <c r="BK76" s="213">
        <v>93</v>
      </c>
      <c r="BL76" s="213">
        <v>281</v>
      </c>
      <c r="BM76" s="213">
        <v>90</v>
      </c>
      <c r="BN76" s="213" t="s">
        <v>710</v>
      </c>
      <c r="BO76" s="213">
        <v>0</v>
      </c>
      <c r="BP76" s="213">
        <v>40</v>
      </c>
      <c r="BQ76" s="213" t="s">
        <v>737</v>
      </c>
      <c r="BR76" s="213" t="s">
        <v>734</v>
      </c>
      <c r="BS76" s="213">
        <v>3</v>
      </c>
      <c r="BT76" s="213" t="s">
        <v>735</v>
      </c>
      <c r="BU76" s="213">
        <v>0</v>
      </c>
      <c r="BV76" s="213">
        <v>6</v>
      </c>
      <c r="BW76" s="213" t="s">
        <v>249</v>
      </c>
      <c r="BX76" s="213">
        <v>-9999</v>
      </c>
      <c r="BY76" s="213">
        <v>170</v>
      </c>
      <c r="BZ76" s="213">
        <v>395</v>
      </c>
      <c r="CA76" s="213">
        <v>167</v>
      </c>
      <c r="CB76" s="213" t="s">
        <v>710</v>
      </c>
      <c r="CC76" s="213">
        <v>0</v>
      </c>
      <c r="CD76" s="213">
        <v>40</v>
      </c>
      <c r="CE76" s="213" t="s">
        <v>738</v>
      </c>
      <c r="CF76" s="213" t="s">
        <v>734</v>
      </c>
      <c r="CG76" s="213">
        <v>4</v>
      </c>
      <c r="CH76" s="213" t="s">
        <v>735</v>
      </c>
      <c r="CI76" s="213">
        <v>0</v>
      </c>
      <c r="CJ76" s="213">
        <v>9</v>
      </c>
      <c r="CK76" s="213" t="s">
        <v>249</v>
      </c>
      <c r="CL76" s="213">
        <v>-9999</v>
      </c>
      <c r="CM76" s="213">
        <v>142</v>
      </c>
      <c r="CN76" s="213">
        <v>375</v>
      </c>
      <c r="CO76" s="213">
        <v>136</v>
      </c>
      <c r="CP76" s="213" t="s">
        <v>710</v>
      </c>
      <c r="CQ76" s="213">
        <v>0</v>
      </c>
      <c r="CR76" s="213">
        <v>40</v>
      </c>
      <c r="CS76" s="213" t="s">
        <v>739</v>
      </c>
      <c r="CT76" s="213" t="s">
        <v>740</v>
      </c>
      <c r="CU76" s="213">
        <v>133</v>
      </c>
      <c r="CV76" s="213">
        <v>133</v>
      </c>
      <c r="CW76" s="213">
        <v>132</v>
      </c>
      <c r="CX76" s="213" t="s">
        <v>710</v>
      </c>
      <c r="CY76" s="213" t="s">
        <v>741</v>
      </c>
      <c r="CZ76" s="213" t="s">
        <v>740</v>
      </c>
      <c r="DA76" s="213">
        <v>110</v>
      </c>
      <c r="DB76" s="213">
        <v>109</v>
      </c>
      <c r="DC76" s="213">
        <v>109</v>
      </c>
      <c r="DD76" s="213" t="s">
        <v>710</v>
      </c>
      <c r="DE76" s="213" t="s">
        <v>742</v>
      </c>
      <c r="DF76" s="213" t="s">
        <v>743</v>
      </c>
      <c r="DG76" s="213">
        <v>0</v>
      </c>
      <c r="DH76" s="213">
        <v>0</v>
      </c>
      <c r="DI76" s="213">
        <v>0</v>
      </c>
      <c r="DJ76" s="213" t="s">
        <v>249</v>
      </c>
      <c r="DM76" s="213" t="s">
        <v>744</v>
      </c>
      <c r="DN76" s="213" t="s">
        <v>743</v>
      </c>
      <c r="DO76" s="213">
        <v>0</v>
      </c>
      <c r="DP76" s="213">
        <v>0</v>
      </c>
      <c r="DQ76" s="213">
        <v>0</v>
      </c>
      <c r="DR76" s="213" t="s">
        <v>249</v>
      </c>
      <c r="DU76" s="213" t="s">
        <v>745</v>
      </c>
      <c r="DV76" s="213" t="s">
        <v>743</v>
      </c>
      <c r="DW76" s="213">
        <v>0</v>
      </c>
      <c r="DX76" s="213">
        <v>0</v>
      </c>
      <c r="DY76" s="213">
        <v>0</v>
      </c>
      <c r="DZ76" s="213" t="s">
        <v>249</v>
      </c>
      <c r="EC76" s="213" t="s">
        <v>746</v>
      </c>
      <c r="ED76" s="213" t="s">
        <v>743</v>
      </c>
      <c r="EE76" s="213">
        <v>0</v>
      </c>
      <c r="EF76" s="213">
        <v>0</v>
      </c>
      <c r="EG76" s="213">
        <v>0</v>
      </c>
      <c r="EH76" s="213" t="s">
        <v>249</v>
      </c>
      <c r="EK76" s="213" t="s">
        <v>747</v>
      </c>
      <c r="EL76" s="213" t="s">
        <v>743</v>
      </c>
      <c r="EM76" s="213">
        <v>0</v>
      </c>
      <c r="EN76" s="213">
        <v>0</v>
      </c>
      <c r="EO76" s="213">
        <v>0</v>
      </c>
      <c r="EP76" s="213" t="s">
        <v>249</v>
      </c>
      <c r="ES76" s="213" t="s">
        <v>748</v>
      </c>
      <c r="ET76" s="213" t="s">
        <v>743</v>
      </c>
      <c r="EU76" s="213">
        <v>0</v>
      </c>
      <c r="EV76" s="213">
        <v>0</v>
      </c>
      <c r="EW76" s="213">
        <v>0</v>
      </c>
      <c r="EX76" s="213" t="s">
        <v>249</v>
      </c>
      <c r="FA76" s="213" t="s">
        <v>749</v>
      </c>
      <c r="FB76" s="213" t="s">
        <v>743</v>
      </c>
      <c r="FC76" s="213">
        <v>0</v>
      </c>
      <c r="FD76" s="213">
        <v>0</v>
      </c>
      <c r="FE76" s="213">
        <v>0</v>
      </c>
      <c r="FF76" s="213" t="s">
        <v>249</v>
      </c>
      <c r="FI76" s="213" t="s">
        <v>750</v>
      </c>
      <c r="FJ76" s="213" t="s">
        <v>743</v>
      </c>
      <c r="FK76" s="213">
        <v>0</v>
      </c>
      <c r="FL76" s="213">
        <v>0</v>
      </c>
      <c r="FM76" s="213">
        <v>0</v>
      </c>
      <c r="FN76" s="213" t="s">
        <v>249</v>
      </c>
      <c r="FQ76" s="213" t="s">
        <v>751</v>
      </c>
      <c r="FR76" s="213" t="s">
        <v>743</v>
      </c>
      <c r="FS76" s="213">
        <v>0</v>
      </c>
      <c r="FT76" s="213">
        <v>0</v>
      </c>
      <c r="FU76" s="213">
        <v>0</v>
      </c>
      <c r="FV76" s="213" t="s">
        <v>249</v>
      </c>
      <c r="FY76" s="213">
        <v>19.399999999999999</v>
      </c>
      <c r="FZ76" s="213">
        <v>-9</v>
      </c>
      <c r="GF76" s="213" t="s">
        <v>752</v>
      </c>
    </row>
    <row r="77" spans="1:188" s="213" customFormat="1" x14ac:dyDescent="0.15">
      <c r="A77" s="213" t="s">
        <v>654</v>
      </c>
      <c r="B77" s="213">
        <v>4</v>
      </c>
      <c r="C77" s="213" t="s">
        <v>1044</v>
      </c>
      <c r="D77" s="213">
        <v>614383509</v>
      </c>
      <c r="E77" s="213">
        <v>92303</v>
      </c>
      <c r="F77" s="213" t="s">
        <v>725</v>
      </c>
      <c r="G77" s="213">
        <v>847922</v>
      </c>
      <c r="H77" s="213">
        <v>725382</v>
      </c>
      <c r="I77" s="213">
        <v>6.8</v>
      </c>
      <c r="J77" s="213" t="s">
        <v>1045</v>
      </c>
      <c r="K77" s="213" t="s">
        <v>727</v>
      </c>
      <c r="L77" s="213" t="s">
        <v>656</v>
      </c>
      <c r="M77" s="213" t="s">
        <v>728</v>
      </c>
      <c r="N77" s="213" t="s">
        <v>728</v>
      </c>
      <c r="O77" s="213" t="s">
        <v>729</v>
      </c>
      <c r="P77" s="213" t="s">
        <v>710</v>
      </c>
      <c r="Q77" s="213">
        <v>24.7</v>
      </c>
      <c r="R77" s="213">
        <v>133</v>
      </c>
      <c r="S77" s="213" t="s">
        <v>710</v>
      </c>
      <c r="T77" s="213">
        <v>-9999</v>
      </c>
      <c r="U77" s="213">
        <v>193</v>
      </c>
      <c r="V77" s="213">
        <v>418</v>
      </c>
      <c r="W77" s="213">
        <v>191</v>
      </c>
      <c r="X77" s="213" t="s">
        <v>710</v>
      </c>
      <c r="Y77" s="213">
        <v>0</v>
      </c>
      <c r="Z77" s="213">
        <v>40</v>
      </c>
      <c r="AA77" s="213" t="s">
        <v>730</v>
      </c>
      <c r="AB77" s="213" t="s">
        <v>731</v>
      </c>
      <c r="AC77" s="213" t="s">
        <v>729</v>
      </c>
      <c r="AD77" s="213" t="s">
        <v>732</v>
      </c>
      <c r="AE77" s="213">
        <v>0</v>
      </c>
      <c r="AF77" s="213">
        <v>6</v>
      </c>
      <c r="AG77" s="213" t="s">
        <v>249</v>
      </c>
      <c r="AH77" s="213">
        <v>-9999</v>
      </c>
      <c r="AI77" s="213">
        <v>199</v>
      </c>
      <c r="AJ77" s="213">
        <v>476</v>
      </c>
      <c r="AK77" s="213">
        <v>198</v>
      </c>
      <c r="AL77" s="213" t="s">
        <v>710</v>
      </c>
      <c r="AM77" s="213">
        <v>0</v>
      </c>
      <c r="AN77" s="213">
        <v>40</v>
      </c>
      <c r="AO77" s="213" t="s">
        <v>733</v>
      </c>
      <c r="AP77" s="213" t="s">
        <v>734</v>
      </c>
      <c r="AQ77" s="213">
        <v>1</v>
      </c>
      <c r="AR77" s="213" t="s">
        <v>735</v>
      </c>
      <c r="AS77" s="213">
        <v>0</v>
      </c>
      <c r="AT77" s="213">
        <v>6</v>
      </c>
      <c r="AU77" s="213" t="s">
        <v>249</v>
      </c>
      <c r="AV77" s="213">
        <v>-9999</v>
      </c>
      <c r="AW77" s="213">
        <v>265</v>
      </c>
      <c r="AX77" s="213">
        <v>652</v>
      </c>
      <c r="AY77" s="213">
        <v>265</v>
      </c>
      <c r="AZ77" s="213" t="s">
        <v>710</v>
      </c>
      <c r="BA77" s="213">
        <v>0</v>
      </c>
      <c r="BB77" s="213">
        <v>40</v>
      </c>
      <c r="BC77" s="213" t="s">
        <v>736</v>
      </c>
      <c r="BD77" s="213" t="s">
        <v>734</v>
      </c>
      <c r="BE77" s="213">
        <v>2</v>
      </c>
      <c r="BF77" s="213" t="s">
        <v>735</v>
      </c>
      <c r="BG77" s="213">
        <v>0</v>
      </c>
      <c r="BH77" s="213">
        <v>1</v>
      </c>
      <c r="BI77" s="213" t="s">
        <v>249</v>
      </c>
      <c r="BJ77" s="213">
        <v>-9999</v>
      </c>
      <c r="BK77" s="213">
        <v>97</v>
      </c>
      <c r="BL77" s="213">
        <v>300</v>
      </c>
      <c r="BM77" s="213">
        <v>96</v>
      </c>
      <c r="BN77" s="213" t="s">
        <v>710</v>
      </c>
      <c r="BO77" s="213">
        <v>0</v>
      </c>
      <c r="BP77" s="213">
        <v>40</v>
      </c>
      <c r="BQ77" s="213" t="s">
        <v>737</v>
      </c>
      <c r="BR77" s="213" t="s">
        <v>734</v>
      </c>
      <c r="BS77" s="213">
        <v>3</v>
      </c>
      <c r="BT77" s="213" t="s">
        <v>735</v>
      </c>
      <c r="BU77" s="213">
        <v>0</v>
      </c>
      <c r="BV77" s="213">
        <v>10</v>
      </c>
      <c r="BW77" s="213" t="s">
        <v>249</v>
      </c>
      <c r="BX77" s="213">
        <v>-9999</v>
      </c>
      <c r="BY77" s="213">
        <v>166</v>
      </c>
      <c r="BZ77" s="213">
        <v>361</v>
      </c>
      <c r="CA77" s="213">
        <v>165</v>
      </c>
      <c r="CB77" s="213" t="s">
        <v>710</v>
      </c>
      <c r="CC77" s="213">
        <v>0</v>
      </c>
      <c r="CD77" s="213">
        <v>40</v>
      </c>
      <c r="CE77" s="213" t="s">
        <v>738</v>
      </c>
      <c r="CF77" s="213" t="s">
        <v>734</v>
      </c>
      <c r="CG77" s="213">
        <v>4</v>
      </c>
      <c r="CH77" s="213" t="s">
        <v>735</v>
      </c>
      <c r="CI77" s="213">
        <v>0</v>
      </c>
      <c r="CJ77" s="213">
        <v>1</v>
      </c>
      <c r="CK77" s="213" t="s">
        <v>249</v>
      </c>
      <c r="CL77" s="213">
        <v>-9999</v>
      </c>
      <c r="CM77" s="213">
        <v>147</v>
      </c>
      <c r="CN77" s="213">
        <v>396</v>
      </c>
      <c r="CO77" s="213">
        <v>146</v>
      </c>
      <c r="CP77" s="213" t="s">
        <v>710</v>
      </c>
      <c r="CQ77" s="213">
        <v>0</v>
      </c>
      <c r="CR77" s="213">
        <v>40</v>
      </c>
      <c r="CS77" s="213" t="s">
        <v>739</v>
      </c>
      <c r="CT77" s="213" t="s">
        <v>740</v>
      </c>
      <c r="CU77" s="213">
        <v>132</v>
      </c>
      <c r="CV77" s="213">
        <v>131</v>
      </c>
      <c r="CW77" s="213">
        <v>131</v>
      </c>
      <c r="CX77" s="213" t="s">
        <v>710</v>
      </c>
      <c r="CY77" s="213" t="s">
        <v>741</v>
      </c>
      <c r="CZ77" s="213" t="s">
        <v>740</v>
      </c>
      <c r="DA77" s="213">
        <v>119</v>
      </c>
      <c r="DB77" s="213">
        <v>118</v>
      </c>
      <c r="DC77" s="213">
        <v>118</v>
      </c>
      <c r="DD77" s="213" t="s">
        <v>710</v>
      </c>
      <c r="DE77" s="213" t="s">
        <v>742</v>
      </c>
      <c r="DF77" s="213" t="s">
        <v>743</v>
      </c>
      <c r="DG77" s="213">
        <v>0</v>
      </c>
      <c r="DH77" s="213">
        <v>0</v>
      </c>
      <c r="DI77" s="213">
        <v>0</v>
      </c>
      <c r="DJ77" s="213" t="s">
        <v>249</v>
      </c>
      <c r="DM77" s="213" t="s">
        <v>744</v>
      </c>
      <c r="DN77" s="213" t="s">
        <v>743</v>
      </c>
      <c r="DO77" s="213">
        <v>0</v>
      </c>
      <c r="DP77" s="213">
        <v>0</v>
      </c>
      <c r="DQ77" s="213">
        <v>0</v>
      </c>
      <c r="DR77" s="213" t="s">
        <v>249</v>
      </c>
      <c r="DU77" s="213" t="s">
        <v>745</v>
      </c>
      <c r="DV77" s="213" t="s">
        <v>743</v>
      </c>
      <c r="DW77" s="213">
        <v>0</v>
      </c>
      <c r="DX77" s="213">
        <v>0</v>
      </c>
      <c r="DY77" s="213">
        <v>0</v>
      </c>
      <c r="DZ77" s="213" t="s">
        <v>249</v>
      </c>
      <c r="EC77" s="213" t="s">
        <v>746</v>
      </c>
      <c r="ED77" s="213" t="s">
        <v>743</v>
      </c>
      <c r="EE77" s="213">
        <v>0</v>
      </c>
      <c r="EF77" s="213">
        <v>0</v>
      </c>
      <c r="EG77" s="213">
        <v>0</v>
      </c>
      <c r="EH77" s="213" t="s">
        <v>249</v>
      </c>
      <c r="EK77" s="213" t="s">
        <v>747</v>
      </c>
      <c r="EL77" s="213" t="s">
        <v>743</v>
      </c>
      <c r="EM77" s="213">
        <v>0</v>
      </c>
      <c r="EN77" s="213">
        <v>0</v>
      </c>
      <c r="EO77" s="213">
        <v>0</v>
      </c>
      <c r="EP77" s="213" t="s">
        <v>249</v>
      </c>
      <c r="ES77" s="213" t="s">
        <v>748</v>
      </c>
      <c r="ET77" s="213" t="s">
        <v>743</v>
      </c>
      <c r="EU77" s="213">
        <v>0</v>
      </c>
      <c r="EV77" s="213">
        <v>0</v>
      </c>
      <c r="EW77" s="213">
        <v>0</v>
      </c>
      <c r="EX77" s="213" t="s">
        <v>249</v>
      </c>
      <c r="FA77" s="213" t="s">
        <v>749</v>
      </c>
      <c r="FB77" s="213" t="s">
        <v>743</v>
      </c>
      <c r="FC77" s="213">
        <v>0</v>
      </c>
      <c r="FD77" s="213">
        <v>0</v>
      </c>
      <c r="FE77" s="213">
        <v>0</v>
      </c>
      <c r="FF77" s="213" t="s">
        <v>249</v>
      </c>
      <c r="FI77" s="213" t="s">
        <v>750</v>
      </c>
      <c r="FJ77" s="213" t="s">
        <v>743</v>
      </c>
      <c r="FK77" s="213">
        <v>0</v>
      </c>
      <c r="FL77" s="213">
        <v>0</v>
      </c>
      <c r="FM77" s="213">
        <v>0</v>
      </c>
      <c r="FN77" s="213" t="s">
        <v>249</v>
      </c>
      <c r="FQ77" s="213" t="s">
        <v>751</v>
      </c>
      <c r="FR77" s="213" t="s">
        <v>743</v>
      </c>
      <c r="FS77" s="213">
        <v>0</v>
      </c>
      <c r="FT77" s="213">
        <v>0</v>
      </c>
      <c r="FU77" s="213">
        <v>0</v>
      </c>
      <c r="FV77" s="213" t="s">
        <v>249</v>
      </c>
      <c r="FY77" s="213">
        <v>25.2</v>
      </c>
      <c r="FZ77" s="213">
        <v>-12.7</v>
      </c>
      <c r="GF77" s="213" t="s">
        <v>752</v>
      </c>
    </row>
    <row r="78" spans="1:188" s="213" customFormat="1" x14ac:dyDescent="0.15">
      <c r="A78" s="213" t="s">
        <v>654</v>
      </c>
      <c r="B78" s="213">
        <v>4</v>
      </c>
      <c r="C78" s="213" t="s">
        <v>1046</v>
      </c>
      <c r="D78" s="213">
        <v>614382571</v>
      </c>
      <c r="E78" s="213">
        <v>92303</v>
      </c>
      <c r="F78" s="213" t="s">
        <v>725</v>
      </c>
      <c r="G78" s="213">
        <v>847922</v>
      </c>
      <c r="H78" s="213">
        <v>710982</v>
      </c>
      <c r="I78" s="213">
        <v>6.8</v>
      </c>
      <c r="J78" s="213" t="s">
        <v>1047</v>
      </c>
      <c r="K78" s="213" t="s">
        <v>727</v>
      </c>
      <c r="L78" s="213" t="s">
        <v>656</v>
      </c>
      <c r="M78" s="213" t="s">
        <v>728</v>
      </c>
      <c r="N78" s="213" t="s">
        <v>728</v>
      </c>
      <c r="O78" s="213" t="s">
        <v>729</v>
      </c>
      <c r="P78" s="213" t="s">
        <v>710</v>
      </c>
      <c r="Q78" s="213">
        <v>24.1</v>
      </c>
      <c r="R78" s="213">
        <v>136</v>
      </c>
      <c r="S78" s="213" t="s">
        <v>710</v>
      </c>
      <c r="T78" s="213">
        <v>-9999</v>
      </c>
      <c r="U78" s="213">
        <v>204</v>
      </c>
      <c r="V78" s="213">
        <v>449</v>
      </c>
      <c r="W78" s="213">
        <v>200</v>
      </c>
      <c r="X78" s="213" t="s">
        <v>710</v>
      </c>
      <c r="Y78" s="213">
        <v>0</v>
      </c>
      <c r="Z78" s="213">
        <v>40</v>
      </c>
      <c r="AA78" s="213" t="s">
        <v>730</v>
      </c>
      <c r="AB78" s="213" t="s">
        <v>731</v>
      </c>
      <c r="AC78" s="213" t="s">
        <v>729</v>
      </c>
      <c r="AD78" s="213" t="s">
        <v>732</v>
      </c>
      <c r="AE78" s="213">
        <v>0</v>
      </c>
      <c r="AF78" s="213">
        <v>7</v>
      </c>
      <c r="AG78" s="213" t="s">
        <v>249</v>
      </c>
      <c r="AH78" s="213">
        <v>-9999</v>
      </c>
      <c r="AI78" s="213">
        <v>179</v>
      </c>
      <c r="AJ78" s="213">
        <v>430</v>
      </c>
      <c r="AK78" s="213">
        <v>176</v>
      </c>
      <c r="AL78" s="213" t="s">
        <v>710</v>
      </c>
      <c r="AM78" s="213">
        <v>0</v>
      </c>
      <c r="AN78" s="213">
        <v>40</v>
      </c>
      <c r="AO78" s="213" t="s">
        <v>733</v>
      </c>
      <c r="AP78" s="213" t="s">
        <v>734</v>
      </c>
      <c r="AQ78" s="213">
        <v>1</v>
      </c>
      <c r="AR78" s="213" t="s">
        <v>735</v>
      </c>
      <c r="AS78" s="213">
        <v>0</v>
      </c>
      <c r="AT78" s="213">
        <v>-4</v>
      </c>
      <c r="AU78" s="213" t="s">
        <v>249</v>
      </c>
      <c r="AV78" s="213">
        <v>-9999</v>
      </c>
      <c r="AW78" s="213">
        <v>240</v>
      </c>
      <c r="AX78" s="213">
        <v>599</v>
      </c>
      <c r="AY78" s="213">
        <v>241</v>
      </c>
      <c r="AZ78" s="213" t="s">
        <v>710</v>
      </c>
      <c r="BA78" s="213">
        <v>0</v>
      </c>
      <c r="BB78" s="213">
        <v>40</v>
      </c>
      <c r="BC78" s="213" t="s">
        <v>736</v>
      </c>
      <c r="BD78" s="213" t="s">
        <v>734</v>
      </c>
      <c r="BE78" s="213">
        <v>2</v>
      </c>
      <c r="BF78" s="213" t="s">
        <v>735</v>
      </c>
      <c r="BG78" s="213">
        <v>0</v>
      </c>
      <c r="BH78" s="213">
        <v>2</v>
      </c>
      <c r="BI78" s="213" t="s">
        <v>249</v>
      </c>
      <c r="BJ78" s="213">
        <v>-9999</v>
      </c>
      <c r="BK78" s="213">
        <v>98</v>
      </c>
      <c r="BL78" s="213">
        <v>305</v>
      </c>
      <c r="BM78" s="213">
        <v>96</v>
      </c>
      <c r="BN78" s="213" t="s">
        <v>710</v>
      </c>
      <c r="BO78" s="213">
        <v>0</v>
      </c>
      <c r="BP78" s="213">
        <v>40</v>
      </c>
      <c r="BQ78" s="213" t="s">
        <v>737</v>
      </c>
      <c r="BR78" s="213" t="s">
        <v>734</v>
      </c>
      <c r="BS78" s="213">
        <v>3</v>
      </c>
      <c r="BT78" s="213" t="s">
        <v>735</v>
      </c>
      <c r="BU78" s="213">
        <v>0</v>
      </c>
      <c r="BV78" s="213">
        <v>1</v>
      </c>
      <c r="BW78" s="213" t="s">
        <v>249</v>
      </c>
      <c r="BX78" s="213">
        <v>-9999</v>
      </c>
      <c r="BY78" s="213">
        <v>186</v>
      </c>
      <c r="BZ78" s="213">
        <v>446</v>
      </c>
      <c r="CA78" s="213">
        <v>187</v>
      </c>
      <c r="CB78" s="213" t="s">
        <v>710</v>
      </c>
      <c r="CC78" s="213">
        <v>0</v>
      </c>
      <c r="CD78" s="213">
        <v>40</v>
      </c>
      <c r="CE78" s="213" t="s">
        <v>738</v>
      </c>
      <c r="CF78" s="213" t="s">
        <v>734</v>
      </c>
      <c r="CG78" s="213">
        <v>4</v>
      </c>
      <c r="CH78" s="213" t="s">
        <v>735</v>
      </c>
      <c r="CI78" s="213">
        <v>0</v>
      </c>
      <c r="CJ78" s="213">
        <v>5</v>
      </c>
      <c r="CK78" s="213" t="s">
        <v>249</v>
      </c>
      <c r="CL78" s="213">
        <v>-9999</v>
      </c>
      <c r="CM78" s="213">
        <v>130</v>
      </c>
      <c r="CN78" s="213">
        <v>342</v>
      </c>
      <c r="CO78" s="213">
        <v>129</v>
      </c>
      <c r="CP78" s="213" t="s">
        <v>710</v>
      </c>
      <c r="CQ78" s="213">
        <v>0</v>
      </c>
      <c r="CR78" s="213">
        <v>40</v>
      </c>
      <c r="CS78" s="213" t="s">
        <v>739</v>
      </c>
      <c r="CT78" s="213" t="s">
        <v>740</v>
      </c>
      <c r="CU78" s="213">
        <v>114</v>
      </c>
      <c r="CV78" s="213">
        <v>113</v>
      </c>
      <c r="CW78" s="213">
        <v>113</v>
      </c>
      <c r="CX78" s="213" t="s">
        <v>710</v>
      </c>
      <c r="CY78" s="213" t="s">
        <v>741</v>
      </c>
      <c r="CZ78" s="213" t="s">
        <v>740</v>
      </c>
      <c r="DA78" s="213">
        <v>117</v>
      </c>
      <c r="DB78" s="213">
        <v>117</v>
      </c>
      <c r="DC78" s="213">
        <v>117</v>
      </c>
      <c r="DD78" s="213" t="s">
        <v>710</v>
      </c>
      <c r="DE78" s="213" t="s">
        <v>742</v>
      </c>
      <c r="DF78" s="213" t="s">
        <v>743</v>
      </c>
      <c r="DG78" s="213">
        <v>0</v>
      </c>
      <c r="DH78" s="213">
        <v>0</v>
      </c>
      <c r="DI78" s="213">
        <v>0</v>
      </c>
      <c r="DJ78" s="213" t="s">
        <v>249</v>
      </c>
      <c r="DM78" s="213" t="s">
        <v>744</v>
      </c>
      <c r="DN78" s="213" t="s">
        <v>743</v>
      </c>
      <c r="DO78" s="213">
        <v>0</v>
      </c>
      <c r="DP78" s="213">
        <v>0</v>
      </c>
      <c r="DQ78" s="213">
        <v>0</v>
      </c>
      <c r="DR78" s="213" t="s">
        <v>249</v>
      </c>
      <c r="DU78" s="213" t="s">
        <v>745</v>
      </c>
      <c r="DV78" s="213" t="s">
        <v>743</v>
      </c>
      <c r="DW78" s="213">
        <v>0</v>
      </c>
      <c r="DX78" s="213">
        <v>0</v>
      </c>
      <c r="DY78" s="213">
        <v>0</v>
      </c>
      <c r="DZ78" s="213" t="s">
        <v>249</v>
      </c>
      <c r="EC78" s="213" t="s">
        <v>746</v>
      </c>
      <c r="ED78" s="213" t="s">
        <v>743</v>
      </c>
      <c r="EE78" s="213">
        <v>0</v>
      </c>
      <c r="EF78" s="213">
        <v>0</v>
      </c>
      <c r="EG78" s="213">
        <v>0</v>
      </c>
      <c r="EH78" s="213" t="s">
        <v>249</v>
      </c>
      <c r="EK78" s="213" t="s">
        <v>747</v>
      </c>
      <c r="EL78" s="213" t="s">
        <v>743</v>
      </c>
      <c r="EM78" s="213">
        <v>0</v>
      </c>
      <c r="EN78" s="213">
        <v>0</v>
      </c>
      <c r="EO78" s="213">
        <v>0</v>
      </c>
      <c r="EP78" s="213" t="s">
        <v>249</v>
      </c>
      <c r="ES78" s="213" t="s">
        <v>748</v>
      </c>
      <c r="ET78" s="213" t="s">
        <v>743</v>
      </c>
      <c r="EU78" s="213">
        <v>0</v>
      </c>
      <c r="EV78" s="213">
        <v>0</v>
      </c>
      <c r="EW78" s="213">
        <v>0</v>
      </c>
      <c r="EX78" s="213" t="s">
        <v>249</v>
      </c>
      <c r="FA78" s="213" t="s">
        <v>749</v>
      </c>
      <c r="FB78" s="213" t="s">
        <v>743</v>
      </c>
      <c r="FC78" s="213">
        <v>0</v>
      </c>
      <c r="FD78" s="213">
        <v>0</v>
      </c>
      <c r="FE78" s="213">
        <v>0</v>
      </c>
      <c r="FF78" s="213" t="s">
        <v>249</v>
      </c>
      <c r="FI78" s="213" t="s">
        <v>750</v>
      </c>
      <c r="FJ78" s="213" t="s">
        <v>743</v>
      </c>
      <c r="FK78" s="213">
        <v>0</v>
      </c>
      <c r="FL78" s="213">
        <v>0</v>
      </c>
      <c r="FM78" s="213">
        <v>0</v>
      </c>
      <c r="FN78" s="213" t="s">
        <v>249</v>
      </c>
      <c r="FQ78" s="213" t="s">
        <v>751</v>
      </c>
      <c r="FR78" s="213" t="s">
        <v>743</v>
      </c>
      <c r="FS78" s="213">
        <v>0</v>
      </c>
      <c r="FT78" s="213">
        <v>0</v>
      </c>
      <c r="FU78" s="213">
        <v>0</v>
      </c>
      <c r="FV78" s="213" t="s">
        <v>249</v>
      </c>
      <c r="FY78" s="213">
        <v>28.7</v>
      </c>
      <c r="FZ78" s="213">
        <v>-14</v>
      </c>
      <c r="GF78" s="213" t="s">
        <v>752</v>
      </c>
    </row>
    <row r="79" spans="1:188" s="213" customFormat="1" x14ac:dyDescent="0.15">
      <c r="A79" s="213" t="s">
        <v>654</v>
      </c>
      <c r="B79" s="213">
        <v>4</v>
      </c>
      <c r="C79" s="213" t="s">
        <v>1048</v>
      </c>
      <c r="D79" s="213">
        <v>614383987</v>
      </c>
      <c r="E79" s="213">
        <v>92303</v>
      </c>
      <c r="F79" s="213" t="s">
        <v>725</v>
      </c>
      <c r="G79" s="213">
        <v>847922</v>
      </c>
      <c r="H79" s="213">
        <v>912152</v>
      </c>
      <c r="I79" s="213">
        <v>6.8</v>
      </c>
      <c r="J79" s="213" t="s">
        <v>1049</v>
      </c>
      <c r="K79" s="213" t="s">
        <v>727</v>
      </c>
      <c r="L79" s="213" t="s">
        <v>656</v>
      </c>
      <c r="M79" s="213" t="s">
        <v>728</v>
      </c>
      <c r="N79" s="213" t="s">
        <v>728</v>
      </c>
      <c r="O79" s="213" t="s">
        <v>729</v>
      </c>
      <c r="P79" s="213" t="s">
        <v>710</v>
      </c>
      <c r="Q79" s="213">
        <v>23.2</v>
      </c>
      <c r="R79" s="213">
        <v>163</v>
      </c>
      <c r="S79" s="213" t="s">
        <v>710</v>
      </c>
      <c r="T79" s="213">
        <v>-9999</v>
      </c>
      <c r="U79" s="213">
        <v>195</v>
      </c>
      <c r="V79" s="213">
        <v>434</v>
      </c>
      <c r="W79" s="213">
        <v>187</v>
      </c>
      <c r="X79" s="213" t="s">
        <v>710</v>
      </c>
      <c r="Y79" s="213">
        <v>0</v>
      </c>
      <c r="Z79" s="213">
        <v>40</v>
      </c>
      <c r="AA79" s="213" t="s">
        <v>730</v>
      </c>
      <c r="AB79" s="213" t="s">
        <v>731</v>
      </c>
      <c r="AC79" s="213" t="s">
        <v>729</v>
      </c>
      <c r="AD79" s="213" t="s">
        <v>732</v>
      </c>
      <c r="AE79" s="213">
        <v>0</v>
      </c>
      <c r="AF79" s="213">
        <v>6</v>
      </c>
      <c r="AG79" s="213" t="s">
        <v>249</v>
      </c>
      <c r="AH79" s="213">
        <v>-9999</v>
      </c>
      <c r="AI79" s="213">
        <v>218</v>
      </c>
      <c r="AJ79" s="213">
        <v>511</v>
      </c>
      <c r="AK79" s="213">
        <v>214</v>
      </c>
      <c r="AL79" s="213" t="s">
        <v>710</v>
      </c>
      <c r="AM79" s="213">
        <v>0</v>
      </c>
      <c r="AN79" s="213">
        <v>40</v>
      </c>
      <c r="AO79" s="213" t="s">
        <v>733</v>
      </c>
      <c r="AP79" s="213" t="s">
        <v>734</v>
      </c>
      <c r="AQ79" s="213">
        <v>1</v>
      </c>
      <c r="AR79" s="213" t="s">
        <v>735</v>
      </c>
      <c r="AS79" s="213">
        <v>0</v>
      </c>
      <c r="AT79" s="213">
        <v>6</v>
      </c>
      <c r="AU79" s="213" t="s">
        <v>249</v>
      </c>
      <c r="AV79" s="213">
        <v>-9999</v>
      </c>
      <c r="AW79" s="213">
        <v>266</v>
      </c>
      <c r="AX79" s="213">
        <v>653</v>
      </c>
      <c r="AY79" s="213">
        <v>261</v>
      </c>
      <c r="AZ79" s="213" t="s">
        <v>710</v>
      </c>
      <c r="BA79" s="213">
        <v>0</v>
      </c>
      <c r="BB79" s="213">
        <v>40</v>
      </c>
      <c r="BC79" s="213" t="s">
        <v>736</v>
      </c>
      <c r="BD79" s="213" t="s">
        <v>734</v>
      </c>
      <c r="BE79" s="213">
        <v>2</v>
      </c>
      <c r="BF79" s="213" t="s">
        <v>735</v>
      </c>
      <c r="BG79" s="213">
        <v>0</v>
      </c>
      <c r="BH79" s="213">
        <v>7</v>
      </c>
      <c r="BI79" s="213" t="s">
        <v>249</v>
      </c>
      <c r="BJ79" s="213">
        <v>-9999</v>
      </c>
      <c r="BK79" s="213">
        <v>104</v>
      </c>
      <c r="BL79" s="213">
        <v>334</v>
      </c>
      <c r="BM79" s="213">
        <v>101</v>
      </c>
      <c r="BN79" s="213" t="s">
        <v>710</v>
      </c>
      <c r="BO79" s="213">
        <v>0</v>
      </c>
      <c r="BP79" s="213">
        <v>40</v>
      </c>
      <c r="BQ79" s="213" t="s">
        <v>737</v>
      </c>
      <c r="BR79" s="213" t="s">
        <v>734</v>
      </c>
      <c r="BS79" s="213">
        <v>3</v>
      </c>
      <c r="BT79" s="213" t="s">
        <v>735</v>
      </c>
      <c r="BU79" s="213">
        <v>0</v>
      </c>
      <c r="BV79" s="213">
        <v>7</v>
      </c>
      <c r="BW79" s="213" t="s">
        <v>249</v>
      </c>
      <c r="BX79" s="213">
        <v>-9999</v>
      </c>
      <c r="BY79" s="213">
        <v>172</v>
      </c>
      <c r="BZ79" s="213">
        <v>417</v>
      </c>
      <c r="CA79" s="213">
        <v>171</v>
      </c>
      <c r="CB79" s="213" t="s">
        <v>710</v>
      </c>
      <c r="CC79" s="213">
        <v>0</v>
      </c>
      <c r="CD79" s="213">
        <v>40</v>
      </c>
      <c r="CE79" s="213" t="s">
        <v>738</v>
      </c>
      <c r="CF79" s="213" t="s">
        <v>734</v>
      </c>
      <c r="CG79" s="213">
        <v>4</v>
      </c>
      <c r="CH79" s="213" t="s">
        <v>735</v>
      </c>
      <c r="CI79" s="213">
        <v>0</v>
      </c>
      <c r="CJ79" s="213">
        <v>7</v>
      </c>
      <c r="CK79" s="213" t="s">
        <v>249</v>
      </c>
      <c r="CL79" s="213">
        <v>-9999</v>
      </c>
      <c r="CM79" s="213">
        <v>147</v>
      </c>
      <c r="CN79" s="213">
        <v>390</v>
      </c>
      <c r="CO79" s="213">
        <v>144</v>
      </c>
      <c r="CP79" s="213" t="s">
        <v>710</v>
      </c>
      <c r="CQ79" s="213">
        <v>0</v>
      </c>
      <c r="CR79" s="213">
        <v>40</v>
      </c>
      <c r="CS79" s="213" t="s">
        <v>739</v>
      </c>
      <c r="CT79" s="213" t="s">
        <v>740</v>
      </c>
      <c r="CU79" s="213">
        <v>121</v>
      </c>
      <c r="CV79" s="213">
        <v>120</v>
      </c>
      <c r="CW79" s="213">
        <v>119</v>
      </c>
      <c r="CX79" s="213" t="s">
        <v>710</v>
      </c>
      <c r="CY79" s="213" t="s">
        <v>741</v>
      </c>
      <c r="CZ79" s="213" t="s">
        <v>740</v>
      </c>
      <c r="DA79" s="213">
        <v>129</v>
      </c>
      <c r="DB79" s="213">
        <v>129</v>
      </c>
      <c r="DC79" s="213">
        <v>128</v>
      </c>
      <c r="DD79" s="213" t="s">
        <v>710</v>
      </c>
      <c r="DE79" s="213" t="s">
        <v>742</v>
      </c>
      <c r="DF79" s="213" t="s">
        <v>743</v>
      </c>
      <c r="DG79" s="213">
        <v>0</v>
      </c>
      <c r="DH79" s="213">
        <v>0</v>
      </c>
      <c r="DI79" s="213">
        <v>0</v>
      </c>
      <c r="DJ79" s="213" t="s">
        <v>249</v>
      </c>
      <c r="DM79" s="213" t="s">
        <v>744</v>
      </c>
      <c r="DN79" s="213" t="s">
        <v>743</v>
      </c>
      <c r="DO79" s="213">
        <v>0</v>
      </c>
      <c r="DP79" s="213">
        <v>0</v>
      </c>
      <c r="DQ79" s="213">
        <v>0</v>
      </c>
      <c r="DR79" s="213" t="s">
        <v>249</v>
      </c>
      <c r="DU79" s="213" t="s">
        <v>745</v>
      </c>
      <c r="DV79" s="213" t="s">
        <v>743</v>
      </c>
      <c r="DW79" s="213">
        <v>0</v>
      </c>
      <c r="DX79" s="213">
        <v>0</v>
      </c>
      <c r="DY79" s="213">
        <v>0</v>
      </c>
      <c r="DZ79" s="213" t="s">
        <v>249</v>
      </c>
      <c r="EC79" s="213" t="s">
        <v>746</v>
      </c>
      <c r="ED79" s="213" t="s">
        <v>743</v>
      </c>
      <c r="EE79" s="213">
        <v>0</v>
      </c>
      <c r="EF79" s="213">
        <v>0</v>
      </c>
      <c r="EG79" s="213">
        <v>0</v>
      </c>
      <c r="EH79" s="213" t="s">
        <v>249</v>
      </c>
      <c r="EK79" s="213" t="s">
        <v>747</v>
      </c>
      <c r="EL79" s="213" t="s">
        <v>743</v>
      </c>
      <c r="EM79" s="213">
        <v>0</v>
      </c>
      <c r="EN79" s="213">
        <v>0</v>
      </c>
      <c r="EO79" s="213">
        <v>0</v>
      </c>
      <c r="EP79" s="213" t="s">
        <v>249</v>
      </c>
      <c r="ES79" s="213" t="s">
        <v>748</v>
      </c>
      <c r="ET79" s="213" t="s">
        <v>743</v>
      </c>
      <c r="EU79" s="213">
        <v>0</v>
      </c>
      <c r="EV79" s="213">
        <v>0</v>
      </c>
      <c r="EW79" s="213">
        <v>0</v>
      </c>
      <c r="EX79" s="213" t="s">
        <v>249</v>
      </c>
      <c r="FA79" s="213" t="s">
        <v>749</v>
      </c>
      <c r="FB79" s="213" t="s">
        <v>743</v>
      </c>
      <c r="FC79" s="213">
        <v>0</v>
      </c>
      <c r="FD79" s="213">
        <v>0</v>
      </c>
      <c r="FE79" s="213">
        <v>0</v>
      </c>
      <c r="FF79" s="213" t="s">
        <v>249</v>
      </c>
      <c r="FI79" s="213" t="s">
        <v>750</v>
      </c>
      <c r="FJ79" s="213" t="s">
        <v>743</v>
      </c>
      <c r="FK79" s="213">
        <v>0</v>
      </c>
      <c r="FL79" s="213">
        <v>0</v>
      </c>
      <c r="FM79" s="213">
        <v>0</v>
      </c>
      <c r="FN79" s="213" t="s">
        <v>249</v>
      </c>
      <c r="FQ79" s="213" t="s">
        <v>751</v>
      </c>
      <c r="FR79" s="213" t="s">
        <v>743</v>
      </c>
      <c r="FS79" s="213">
        <v>0</v>
      </c>
      <c r="FT79" s="213">
        <v>0</v>
      </c>
      <c r="FU79" s="213">
        <v>0</v>
      </c>
      <c r="FV79" s="213" t="s">
        <v>249</v>
      </c>
      <c r="FY79" s="213">
        <v>16.7</v>
      </c>
      <c r="FZ79" s="213">
        <v>-6.8</v>
      </c>
      <c r="GF79" s="213" t="s">
        <v>752</v>
      </c>
    </row>
    <row r="80" spans="1:188" s="213" customFormat="1" x14ac:dyDescent="0.15">
      <c r="A80" s="213" t="s">
        <v>654</v>
      </c>
      <c r="B80" s="213">
        <v>4</v>
      </c>
      <c r="C80" s="213" t="s">
        <v>1050</v>
      </c>
      <c r="D80" s="213">
        <v>614384411</v>
      </c>
      <c r="E80" s="213">
        <v>92303</v>
      </c>
      <c r="F80" s="213" t="s">
        <v>725</v>
      </c>
      <c r="G80" s="213">
        <v>847922</v>
      </c>
      <c r="H80" s="213">
        <v>784559</v>
      </c>
      <c r="I80" s="213">
        <v>6.8</v>
      </c>
      <c r="J80" s="213" t="s">
        <v>1051</v>
      </c>
      <c r="K80" s="213" t="s">
        <v>727</v>
      </c>
      <c r="L80" s="213" t="s">
        <v>656</v>
      </c>
      <c r="M80" s="213" t="s">
        <v>728</v>
      </c>
      <c r="N80" s="213" t="s">
        <v>728</v>
      </c>
      <c r="O80" s="213" t="s">
        <v>729</v>
      </c>
      <c r="P80" s="213" t="s">
        <v>710</v>
      </c>
      <c r="Q80" s="213">
        <v>23.5</v>
      </c>
      <c r="R80" s="213">
        <v>133</v>
      </c>
      <c r="S80" s="213" t="s">
        <v>710</v>
      </c>
      <c r="T80" s="213">
        <v>-9999</v>
      </c>
      <c r="U80" s="213">
        <v>204</v>
      </c>
      <c r="V80" s="213">
        <v>414</v>
      </c>
      <c r="W80" s="213">
        <v>201</v>
      </c>
      <c r="X80" s="213" t="s">
        <v>710</v>
      </c>
      <c r="Y80" s="213">
        <v>0</v>
      </c>
      <c r="Z80" s="213">
        <v>40</v>
      </c>
      <c r="AA80" s="213" t="s">
        <v>730</v>
      </c>
      <c r="AB80" s="213" t="s">
        <v>731</v>
      </c>
      <c r="AC80" s="213" t="s">
        <v>729</v>
      </c>
      <c r="AD80" s="213" t="s">
        <v>732</v>
      </c>
      <c r="AE80" s="213">
        <v>0</v>
      </c>
      <c r="AF80" s="213">
        <v>4</v>
      </c>
      <c r="AG80" s="213" t="s">
        <v>249</v>
      </c>
      <c r="AH80" s="213">
        <v>-9999</v>
      </c>
      <c r="AI80" s="213">
        <v>188</v>
      </c>
      <c r="AJ80" s="213">
        <v>448</v>
      </c>
      <c r="AK80" s="213">
        <v>187</v>
      </c>
      <c r="AL80" s="213" t="s">
        <v>710</v>
      </c>
      <c r="AM80" s="213">
        <v>0</v>
      </c>
      <c r="AN80" s="213">
        <v>40</v>
      </c>
      <c r="AO80" s="213" t="s">
        <v>733</v>
      </c>
      <c r="AP80" s="213" t="s">
        <v>734</v>
      </c>
      <c r="AQ80" s="213">
        <v>1</v>
      </c>
      <c r="AR80" s="213" t="s">
        <v>735</v>
      </c>
      <c r="AS80" s="213">
        <v>0</v>
      </c>
      <c r="AT80" s="213">
        <v>7</v>
      </c>
      <c r="AU80" s="213" t="s">
        <v>249</v>
      </c>
      <c r="AV80" s="213">
        <v>-9999</v>
      </c>
      <c r="AW80" s="213">
        <v>259</v>
      </c>
      <c r="AX80" s="213">
        <v>625</v>
      </c>
      <c r="AY80" s="213">
        <v>259</v>
      </c>
      <c r="AZ80" s="213" t="s">
        <v>710</v>
      </c>
      <c r="BA80" s="213">
        <v>0</v>
      </c>
      <c r="BB80" s="213">
        <v>40</v>
      </c>
      <c r="BC80" s="213" t="s">
        <v>736</v>
      </c>
      <c r="BD80" s="213" t="s">
        <v>734</v>
      </c>
      <c r="BE80" s="213">
        <v>2</v>
      </c>
      <c r="BF80" s="213" t="s">
        <v>735</v>
      </c>
      <c r="BG80" s="213">
        <v>0</v>
      </c>
      <c r="BH80" s="213">
        <v>4</v>
      </c>
      <c r="BI80" s="213" t="s">
        <v>249</v>
      </c>
      <c r="BJ80" s="213">
        <v>-9999</v>
      </c>
      <c r="BK80" s="213">
        <v>113</v>
      </c>
      <c r="BL80" s="213">
        <v>347</v>
      </c>
      <c r="BM80" s="213">
        <v>112</v>
      </c>
      <c r="BN80" s="213" t="s">
        <v>710</v>
      </c>
      <c r="BO80" s="213">
        <v>0</v>
      </c>
      <c r="BP80" s="213">
        <v>40</v>
      </c>
      <c r="BQ80" s="213" t="s">
        <v>737</v>
      </c>
      <c r="BR80" s="213" t="s">
        <v>734</v>
      </c>
      <c r="BS80" s="213">
        <v>3</v>
      </c>
      <c r="BT80" s="213" t="s">
        <v>735</v>
      </c>
      <c r="BU80" s="213">
        <v>0</v>
      </c>
      <c r="BV80" s="213">
        <v>4</v>
      </c>
      <c r="BW80" s="213" t="s">
        <v>249</v>
      </c>
      <c r="BX80" s="213">
        <v>-9999</v>
      </c>
      <c r="BY80" s="213">
        <v>182</v>
      </c>
      <c r="BZ80" s="213">
        <v>420</v>
      </c>
      <c r="CA80" s="213">
        <v>182</v>
      </c>
      <c r="CB80" s="213" t="s">
        <v>710</v>
      </c>
      <c r="CC80" s="213">
        <v>0</v>
      </c>
      <c r="CD80" s="213">
        <v>40</v>
      </c>
      <c r="CE80" s="213" t="s">
        <v>738</v>
      </c>
      <c r="CF80" s="213" t="s">
        <v>734</v>
      </c>
      <c r="CG80" s="213">
        <v>4</v>
      </c>
      <c r="CH80" s="213" t="s">
        <v>735</v>
      </c>
      <c r="CI80" s="213">
        <v>0</v>
      </c>
      <c r="CJ80" s="213">
        <v>4</v>
      </c>
      <c r="CK80" s="213" t="s">
        <v>249</v>
      </c>
      <c r="CL80" s="213">
        <v>-9999</v>
      </c>
      <c r="CM80" s="213">
        <v>187</v>
      </c>
      <c r="CN80" s="213">
        <v>484</v>
      </c>
      <c r="CO80" s="213">
        <v>185</v>
      </c>
      <c r="CP80" s="213" t="s">
        <v>710</v>
      </c>
      <c r="CQ80" s="213">
        <v>0</v>
      </c>
      <c r="CR80" s="213">
        <v>40</v>
      </c>
      <c r="CS80" s="213" t="s">
        <v>739</v>
      </c>
      <c r="CT80" s="213" t="s">
        <v>740</v>
      </c>
      <c r="CU80" s="213">
        <v>136</v>
      </c>
      <c r="CV80" s="213">
        <v>135</v>
      </c>
      <c r="CW80" s="213">
        <v>135</v>
      </c>
      <c r="CX80" s="213" t="s">
        <v>710</v>
      </c>
      <c r="CY80" s="213" t="s">
        <v>741</v>
      </c>
      <c r="CZ80" s="213" t="s">
        <v>740</v>
      </c>
      <c r="DA80" s="213">
        <v>135</v>
      </c>
      <c r="DB80" s="213">
        <v>135</v>
      </c>
      <c r="DC80" s="213">
        <v>134</v>
      </c>
      <c r="DD80" s="213" t="s">
        <v>710</v>
      </c>
      <c r="DE80" s="213" t="s">
        <v>742</v>
      </c>
      <c r="DF80" s="213" t="s">
        <v>743</v>
      </c>
      <c r="DG80" s="213">
        <v>0</v>
      </c>
      <c r="DH80" s="213">
        <v>0</v>
      </c>
      <c r="DI80" s="213">
        <v>0</v>
      </c>
      <c r="DJ80" s="213" t="s">
        <v>249</v>
      </c>
      <c r="DM80" s="213" t="s">
        <v>744</v>
      </c>
      <c r="DN80" s="213" t="s">
        <v>743</v>
      </c>
      <c r="DO80" s="213">
        <v>0</v>
      </c>
      <c r="DP80" s="213">
        <v>0</v>
      </c>
      <c r="DQ80" s="213">
        <v>0</v>
      </c>
      <c r="DR80" s="213" t="s">
        <v>249</v>
      </c>
      <c r="DU80" s="213" t="s">
        <v>745</v>
      </c>
      <c r="DV80" s="213" t="s">
        <v>743</v>
      </c>
      <c r="DW80" s="213">
        <v>0</v>
      </c>
      <c r="DX80" s="213">
        <v>0</v>
      </c>
      <c r="DY80" s="213">
        <v>0</v>
      </c>
      <c r="DZ80" s="213" t="s">
        <v>249</v>
      </c>
      <c r="EC80" s="213" t="s">
        <v>746</v>
      </c>
      <c r="ED80" s="213" t="s">
        <v>743</v>
      </c>
      <c r="EE80" s="213">
        <v>0</v>
      </c>
      <c r="EF80" s="213">
        <v>0</v>
      </c>
      <c r="EG80" s="213">
        <v>0</v>
      </c>
      <c r="EH80" s="213" t="s">
        <v>249</v>
      </c>
      <c r="EK80" s="213" t="s">
        <v>747</v>
      </c>
      <c r="EL80" s="213" t="s">
        <v>743</v>
      </c>
      <c r="EM80" s="213">
        <v>0</v>
      </c>
      <c r="EN80" s="213">
        <v>0</v>
      </c>
      <c r="EO80" s="213">
        <v>0</v>
      </c>
      <c r="EP80" s="213" t="s">
        <v>249</v>
      </c>
      <c r="ES80" s="213" t="s">
        <v>748</v>
      </c>
      <c r="ET80" s="213" t="s">
        <v>743</v>
      </c>
      <c r="EU80" s="213">
        <v>0</v>
      </c>
      <c r="EV80" s="213">
        <v>0</v>
      </c>
      <c r="EW80" s="213">
        <v>0</v>
      </c>
      <c r="EX80" s="213" t="s">
        <v>249</v>
      </c>
      <c r="FA80" s="213" t="s">
        <v>749</v>
      </c>
      <c r="FB80" s="213" t="s">
        <v>743</v>
      </c>
      <c r="FC80" s="213">
        <v>0</v>
      </c>
      <c r="FD80" s="213">
        <v>0</v>
      </c>
      <c r="FE80" s="213">
        <v>0</v>
      </c>
      <c r="FF80" s="213" t="s">
        <v>249</v>
      </c>
      <c r="FI80" s="213" t="s">
        <v>750</v>
      </c>
      <c r="FJ80" s="213" t="s">
        <v>743</v>
      </c>
      <c r="FK80" s="213">
        <v>0</v>
      </c>
      <c r="FL80" s="213">
        <v>0</v>
      </c>
      <c r="FM80" s="213">
        <v>0</v>
      </c>
      <c r="FN80" s="213" t="s">
        <v>249</v>
      </c>
      <c r="FQ80" s="213" t="s">
        <v>751</v>
      </c>
      <c r="FR80" s="213" t="s">
        <v>743</v>
      </c>
      <c r="FS80" s="213">
        <v>0</v>
      </c>
      <c r="FT80" s="213">
        <v>0</v>
      </c>
      <c r="FU80" s="213">
        <v>0</v>
      </c>
      <c r="FV80" s="213" t="s">
        <v>249</v>
      </c>
      <c r="FY80" s="213">
        <v>17.399999999999999</v>
      </c>
      <c r="FZ80" s="213">
        <v>-7</v>
      </c>
      <c r="GF80" s="213" t="s">
        <v>752</v>
      </c>
    </row>
    <row r="81" spans="1:188" s="213" customFormat="1" x14ac:dyDescent="0.15">
      <c r="A81" s="213" t="s">
        <v>654</v>
      </c>
      <c r="B81" s="213">
        <v>4</v>
      </c>
      <c r="C81" s="213" t="s">
        <v>1052</v>
      </c>
      <c r="D81" s="213">
        <v>614352459</v>
      </c>
      <c r="E81" s="213">
        <v>92303</v>
      </c>
      <c r="F81" s="213" t="s">
        <v>725</v>
      </c>
      <c r="G81" s="213">
        <v>847922</v>
      </c>
      <c r="H81" s="213">
        <v>210053180</v>
      </c>
      <c r="I81" s="213">
        <v>6.8</v>
      </c>
      <c r="J81" s="213" t="s">
        <v>1053</v>
      </c>
      <c r="K81" s="213" t="s">
        <v>727</v>
      </c>
      <c r="L81" s="213" t="s">
        <v>656</v>
      </c>
      <c r="M81" s="213" t="s">
        <v>728</v>
      </c>
      <c r="N81" s="213" t="s">
        <v>728</v>
      </c>
      <c r="O81" s="213" t="s">
        <v>729</v>
      </c>
      <c r="P81" s="213" t="s">
        <v>710</v>
      </c>
      <c r="Q81" s="213">
        <v>23.8</v>
      </c>
      <c r="R81" s="213">
        <v>154</v>
      </c>
      <c r="S81" s="213" t="s">
        <v>710</v>
      </c>
      <c r="T81" s="213">
        <v>-9999</v>
      </c>
      <c r="U81" s="213">
        <v>226</v>
      </c>
      <c r="V81" s="213">
        <v>497</v>
      </c>
      <c r="W81" s="213">
        <v>220</v>
      </c>
      <c r="X81" s="213" t="s">
        <v>710</v>
      </c>
      <c r="Y81" s="213">
        <v>0</v>
      </c>
      <c r="Z81" s="213">
        <v>40</v>
      </c>
      <c r="AA81" s="213" t="s">
        <v>730</v>
      </c>
      <c r="AB81" s="213" t="s">
        <v>731</v>
      </c>
      <c r="AC81" s="213" t="s">
        <v>729</v>
      </c>
      <c r="AD81" s="213" t="s">
        <v>732</v>
      </c>
      <c r="AE81" s="213">
        <v>0</v>
      </c>
      <c r="AF81" s="213">
        <v>7</v>
      </c>
      <c r="AG81" s="213" t="s">
        <v>249</v>
      </c>
      <c r="AH81" s="213">
        <v>-9999</v>
      </c>
      <c r="AI81" s="213">
        <v>212</v>
      </c>
      <c r="AJ81" s="213">
        <v>506</v>
      </c>
      <c r="AK81" s="213">
        <v>209</v>
      </c>
      <c r="AL81" s="213" t="s">
        <v>710</v>
      </c>
      <c r="AM81" s="213">
        <v>0</v>
      </c>
      <c r="AN81" s="213">
        <v>40</v>
      </c>
      <c r="AO81" s="213" t="s">
        <v>733</v>
      </c>
      <c r="AP81" s="213" t="s">
        <v>734</v>
      </c>
      <c r="AQ81" s="213">
        <v>1</v>
      </c>
      <c r="AR81" s="213" t="s">
        <v>735</v>
      </c>
      <c r="AS81" s="213">
        <v>0</v>
      </c>
      <c r="AT81" s="213">
        <v>14</v>
      </c>
      <c r="AU81" s="213" t="s">
        <v>249</v>
      </c>
      <c r="AV81" s="213">
        <v>-9999</v>
      </c>
      <c r="AW81" s="213">
        <v>288</v>
      </c>
      <c r="AX81" s="213">
        <v>709</v>
      </c>
      <c r="AY81" s="213">
        <v>285</v>
      </c>
      <c r="AZ81" s="213" t="s">
        <v>710</v>
      </c>
      <c r="BA81" s="213">
        <v>0</v>
      </c>
      <c r="BB81" s="213">
        <v>40</v>
      </c>
      <c r="BC81" s="213" t="s">
        <v>736</v>
      </c>
      <c r="BD81" s="213" t="s">
        <v>734</v>
      </c>
      <c r="BE81" s="213">
        <v>2</v>
      </c>
      <c r="BF81" s="213" t="s">
        <v>735</v>
      </c>
      <c r="BG81" s="213">
        <v>0</v>
      </c>
      <c r="BH81" s="213">
        <v>4</v>
      </c>
      <c r="BI81" s="213" t="s">
        <v>249</v>
      </c>
      <c r="BJ81" s="213">
        <v>-9999</v>
      </c>
      <c r="BK81" s="213">
        <v>117</v>
      </c>
      <c r="BL81" s="213">
        <v>369</v>
      </c>
      <c r="BM81" s="213">
        <v>115</v>
      </c>
      <c r="BN81" s="213" t="s">
        <v>710</v>
      </c>
      <c r="BO81" s="213">
        <v>0</v>
      </c>
      <c r="BP81" s="213">
        <v>40</v>
      </c>
      <c r="BQ81" s="213" t="s">
        <v>737</v>
      </c>
      <c r="BR81" s="213" t="s">
        <v>734</v>
      </c>
      <c r="BS81" s="213">
        <v>3</v>
      </c>
      <c r="BT81" s="213" t="s">
        <v>735</v>
      </c>
      <c r="BU81" s="213">
        <v>0</v>
      </c>
      <c r="BV81" s="213">
        <v>4</v>
      </c>
      <c r="BW81" s="213" t="s">
        <v>249</v>
      </c>
      <c r="BX81" s="213">
        <v>-9999</v>
      </c>
      <c r="BY81" s="213">
        <v>211</v>
      </c>
      <c r="BZ81" s="213">
        <v>496</v>
      </c>
      <c r="CA81" s="213">
        <v>211</v>
      </c>
      <c r="CB81" s="213" t="s">
        <v>710</v>
      </c>
      <c r="CC81" s="213">
        <v>0</v>
      </c>
      <c r="CD81" s="213">
        <v>40</v>
      </c>
      <c r="CE81" s="213" t="s">
        <v>738</v>
      </c>
      <c r="CF81" s="213" t="s">
        <v>734</v>
      </c>
      <c r="CG81" s="213">
        <v>4</v>
      </c>
      <c r="CH81" s="213" t="s">
        <v>735</v>
      </c>
      <c r="CI81" s="213">
        <v>0</v>
      </c>
      <c r="CJ81" s="213">
        <v>7</v>
      </c>
      <c r="CK81" s="213" t="s">
        <v>249</v>
      </c>
      <c r="CL81" s="213">
        <v>-9999</v>
      </c>
      <c r="CM81" s="213">
        <v>181</v>
      </c>
      <c r="CN81" s="213">
        <v>470</v>
      </c>
      <c r="CO81" s="213">
        <v>179</v>
      </c>
      <c r="CP81" s="213" t="s">
        <v>710</v>
      </c>
      <c r="CQ81" s="213">
        <v>0</v>
      </c>
      <c r="CR81" s="213">
        <v>40</v>
      </c>
      <c r="CS81" s="213" t="s">
        <v>739</v>
      </c>
      <c r="CT81" s="213" t="s">
        <v>740</v>
      </c>
      <c r="CU81" s="213">
        <v>150</v>
      </c>
      <c r="CV81" s="213">
        <v>150</v>
      </c>
      <c r="CW81" s="213">
        <v>149</v>
      </c>
      <c r="CX81" s="213" t="s">
        <v>710</v>
      </c>
      <c r="CY81" s="213" t="s">
        <v>741</v>
      </c>
      <c r="CZ81" s="213" t="s">
        <v>740</v>
      </c>
      <c r="DA81" s="213">
        <v>130</v>
      </c>
      <c r="DB81" s="213">
        <v>129</v>
      </c>
      <c r="DC81" s="213">
        <v>129</v>
      </c>
      <c r="DD81" s="213" t="s">
        <v>710</v>
      </c>
      <c r="DE81" s="213" t="s">
        <v>742</v>
      </c>
      <c r="DF81" s="213" t="s">
        <v>743</v>
      </c>
      <c r="DG81" s="213">
        <v>0</v>
      </c>
      <c r="DH81" s="213">
        <v>0</v>
      </c>
      <c r="DI81" s="213">
        <v>0</v>
      </c>
      <c r="DJ81" s="213" t="s">
        <v>249</v>
      </c>
      <c r="DM81" s="213" t="s">
        <v>744</v>
      </c>
      <c r="DN81" s="213" t="s">
        <v>743</v>
      </c>
      <c r="DO81" s="213">
        <v>0</v>
      </c>
      <c r="DP81" s="213">
        <v>0</v>
      </c>
      <c r="DQ81" s="213">
        <v>0</v>
      </c>
      <c r="DR81" s="213" t="s">
        <v>249</v>
      </c>
      <c r="DU81" s="213" t="s">
        <v>745</v>
      </c>
      <c r="DV81" s="213" t="s">
        <v>743</v>
      </c>
      <c r="DW81" s="213">
        <v>0</v>
      </c>
      <c r="DX81" s="213">
        <v>0</v>
      </c>
      <c r="DY81" s="213">
        <v>0</v>
      </c>
      <c r="DZ81" s="213" t="s">
        <v>249</v>
      </c>
      <c r="EC81" s="213" t="s">
        <v>746</v>
      </c>
      <c r="ED81" s="213" t="s">
        <v>743</v>
      </c>
      <c r="EE81" s="213">
        <v>0</v>
      </c>
      <c r="EF81" s="213">
        <v>0</v>
      </c>
      <c r="EG81" s="213">
        <v>0</v>
      </c>
      <c r="EH81" s="213" t="s">
        <v>249</v>
      </c>
      <c r="EK81" s="213" t="s">
        <v>747</v>
      </c>
      <c r="EL81" s="213" t="s">
        <v>743</v>
      </c>
      <c r="EM81" s="213">
        <v>0</v>
      </c>
      <c r="EN81" s="213">
        <v>0</v>
      </c>
      <c r="EO81" s="213">
        <v>0</v>
      </c>
      <c r="EP81" s="213" t="s">
        <v>249</v>
      </c>
      <c r="ES81" s="213" t="s">
        <v>748</v>
      </c>
      <c r="ET81" s="213" t="s">
        <v>743</v>
      </c>
      <c r="EU81" s="213">
        <v>0</v>
      </c>
      <c r="EV81" s="213">
        <v>0</v>
      </c>
      <c r="EW81" s="213">
        <v>0</v>
      </c>
      <c r="EX81" s="213" t="s">
        <v>249</v>
      </c>
      <c r="FA81" s="213" t="s">
        <v>749</v>
      </c>
      <c r="FB81" s="213" t="s">
        <v>743</v>
      </c>
      <c r="FC81" s="213">
        <v>0</v>
      </c>
      <c r="FD81" s="213">
        <v>0</v>
      </c>
      <c r="FE81" s="213">
        <v>0</v>
      </c>
      <c r="FF81" s="213" t="s">
        <v>249</v>
      </c>
      <c r="FI81" s="213" t="s">
        <v>750</v>
      </c>
      <c r="FJ81" s="213" t="s">
        <v>743</v>
      </c>
      <c r="FK81" s="213">
        <v>0</v>
      </c>
      <c r="FL81" s="213">
        <v>0</v>
      </c>
      <c r="FM81" s="213">
        <v>0</v>
      </c>
      <c r="FN81" s="213" t="s">
        <v>249</v>
      </c>
      <c r="FQ81" s="213" t="s">
        <v>751</v>
      </c>
      <c r="FR81" s="213" t="s">
        <v>743</v>
      </c>
      <c r="FS81" s="213">
        <v>0</v>
      </c>
      <c r="FT81" s="213">
        <v>0</v>
      </c>
      <c r="FU81" s="213">
        <v>0</v>
      </c>
      <c r="FV81" s="213" t="s">
        <v>249</v>
      </c>
      <c r="FY81" s="213">
        <v>29.2</v>
      </c>
      <c r="FZ81" s="213">
        <v>-22.7</v>
      </c>
      <c r="GF81" s="213" t="s">
        <v>752</v>
      </c>
    </row>
    <row r="82" spans="1:188" s="213" customFormat="1" x14ac:dyDescent="0.15">
      <c r="A82" s="213" t="s">
        <v>654</v>
      </c>
      <c r="B82" s="213">
        <v>4</v>
      </c>
      <c r="C82" s="213" t="s">
        <v>1068</v>
      </c>
      <c r="D82" s="213">
        <v>614387708</v>
      </c>
      <c r="E82" s="213">
        <v>92303</v>
      </c>
      <c r="F82" s="213" t="s">
        <v>725</v>
      </c>
      <c r="G82" s="213">
        <v>847922</v>
      </c>
      <c r="H82" s="213">
        <v>686063</v>
      </c>
      <c r="I82" s="213">
        <v>6.8</v>
      </c>
      <c r="J82" s="213" t="s">
        <v>1069</v>
      </c>
      <c r="K82" s="213" t="s">
        <v>727</v>
      </c>
      <c r="L82" s="213" t="s">
        <v>656</v>
      </c>
      <c r="M82" s="213" t="s">
        <v>728</v>
      </c>
      <c r="N82" s="213" t="s">
        <v>728</v>
      </c>
      <c r="O82" s="213" t="s">
        <v>729</v>
      </c>
      <c r="P82" s="213" t="s">
        <v>710</v>
      </c>
      <c r="Q82" s="213">
        <v>24.2</v>
      </c>
      <c r="R82" s="213">
        <v>129</v>
      </c>
      <c r="S82" s="213" t="s">
        <v>710</v>
      </c>
      <c r="T82" s="213">
        <v>-9999</v>
      </c>
      <c r="U82" s="213">
        <v>141</v>
      </c>
      <c r="V82" s="213">
        <v>312</v>
      </c>
      <c r="W82" s="213">
        <v>134</v>
      </c>
      <c r="X82" s="213" t="s">
        <v>710</v>
      </c>
      <c r="Y82" s="213">
        <v>0</v>
      </c>
      <c r="Z82" s="213">
        <v>40</v>
      </c>
      <c r="AA82" s="213" t="s">
        <v>730</v>
      </c>
      <c r="AB82" s="213" t="s">
        <v>731</v>
      </c>
      <c r="AC82" s="213" t="s">
        <v>729</v>
      </c>
      <c r="AD82" s="213" t="s">
        <v>732</v>
      </c>
      <c r="AE82" s="213">
        <v>0</v>
      </c>
      <c r="AF82" s="213">
        <v>-2</v>
      </c>
      <c r="AG82" s="213" t="s">
        <v>249</v>
      </c>
      <c r="AH82" s="213">
        <v>-9999</v>
      </c>
      <c r="AI82" s="213">
        <v>143</v>
      </c>
      <c r="AJ82" s="213">
        <v>340</v>
      </c>
      <c r="AK82" s="213">
        <v>140</v>
      </c>
      <c r="AL82" s="213" t="s">
        <v>710</v>
      </c>
      <c r="AM82" s="213">
        <v>0</v>
      </c>
      <c r="AN82" s="213">
        <v>40</v>
      </c>
      <c r="AO82" s="213" t="s">
        <v>733</v>
      </c>
      <c r="AP82" s="213" t="s">
        <v>734</v>
      </c>
      <c r="AQ82" s="213">
        <v>1</v>
      </c>
      <c r="AR82" s="213" t="s">
        <v>735</v>
      </c>
      <c r="AS82" s="213">
        <v>0</v>
      </c>
      <c r="AT82" s="213">
        <v>-11</v>
      </c>
      <c r="AU82" s="213" t="s">
        <v>249</v>
      </c>
      <c r="AV82" s="213">
        <v>-9999</v>
      </c>
      <c r="AW82" s="213">
        <v>206</v>
      </c>
      <c r="AX82" s="213">
        <v>504</v>
      </c>
      <c r="AY82" s="213">
        <v>201</v>
      </c>
      <c r="AZ82" s="213" t="s">
        <v>710</v>
      </c>
      <c r="BA82" s="213">
        <v>0</v>
      </c>
      <c r="BB82" s="213">
        <v>40</v>
      </c>
      <c r="BC82" s="213" t="s">
        <v>736</v>
      </c>
      <c r="BD82" s="213" t="s">
        <v>734</v>
      </c>
      <c r="BE82" s="213">
        <v>2</v>
      </c>
      <c r="BF82" s="213" t="s">
        <v>735</v>
      </c>
      <c r="BG82" s="213">
        <v>0</v>
      </c>
      <c r="BH82" s="213">
        <v>0</v>
      </c>
      <c r="BI82" s="213" t="s">
        <v>249</v>
      </c>
      <c r="BJ82" s="213">
        <v>-9999</v>
      </c>
      <c r="BK82" s="213">
        <v>92</v>
      </c>
      <c r="BL82" s="213">
        <v>274</v>
      </c>
      <c r="BM82" s="213">
        <v>90</v>
      </c>
      <c r="BN82" s="213" t="s">
        <v>710</v>
      </c>
      <c r="BO82" s="213">
        <v>0</v>
      </c>
      <c r="BP82" s="213">
        <v>40</v>
      </c>
      <c r="BQ82" s="213" t="s">
        <v>737</v>
      </c>
      <c r="BR82" s="213" t="s">
        <v>734</v>
      </c>
      <c r="BS82" s="213">
        <v>3</v>
      </c>
      <c r="BT82" s="213" t="s">
        <v>735</v>
      </c>
      <c r="BU82" s="213">
        <v>0</v>
      </c>
      <c r="BV82" s="213">
        <v>6</v>
      </c>
      <c r="BW82" s="213" t="s">
        <v>249</v>
      </c>
      <c r="BX82" s="213">
        <v>-9999</v>
      </c>
      <c r="BY82" s="213">
        <v>123</v>
      </c>
      <c r="BZ82" s="213">
        <v>268</v>
      </c>
      <c r="CA82" s="213">
        <v>120</v>
      </c>
      <c r="CB82" s="213" t="s">
        <v>710</v>
      </c>
      <c r="CC82" s="213">
        <v>0</v>
      </c>
      <c r="CD82" s="213">
        <v>40</v>
      </c>
      <c r="CE82" s="213" t="s">
        <v>738</v>
      </c>
      <c r="CF82" s="213" t="s">
        <v>734</v>
      </c>
      <c r="CG82" s="213">
        <v>4</v>
      </c>
      <c r="CH82" s="213" t="s">
        <v>735</v>
      </c>
      <c r="CI82" s="213">
        <v>0</v>
      </c>
      <c r="CJ82" s="213">
        <v>2</v>
      </c>
      <c r="CK82" s="213" t="s">
        <v>249</v>
      </c>
      <c r="CL82" s="213">
        <v>-9999</v>
      </c>
      <c r="CM82" s="213">
        <v>109</v>
      </c>
      <c r="CN82" s="213">
        <v>281</v>
      </c>
      <c r="CO82" s="213">
        <v>106</v>
      </c>
      <c r="CP82" s="213" t="s">
        <v>710</v>
      </c>
      <c r="CQ82" s="213">
        <v>0</v>
      </c>
      <c r="CR82" s="213">
        <v>40</v>
      </c>
      <c r="CS82" s="213" t="s">
        <v>739</v>
      </c>
      <c r="CT82" s="213" t="s">
        <v>740</v>
      </c>
      <c r="CU82" s="213">
        <v>100</v>
      </c>
      <c r="CV82" s="213">
        <v>99</v>
      </c>
      <c r="CW82" s="213">
        <v>99</v>
      </c>
      <c r="CX82" s="213" t="s">
        <v>710</v>
      </c>
      <c r="CY82" s="213" t="s">
        <v>741</v>
      </c>
      <c r="CZ82" s="213" t="s">
        <v>740</v>
      </c>
      <c r="DA82" s="213">
        <v>92</v>
      </c>
      <c r="DB82" s="213">
        <v>92</v>
      </c>
      <c r="DC82" s="213">
        <v>91</v>
      </c>
      <c r="DD82" s="213" t="s">
        <v>710</v>
      </c>
      <c r="DE82" s="213" t="s">
        <v>742</v>
      </c>
      <c r="DF82" s="213" t="s">
        <v>743</v>
      </c>
      <c r="DG82" s="213">
        <v>0</v>
      </c>
      <c r="DH82" s="213">
        <v>0</v>
      </c>
      <c r="DI82" s="213">
        <v>0</v>
      </c>
      <c r="DJ82" s="213" t="s">
        <v>249</v>
      </c>
      <c r="DM82" s="213" t="s">
        <v>744</v>
      </c>
      <c r="DN82" s="213" t="s">
        <v>743</v>
      </c>
      <c r="DO82" s="213">
        <v>0</v>
      </c>
      <c r="DP82" s="213">
        <v>0</v>
      </c>
      <c r="DQ82" s="213">
        <v>0</v>
      </c>
      <c r="DR82" s="213" t="s">
        <v>249</v>
      </c>
      <c r="DU82" s="213" t="s">
        <v>745</v>
      </c>
      <c r="DV82" s="213" t="s">
        <v>743</v>
      </c>
      <c r="DW82" s="213">
        <v>0</v>
      </c>
      <c r="DX82" s="213">
        <v>0</v>
      </c>
      <c r="DY82" s="213">
        <v>0</v>
      </c>
      <c r="DZ82" s="213" t="s">
        <v>249</v>
      </c>
      <c r="EC82" s="213" t="s">
        <v>746</v>
      </c>
      <c r="ED82" s="213" t="s">
        <v>743</v>
      </c>
      <c r="EE82" s="213">
        <v>0</v>
      </c>
      <c r="EF82" s="213">
        <v>0</v>
      </c>
      <c r="EG82" s="213">
        <v>0</v>
      </c>
      <c r="EH82" s="213" t="s">
        <v>249</v>
      </c>
      <c r="EK82" s="213" t="s">
        <v>747</v>
      </c>
      <c r="EL82" s="213" t="s">
        <v>743</v>
      </c>
      <c r="EM82" s="213">
        <v>0</v>
      </c>
      <c r="EN82" s="213">
        <v>0</v>
      </c>
      <c r="EO82" s="213">
        <v>0</v>
      </c>
      <c r="EP82" s="213" t="s">
        <v>249</v>
      </c>
      <c r="ES82" s="213" t="s">
        <v>748</v>
      </c>
      <c r="ET82" s="213" t="s">
        <v>743</v>
      </c>
      <c r="EU82" s="213">
        <v>0</v>
      </c>
      <c r="EV82" s="213">
        <v>0</v>
      </c>
      <c r="EW82" s="213">
        <v>0</v>
      </c>
      <c r="EX82" s="213" t="s">
        <v>249</v>
      </c>
      <c r="FA82" s="213" t="s">
        <v>749</v>
      </c>
      <c r="FB82" s="213" t="s">
        <v>743</v>
      </c>
      <c r="FC82" s="213">
        <v>0</v>
      </c>
      <c r="FD82" s="213">
        <v>0</v>
      </c>
      <c r="FE82" s="213">
        <v>0</v>
      </c>
      <c r="FF82" s="213" t="s">
        <v>249</v>
      </c>
      <c r="FI82" s="213" t="s">
        <v>750</v>
      </c>
      <c r="FJ82" s="213" t="s">
        <v>743</v>
      </c>
      <c r="FK82" s="213">
        <v>0</v>
      </c>
      <c r="FL82" s="213">
        <v>0</v>
      </c>
      <c r="FM82" s="213">
        <v>0</v>
      </c>
      <c r="FN82" s="213" t="s">
        <v>249</v>
      </c>
      <c r="FQ82" s="213" t="s">
        <v>751</v>
      </c>
      <c r="FR82" s="213" t="s">
        <v>743</v>
      </c>
      <c r="FS82" s="213">
        <v>0</v>
      </c>
      <c r="FT82" s="213">
        <v>0</v>
      </c>
      <c r="FU82" s="213">
        <v>0</v>
      </c>
      <c r="FV82" s="213" t="s">
        <v>249</v>
      </c>
      <c r="FY82" s="213">
        <v>18.100000000000001</v>
      </c>
      <c r="FZ82" s="213">
        <v>-4.9000000000000004</v>
      </c>
      <c r="GF82" s="213" t="s">
        <v>752</v>
      </c>
    </row>
    <row r="83" spans="1:188" s="213" customFormat="1" x14ac:dyDescent="0.15">
      <c r="A83" s="213" t="s">
        <v>654</v>
      </c>
      <c r="B83" s="213">
        <v>4</v>
      </c>
      <c r="C83" s="213" t="s">
        <v>1070</v>
      </c>
      <c r="D83" s="213">
        <v>614388006</v>
      </c>
      <c r="E83" s="213">
        <v>92303</v>
      </c>
      <c r="F83" s="213" t="s">
        <v>725</v>
      </c>
      <c r="G83" s="213">
        <v>847922</v>
      </c>
      <c r="H83" s="213">
        <v>684250</v>
      </c>
      <c r="I83" s="213">
        <v>6.8</v>
      </c>
      <c r="J83" s="213" t="s">
        <v>1071</v>
      </c>
      <c r="K83" s="213" t="s">
        <v>727</v>
      </c>
      <c r="L83" s="213" t="s">
        <v>656</v>
      </c>
      <c r="M83" s="213" t="s">
        <v>728</v>
      </c>
      <c r="N83" s="213" t="s">
        <v>728</v>
      </c>
      <c r="O83" s="213" t="s">
        <v>729</v>
      </c>
      <c r="P83" s="213" t="s">
        <v>710</v>
      </c>
      <c r="Q83" s="213">
        <v>23.9</v>
      </c>
      <c r="R83" s="213">
        <v>150</v>
      </c>
      <c r="S83" s="213" t="s">
        <v>710</v>
      </c>
      <c r="T83" s="213">
        <v>-9999</v>
      </c>
      <c r="U83" s="213">
        <v>195</v>
      </c>
      <c r="V83" s="213">
        <v>426</v>
      </c>
      <c r="W83" s="213">
        <v>190</v>
      </c>
      <c r="X83" s="213" t="s">
        <v>710</v>
      </c>
      <c r="Y83" s="213">
        <v>0</v>
      </c>
      <c r="Z83" s="213">
        <v>40</v>
      </c>
      <c r="AA83" s="213" t="s">
        <v>730</v>
      </c>
      <c r="AB83" s="213" t="s">
        <v>731</v>
      </c>
      <c r="AC83" s="213" t="s">
        <v>729</v>
      </c>
      <c r="AD83" s="213" t="s">
        <v>732</v>
      </c>
      <c r="AE83" s="213">
        <v>0</v>
      </c>
      <c r="AF83" s="213">
        <v>6</v>
      </c>
      <c r="AG83" s="213" t="s">
        <v>249</v>
      </c>
      <c r="AH83" s="213">
        <v>-9999</v>
      </c>
      <c r="AI83" s="213">
        <v>167</v>
      </c>
      <c r="AJ83" s="213">
        <v>400</v>
      </c>
      <c r="AK83" s="213">
        <v>165</v>
      </c>
      <c r="AL83" s="213" t="s">
        <v>710</v>
      </c>
      <c r="AM83" s="213">
        <v>0</v>
      </c>
      <c r="AN83" s="213">
        <v>40</v>
      </c>
      <c r="AO83" s="213" t="s">
        <v>733</v>
      </c>
      <c r="AP83" s="213" t="s">
        <v>734</v>
      </c>
      <c r="AQ83" s="213">
        <v>1</v>
      </c>
      <c r="AR83" s="213" t="s">
        <v>735</v>
      </c>
      <c r="AS83" s="213">
        <v>0</v>
      </c>
      <c r="AT83" s="213">
        <v>4</v>
      </c>
      <c r="AU83" s="213" t="s">
        <v>249</v>
      </c>
      <c r="AV83" s="213">
        <v>-9999</v>
      </c>
      <c r="AW83" s="213">
        <v>232</v>
      </c>
      <c r="AX83" s="213">
        <v>572</v>
      </c>
      <c r="AY83" s="213">
        <v>231</v>
      </c>
      <c r="AZ83" s="213" t="s">
        <v>710</v>
      </c>
      <c r="BA83" s="213">
        <v>0</v>
      </c>
      <c r="BB83" s="213">
        <v>40</v>
      </c>
      <c r="BC83" s="213" t="s">
        <v>736</v>
      </c>
      <c r="BD83" s="213" t="s">
        <v>734</v>
      </c>
      <c r="BE83" s="213">
        <v>2</v>
      </c>
      <c r="BF83" s="213" t="s">
        <v>735</v>
      </c>
      <c r="BG83" s="213">
        <v>0</v>
      </c>
      <c r="BH83" s="213">
        <v>3</v>
      </c>
      <c r="BI83" s="213" t="s">
        <v>249</v>
      </c>
      <c r="BJ83" s="213">
        <v>-9999</v>
      </c>
      <c r="BK83" s="213">
        <v>104</v>
      </c>
      <c r="BL83" s="213">
        <v>321</v>
      </c>
      <c r="BM83" s="213">
        <v>103</v>
      </c>
      <c r="BN83" s="213" t="s">
        <v>710</v>
      </c>
      <c r="BO83" s="213">
        <v>0</v>
      </c>
      <c r="BP83" s="213">
        <v>40</v>
      </c>
      <c r="BQ83" s="213" t="s">
        <v>737</v>
      </c>
      <c r="BR83" s="213" t="s">
        <v>734</v>
      </c>
      <c r="BS83" s="213">
        <v>3</v>
      </c>
      <c r="BT83" s="213" t="s">
        <v>735</v>
      </c>
      <c r="BU83" s="213">
        <v>0</v>
      </c>
      <c r="BV83" s="213">
        <v>6</v>
      </c>
      <c r="BW83" s="213" t="s">
        <v>249</v>
      </c>
      <c r="BX83" s="213">
        <v>-9999</v>
      </c>
      <c r="BY83" s="213">
        <v>186</v>
      </c>
      <c r="BZ83" s="213">
        <v>439</v>
      </c>
      <c r="CA83" s="213">
        <v>186</v>
      </c>
      <c r="CB83" s="213" t="s">
        <v>710</v>
      </c>
      <c r="CC83" s="213">
        <v>0</v>
      </c>
      <c r="CD83" s="213">
        <v>40</v>
      </c>
      <c r="CE83" s="213" t="s">
        <v>738</v>
      </c>
      <c r="CF83" s="213" t="s">
        <v>734</v>
      </c>
      <c r="CG83" s="213">
        <v>4</v>
      </c>
      <c r="CH83" s="213" t="s">
        <v>735</v>
      </c>
      <c r="CI83" s="213">
        <v>0</v>
      </c>
      <c r="CJ83" s="213">
        <v>9</v>
      </c>
      <c r="CK83" s="213" t="s">
        <v>249</v>
      </c>
      <c r="CL83" s="213">
        <v>-9999</v>
      </c>
      <c r="CM83" s="213">
        <v>134</v>
      </c>
      <c r="CN83" s="213">
        <v>350</v>
      </c>
      <c r="CO83" s="213">
        <v>132</v>
      </c>
      <c r="CP83" s="213" t="s">
        <v>710</v>
      </c>
      <c r="CQ83" s="213">
        <v>0</v>
      </c>
      <c r="CR83" s="213">
        <v>40</v>
      </c>
      <c r="CS83" s="213" t="s">
        <v>739</v>
      </c>
      <c r="CT83" s="213" t="s">
        <v>740</v>
      </c>
      <c r="CU83" s="213">
        <v>115</v>
      </c>
      <c r="CV83" s="213">
        <v>115</v>
      </c>
      <c r="CW83" s="213">
        <v>114</v>
      </c>
      <c r="CX83" s="213" t="s">
        <v>710</v>
      </c>
      <c r="CY83" s="213" t="s">
        <v>741</v>
      </c>
      <c r="CZ83" s="213" t="s">
        <v>740</v>
      </c>
      <c r="DA83" s="213">
        <v>116</v>
      </c>
      <c r="DB83" s="213">
        <v>116</v>
      </c>
      <c r="DC83" s="213">
        <v>116</v>
      </c>
      <c r="DD83" s="213" t="s">
        <v>710</v>
      </c>
      <c r="DE83" s="213" t="s">
        <v>742</v>
      </c>
      <c r="DF83" s="213" t="s">
        <v>743</v>
      </c>
      <c r="DG83" s="213">
        <v>0</v>
      </c>
      <c r="DH83" s="213">
        <v>0</v>
      </c>
      <c r="DI83" s="213">
        <v>0</v>
      </c>
      <c r="DJ83" s="213" t="s">
        <v>249</v>
      </c>
      <c r="DM83" s="213" t="s">
        <v>744</v>
      </c>
      <c r="DN83" s="213" t="s">
        <v>743</v>
      </c>
      <c r="DO83" s="213">
        <v>0</v>
      </c>
      <c r="DP83" s="213">
        <v>0</v>
      </c>
      <c r="DQ83" s="213">
        <v>0</v>
      </c>
      <c r="DR83" s="213" t="s">
        <v>249</v>
      </c>
      <c r="DU83" s="213" t="s">
        <v>745</v>
      </c>
      <c r="DV83" s="213" t="s">
        <v>743</v>
      </c>
      <c r="DW83" s="213">
        <v>0</v>
      </c>
      <c r="DX83" s="213">
        <v>0</v>
      </c>
      <c r="DY83" s="213">
        <v>0</v>
      </c>
      <c r="DZ83" s="213" t="s">
        <v>249</v>
      </c>
      <c r="EC83" s="213" t="s">
        <v>746</v>
      </c>
      <c r="ED83" s="213" t="s">
        <v>743</v>
      </c>
      <c r="EE83" s="213">
        <v>0</v>
      </c>
      <c r="EF83" s="213">
        <v>0</v>
      </c>
      <c r="EG83" s="213">
        <v>0</v>
      </c>
      <c r="EH83" s="213" t="s">
        <v>249</v>
      </c>
      <c r="EK83" s="213" t="s">
        <v>747</v>
      </c>
      <c r="EL83" s="213" t="s">
        <v>743</v>
      </c>
      <c r="EM83" s="213">
        <v>0</v>
      </c>
      <c r="EN83" s="213">
        <v>0</v>
      </c>
      <c r="EO83" s="213">
        <v>0</v>
      </c>
      <c r="EP83" s="213" t="s">
        <v>249</v>
      </c>
      <c r="ES83" s="213" t="s">
        <v>748</v>
      </c>
      <c r="ET83" s="213" t="s">
        <v>743</v>
      </c>
      <c r="EU83" s="213">
        <v>0</v>
      </c>
      <c r="EV83" s="213">
        <v>0</v>
      </c>
      <c r="EW83" s="213">
        <v>0</v>
      </c>
      <c r="EX83" s="213" t="s">
        <v>249</v>
      </c>
      <c r="FA83" s="213" t="s">
        <v>749</v>
      </c>
      <c r="FB83" s="213" t="s">
        <v>743</v>
      </c>
      <c r="FC83" s="213">
        <v>0</v>
      </c>
      <c r="FD83" s="213">
        <v>0</v>
      </c>
      <c r="FE83" s="213">
        <v>0</v>
      </c>
      <c r="FF83" s="213" t="s">
        <v>249</v>
      </c>
      <c r="FI83" s="213" t="s">
        <v>750</v>
      </c>
      <c r="FJ83" s="213" t="s">
        <v>743</v>
      </c>
      <c r="FK83" s="213">
        <v>0</v>
      </c>
      <c r="FL83" s="213">
        <v>0</v>
      </c>
      <c r="FM83" s="213">
        <v>0</v>
      </c>
      <c r="FN83" s="213" t="s">
        <v>249</v>
      </c>
      <c r="FQ83" s="213" t="s">
        <v>751</v>
      </c>
      <c r="FR83" s="213" t="s">
        <v>743</v>
      </c>
      <c r="FS83" s="213">
        <v>0</v>
      </c>
      <c r="FT83" s="213">
        <v>0</v>
      </c>
      <c r="FU83" s="213">
        <v>0</v>
      </c>
      <c r="FV83" s="213" t="s">
        <v>249</v>
      </c>
      <c r="FY83" s="213">
        <v>19.8</v>
      </c>
      <c r="FZ83" s="213">
        <v>-9</v>
      </c>
      <c r="GF83" s="213" t="s">
        <v>752</v>
      </c>
    </row>
    <row r="84" spans="1:188" s="213" customFormat="1" x14ac:dyDescent="0.15">
      <c r="A84" s="213" t="s">
        <v>654</v>
      </c>
      <c r="B84" s="213">
        <v>4</v>
      </c>
      <c r="C84" s="213" t="s">
        <v>1072</v>
      </c>
      <c r="D84" s="213">
        <v>614387446</v>
      </c>
      <c r="E84" s="213">
        <v>92303</v>
      </c>
      <c r="F84" s="213" t="s">
        <v>725</v>
      </c>
      <c r="G84" s="213">
        <v>847922</v>
      </c>
      <c r="H84" s="213">
        <v>790976</v>
      </c>
      <c r="I84" s="213">
        <v>6.8</v>
      </c>
      <c r="J84" s="213" t="s">
        <v>1073</v>
      </c>
      <c r="K84" s="213" t="s">
        <v>727</v>
      </c>
      <c r="L84" s="213" t="s">
        <v>656</v>
      </c>
      <c r="M84" s="213" t="s">
        <v>728</v>
      </c>
      <c r="N84" s="213" t="s">
        <v>728</v>
      </c>
      <c r="O84" s="213" t="s">
        <v>729</v>
      </c>
      <c r="P84" s="213" t="s">
        <v>710</v>
      </c>
      <c r="Q84" s="213">
        <v>25</v>
      </c>
      <c r="R84" s="213">
        <v>138</v>
      </c>
      <c r="S84" s="213" t="s">
        <v>710</v>
      </c>
      <c r="T84" s="213">
        <v>-9999</v>
      </c>
      <c r="U84" s="213">
        <v>178</v>
      </c>
      <c r="V84" s="213">
        <v>391</v>
      </c>
      <c r="W84" s="213">
        <v>179</v>
      </c>
      <c r="X84" s="213" t="s">
        <v>710</v>
      </c>
      <c r="Y84" s="213">
        <v>0</v>
      </c>
      <c r="Z84" s="213">
        <v>40</v>
      </c>
      <c r="AA84" s="213" t="s">
        <v>730</v>
      </c>
      <c r="AB84" s="213" t="s">
        <v>731</v>
      </c>
      <c r="AC84" s="213" t="s">
        <v>729</v>
      </c>
      <c r="AD84" s="213" t="s">
        <v>732</v>
      </c>
      <c r="AE84" s="213">
        <v>0</v>
      </c>
      <c r="AF84" s="213">
        <v>1</v>
      </c>
      <c r="AG84" s="213" t="s">
        <v>249</v>
      </c>
      <c r="AH84" s="213">
        <v>-9999</v>
      </c>
      <c r="AI84" s="213">
        <v>196</v>
      </c>
      <c r="AJ84" s="213">
        <v>467</v>
      </c>
      <c r="AK84" s="213">
        <v>195</v>
      </c>
      <c r="AL84" s="213" t="s">
        <v>710</v>
      </c>
      <c r="AM84" s="213">
        <v>0</v>
      </c>
      <c r="AN84" s="213">
        <v>40</v>
      </c>
      <c r="AO84" s="213" t="s">
        <v>733</v>
      </c>
      <c r="AP84" s="213" t="s">
        <v>734</v>
      </c>
      <c r="AQ84" s="213">
        <v>1</v>
      </c>
      <c r="AR84" s="213" t="s">
        <v>735</v>
      </c>
      <c r="AS84" s="213">
        <v>0</v>
      </c>
      <c r="AT84" s="213">
        <v>2</v>
      </c>
      <c r="AU84" s="213" t="s">
        <v>249</v>
      </c>
      <c r="AV84" s="213">
        <v>-9999</v>
      </c>
      <c r="AW84" s="213">
        <v>271</v>
      </c>
      <c r="AX84" s="213">
        <v>673</v>
      </c>
      <c r="AY84" s="213">
        <v>269</v>
      </c>
      <c r="AZ84" s="213" t="s">
        <v>710</v>
      </c>
      <c r="BA84" s="213">
        <v>0</v>
      </c>
      <c r="BB84" s="213">
        <v>40</v>
      </c>
      <c r="BC84" s="213" t="s">
        <v>736</v>
      </c>
      <c r="BD84" s="213" t="s">
        <v>734</v>
      </c>
      <c r="BE84" s="213">
        <v>2</v>
      </c>
      <c r="BF84" s="213" t="s">
        <v>735</v>
      </c>
      <c r="BG84" s="213">
        <v>0</v>
      </c>
      <c r="BH84" s="213">
        <v>1</v>
      </c>
      <c r="BI84" s="213" t="s">
        <v>249</v>
      </c>
      <c r="BJ84" s="213">
        <v>-9999</v>
      </c>
      <c r="BK84" s="213">
        <v>116</v>
      </c>
      <c r="BL84" s="213">
        <v>350</v>
      </c>
      <c r="BM84" s="213">
        <v>114</v>
      </c>
      <c r="BN84" s="213" t="s">
        <v>710</v>
      </c>
      <c r="BO84" s="213">
        <v>0</v>
      </c>
      <c r="BP84" s="213">
        <v>40</v>
      </c>
      <c r="BQ84" s="213" t="s">
        <v>737</v>
      </c>
      <c r="BR84" s="213" t="s">
        <v>734</v>
      </c>
      <c r="BS84" s="213">
        <v>3</v>
      </c>
      <c r="BT84" s="213" t="s">
        <v>735</v>
      </c>
      <c r="BU84" s="213">
        <v>0</v>
      </c>
      <c r="BV84" s="213">
        <v>4</v>
      </c>
      <c r="BW84" s="213" t="s">
        <v>249</v>
      </c>
      <c r="BX84" s="213">
        <v>-9999</v>
      </c>
      <c r="BY84" s="213">
        <v>178</v>
      </c>
      <c r="BZ84" s="213">
        <v>423</v>
      </c>
      <c r="CA84" s="213">
        <v>177</v>
      </c>
      <c r="CB84" s="213" t="s">
        <v>710</v>
      </c>
      <c r="CC84" s="213">
        <v>0</v>
      </c>
      <c r="CD84" s="213">
        <v>40</v>
      </c>
      <c r="CE84" s="213" t="s">
        <v>738</v>
      </c>
      <c r="CF84" s="213" t="s">
        <v>734</v>
      </c>
      <c r="CG84" s="213">
        <v>4</v>
      </c>
      <c r="CH84" s="213" t="s">
        <v>735</v>
      </c>
      <c r="CI84" s="213">
        <v>0</v>
      </c>
      <c r="CJ84" s="213">
        <v>6</v>
      </c>
      <c r="CK84" s="213" t="s">
        <v>249</v>
      </c>
      <c r="CL84" s="213">
        <v>-9999</v>
      </c>
      <c r="CM84" s="213">
        <v>140</v>
      </c>
      <c r="CN84" s="213">
        <v>369</v>
      </c>
      <c r="CO84" s="213">
        <v>138</v>
      </c>
      <c r="CP84" s="213" t="s">
        <v>710</v>
      </c>
      <c r="CQ84" s="213">
        <v>0</v>
      </c>
      <c r="CR84" s="213">
        <v>40</v>
      </c>
      <c r="CS84" s="213" t="s">
        <v>739</v>
      </c>
      <c r="CT84" s="213" t="s">
        <v>740</v>
      </c>
      <c r="CU84" s="213">
        <v>116</v>
      </c>
      <c r="CV84" s="213">
        <v>115</v>
      </c>
      <c r="CW84" s="213">
        <v>115</v>
      </c>
      <c r="CX84" s="213" t="s">
        <v>710</v>
      </c>
      <c r="CY84" s="213" t="s">
        <v>741</v>
      </c>
      <c r="CZ84" s="213" t="s">
        <v>740</v>
      </c>
      <c r="DA84" s="213">
        <v>110</v>
      </c>
      <c r="DB84" s="213">
        <v>111</v>
      </c>
      <c r="DC84" s="213">
        <v>110</v>
      </c>
      <c r="DD84" s="213" t="s">
        <v>710</v>
      </c>
      <c r="DE84" s="213" t="s">
        <v>742</v>
      </c>
      <c r="DF84" s="213" t="s">
        <v>743</v>
      </c>
      <c r="DG84" s="213">
        <v>0</v>
      </c>
      <c r="DH84" s="213">
        <v>0</v>
      </c>
      <c r="DI84" s="213">
        <v>0</v>
      </c>
      <c r="DJ84" s="213" t="s">
        <v>249</v>
      </c>
      <c r="DM84" s="213" t="s">
        <v>744</v>
      </c>
      <c r="DN84" s="213" t="s">
        <v>743</v>
      </c>
      <c r="DO84" s="213">
        <v>0</v>
      </c>
      <c r="DP84" s="213">
        <v>0</v>
      </c>
      <c r="DQ84" s="213">
        <v>0</v>
      </c>
      <c r="DR84" s="213" t="s">
        <v>249</v>
      </c>
      <c r="DU84" s="213" t="s">
        <v>745</v>
      </c>
      <c r="DV84" s="213" t="s">
        <v>743</v>
      </c>
      <c r="DW84" s="213">
        <v>0</v>
      </c>
      <c r="DX84" s="213">
        <v>0</v>
      </c>
      <c r="DY84" s="213">
        <v>0</v>
      </c>
      <c r="DZ84" s="213" t="s">
        <v>249</v>
      </c>
      <c r="EC84" s="213" t="s">
        <v>746</v>
      </c>
      <c r="ED84" s="213" t="s">
        <v>743</v>
      </c>
      <c r="EE84" s="213">
        <v>0</v>
      </c>
      <c r="EF84" s="213">
        <v>0</v>
      </c>
      <c r="EG84" s="213">
        <v>0</v>
      </c>
      <c r="EH84" s="213" t="s">
        <v>249</v>
      </c>
      <c r="EK84" s="213" t="s">
        <v>747</v>
      </c>
      <c r="EL84" s="213" t="s">
        <v>743</v>
      </c>
      <c r="EM84" s="213">
        <v>0</v>
      </c>
      <c r="EN84" s="213">
        <v>0</v>
      </c>
      <c r="EO84" s="213">
        <v>0</v>
      </c>
      <c r="EP84" s="213" t="s">
        <v>249</v>
      </c>
      <c r="ES84" s="213" t="s">
        <v>748</v>
      </c>
      <c r="ET84" s="213" t="s">
        <v>743</v>
      </c>
      <c r="EU84" s="213">
        <v>0</v>
      </c>
      <c r="EV84" s="213">
        <v>0</v>
      </c>
      <c r="EW84" s="213">
        <v>0</v>
      </c>
      <c r="EX84" s="213" t="s">
        <v>249</v>
      </c>
      <c r="FA84" s="213" t="s">
        <v>749</v>
      </c>
      <c r="FB84" s="213" t="s">
        <v>743</v>
      </c>
      <c r="FC84" s="213">
        <v>0</v>
      </c>
      <c r="FD84" s="213">
        <v>0</v>
      </c>
      <c r="FE84" s="213">
        <v>0</v>
      </c>
      <c r="FF84" s="213" t="s">
        <v>249</v>
      </c>
      <c r="FI84" s="213" t="s">
        <v>750</v>
      </c>
      <c r="FJ84" s="213" t="s">
        <v>743</v>
      </c>
      <c r="FK84" s="213">
        <v>0</v>
      </c>
      <c r="FL84" s="213">
        <v>0</v>
      </c>
      <c r="FM84" s="213">
        <v>0</v>
      </c>
      <c r="FN84" s="213" t="s">
        <v>249</v>
      </c>
      <c r="FQ84" s="213" t="s">
        <v>751</v>
      </c>
      <c r="FR84" s="213" t="s">
        <v>743</v>
      </c>
      <c r="FS84" s="213">
        <v>0</v>
      </c>
      <c r="FT84" s="213">
        <v>0</v>
      </c>
      <c r="FU84" s="213">
        <v>0</v>
      </c>
      <c r="FV84" s="213" t="s">
        <v>249</v>
      </c>
      <c r="FY84" s="213">
        <v>16.600000000000001</v>
      </c>
      <c r="FZ84" s="213">
        <v>-7.7</v>
      </c>
      <c r="GF84" s="213" t="s">
        <v>752</v>
      </c>
    </row>
    <row r="85" spans="1:188" s="213" customFormat="1" x14ac:dyDescent="0.15">
      <c r="A85" s="213" t="s">
        <v>654</v>
      </c>
      <c r="B85" s="213">
        <v>4</v>
      </c>
      <c r="C85" s="213" t="s">
        <v>1074</v>
      </c>
      <c r="D85" s="213">
        <v>614387172</v>
      </c>
      <c r="E85" s="213">
        <v>92303</v>
      </c>
      <c r="F85" s="213" t="s">
        <v>725</v>
      </c>
      <c r="G85" s="213">
        <v>847922</v>
      </c>
      <c r="H85" s="213">
        <v>654187</v>
      </c>
      <c r="I85" s="213">
        <v>6.8</v>
      </c>
      <c r="J85" s="213" t="s">
        <v>1075</v>
      </c>
      <c r="K85" s="213" t="s">
        <v>727</v>
      </c>
      <c r="L85" s="213" t="s">
        <v>656</v>
      </c>
      <c r="M85" s="213" t="s">
        <v>728</v>
      </c>
      <c r="N85" s="213" t="s">
        <v>728</v>
      </c>
      <c r="O85" s="213" t="s">
        <v>729</v>
      </c>
      <c r="P85" s="213" t="s">
        <v>710</v>
      </c>
      <c r="Q85" s="213">
        <v>26</v>
      </c>
      <c r="R85" s="213">
        <v>135</v>
      </c>
      <c r="S85" s="213" t="s">
        <v>710</v>
      </c>
      <c r="T85" s="213">
        <v>-9999</v>
      </c>
      <c r="U85" s="213">
        <v>204</v>
      </c>
      <c r="V85" s="213">
        <v>423</v>
      </c>
      <c r="W85" s="213">
        <v>202</v>
      </c>
      <c r="X85" s="213" t="s">
        <v>710</v>
      </c>
      <c r="Y85" s="213">
        <v>0</v>
      </c>
      <c r="Z85" s="213">
        <v>40</v>
      </c>
      <c r="AA85" s="213" t="s">
        <v>730</v>
      </c>
      <c r="AB85" s="213" t="s">
        <v>731</v>
      </c>
      <c r="AC85" s="213" t="s">
        <v>729</v>
      </c>
      <c r="AD85" s="213" t="s">
        <v>732</v>
      </c>
      <c r="AE85" s="213">
        <v>0</v>
      </c>
      <c r="AF85" s="213">
        <v>11</v>
      </c>
      <c r="AG85" s="213" t="s">
        <v>249</v>
      </c>
      <c r="AH85" s="213">
        <v>-9999</v>
      </c>
      <c r="AI85" s="213">
        <v>159</v>
      </c>
      <c r="AJ85" s="213">
        <v>379</v>
      </c>
      <c r="AK85" s="213">
        <v>158</v>
      </c>
      <c r="AL85" s="213" t="s">
        <v>710</v>
      </c>
      <c r="AM85" s="213">
        <v>0</v>
      </c>
      <c r="AN85" s="213">
        <v>40</v>
      </c>
      <c r="AO85" s="213" t="s">
        <v>733</v>
      </c>
      <c r="AP85" s="213" t="s">
        <v>734</v>
      </c>
      <c r="AQ85" s="213">
        <v>1</v>
      </c>
      <c r="AR85" s="213" t="s">
        <v>735</v>
      </c>
      <c r="AS85" s="213">
        <v>0</v>
      </c>
      <c r="AT85" s="213">
        <v>23</v>
      </c>
      <c r="AU85" s="213" t="s">
        <v>249</v>
      </c>
      <c r="AV85" s="213">
        <v>-9999</v>
      </c>
      <c r="AW85" s="213">
        <v>241</v>
      </c>
      <c r="AX85" s="213">
        <v>578</v>
      </c>
      <c r="AY85" s="213">
        <v>238</v>
      </c>
      <c r="AZ85" s="213" t="s">
        <v>710</v>
      </c>
      <c r="BA85" s="213">
        <v>0</v>
      </c>
      <c r="BB85" s="213">
        <v>40</v>
      </c>
      <c r="BC85" s="213" t="s">
        <v>736</v>
      </c>
      <c r="BD85" s="213" t="s">
        <v>734</v>
      </c>
      <c r="BE85" s="213">
        <v>2</v>
      </c>
      <c r="BF85" s="213" t="s">
        <v>735</v>
      </c>
      <c r="BG85" s="213">
        <v>0</v>
      </c>
      <c r="BH85" s="213">
        <v>10</v>
      </c>
      <c r="BI85" s="213" t="s">
        <v>249</v>
      </c>
      <c r="BJ85" s="213">
        <v>-9999</v>
      </c>
      <c r="BK85" s="213">
        <v>98</v>
      </c>
      <c r="BL85" s="213">
        <v>307</v>
      </c>
      <c r="BM85" s="213">
        <v>96</v>
      </c>
      <c r="BN85" s="213" t="s">
        <v>710</v>
      </c>
      <c r="BO85" s="213">
        <v>0</v>
      </c>
      <c r="BP85" s="213">
        <v>40</v>
      </c>
      <c r="BQ85" s="213" t="s">
        <v>737</v>
      </c>
      <c r="BR85" s="213" t="s">
        <v>734</v>
      </c>
      <c r="BS85" s="213">
        <v>3</v>
      </c>
      <c r="BT85" s="213" t="s">
        <v>735</v>
      </c>
      <c r="BU85" s="213">
        <v>0</v>
      </c>
      <c r="BV85" s="213">
        <v>9</v>
      </c>
      <c r="BW85" s="213" t="s">
        <v>249</v>
      </c>
      <c r="BX85" s="213">
        <v>-9999</v>
      </c>
      <c r="BY85" s="213">
        <v>184</v>
      </c>
      <c r="BZ85" s="213">
        <v>404</v>
      </c>
      <c r="CA85" s="213">
        <v>183</v>
      </c>
      <c r="CB85" s="213" t="s">
        <v>710</v>
      </c>
      <c r="CC85" s="213">
        <v>0</v>
      </c>
      <c r="CD85" s="213">
        <v>40</v>
      </c>
      <c r="CE85" s="213" t="s">
        <v>738</v>
      </c>
      <c r="CF85" s="213" t="s">
        <v>734</v>
      </c>
      <c r="CG85" s="213">
        <v>4</v>
      </c>
      <c r="CH85" s="213" t="s">
        <v>735</v>
      </c>
      <c r="CI85" s="213">
        <v>0</v>
      </c>
      <c r="CJ85" s="213">
        <v>10</v>
      </c>
      <c r="CK85" s="213" t="s">
        <v>249</v>
      </c>
      <c r="CL85" s="213">
        <v>-9999</v>
      </c>
      <c r="CM85" s="213">
        <v>123</v>
      </c>
      <c r="CN85" s="213">
        <v>312</v>
      </c>
      <c r="CO85" s="213">
        <v>121</v>
      </c>
      <c r="CP85" s="213" t="s">
        <v>710</v>
      </c>
      <c r="CQ85" s="213">
        <v>0</v>
      </c>
      <c r="CR85" s="213">
        <v>40</v>
      </c>
      <c r="CS85" s="213" t="s">
        <v>739</v>
      </c>
      <c r="CT85" s="213" t="s">
        <v>740</v>
      </c>
      <c r="CU85" s="213">
        <v>106</v>
      </c>
      <c r="CV85" s="213">
        <v>106</v>
      </c>
      <c r="CW85" s="213">
        <v>106</v>
      </c>
      <c r="CX85" s="213" t="s">
        <v>710</v>
      </c>
      <c r="CY85" s="213" t="s">
        <v>741</v>
      </c>
      <c r="CZ85" s="213" t="s">
        <v>740</v>
      </c>
      <c r="DA85" s="213">
        <v>112</v>
      </c>
      <c r="DB85" s="213">
        <v>112</v>
      </c>
      <c r="DC85" s="213">
        <v>112</v>
      </c>
      <c r="DD85" s="213" t="s">
        <v>710</v>
      </c>
      <c r="DE85" s="213" t="s">
        <v>742</v>
      </c>
      <c r="DF85" s="213" t="s">
        <v>743</v>
      </c>
      <c r="DG85" s="213">
        <v>0</v>
      </c>
      <c r="DH85" s="213">
        <v>0</v>
      </c>
      <c r="DI85" s="213">
        <v>0</v>
      </c>
      <c r="DJ85" s="213" t="s">
        <v>249</v>
      </c>
      <c r="DM85" s="213" t="s">
        <v>744</v>
      </c>
      <c r="DN85" s="213" t="s">
        <v>743</v>
      </c>
      <c r="DO85" s="213">
        <v>0</v>
      </c>
      <c r="DP85" s="213">
        <v>0</v>
      </c>
      <c r="DQ85" s="213">
        <v>0</v>
      </c>
      <c r="DR85" s="213" t="s">
        <v>249</v>
      </c>
      <c r="DU85" s="213" t="s">
        <v>745</v>
      </c>
      <c r="DV85" s="213" t="s">
        <v>743</v>
      </c>
      <c r="DW85" s="213">
        <v>0</v>
      </c>
      <c r="DX85" s="213">
        <v>0</v>
      </c>
      <c r="DY85" s="213">
        <v>0</v>
      </c>
      <c r="DZ85" s="213" t="s">
        <v>249</v>
      </c>
      <c r="EC85" s="213" t="s">
        <v>746</v>
      </c>
      <c r="ED85" s="213" t="s">
        <v>743</v>
      </c>
      <c r="EE85" s="213">
        <v>0</v>
      </c>
      <c r="EF85" s="213">
        <v>0</v>
      </c>
      <c r="EG85" s="213">
        <v>0</v>
      </c>
      <c r="EH85" s="213" t="s">
        <v>249</v>
      </c>
      <c r="EK85" s="213" t="s">
        <v>747</v>
      </c>
      <c r="EL85" s="213" t="s">
        <v>743</v>
      </c>
      <c r="EM85" s="213">
        <v>0</v>
      </c>
      <c r="EN85" s="213">
        <v>0</v>
      </c>
      <c r="EO85" s="213">
        <v>0</v>
      </c>
      <c r="EP85" s="213" t="s">
        <v>249</v>
      </c>
      <c r="ES85" s="213" t="s">
        <v>748</v>
      </c>
      <c r="ET85" s="213" t="s">
        <v>743</v>
      </c>
      <c r="EU85" s="213">
        <v>0</v>
      </c>
      <c r="EV85" s="213">
        <v>0</v>
      </c>
      <c r="EW85" s="213">
        <v>0</v>
      </c>
      <c r="EX85" s="213" t="s">
        <v>249</v>
      </c>
      <c r="FA85" s="213" t="s">
        <v>749</v>
      </c>
      <c r="FB85" s="213" t="s">
        <v>743</v>
      </c>
      <c r="FC85" s="213">
        <v>0</v>
      </c>
      <c r="FD85" s="213">
        <v>0</v>
      </c>
      <c r="FE85" s="213">
        <v>0</v>
      </c>
      <c r="FF85" s="213" t="s">
        <v>249</v>
      </c>
      <c r="FI85" s="213" t="s">
        <v>750</v>
      </c>
      <c r="FJ85" s="213" t="s">
        <v>743</v>
      </c>
      <c r="FK85" s="213">
        <v>0</v>
      </c>
      <c r="FL85" s="213">
        <v>0</v>
      </c>
      <c r="FM85" s="213">
        <v>0</v>
      </c>
      <c r="FN85" s="213" t="s">
        <v>249</v>
      </c>
      <c r="FQ85" s="213" t="s">
        <v>751</v>
      </c>
      <c r="FR85" s="213" t="s">
        <v>743</v>
      </c>
      <c r="FS85" s="213">
        <v>0</v>
      </c>
      <c r="FT85" s="213">
        <v>0</v>
      </c>
      <c r="FU85" s="213">
        <v>0</v>
      </c>
      <c r="FV85" s="213" t="s">
        <v>249</v>
      </c>
      <c r="FY85" s="213">
        <v>19.2</v>
      </c>
      <c r="FZ85" s="213">
        <v>-9.1999999999999993</v>
      </c>
      <c r="GF85" s="213" t="s">
        <v>752</v>
      </c>
    </row>
    <row r="86" spans="1:188" s="213" customFormat="1" x14ac:dyDescent="0.15">
      <c r="A86" s="213" t="s">
        <v>654</v>
      </c>
      <c r="B86" s="213">
        <v>4</v>
      </c>
      <c r="C86" s="213" t="s">
        <v>1076</v>
      </c>
      <c r="D86" s="213">
        <v>614386812</v>
      </c>
      <c r="E86" s="213">
        <v>92303</v>
      </c>
      <c r="F86" s="213" t="s">
        <v>725</v>
      </c>
      <c r="G86" s="213">
        <v>847922</v>
      </c>
      <c r="H86" s="213">
        <v>674666</v>
      </c>
      <c r="I86" s="213">
        <v>6.8</v>
      </c>
      <c r="J86" s="213" t="s">
        <v>1077</v>
      </c>
      <c r="K86" s="213" t="s">
        <v>727</v>
      </c>
      <c r="L86" s="213" t="s">
        <v>656</v>
      </c>
      <c r="M86" s="213" t="s">
        <v>728</v>
      </c>
      <c r="N86" s="213" t="s">
        <v>728</v>
      </c>
      <c r="O86" s="213" t="s">
        <v>729</v>
      </c>
      <c r="P86" s="213" t="s">
        <v>710</v>
      </c>
      <c r="Q86" s="213">
        <v>25</v>
      </c>
      <c r="R86" s="213">
        <v>148</v>
      </c>
      <c r="S86" s="213" t="s">
        <v>710</v>
      </c>
      <c r="T86" s="213">
        <v>-9999</v>
      </c>
      <c r="U86" s="213">
        <v>194</v>
      </c>
      <c r="V86" s="213">
        <v>430</v>
      </c>
      <c r="W86" s="213">
        <v>188</v>
      </c>
      <c r="X86" s="213" t="s">
        <v>710</v>
      </c>
      <c r="Y86" s="213">
        <v>0</v>
      </c>
      <c r="Z86" s="213">
        <v>40</v>
      </c>
      <c r="AA86" s="213" t="s">
        <v>730</v>
      </c>
      <c r="AB86" s="213" t="s">
        <v>731</v>
      </c>
      <c r="AC86" s="213" t="s">
        <v>729</v>
      </c>
      <c r="AD86" s="213" t="s">
        <v>732</v>
      </c>
      <c r="AE86" s="213">
        <v>0</v>
      </c>
      <c r="AF86" s="213">
        <v>1</v>
      </c>
      <c r="AG86" s="213" t="s">
        <v>249</v>
      </c>
      <c r="AH86" s="213">
        <v>-9999</v>
      </c>
      <c r="AI86" s="213">
        <v>213</v>
      </c>
      <c r="AJ86" s="213">
        <v>508</v>
      </c>
      <c r="AK86" s="213">
        <v>210</v>
      </c>
      <c r="AL86" s="213" t="s">
        <v>710</v>
      </c>
      <c r="AM86" s="213">
        <v>0</v>
      </c>
      <c r="AN86" s="213">
        <v>40</v>
      </c>
      <c r="AO86" s="213" t="s">
        <v>733</v>
      </c>
      <c r="AP86" s="213" t="s">
        <v>734</v>
      </c>
      <c r="AQ86" s="213">
        <v>1</v>
      </c>
      <c r="AR86" s="213" t="s">
        <v>735</v>
      </c>
      <c r="AS86" s="213">
        <v>0</v>
      </c>
      <c r="AT86" s="213">
        <v>4</v>
      </c>
      <c r="AU86" s="213" t="s">
        <v>249</v>
      </c>
      <c r="AV86" s="213">
        <v>-9999</v>
      </c>
      <c r="AW86" s="213">
        <v>264</v>
      </c>
      <c r="AX86" s="213">
        <v>654</v>
      </c>
      <c r="AY86" s="213">
        <v>260</v>
      </c>
      <c r="AZ86" s="213" t="s">
        <v>710</v>
      </c>
      <c r="BA86" s="213">
        <v>0</v>
      </c>
      <c r="BB86" s="213">
        <v>40</v>
      </c>
      <c r="BC86" s="213" t="s">
        <v>736</v>
      </c>
      <c r="BD86" s="213" t="s">
        <v>734</v>
      </c>
      <c r="BE86" s="213">
        <v>2</v>
      </c>
      <c r="BF86" s="213" t="s">
        <v>735</v>
      </c>
      <c r="BG86" s="213">
        <v>0</v>
      </c>
      <c r="BH86" s="213">
        <v>1</v>
      </c>
      <c r="BI86" s="213" t="s">
        <v>249</v>
      </c>
      <c r="BJ86" s="213">
        <v>-9999</v>
      </c>
      <c r="BK86" s="213">
        <v>102</v>
      </c>
      <c r="BL86" s="213">
        <v>313</v>
      </c>
      <c r="BM86" s="213">
        <v>100</v>
      </c>
      <c r="BN86" s="213" t="s">
        <v>710</v>
      </c>
      <c r="BO86" s="213">
        <v>0</v>
      </c>
      <c r="BP86" s="213">
        <v>40</v>
      </c>
      <c r="BQ86" s="213" t="s">
        <v>737</v>
      </c>
      <c r="BR86" s="213" t="s">
        <v>734</v>
      </c>
      <c r="BS86" s="213">
        <v>3</v>
      </c>
      <c r="BT86" s="213" t="s">
        <v>735</v>
      </c>
      <c r="BU86" s="213">
        <v>0</v>
      </c>
      <c r="BV86" s="213">
        <v>3</v>
      </c>
      <c r="BW86" s="213" t="s">
        <v>249</v>
      </c>
      <c r="BX86" s="213">
        <v>-9999</v>
      </c>
      <c r="BY86" s="213">
        <v>166</v>
      </c>
      <c r="BZ86" s="213">
        <v>399</v>
      </c>
      <c r="CA86" s="213">
        <v>165</v>
      </c>
      <c r="CB86" s="213" t="s">
        <v>710</v>
      </c>
      <c r="CC86" s="213">
        <v>0</v>
      </c>
      <c r="CD86" s="213">
        <v>40</v>
      </c>
      <c r="CE86" s="213" t="s">
        <v>738</v>
      </c>
      <c r="CF86" s="213" t="s">
        <v>734</v>
      </c>
      <c r="CG86" s="213">
        <v>4</v>
      </c>
      <c r="CH86" s="213" t="s">
        <v>735</v>
      </c>
      <c r="CI86" s="213">
        <v>0</v>
      </c>
      <c r="CJ86" s="213">
        <v>3</v>
      </c>
      <c r="CK86" s="213" t="s">
        <v>249</v>
      </c>
      <c r="CL86" s="213">
        <v>-9999</v>
      </c>
      <c r="CM86" s="213">
        <v>122</v>
      </c>
      <c r="CN86" s="213">
        <v>316</v>
      </c>
      <c r="CO86" s="213">
        <v>119</v>
      </c>
      <c r="CP86" s="213" t="s">
        <v>710</v>
      </c>
      <c r="CQ86" s="213">
        <v>0</v>
      </c>
      <c r="CR86" s="213">
        <v>40</v>
      </c>
      <c r="CS86" s="213" t="s">
        <v>739</v>
      </c>
      <c r="CT86" s="213" t="s">
        <v>740</v>
      </c>
      <c r="CU86" s="213">
        <v>99</v>
      </c>
      <c r="CV86" s="213">
        <v>99</v>
      </c>
      <c r="CW86" s="213">
        <v>98</v>
      </c>
      <c r="CX86" s="213" t="s">
        <v>710</v>
      </c>
      <c r="CY86" s="213" t="s">
        <v>741</v>
      </c>
      <c r="CZ86" s="213" t="s">
        <v>740</v>
      </c>
      <c r="DA86" s="213">
        <v>113</v>
      </c>
      <c r="DB86" s="213">
        <v>113</v>
      </c>
      <c r="DC86" s="213">
        <v>113</v>
      </c>
      <c r="DD86" s="213" t="s">
        <v>710</v>
      </c>
      <c r="DE86" s="213" t="s">
        <v>742</v>
      </c>
      <c r="DF86" s="213" t="s">
        <v>743</v>
      </c>
      <c r="DG86" s="213">
        <v>0</v>
      </c>
      <c r="DH86" s="213">
        <v>0</v>
      </c>
      <c r="DI86" s="213">
        <v>0</v>
      </c>
      <c r="DJ86" s="213" t="s">
        <v>249</v>
      </c>
      <c r="DM86" s="213" t="s">
        <v>744</v>
      </c>
      <c r="DN86" s="213" t="s">
        <v>743</v>
      </c>
      <c r="DO86" s="213">
        <v>0</v>
      </c>
      <c r="DP86" s="213">
        <v>0</v>
      </c>
      <c r="DQ86" s="213">
        <v>0</v>
      </c>
      <c r="DR86" s="213" t="s">
        <v>249</v>
      </c>
      <c r="DU86" s="213" t="s">
        <v>745</v>
      </c>
      <c r="DV86" s="213" t="s">
        <v>743</v>
      </c>
      <c r="DW86" s="213">
        <v>0</v>
      </c>
      <c r="DX86" s="213">
        <v>0</v>
      </c>
      <c r="DY86" s="213">
        <v>0</v>
      </c>
      <c r="DZ86" s="213" t="s">
        <v>249</v>
      </c>
      <c r="EC86" s="213" t="s">
        <v>746</v>
      </c>
      <c r="ED86" s="213" t="s">
        <v>743</v>
      </c>
      <c r="EE86" s="213">
        <v>0</v>
      </c>
      <c r="EF86" s="213">
        <v>0</v>
      </c>
      <c r="EG86" s="213">
        <v>0</v>
      </c>
      <c r="EH86" s="213" t="s">
        <v>249</v>
      </c>
      <c r="EK86" s="213" t="s">
        <v>747</v>
      </c>
      <c r="EL86" s="213" t="s">
        <v>743</v>
      </c>
      <c r="EM86" s="213">
        <v>0</v>
      </c>
      <c r="EN86" s="213">
        <v>0</v>
      </c>
      <c r="EO86" s="213">
        <v>0</v>
      </c>
      <c r="EP86" s="213" t="s">
        <v>249</v>
      </c>
      <c r="ES86" s="213" t="s">
        <v>748</v>
      </c>
      <c r="ET86" s="213" t="s">
        <v>743</v>
      </c>
      <c r="EU86" s="213">
        <v>0</v>
      </c>
      <c r="EV86" s="213">
        <v>0</v>
      </c>
      <c r="EW86" s="213">
        <v>0</v>
      </c>
      <c r="EX86" s="213" t="s">
        <v>249</v>
      </c>
      <c r="FA86" s="213" t="s">
        <v>749</v>
      </c>
      <c r="FB86" s="213" t="s">
        <v>743</v>
      </c>
      <c r="FC86" s="213">
        <v>0</v>
      </c>
      <c r="FD86" s="213">
        <v>0</v>
      </c>
      <c r="FE86" s="213">
        <v>0</v>
      </c>
      <c r="FF86" s="213" t="s">
        <v>249</v>
      </c>
      <c r="FI86" s="213" t="s">
        <v>750</v>
      </c>
      <c r="FJ86" s="213" t="s">
        <v>743</v>
      </c>
      <c r="FK86" s="213">
        <v>0</v>
      </c>
      <c r="FL86" s="213">
        <v>0</v>
      </c>
      <c r="FM86" s="213">
        <v>0</v>
      </c>
      <c r="FN86" s="213" t="s">
        <v>249</v>
      </c>
      <c r="FQ86" s="213" t="s">
        <v>751</v>
      </c>
      <c r="FR86" s="213" t="s">
        <v>743</v>
      </c>
      <c r="FS86" s="213">
        <v>0</v>
      </c>
      <c r="FT86" s="213">
        <v>0</v>
      </c>
      <c r="FU86" s="213">
        <v>0</v>
      </c>
      <c r="FV86" s="213" t="s">
        <v>249</v>
      </c>
      <c r="FY86" s="213">
        <v>19</v>
      </c>
      <c r="FZ86" s="213">
        <v>-9.9</v>
      </c>
      <c r="GF86" s="213" t="s">
        <v>752</v>
      </c>
    </row>
    <row r="87" spans="1:188" s="213" customFormat="1" x14ac:dyDescent="0.15">
      <c r="A87" s="213" t="s">
        <v>654</v>
      </c>
      <c r="B87" s="213">
        <v>4</v>
      </c>
      <c r="C87" s="213" t="s">
        <v>1078</v>
      </c>
      <c r="D87" s="213">
        <v>614386569</v>
      </c>
      <c r="E87" s="213">
        <v>92303</v>
      </c>
      <c r="F87" s="213" t="s">
        <v>725</v>
      </c>
      <c r="G87" s="213">
        <v>847922</v>
      </c>
      <c r="H87" s="213">
        <v>797456</v>
      </c>
      <c r="I87" s="213">
        <v>6.8</v>
      </c>
      <c r="J87" s="213" t="s">
        <v>1079</v>
      </c>
      <c r="K87" s="213" t="s">
        <v>727</v>
      </c>
      <c r="L87" s="213" t="s">
        <v>656</v>
      </c>
      <c r="M87" s="213" t="s">
        <v>728</v>
      </c>
      <c r="N87" s="213" t="s">
        <v>728</v>
      </c>
      <c r="O87" s="213" t="s">
        <v>729</v>
      </c>
      <c r="P87" s="213" t="s">
        <v>710</v>
      </c>
      <c r="Q87" s="213">
        <v>25</v>
      </c>
      <c r="R87" s="213">
        <v>125</v>
      </c>
      <c r="S87" s="213" t="s">
        <v>710</v>
      </c>
      <c r="T87" s="213">
        <v>-9999</v>
      </c>
      <c r="U87" s="213">
        <v>178</v>
      </c>
      <c r="V87" s="213">
        <v>387</v>
      </c>
      <c r="W87" s="213">
        <v>172</v>
      </c>
      <c r="X87" s="213" t="s">
        <v>710</v>
      </c>
      <c r="Y87" s="213">
        <v>0</v>
      </c>
      <c r="Z87" s="213">
        <v>40</v>
      </c>
      <c r="AA87" s="213" t="s">
        <v>730</v>
      </c>
      <c r="AB87" s="213" t="s">
        <v>731</v>
      </c>
      <c r="AC87" s="213" t="s">
        <v>729</v>
      </c>
      <c r="AD87" s="213" t="s">
        <v>732</v>
      </c>
      <c r="AE87" s="213">
        <v>0</v>
      </c>
      <c r="AF87" s="213">
        <v>5</v>
      </c>
      <c r="AG87" s="213" t="s">
        <v>249</v>
      </c>
      <c r="AH87" s="213">
        <v>-9999</v>
      </c>
      <c r="AI87" s="213">
        <v>166</v>
      </c>
      <c r="AJ87" s="213">
        <v>398</v>
      </c>
      <c r="AK87" s="213">
        <v>165</v>
      </c>
      <c r="AL87" s="213" t="s">
        <v>710</v>
      </c>
      <c r="AM87" s="213">
        <v>0</v>
      </c>
      <c r="AN87" s="213">
        <v>40</v>
      </c>
      <c r="AO87" s="213" t="s">
        <v>733</v>
      </c>
      <c r="AP87" s="213" t="s">
        <v>734</v>
      </c>
      <c r="AQ87" s="213">
        <v>1</v>
      </c>
      <c r="AR87" s="213" t="s">
        <v>735</v>
      </c>
      <c r="AS87" s="213">
        <v>0</v>
      </c>
      <c r="AT87" s="213">
        <v>1</v>
      </c>
      <c r="AU87" s="213" t="s">
        <v>249</v>
      </c>
      <c r="AV87" s="213">
        <v>-9999</v>
      </c>
      <c r="AW87" s="213">
        <v>223</v>
      </c>
      <c r="AX87" s="213">
        <v>551</v>
      </c>
      <c r="AY87" s="213">
        <v>222</v>
      </c>
      <c r="AZ87" s="213" t="s">
        <v>710</v>
      </c>
      <c r="BA87" s="213">
        <v>0</v>
      </c>
      <c r="BB87" s="213">
        <v>40</v>
      </c>
      <c r="BC87" s="213" t="s">
        <v>736</v>
      </c>
      <c r="BD87" s="213" t="s">
        <v>734</v>
      </c>
      <c r="BE87" s="213">
        <v>2</v>
      </c>
      <c r="BF87" s="213" t="s">
        <v>735</v>
      </c>
      <c r="BG87" s="213">
        <v>0</v>
      </c>
      <c r="BH87" s="213">
        <v>2</v>
      </c>
      <c r="BI87" s="213" t="s">
        <v>249</v>
      </c>
      <c r="BJ87" s="213">
        <v>-9999</v>
      </c>
      <c r="BK87" s="213">
        <v>91</v>
      </c>
      <c r="BL87" s="213">
        <v>277</v>
      </c>
      <c r="BM87" s="213">
        <v>89</v>
      </c>
      <c r="BN87" s="213" t="s">
        <v>710</v>
      </c>
      <c r="BO87" s="213">
        <v>0</v>
      </c>
      <c r="BP87" s="213">
        <v>40</v>
      </c>
      <c r="BQ87" s="213" t="s">
        <v>737</v>
      </c>
      <c r="BR87" s="213" t="s">
        <v>734</v>
      </c>
      <c r="BS87" s="213">
        <v>3</v>
      </c>
      <c r="BT87" s="213" t="s">
        <v>735</v>
      </c>
      <c r="BU87" s="213">
        <v>0</v>
      </c>
      <c r="BV87" s="213">
        <v>1</v>
      </c>
      <c r="BW87" s="213" t="s">
        <v>249</v>
      </c>
      <c r="BX87" s="213">
        <v>-9999</v>
      </c>
      <c r="BY87" s="213">
        <v>163</v>
      </c>
      <c r="BZ87" s="213">
        <v>383</v>
      </c>
      <c r="CA87" s="213">
        <v>163</v>
      </c>
      <c r="CB87" s="213" t="s">
        <v>710</v>
      </c>
      <c r="CC87" s="213">
        <v>0</v>
      </c>
      <c r="CD87" s="213">
        <v>40</v>
      </c>
      <c r="CE87" s="213" t="s">
        <v>738</v>
      </c>
      <c r="CF87" s="213" t="s">
        <v>734</v>
      </c>
      <c r="CG87" s="213">
        <v>4</v>
      </c>
      <c r="CH87" s="213" t="s">
        <v>735</v>
      </c>
      <c r="CI87" s="213">
        <v>0</v>
      </c>
      <c r="CJ87" s="213">
        <v>7</v>
      </c>
      <c r="CK87" s="213" t="s">
        <v>249</v>
      </c>
      <c r="CL87" s="213">
        <v>-9999</v>
      </c>
      <c r="CM87" s="213">
        <v>119</v>
      </c>
      <c r="CN87" s="213">
        <v>308</v>
      </c>
      <c r="CO87" s="213">
        <v>118</v>
      </c>
      <c r="CP87" s="213" t="s">
        <v>710</v>
      </c>
      <c r="CQ87" s="213">
        <v>0</v>
      </c>
      <c r="CR87" s="213">
        <v>40</v>
      </c>
      <c r="CS87" s="213" t="s">
        <v>739</v>
      </c>
      <c r="CT87" s="213" t="s">
        <v>740</v>
      </c>
      <c r="CU87" s="213">
        <v>98</v>
      </c>
      <c r="CV87" s="213">
        <v>98</v>
      </c>
      <c r="CW87" s="213">
        <v>98</v>
      </c>
      <c r="CX87" s="213" t="s">
        <v>710</v>
      </c>
      <c r="CY87" s="213" t="s">
        <v>741</v>
      </c>
      <c r="CZ87" s="213" t="s">
        <v>740</v>
      </c>
      <c r="DA87" s="213">
        <v>95</v>
      </c>
      <c r="DB87" s="213">
        <v>95</v>
      </c>
      <c r="DC87" s="213">
        <v>95</v>
      </c>
      <c r="DD87" s="213" t="s">
        <v>710</v>
      </c>
      <c r="DE87" s="213" t="s">
        <v>742</v>
      </c>
      <c r="DF87" s="213" t="s">
        <v>743</v>
      </c>
      <c r="DG87" s="213">
        <v>0</v>
      </c>
      <c r="DH87" s="213">
        <v>0</v>
      </c>
      <c r="DI87" s="213">
        <v>0</v>
      </c>
      <c r="DJ87" s="213" t="s">
        <v>249</v>
      </c>
      <c r="DM87" s="213" t="s">
        <v>744</v>
      </c>
      <c r="DN87" s="213" t="s">
        <v>743</v>
      </c>
      <c r="DO87" s="213">
        <v>0</v>
      </c>
      <c r="DP87" s="213">
        <v>0</v>
      </c>
      <c r="DQ87" s="213">
        <v>0</v>
      </c>
      <c r="DR87" s="213" t="s">
        <v>249</v>
      </c>
      <c r="DU87" s="213" t="s">
        <v>745</v>
      </c>
      <c r="DV87" s="213" t="s">
        <v>743</v>
      </c>
      <c r="DW87" s="213">
        <v>0</v>
      </c>
      <c r="DX87" s="213">
        <v>0</v>
      </c>
      <c r="DY87" s="213">
        <v>0</v>
      </c>
      <c r="DZ87" s="213" t="s">
        <v>249</v>
      </c>
      <c r="EC87" s="213" t="s">
        <v>746</v>
      </c>
      <c r="ED87" s="213" t="s">
        <v>743</v>
      </c>
      <c r="EE87" s="213">
        <v>0</v>
      </c>
      <c r="EF87" s="213">
        <v>0</v>
      </c>
      <c r="EG87" s="213">
        <v>0</v>
      </c>
      <c r="EH87" s="213" t="s">
        <v>249</v>
      </c>
      <c r="EK87" s="213" t="s">
        <v>747</v>
      </c>
      <c r="EL87" s="213" t="s">
        <v>743</v>
      </c>
      <c r="EM87" s="213">
        <v>0</v>
      </c>
      <c r="EN87" s="213">
        <v>0</v>
      </c>
      <c r="EO87" s="213">
        <v>0</v>
      </c>
      <c r="EP87" s="213" t="s">
        <v>249</v>
      </c>
      <c r="ES87" s="213" t="s">
        <v>748</v>
      </c>
      <c r="ET87" s="213" t="s">
        <v>743</v>
      </c>
      <c r="EU87" s="213">
        <v>0</v>
      </c>
      <c r="EV87" s="213">
        <v>0</v>
      </c>
      <c r="EW87" s="213">
        <v>0</v>
      </c>
      <c r="EX87" s="213" t="s">
        <v>249</v>
      </c>
      <c r="FA87" s="213" t="s">
        <v>749</v>
      </c>
      <c r="FB87" s="213" t="s">
        <v>743</v>
      </c>
      <c r="FC87" s="213">
        <v>0</v>
      </c>
      <c r="FD87" s="213">
        <v>0</v>
      </c>
      <c r="FE87" s="213">
        <v>0</v>
      </c>
      <c r="FF87" s="213" t="s">
        <v>249</v>
      </c>
      <c r="FI87" s="213" t="s">
        <v>750</v>
      </c>
      <c r="FJ87" s="213" t="s">
        <v>743</v>
      </c>
      <c r="FK87" s="213">
        <v>0</v>
      </c>
      <c r="FL87" s="213">
        <v>0</v>
      </c>
      <c r="FM87" s="213">
        <v>0</v>
      </c>
      <c r="FN87" s="213" t="s">
        <v>249</v>
      </c>
      <c r="FQ87" s="213" t="s">
        <v>751</v>
      </c>
      <c r="FR87" s="213" t="s">
        <v>743</v>
      </c>
      <c r="FS87" s="213">
        <v>0</v>
      </c>
      <c r="FT87" s="213">
        <v>0</v>
      </c>
      <c r="FU87" s="213">
        <v>0</v>
      </c>
      <c r="FV87" s="213" t="s">
        <v>249</v>
      </c>
      <c r="FY87" s="213">
        <v>18.100000000000001</v>
      </c>
      <c r="FZ87" s="213">
        <v>-9.1999999999999993</v>
      </c>
      <c r="GF87" s="213" t="s">
        <v>752</v>
      </c>
    </row>
    <row r="88" spans="1:188" s="213" customFormat="1" x14ac:dyDescent="0.15">
      <c r="A88" s="213" t="s">
        <v>654</v>
      </c>
      <c r="B88" s="213">
        <v>4</v>
      </c>
      <c r="C88" s="213" t="s">
        <v>1080</v>
      </c>
      <c r="D88" s="213">
        <v>614387311</v>
      </c>
      <c r="E88" s="213">
        <v>92303</v>
      </c>
      <c r="F88" s="213" t="s">
        <v>725</v>
      </c>
      <c r="G88" s="213">
        <v>847922</v>
      </c>
      <c r="H88" s="213">
        <v>695878</v>
      </c>
      <c r="I88" s="213">
        <v>6.8</v>
      </c>
      <c r="J88" s="213" t="s">
        <v>1081</v>
      </c>
      <c r="K88" s="213" t="s">
        <v>727</v>
      </c>
      <c r="L88" s="213" t="s">
        <v>656</v>
      </c>
      <c r="M88" s="213" t="s">
        <v>728</v>
      </c>
      <c r="N88" s="213" t="s">
        <v>728</v>
      </c>
      <c r="O88" s="213" t="s">
        <v>729</v>
      </c>
      <c r="P88" s="213" t="s">
        <v>710</v>
      </c>
      <c r="Q88" s="213">
        <v>23.8</v>
      </c>
      <c r="R88" s="213">
        <v>155</v>
      </c>
      <c r="S88" s="213" t="s">
        <v>710</v>
      </c>
      <c r="T88" s="213">
        <v>-9999</v>
      </c>
      <c r="U88" s="213">
        <v>215</v>
      </c>
      <c r="V88" s="213">
        <v>467</v>
      </c>
      <c r="W88" s="213">
        <v>211</v>
      </c>
      <c r="X88" s="213" t="s">
        <v>710</v>
      </c>
      <c r="Y88" s="213">
        <v>0</v>
      </c>
      <c r="Z88" s="213">
        <v>40</v>
      </c>
      <c r="AA88" s="213" t="s">
        <v>730</v>
      </c>
      <c r="AB88" s="213" t="s">
        <v>731</v>
      </c>
      <c r="AC88" s="213" t="s">
        <v>729</v>
      </c>
      <c r="AD88" s="213" t="s">
        <v>732</v>
      </c>
      <c r="AE88" s="213">
        <v>0</v>
      </c>
      <c r="AF88" s="213">
        <v>6</v>
      </c>
      <c r="AG88" s="213" t="s">
        <v>249</v>
      </c>
      <c r="AH88" s="213">
        <v>-9999</v>
      </c>
      <c r="AI88" s="213">
        <v>193</v>
      </c>
      <c r="AJ88" s="213">
        <v>463</v>
      </c>
      <c r="AK88" s="213">
        <v>193</v>
      </c>
      <c r="AL88" s="213" t="s">
        <v>710</v>
      </c>
      <c r="AM88" s="213">
        <v>0</v>
      </c>
      <c r="AN88" s="213">
        <v>40</v>
      </c>
      <c r="AO88" s="213" t="s">
        <v>733</v>
      </c>
      <c r="AP88" s="213" t="s">
        <v>734</v>
      </c>
      <c r="AQ88" s="213">
        <v>1</v>
      </c>
      <c r="AR88" s="213" t="s">
        <v>735</v>
      </c>
      <c r="AS88" s="213">
        <v>0</v>
      </c>
      <c r="AT88" s="213">
        <v>6</v>
      </c>
      <c r="AU88" s="213" t="s">
        <v>249</v>
      </c>
      <c r="AV88" s="213">
        <v>-9999</v>
      </c>
      <c r="AW88" s="213">
        <v>287</v>
      </c>
      <c r="AX88" s="213">
        <v>713</v>
      </c>
      <c r="AY88" s="213">
        <v>286</v>
      </c>
      <c r="AZ88" s="213" t="s">
        <v>710</v>
      </c>
      <c r="BA88" s="213">
        <v>0</v>
      </c>
      <c r="BB88" s="213">
        <v>40</v>
      </c>
      <c r="BC88" s="213" t="s">
        <v>736</v>
      </c>
      <c r="BD88" s="213" t="s">
        <v>734</v>
      </c>
      <c r="BE88" s="213">
        <v>2</v>
      </c>
      <c r="BF88" s="213" t="s">
        <v>735</v>
      </c>
      <c r="BG88" s="213">
        <v>0</v>
      </c>
      <c r="BH88" s="213">
        <v>4</v>
      </c>
      <c r="BI88" s="213" t="s">
        <v>249</v>
      </c>
      <c r="BJ88" s="213">
        <v>-9999</v>
      </c>
      <c r="BK88" s="213">
        <v>109</v>
      </c>
      <c r="BL88" s="213">
        <v>332</v>
      </c>
      <c r="BM88" s="213">
        <v>110</v>
      </c>
      <c r="BN88" s="213" t="s">
        <v>710</v>
      </c>
      <c r="BO88" s="213">
        <v>0</v>
      </c>
      <c r="BP88" s="213">
        <v>40</v>
      </c>
      <c r="BQ88" s="213" t="s">
        <v>737</v>
      </c>
      <c r="BR88" s="213" t="s">
        <v>734</v>
      </c>
      <c r="BS88" s="213">
        <v>3</v>
      </c>
      <c r="BT88" s="213" t="s">
        <v>735</v>
      </c>
      <c r="BU88" s="213">
        <v>0</v>
      </c>
      <c r="BV88" s="213">
        <v>5</v>
      </c>
      <c r="BW88" s="213" t="s">
        <v>249</v>
      </c>
      <c r="BX88" s="213">
        <v>-9999</v>
      </c>
      <c r="BY88" s="213">
        <v>181</v>
      </c>
      <c r="BZ88" s="213">
        <v>418</v>
      </c>
      <c r="CA88" s="213">
        <v>181</v>
      </c>
      <c r="CB88" s="213" t="s">
        <v>710</v>
      </c>
      <c r="CC88" s="213">
        <v>0</v>
      </c>
      <c r="CD88" s="213">
        <v>40</v>
      </c>
      <c r="CE88" s="213" t="s">
        <v>738</v>
      </c>
      <c r="CF88" s="213" t="s">
        <v>734</v>
      </c>
      <c r="CG88" s="213">
        <v>4</v>
      </c>
      <c r="CH88" s="213" t="s">
        <v>735</v>
      </c>
      <c r="CI88" s="213">
        <v>0</v>
      </c>
      <c r="CJ88" s="213">
        <v>6</v>
      </c>
      <c r="CK88" s="213" t="s">
        <v>249</v>
      </c>
      <c r="CL88" s="213">
        <v>-9999</v>
      </c>
      <c r="CM88" s="213">
        <v>130</v>
      </c>
      <c r="CN88" s="213">
        <v>342</v>
      </c>
      <c r="CO88" s="213">
        <v>129</v>
      </c>
      <c r="CP88" s="213" t="s">
        <v>710</v>
      </c>
      <c r="CQ88" s="213">
        <v>0</v>
      </c>
      <c r="CR88" s="213">
        <v>40</v>
      </c>
      <c r="CS88" s="213" t="s">
        <v>739</v>
      </c>
      <c r="CT88" s="213" t="s">
        <v>740</v>
      </c>
      <c r="CU88" s="213">
        <v>118</v>
      </c>
      <c r="CV88" s="213">
        <v>117</v>
      </c>
      <c r="CW88" s="213">
        <v>117</v>
      </c>
      <c r="CX88" s="213" t="s">
        <v>710</v>
      </c>
      <c r="CY88" s="213" t="s">
        <v>741</v>
      </c>
      <c r="CZ88" s="213" t="s">
        <v>740</v>
      </c>
      <c r="DA88" s="213">
        <v>121</v>
      </c>
      <c r="DB88" s="213">
        <v>121</v>
      </c>
      <c r="DC88" s="213">
        <v>121</v>
      </c>
      <c r="DD88" s="213" t="s">
        <v>710</v>
      </c>
      <c r="DE88" s="213" t="s">
        <v>742</v>
      </c>
      <c r="DF88" s="213" t="s">
        <v>743</v>
      </c>
      <c r="DG88" s="213">
        <v>0</v>
      </c>
      <c r="DH88" s="213">
        <v>0</v>
      </c>
      <c r="DI88" s="213">
        <v>0</v>
      </c>
      <c r="DJ88" s="213" t="s">
        <v>249</v>
      </c>
      <c r="DM88" s="213" t="s">
        <v>744</v>
      </c>
      <c r="DN88" s="213" t="s">
        <v>743</v>
      </c>
      <c r="DO88" s="213">
        <v>0</v>
      </c>
      <c r="DP88" s="213">
        <v>0</v>
      </c>
      <c r="DQ88" s="213">
        <v>0</v>
      </c>
      <c r="DR88" s="213" t="s">
        <v>249</v>
      </c>
      <c r="DU88" s="213" t="s">
        <v>745</v>
      </c>
      <c r="DV88" s="213" t="s">
        <v>743</v>
      </c>
      <c r="DW88" s="213">
        <v>0</v>
      </c>
      <c r="DX88" s="213">
        <v>0</v>
      </c>
      <c r="DY88" s="213">
        <v>0</v>
      </c>
      <c r="DZ88" s="213" t="s">
        <v>249</v>
      </c>
      <c r="EC88" s="213" t="s">
        <v>746</v>
      </c>
      <c r="ED88" s="213" t="s">
        <v>743</v>
      </c>
      <c r="EE88" s="213">
        <v>0</v>
      </c>
      <c r="EF88" s="213">
        <v>0</v>
      </c>
      <c r="EG88" s="213">
        <v>0</v>
      </c>
      <c r="EH88" s="213" t="s">
        <v>249</v>
      </c>
      <c r="EK88" s="213" t="s">
        <v>747</v>
      </c>
      <c r="EL88" s="213" t="s">
        <v>743</v>
      </c>
      <c r="EM88" s="213">
        <v>0</v>
      </c>
      <c r="EN88" s="213">
        <v>0</v>
      </c>
      <c r="EO88" s="213">
        <v>0</v>
      </c>
      <c r="EP88" s="213" t="s">
        <v>249</v>
      </c>
      <c r="ES88" s="213" t="s">
        <v>748</v>
      </c>
      <c r="ET88" s="213" t="s">
        <v>743</v>
      </c>
      <c r="EU88" s="213">
        <v>0</v>
      </c>
      <c r="EV88" s="213">
        <v>0</v>
      </c>
      <c r="EW88" s="213">
        <v>0</v>
      </c>
      <c r="EX88" s="213" t="s">
        <v>249</v>
      </c>
      <c r="FA88" s="213" t="s">
        <v>749</v>
      </c>
      <c r="FB88" s="213" t="s">
        <v>743</v>
      </c>
      <c r="FC88" s="213">
        <v>0</v>
      </c>
      <c r="FD88" s="213">
        <v>0</v>
      </c>
      <c r="FE88" s="213">
        <v>0</v>
      </c>
      <c r="FF88" s="213" t="s">
        <v>249</v>
      </c>
      <c r="FI88" s="213" t="s">
        <v>750</v>
      </c>
      <c r="FJ88" s="213" t="s">
        <v>743</v>
      </c>
      <c r="FK88" s="213">
        <v>0</v>
      </c>
      <c r="FL88" s="213">
        <v>0</v>
      </c>
      <c r="FM88" s="213">
        <v>0</v>
      </c>
      <c r="FN88" s="213" t="s">
        <v>249</v>
      </c>
      <c r="FQ88" s="213" t="s">
        <v>751</v>
      </c>
      <c r="FR88" s="213" t="s">
        <v>743</v>
      </c>
      <c r="FS88" s="213">
        <v>0</v>
      </c>
      <c r="FT88" s="213">
        <v>0</v>
      </c>
      <c r="FU88" s="213">
        <v>0</v>
      </c>
      <c r="FV88" s="213" t="s">
        <v>249</v>
      </c>
      <c r="FY88" s="213">
        <v>21.8</v>
      </c>
      <c r="FZ88" s="213">
        <v>-7.9</v>
      </c>
      <c r="GF88" s="213" t="s">
        <v>752</v>
      </c>
    </row>
    <row r="89" spans="1:188" s="213" customFormat="1" x14ac:dyDescent="0.15">
      <c r="A89" s="213" t="s">
        <v>654</v>
      </c>
      <c r="B89" s="213">
        <v>4</v>
      </c>
      <c r="C89" s="213" t="s">
        <v>1082</v>
      </c>
      <c r="D89" s="213">
        <v>614387595</v>
      </c>
      <c r="E89" s="213">
        <v>92303</v>
      </c>
      <c r="F89" s="213" t="s">
        <v>725</v>
      </c>
      <c r="G89" s="213">
        <v>847922</v>
      </c>
      <c r="H89" s="213">
        <v>784143</v>
      </c>
      <c r="I89" s="213">
        <v>6.8</v>
      </c>
      <c r="J89" s="213" t="s">
        <v>1083</v>
      </c>
      <c r="K89" s="213" t="s">
        <v>727</v>
      </c>
      <c r="L89" s="213" t="s">
        <v>656</v>
      </c>
      <c r="M89" s="213" t="s">
        <v>728</v>
      </c>
      <c r="N89" s="213" t="s">
        <v>728</v>
      </c>
      <c r="O89" s="213" t="s">
        <v>729</v>
      </c>
      <c r="P89" s="213" t="s">
        <v>710</v>
      </c>
      <c r="Q89" s="213">
        <v>24.1</v>
      </c>
      <c r="R89" s="213">
        <v>149</v>
      </c>
      <c r="S89" s="213" t="s">
        <v>710</v>
      </c>
      <c r="T89" s="213">
        <v>-9999</v>
      </c>
      <c r="U89" s="213">
        <v>222</v>
      </c>
      <c r="V89" s="213">
        <v>489</v>
      </c>
      <c r="W89" s="213">
        <v>214</v>
      </c>
      <c r="X89" s="213" t="s">
        <v>710</v>
      </c>
      <c r="Y89" s="213">
        <v>0</v>
      </c>
      <c r="Z89" s="213">
        <v>40</v>
      </c>
      <c r="AA89" s="213" t="s">
        <v>730</v>
      </c>
      <c r="AB89" s="213" t="s">
        <v>731</v>
      </c>
      <c r="AC89" s="213" t="s">
        <v>729</v>
      </c>
      <c r="AD89" s="213" t="s">
        <v>732</v>
      </c>
      <c r="AE89" s="213">
        <v>0</v>
      </c>
      <c r="AF89" s="213">
        <v>-1</v>
      </c>
      <c r="AG89" s="213" t="s">
        <v>249</v>
      </c>
      <c r="AH89" s="213">
        <v>-9999</v>
      </c>
      <c r="AI89" s="213">
        <v>191</v>
      </c>
      <c r="AJ89" s="213">
        <v>452</v>
      </c>
      <c r="AK89" s="213">
        <v>189</v>
      </c>
      <c r="AL89" s="213" t="s">
        <v>710</v>
      </c>
      <c r="AM89" s="213">
        <v>0</v>
      </c>
      <c r="AN89" s="213">
        <v>40</v>
      </c>
      <c r="AO89" s="213" t="s">
        <v>733</v>
      </c>
      <c r="AP89" s="213" t="s">
        <v>734</v>
      </c>
      <c r="AQ89" s="213">
        <v>1</v>
      </c>
      <c r="AR89" s="213" t="s">
        <v>735</v>
      </c>
      <c r="AS89" s="213">
        <v>0</v>
      </c>
      <c r="AT89" s="213">
        <v>3</v>
      </c>
      <c r="AU89" s="213" t="s">
        <v>249</v>
      </c>
      <c r="AV89" s="213">
        <v>-9999</v>
      </c>
      <c r="AW89" s="213">
        <v>258</v>
      </c>
      <c r="AX89" s="213">
        <v>635</v>
      </c>
      <c r="AY89" s="213">
        <v>255</v>
      </c>
      <c r="AZ89" s="213" t="s">
        <v>710</v>
      </c>
      <c r="BA89" s="213">
        <v>0</v>
      </c>
      <c r="BB89" s="213">
        <v>40</v>
      </c>
      <c r="BC89" s="213" t="s">
        <v>736</v>
      </c>
      <c r="BD89" s="213" t="s">
        <v>734</v>
      </c>
      <c r="BE89" s="213">
        <v>2</v>
      </c>
      <c r="BF89" s="213" t="s">
        <v>735</v>
      </c>
      <c r="BG89" s="213">
        <v>0</v>
      </c>
      <c r="BH89" s="213">
        <v>-1</v>
      </c>
      <c r="BI89" s="213" t="s">
        <v>249</v>
      </c>
      <c r="BJ89" s="213">
        <v>-9999</v>
      </c>
      <c r="BK89" s="213">
        <v>117</v>
      </c>
      <c r="BL89" s="213">
        <v>352</v>
      </c>
      <c r="BM89" s="213">
        <v>115</v>
      </c>
      <c r="BN89" s="213" t="s">
        <v>710</v>
      </c>
      <c r="BO89" s="213">
        <v>0</v>
      </c>
      <c r="BP89" s="213">
        <v>40</v>
      </c>
      <c r="BQ89" s="213" t="s">
        <v>737</v>
      </c>
      <c r="BR89" s="213" t="s">
        <v>734</v>
      </c>
      <c r="BS89" s="213">
        <v>3</v>
      </c>
      <c r="BT89" s="213" t="s">
        <v>735</v>
      </c>
      <c r="BU89" s="213">
        <v>0</v>
      </c>
      <c r="BV89" s="213">
        <v>5</v>
      </c>
      <c r="BW89" s="213" t="s">
        <v>249</v>
      </c>
      <c r="BX89" s="213">
        <v>-9999</v>
      </c>
      <c r="BY89" s="213">
        <v>184</v>
      </c>
      <c r="BZ89" s="213">
        <v>424</v>
      </c>
      <c r="CA89" s="213">
        <v>182</v>
      </c>
      <c r="CB89" s="213" t="s">
        <v>710</v>
      </c>
      <c r="CC89" s="213">
        <v>0</v>
      </c>
      <c r="CD89" s="213">
        <v>40</v>
      </c>
      <c r="CE89" s="213" t="s">
        <v>738</v>
      </c>
      <c r="CF89" s="213" t="s">
        <v>734</v>
      </c>
      <c r="CG89" s="213">
        <v>4</v>
      </c>
      <c r="CH89" s="213" t="s">
        <v>735</v>
      </c>
      <c r="CI89" s="213">
        <v>0</v>
      </c>
      <c r="CJ89" s="213">
        <v>5</v>
      </c>
      <c r="CK89" s="213" t="s">
        <v>249</v>
      </c>
      <c r="CL89" s="213">
        <v>-9999</v>
      </c>
      <c r="CM89" s="213">
        <v>138</v>
      </c>
      <c r="CN89" s="213">
        <v>360</v>
      </c>
      <c r="CO89" s="213">
        <v>136</v>
      </c>
      <c r="CP89" s="213" t="s">
        <v>710</v>
      </c>
      <c r="CQ89" s="213">
        <v>0</v>
      </c>
      <c r="CR89" s="213">
        <v>40</v>
      </c>
      <c r="CS89" s="213" t="s">
        <v>739</v>
      </c>
      <c r="CT89" s="213" t="s">
        <v>740</v>
      </c>
      <c r="CU89" s="213">
        <v>122</v>
      </c>
      <c r="CV89" s="213">
        <v>121</v>
      </c>
      <c r="CW89" s="213">
        <v>120</v>
      </c>
      <c r="CX89" s="213" t="s">
        <v>710</v>
      </c>
      <c r="CY89" s="213" t="s">
        <v>741</v>
      </c>
      <c r="CZ89" s="213" t="s">
        <v>740</v>
      </c>
      <c r="DA89" s="213">
        <v>109</v>
      </c>
      <c r="DB89" s="213">
        <v>109</v>
      </c>
      <c r="DC89" s="213">
        <v>109</v>
      </c>
      <c r="DD89" s="213" t="s">
        <v>710</v>
      </c>
      <c r="DE89" s="213" t="s">
        <v>742</v>
      </c>
      <c r="DF89" s="213" t="s">
        <v>743</v>
      </c>
      <c r="DG89" s="213">
        <v>0</v>
      </c>
      <c r="DH89" s="213">
        <v>0</v>
      </c>
      <c r="DI89" s="213">
        <v>0</v>
      </c>
      <c r="DJ89" s="213" t="s">
        <v>249</v>
      </c>
      <c r="DM89" s="213" t="s">
        <v>744</v>
      </c>
      <c r="DN89" s="213" t="s">
        <v>743</v>
      </c>
      <c r="DO89" s="213">
        <v>0</v>
      </c>
      <c r="DP89" s="213">
        <v>0</v>
      </c>
      <c r="DQ89" s="213">
        <v>0</v>
      </c>
      <c r="DR89" s="213" t="s">
        <v>249</v>
      </c>
      <c r="DU89" s="213" t="s">
        <v>745</v>
      </c>
      <c r="DV89" s="213" t="s">
        <v>743</v>
      </c>
      <c r="DW89" s="213">
        <v>0</v>
      </c>
      <c r="DX89" s="213">
        <v>0</v>
      </c>
      <c r="DY89" s="213">
        <v>0</v>
      </c>
      <c r="DZ89" s="213" t="s">
        <v>249</v>
      </c>
      <c r="EC89" s="213" t="s">
        <v>746</v>
      </c>
      <c r="ED89" s="213" t="s">
        <v>743</v>
      </c>
      <c r="EE89" s="213">
        <v>0</v>
      </c>
      <c r="EF89" s="213">
        <v>0</v>
      </c>
      <c r="EG89" s="213">
        <v>0</v>
      </c>
      <c r="EH89" s="213" t="s">
        <v>249</v>
      </c>
      <c r="EK89" s="213" t="s">
        <v>747</v>
      </c>
      <c r="EL89" s="213" t="s">
        <v>743</v>
      </c>
      <c r="EM89" s="213">
        <v>0</v>
      </c>
      <c r="EN89" s="213">
        <v>0</v>
      </c>
      <c r="EO89" s="213">
        <v>0</v>
      </c>
      <c r="EP89" s="213" t="s">
        <v>249</v>
      </c>
      <c r="ES89" s="213" t="s">
        <v>748</v>
      </c>
      <c r="ET89" s="213" t="s">
        <v>743</v>
      </c>
      <c r="EU89" s="213">
        <v>0</v>
      </c>
      <c r="EV89" s="213">
        <v>0</v>
      </c>
      <c r="EW89" s="213">
        <v>0</v>
      </c>
      <c r="EX89" s="213" t="s">
        <v>249</v>
      </c>
      <c r="FA89" s="213" t="s">
        <v>749</v>
      </c>
      <c r="FB89" s="213" t="s">
        <v>743</v>
      </c>
      <c r="FC89" s="213">
        <v>0</v>
      </c>
      <c r="FD89" s="213">
        <v>0</v>
      </c>
      <c r="FE89" s="213">
        <v>0</v>
      </c>
      <c r="FF89" s="213" t="s">
        <v>249</v>
      </c>
      <c r="FI89" s="213" t="s">
        <v>750</v>
      </c>
      <c r="FJ89" s="213" t="s">
        <v>743</v>
      </c>
      <c r="FK89" s="213">
        <v>0</v>
      </c>
      <c r="FL89" s="213">
        <v>0</v>
      </c>
      <c r="FM89" s="213">
        <v>0</v>
      </c>
      <c r="FN89" s="213" t="s">
        <v>249</v>
      </c>
      <c r="FQ89" s="213" t="s">
        <v>751</v>
      </c>
      <c r="FR89" s="213" t="s">
        <v>743</v>
      </c>
      <c r="FS89" s="213">
        <v>0</v>
      </c>
      <c r="FT89" s="213">
        <v>0</v>
      </c>
      <c r="FU89" s="213">
        <v>0</v>
      </c>
      <c r="FV89" s="213" t="s">
        <v>249</v>
      </c>
      <c r="FY89" s="213">
        <v>18.899999999999999</v>
      </c>
      <c r="FZ89" s="213">
        <v>-9</v>
      </c>
      <c r="GF89" s="213" t="s">
        <v>752</v>
      </c>
    </row>
    <row r="90" spans="1:188" s="213" customFormat="1" x14ac:dyDescent="0.15">
      <c r="A90" s="213" t="s">
        <v>654</v>
      </c>
      <c r="B90" s="213">
        <v>4</v>
      </c>
      <c r="C90" s="213" t="s">
        <v>1084</v>
      </c>
      <c r="D90" s="213">
        <v>614387921</v>
      </c>
      <c r="E90" s="213">
        <v>92303</v>
      </c>
      <c r="F90" s="213" t="s">
        <v>725</v>
      </c>
      <c r="G90" s="213">
        <v>847922</v>
      </c>
      <c r="H90" s="213">
        <v>673187</v>
      </c>
      <c r="I90" s="213">
        <v>6.8</v>
      </c>
      <c r="J90" s="213" t="s">
        <v>1085</v>
      </c>
      <c r="K90" s="213" t="s">
        <v>727</v>
      </c>
      <c r="L90" s="213" t="s">
        <v>656</v>
      </c>
      <c r="M90" s="213" t="s">
        <v>728</v>
      </c>
      <c r="N90" s="213" t="s">
        <v>728</v>
      </c>
      <c r="O90" s="213" t="s">
        <v>729</v>
      </c>
      <c r="P90" s="213" t="s">
        <v>710</v>
      </c>
      <c r="Q90" s="213">
        <v>24.4</v>
      </c>
      <c r="R90" s="213">
        <v>168</v>
      </c>
      <c r="S90" s="213" t="s">
        <v>710</v>
      </c>
      <c r="T90" s="213">
        <v>-9999</v>
      </c>
      <c r="U90" s="213">
        <v>211</v>
      </c>
      <c r="V90" s="213">
        <v>467</v>
      </c>
      <c r="W90" s="213">
        <v>207</v>
      </c>
      <c r="X90" s="213" t="s">
        <v>710</v>
      </c>
      <c r="Y90" s="213">
        <v>0</v>
      </c>
      <c r="Z90" s="213">
        <v>40</v>
      </c>
      <c r="AA90" s="213" t="s">
        <v>730</v>
      </c>
      <c r="AB90" s="213" t="s">
        <v>731</v>
      </c>
      <c r="AC90" s="213" t="s">
        <v>729</v>
      </c>
      <c r="AD90" s="213" t="s">
        <v>732</v>
      </c>
      <c r="AE90" s="213">
        <v>0</v>
      </c>
      <c r="AF90" s="213">
        <v>11</v>
      </c>
      <c r="AG90" s="213" t="s">
        <v>249</v>
      </c>
      <c r="AH90" s="213">
        <v>-9999</v>
      </c>
      <c r="AI90" s="213">
        <v>213</v>
      </c>
      <c r="AJ90" s="213">
        <v>506</v>
      </c>
      <c r="AK90" s="213">
        <v>210</v>
      </c>
      <c r="AL90" s="213" t="s">
        <v>710</v>
      </c>
      <c r="AM90" s="213">
        <v>0</v>
      </c>
      <c r="AN90" s="213">
        <v>40</v>
      </c>
      <c r="AO90" s="213" t="s">
        <v>733</v>
      </c>
      <c r="AP90" s="213" t="s">
        <v>734</v>
      </c>
      <c r="AQ90" s="213">
        <v>1</v>
      </c>
      <c r="AR90" s="213" t="s">
        <v>735</v>
      </c>
      <c r="AS90" s="213">
        <v>0</v>
      </c>
      <c r="AT90" s="213">
        <v>15</v>
      </c>
      <c r="AU90" s="213" t="s">
        <v>249</v>
      </c>
      <c r="AV90" s="213">
        <v>-9999</v>
      </c>
      <c r="AW90" s="213">
        <v>266</v>
      </c>
      <c r="AX90" s="213">
        <v>664</v>
      </c>
      <c r="AY90" s="213">
        <v>261</v>
      </c>
      <c r="AZ90" s="213" t="s">
        <v>710</v>
      </c>
      <c r="BA90" s="213">
        <v>0</v>
      </c>
      <c r="BB90" s="213">
        <v>40</v>
      </c>
      <c r="BC90" s="213" t="s">
        <v>736</v>
      </c>
      <c r="BD90" s="213" t="s">
        <v>734</v>
      </c>
      <c r="BE90" s="213">
        <v>2</v>
      </c>
      <c r="BF90" s="213" t="s">
        <v>735</v>
      </c>
      <c r="BG90" s="213">
        <v>0</v>
      </c>
      <c r="BH90" s="213">
        <v>2</v>
      </c>
      <c r="BI90" s="213" t="s">
        <v>249</v>
      </c>
      <c r="BJ90" s="213">
        <v>-9999</v>
      </c>
      <c r="BK90" s="213">
        <v>102</v>
      </c>
      <c r="BL90" s="213">
        <v>303</v>
      </c>
      <c r="BM90" s="213">
        <v>101</v>
      </c>
      <c r="BN90" s="213" t="s">
        <v>710</v>
      </c>
      <c r="BO90" s="213">
        <v>0</v>
      </c>
      <c r="BP90" s="213">
        <v>40</v>
      </c>
      <c r="BQ90" s="213" t="s">
        <v>737</v>
      </c>
      <c r="BR90" s="213" t="s">
        <v>734</v>
      </c>
      <c r="BS90" s="213">
        <v>3</v>
      </c>
      <c r="BT90" s="213" t="s">
        <v>735</v>
      </c>
      <c r="BU90" s="213">
        <v>0</v>
      </c>
      <c r="BV90" s="213">
        <v>8</v>
      </c>
      <c r="BW90" s="213" t="s">
        <v>249</v>
      </c>
      <c r="BX90" s="213">
        <v>-9999</v>
      </c>
      <c r="BY90" s="213">
        <v>187</v>
      </c>
      <c r="BZ90" s="213">
        <v>425</v>
      </c>
      <c r="CA90" s="213">
        <v>185</v>
      </c>
      <c r="CB90" s="213" t="s">
        <v>710</v>
      </c>
      <c r="CC90" s="213">
        <v>0</v>
      </c>
      <c r="CD90" s="213">
        <v>40</v>
      </c>
      <c r="CE90" s="213" t="s">
        <v>738</v>
      </c>
      <c r="CF90" s="213" t="s">
        <v>734</v>
      </c>
      <c r="CG90" s="213">
        <v>4</v>
      </c>
      <c r="CH90" s="213" t="s">
        <v>735</v>
      </c>
      <c r="CI90" s="213">
        <v>0</v>
      </c>
      <c r="CJ90" s="213">
        <v>6</v>
      </c>
      <c r="CK90" s="213" t="s">
        <v>249</v>
      </c>
      <c r="CL90" s="213">
        <v>-9999</v>
      </c>
      <c r="CM90" s="213">
        <v>108</v>
      </c>
      <c r="CN90" s="213">
        <v>284</v>
      </c>
      <c r="CO90" s="213">
        <v>106</v>
      </c>
      <c r="CP90" s="213" t="s">
        <v>710</v>
      </c>
      <c r="CQ90" s="213">
        <v>0</v>
      </c>
      <c r="CR90" s="213">
        <v>40</v>
      </c>
      <c r="CS90" s="213" t="s">
        <v>739</v>
      </c>
      <c r="CT90" s="213" t="s">
        <v>740</v>
      </c>
      <c r="CU90" s="213">
        <v>107</v>
      </c>
      <c r="CV90" s="213">
        <v>106</v>
      </c>
      <c r="CW90" s="213">
        <v>106</v>
      </c>
      <c r="CX90" s="213" t="s">
        <v>710</v>
      </c>
      <c r="CY90" s="213" t="s">
        <v>741</v>
      </c>
      <c r="CZ90" s="213" t="s">
        <v>740</v>
      </c>
      <c r="DA90" s="213">
        <v>107</v>
      </c>
      <c r="DB90" s="213">
        <v>106</v>
      </c>
      <c r="DC90" s="213">
        <v>106</v>
      </c>
      <c r="DD90" s="213" t="s">
        <v>710</v>
      </c>
      <c r="DE90" s="213" t="s">
        <v>742</v>
      </c>
      <c r="DF90" s="213" t="s">
        <v>743</v>
      </c>
      <c r="DG90" s="213">
        <v>0</v>
      </c>
      <c r="DH90" s="213">
        <v>0</v>
      </c>
      <c r="DI90" s="213">
        <v>0</v>
      </c>
      <c r="DJ90" s="213" t="s">
        <v>249</v>
      </c>
      <c r="DM90" s="213" t="s">
        <v>744</v>
      </c>
      <c r="DN90" s="213" t="s">
        <v>743</v>
      </c>
      <c r="DO90" s="213">
        <v>0</v>
      </c>
      <c r="DP90" s="213">
        <v>0</v>
      </c>
      <c r="DQ90" s="213">
        <v>0</v>
      </c>
      <c r="DR90" s="213" t="s">
        <v>249</v>
      </c>
      <c r="DU90" s="213" t="s">
        <v>745</v>
      </c>
      <c r="DV90" s="213" t="s">
        <v>743</v>
      </c>
      <c r="DW90" s="213">
        <v>0</v>
      </c>
      <c r="DX90" s="213">
        <v>0</v>
      </c>
      <c r="DY90" s="213">
        <v>0</v>
      </c>
      <c r="DZ90" s="213" t="s">
        <v>249</v>
      </c>
      <c r="EC90" s="213" t="s">
        <v>746</v>
      </c>
      <c r="ED90" s="213" t="s">
        <v>743</v>
      </c>
      <c r="EE90" s="213">
        <v>0</v>
      </c>
      <c r="EF90" s="213">
        <v>0</v>
      </c>
      <c r="EG90" s="213">
        <v>0</v>
      </c>
      <c r="EH90" s="213" t="s">
        <v>249</v>
      </c>
      <c r="EK90" s="213" t="s">
        <v>747</v>
      </c>
      <c r="EL90" s="213" t="s">
        <v>743</v>
      </c>
      <c r="EM90" s="213">
        <v>0</v>
      </c>
      <c r="EN90" s="213">
        <v>0</v>
      </c>
      <c r="EO90" s="213">
        <v>0</v>
      </c>
      <c r="EP90" s="213" t="s">
        <v>249</v>
      </c>
      <c r="ES90" s="213" t="s">
        <v>748</v>
      </c>
      <c r="ET90" s="213" t="s">
        <v>743</v>
      </c>
      <c r="EU90" s="213">
        <v>0</v>
      </c>
      <c r="EV90" s="213">
        <v>0</v>
      </c>
      <c r="EW90" s="213">
        <v>0</v>
      </c>
      <c r="EX90" s="213" t="s">
        <v>249</v>
      </c>
      <c r="FA90" s="213" t="s">
        <v>749</v>
      </c>
      <c r="FB90" s="213" t="s">
        <v>743</v>
      </c>
      <c r="FC90" s="213">
        <v>0</v>
      </c>
      <c r="FD90" s="213">
        <v>0</v>
      </c>
      <c r="FE90" s="213">
        <v>0</v>
      </c>
      <c r="FF90" s="213" t="s">
        <v>249</v>
      </c>
      <c r="FI90" s="213" t="s">
        <v>750</v>
      </c>
      <c r="FJ90" s="213" t="s">
        <v>743</v>
      </c>
      <c r="FK90" s="213">
        <v>0</v>
      </c>
      <c r="FL90" s="213">
        <v>0</v>
      </c>
      <c r="FM90" s="213">
        <v>0</v>
      </c>
      <c r="FN90" s="213" t="s">
        <v>249</v>
      </c>
      <c r="FQ90" s="213" t="s">
        <v>751</v>
      </c>
      <c r="FR90" s="213" t="s">
        <v>743</v>
      </c>
      <c r="FS90" s="213">
        <v>0</v>
      </c>
      <c r="FT90" s="213">
        <v>0</v>
      </c>
      <c r="FU90" s="213">
        <v>0</v>
      </c>
      <c r="FV90" s="213" t="s">
        <v>249</v>
      </c>
      <c r="FY90" s="213">
        <v>21.9</v>
      </c>
      <c r="FZ90" s="213">
        <v>-10.4</v>
      </c>
      <c r="GF90" s="213" t="s">
        <v>752</v>
      </c>
    </row>
    <row r="91" spans="1:188" s="213" customFormat="1" x14ac:dyDescent="0.15">
      <c r="A91" s="213" t="s">
        <v>654</v>
      </c>
      <c r="B91" s="213">
        <v>4</v>
      </c>
      <c r="C91" s="213" t="s">
        <v>1086</v>
      </c>
      <c r="D91" s="213">
        <v>614386955</v>
      </c>
      <c r="E91" s="213">
        <v>92303</v>
      </c>
      <c r="F91" s="213" t="s">
        <v>725</v>
      </c>
      <c r="G91" s="213">
        <v>847922</v>
      </c>
      <c r="H91" s="213">
        <v>888731</v>
      </c>
      <c r="I91" s="213">
        <v>6.8</v>
      </c>
      <c r="J91" s="213" t="s">
        <v>1087</v>
      </c>
      <c r="K91" s="213" t="s">
        <v>727</v>
      </c>
      <c r="L91" s="213" t="s">
        <v>656</v>
      </c>
      <c r="M91" s="213" t="s">
        <v>728</v>
      </c>
      <c r="N91" s="213" t="s">
        <v>728</v>
      </c>
      <c r="O91" s="213" t="s">
        <v>729</v>
      </c>
      <c r="P91" s="213" t="s">
        <v>710</v>
      </c>
      <c r="Q91" s="213">
        <v>23.9</v>
      </c>
      <c r="R91" s="213">
        <v>146</v>
      </c>
      <c r="S91" s="213" t="s">
        <v>710</v>
      </c>
      <c r="T91" s="213">
        <v>-9999</v>
      </c>
      <c r="U91" s="213">
        <v>186</v>
      </c>
      <c r="V91" s="213">
        <v>425</v>
      </c>
      <c r="W91" s="213">
        <v>188</v>
      </c>
      <c r="X91" s="213" t="s">
        <v>710</v>
      </c>
      <c r="Y91" s="213">
        <v>0</v>
      </c>
      <c r="Z91" s="213">
        <v>40</v>
      </c>
      <c r="AA91" s="213" t="s">
        <v>730</v>
      </c>
      <c r="AB91" s="213" t="s">
        <v>731</v>
      </c>
      <c r="AC91" s="213" t="s">
        <v>729</v>
      </c>
      <c r="AD91" s="213" t="s">
        <v>732</v>
      </c>
      <c r="AE91" s="213">
        <v>0</v>
      </c>
      <c r="AF91" s="213">
        <v>11</v>
      </c>
      <c r="AG91" s="213" t="s">
        <v>249</v>
      </c>
      <c r="AH91" s="213">
        <v>-9999</v>
      </c>
      <c r="AI91" s="213">
        <v>155</v>
      </c>
      <c r="AJ91" s="213">
        <v>407</v>
      </c>
      <c r="AK91" s="213">
        <v>167</v>
      </c>
      <c r="AL91" s="213" t="s">
        <v>710</v>
      </c>
      <c r="AM91" s="213">
        <v>0</v>
      </c>
      <c r="AN91" s="213">
        <v>40</v>
      </c>
      <c r="AO91" s="213" t="s">
        <v>733</v>
      </c>
      <c r="AP91" s="213" t="s">
        <v>734</v>
      </c>
      <c r="AQ91" s="213">
        <v>1</v>
      </c>
      <c r="AR91" s="213" t="s">
        <v>735</v>
      </c>
      <c r="AS91" s="213">
        <v>0</v>
      </c>
      <c r="AT91" s="213">
        <v>10</v>
      </c>
      <c r="AU91" s="213" t="s">
        <v>249</v>
      </c>
      <c r="AV91" s="213">
        <v>-9999</v>
      </c>
      <c r="AW91" s="213">
        <v>230</v>
      </c>
      <c r="AX91" s="213">
        <v>606</v>
      </c>
      <c r="AY91" s="213">
        <v>240</v>
      </c>
      <c r="AZ91" s="213" t="s">
        <v>710</v>
      </c>
      <c r="BA91" s="213">
        <v>0</v>
      </c>
      <c r="BB91" s="213">
        <v>40</v>
      </c>
      <c r="BC91" s="213" t="s">
        <v>736</v>
      </c>
      <c r="BD91" s="213" t="s">
        <v>734</v>
      </c>
      <c r="BE91" s="213">
        <v>2</v>
      </c>
      <c r="BF91" s="213" t="s">
        <v>735</v>
      </c>
      <c r="BG91" s="213">
        <v>0</v>
      </c>
      <c r="BH91" s="213">
        <v>1</v>
      </c>
      <c r="BI91" s="213" t="s">
        <v>249</v>
      </c>
      <c r="BJ91" s="213">
        <v>-9999</v>
      </c>
      <c r="BK91" s="213">
        <v>98</v>
      </c>
      <c r="BL91" s="213">
        <v>313</v>
      </c>
      <c r="BM91" s="213">
        <v>104</v>
      </c>
      <c r="BN91" s="213" t="s">
        <v>710</v>
      </c>
      <c r="BO91" s="213">
        <v>0</v>
      </c>
      <c r="BP91" s="213">
        <v>40</v>
      </c>
      <c r="BQ91" s="213" t="s">
        <v>737</v>
      </c>
      <c r="BR91" s="213" t="s">
        <v>734</v>
      </c>
      <c r="BS91" s="213">
        <v>3</v>
      </c>
      <c r="BT91" s="213" t="s">
        <v>735</v>
      </c>
      <c r="BU91" s="213">
        <v>0</v>
      </c>
      <c r="BV91" s="213">
        <v>7</v>
      </c>
      <c r="BW91" s="213" t="s">
        <v>249</v>
      </c>
      <c r="BX91" s="213">
        <v>-9999</v>
      </c>
      <c r="BY91" s="213">
        <v>143</v>
      </c>
      <c r="BZ91" s="213">
        <v>358</v>
      </c>
      <c r="CA91" s="213">
        <v>154</v>
      </c>
      <c r="CB91" s="213" t="s">
        <v>710</v>
      </c>
      <c r="CC91" s="213">
        <v>0</v>
      </c>
      <c r="CD91" s="213">
        <v>40</v>
      </c>
      <c r="CE91" s="213" t="s">
        <v>738</v>
      </c>
      <c r="CF91" s="213" t="s">
        <v>734</v>
      </c>
      <c r="CG91" s="213">
        <v>4</v>
      </c>
      <c r="CH91" s="213" t="s">
        <v>735</v>
      </c>
      <c r="CI91" s="213">
        <v>0</v>
      </c>
      <c r="CJ91" s="213">
        <v>5</v>
      </c>
      <c r="CK91" s="213" t="s">
        <v>249</v>
      </c>
      <c r="CL91" s="213">
        <v>-9999</v>
      </c>
      <c r="CM91" s="213">
        <v>124</v>
      </c>
      <c r="CN91" s="213">
        <v>348</v>
      </c>
      <c r="CO91" s="213">
        <v>131</v>
      </c>
      <c r="CP91" s="213" t="s">
        <v>710</v>
      </c>
      <c r="CQ91" s="213">
        <v>0</v>
      </c>
      <c r="CR91" s="213">
        <v>40</v>
      </c>
      <c r="CS91" s="213" t="s">
        <v>739</v>
      </c>
      <c r="CT91" s="213" t="s">
        <v>740</v>
      </c>
      <c r="CU91" s="213">
        <v>111</v>
      </c>
      <c r="CV91" s="213">
        <v>110</v>
      </c>
      <c r="CW91" s="213">
        <v>110</v>
      </c>
      <c r="CX91" s="213" t="s">
        <v>710</v>
      </c>
      <c r="CY91" s="213" t="s">
        <v>741</v>
      </c>
      <c r="CZ91" s="213" t="s">
        <v>740</v>
      </c>
      <c r="DA91" s="213">
        <v>106</v>
      </c>
      <c r="DB91" s="213">
        <v>105</v>
      </c>
      <c r="DC91" s="213">
        <v>105</v>
      </c>
      <c r="DD91" s="213" t="s">
        <v>710</v>
      </c>
      <c r="DE91" s="213" t="s">
        <v>742</v>
      </c>
      <c r="DF91" s="213" t="s">
        <v>743</v>
      </c>
      <c r="DG91" s="213">
        <v>0</v>
      </c>
      <c r="DH91" s="213">
        <v>0</v>
      </c>
      <c r="DI91" s="213">
        <v>0</v>
      </c>
      <c r="DJ91" s="213" t="s">
        <v>249</v>
      </c>
      <c r="DM91" s="213" t="s">
        <v>744</v>
      </c>
      <c r="DN91" s="213" t="s">
        <v>743</v>
      </c>
      <c r="DO91" s="213">
        <v>0</v>
      </c>
      <c r="DP91" s="213">
        <v>0</v>
      </c>
      <c r="DQ91" s="213">
        <v>0</v>
      </c>
      <c r="DR91" s="213" t="s">
        <v>249</v>
      </c>
      <c r="DU91" s="213" t="s">
        <v>745</v>
      </c>
      <c r="DV91" s="213" t="s">
        <v>743</v>
      </c>
      <c r="DW91" s="213">
        <v>0</v>
      </c>
      <c r="DX91" s="213">
        <v>0</v>
      </c>
      <c r="DY91" s="213">
        <v>0</v>
      </c>
      <c r="DZ91" s="213" t="s">
        <v>249</v>
      </c>
      <c r="EC91" s="213" t="s">
        <v>746</v>
      </c>
      <c r="ED91" s="213" t="s">
        <v>743</v>
      </c>
      <c r="EE91" s="213">
        <v>0</v>
      </c>
      <c r="EF91" s="213">
        <v>0</v>
      </c>
      <c r="EG91" s="213">
        <v>0</v>
      </c>
      <c r="EH91" s="213" t="s">
        <v>249</v>
      </c>
      <c r="EK91" s="213" t="s">
        <v>747</v>
      </c>
      <c r="EL91" s="213" t="s">
        <v>743</v>
      </c>
      <c r="EM91" s="213">
        <v>0</v>
      </c>
      <c r="EN91" s="213">
        <v>0</v>
      </c>
      <c r="EO91" s="213">
        <v>0</v>
      </c>
      <c r="EP91" s="213" t="s">
        <v>249</v>
      </c>
      <c r="ES91" s="213" t="s">
        <v>748</v>
      </c>
      <c r="ET91" s="213" t="s">
        <v>743</v>
      </c>
      <c r="EU91" s="213">
        <v>0</v>
      </c>
      <c r="EV91" s="213">
        <v>0</v>
      </c>
      <c r="EW91" s="213">
        <v>0</v>
      </c>
      <c r="EX91" s="213" t="s">
        <v>249</v>
      </c>
      <c r="FA91" s="213" t="s">
        <v>749</v>
      </c>
      <c r="FB91" s="213" t="s">
        <v>743</v>
      </c>
      <c r="FC91" s="213">
        <v>0</v>
      </c>
      <c r="FD91" s="213">
        <v>0</v>
      </c>
      <c r="FE91" s="213">
        <v>0</v>
      </c>
      <c r="FF91" s="213" t="s">
        <v>249</v>
      </c>
      <c r="FI91" s="213" t="s">
        <v>750</v>
      </c>
      <c r="FJ91" s="213" t="s">
        <v>743</v>
      </c>
      <c r="FK91" s="213">
        <v>0</v>
      </c>
      <c r="FL91" s="213">
        <v>0</v>
      </c>
      <c r="FM91" s="213">
        <v>0</v>
      </c>
      <c r="FN91" s="213" t="s">
        <v>249</v>
      </c>
      <c r="FQ91" s="213" t="s">
        <v>751</v>
      </c>
      <c r="FR91" s="213" t="s">
        <v>743</v>
      </c>
      <c r="FS91" s="213">
        <v>0</v>
      </c>
      <c r="FT91" s="213">
        <v>0</v>
      </c>
      <c r="FU91" s="213">
        <v>0</v>
      </c>
      <c r="FV91" s="213" t="s">
        <v>249</v>
      </c>
      <c r="FY91" s="213">
        <v>18.5</v>
      </c>
      <c r="FZ91" s="213">
        <v>-8.1999999999999993</v>
      </c>
      <c r="GF91" s="213" t="s">
        <v>752</v>
      </c>
    </row>
    <row r="92" spans="1:188" s="213" customFormat="1" x14ac:dyDescent="0.15">
      <c r="A92" s="213" t="s">
        <v>654</v>
      </c>
      <c r="B92" s="213">
        <v>4</v>
      </c>
      <c r="C92" s="213" t="s">
        <v>1141</v>
      </c>
      <c r="D92" s="213">
        <v>614390504</v>
      </c>
      <c r="E92" s="213">
        <v>92303</v>
      </c>
      <c r="F92" s="213" t="s">
        <v>725</v>
      </c>
      <c r="G92" s="213">
        <v>847922</v>
      </c>
      <c r="H92" s="213">
        <v>657194</v>
      </c>
      <c r="I92" s="213">
        <v>6.8</v>
      </c>
      <c r="J92" s="213" t="s">
        <v>1142</v>
      </c>
      <c r="K92" s="213" t="s">
        <v>727</v>
      </c>
      <c r="L92" s="213" t="s">
        <v>656</v>
      </c>
      <c r="M92" s="213" t="s">
        <v>728</v>
      </c>
      <c r="N92" s="213" t="s">
        <v>728</v>
      </c>
      <c r="O92" s="213" t="s">
        <v>729</v>
      </c>
      <c r="P92" s="213" t="s">
        <v>710</v>
      </c>
      <c r="Q92" s="213">
        <v>23.8</v>
      </c>
      <c r="R92" s="213">
        <v>144</v>
      </c>
      <c r="S92" s="213" t="s">
        <v>710</v>
      </c>
      <c r="T92" s="213">
        <v>-9999</v>
      </c>
      <c r="U92" s="213">
        <v>205</v>
      </c>
      <c r="V92" s="213">
        <v>434</v>
      </c>
      <c r="W92" s="213">
        <v>195</v>
      </c>
      <c r="X92" s="213" t="s">
        <v>710</v>
      </c>
      <c r="Y92" s="213">
        <v>0</v>
      </c>
      <c r="Z92" s="213">
        <v>40</v>
      </c>
      <c r="AA92" s="213" t="s">
        <v>730</v>
      </c>
      <c r="AB92" s="213" t="s">
        <v>731</v>
      </c>
      <c r="AC92" s="213" t="s">
        <v>729</v>
      </c>
      <c r="AD92" s="213" t="s">
        <v>732</v>
      </c>
      <c r="AE92" s="213">
        <v>0</v>
      </c>
      <c r="AF92" s="213">
        <v>3</v>
      </c>
      <c r="AG92" s="213" t="s">
        <v>249</v>
      </c>
      <c r="AH92" s="213">
        <v>-9999</v>
      </c>
      <c r="AI92" s="213">
        <v>179</v>
      </c>
      <c r="AJ92" s="213">
        <v>424</v>
      </c>
      <c r="AK92" s="213">
        <v>176</v>
      </c>
      <c r="AL92" s="213" t="s">
        <v>710</v>
      </c>
      <c r="AM92" s="213">
        <v>0</v>
      </c>
      <c r="AN92" s="213">
        <v>40</v>
      </c>
      <c r="AO92" s="213" t="s">
        <v>733</v>
      </c>
      <c r="AP92" s="213" t="s">
        <v>734</v>
      </c>
      <c r="AQ92" s="213">
        <v>1</v>
      </c>
      <c r="AR92" s="213" t="s">
        <v>735</v>
      </c>
      <c r="AS92" s="213">
        <v>0</v>
      </c>
      <c r="AT92" s="213">
        <v>-3</v>
      </c>
      <c r="AU92" s="213" t="s">
        <v>249</v>
      </c>
      <c r="AV92" s="213">
        <v>-9999</v>
      </c>
      <c r="AW92" s="213">
        <v>243</v>
      </c>
      <c r="AX92" s="213">
        <v>596</v>
      </c>
      <c r="AY92" s="213">
        <v>239</v>
      </c>
      <c r="AZ92" s="213" t="s">
        <v>710</v>
      </c>
      <c r="BA92" s="213">
        <v>0</v>
      </c>
      <c r="BB92" s="213">
        <v>40</v>
      </c>
      <c r="BC92" s="213" t="s">
        <v>736</v>
      </c>
      <c r="BD92" s="213" t="s">
        <v>734</v>
      </c>
      <c r="BE92" s="213">
        <v>2</v>
      </c>
      <c r="BF92" s="213" t="s">
        <v>735</v>
      </c>
      <c r="BG92" s="213">
        <v>0</v>
      </c>
      <c r="BH92" s="213">
        <v>3</v>
      </c>
      <c r="BI92" s="213" t="s">
        <v>249</v>
      </c>
      <c r="BJ92" s="213">
        <v>-9999</v>
      </c>
      <c r="BK92" s="213">
        <v>102</v>
      </c>
      <c r="BL92" s="213">
        <v>313</v>
      </c>
      <c r="BM92" s="213">
        <v>100</v>
      </c>
      <c r="BN92" s="213" t="s">
        <v>710</v>
      </c>
      <c r="BO92" s="213">
        <v>0</v>
      </c>
      <c r="BP92" s="213">
        <v>40</v>
      </c>
      <c r="BQ92" s="213" t="s">
        <v>737</v>
      </c>
      <c r="BR92" s="213" t="s">
        <v>734</v>
      </c>
      <c r="BS92" s="213">
        <v>3</v>
      </c>
      <c r="BT92" s="213" t="s">
        <v>735</v>
      </c>
      <c r="BU92" s="213">
        <v>0</v>
      </c>
      <c r="BV92" s="213">
        <v>6</v>
      </c>
      <c r="BW92" s="213" t="s">
        <v>249</v>
      </c>
      <c r="BX92" s="213">
        <v>-9999</v>
      </c>
      <c r="BY92" s="213">
        <v>146</v>
      </c>
      <c r="BZ92" s="213">
        <v>344</v>
      </c>
      <c r="CA92" s="213">
        <v>146</v>
      </c>
      <c r="CB92" s="213" t="s">
        <v>710</v>
      </c>
      <c r="CC92" s="213">
        <v>0</v>
      </c>
      <c r="CD92" s="213">
        <v>40</v>
      </c>
      <c r="CE92" s="213" t="s">
        <v>738</v>
      </c>
      <c r="CF92" s="213" t="s">
        <v>734</v>
      </c>
      <c r="CG92" s="213">
        <v>4</v>
      </c>
      <c r="CH92" s="213" t="s">
        <v>735</v>
      </c>
      <c r="CI92" s="213">
        <v>0</v>
      </c>
      <c r="CJ92" s="213">
        <v>0</v>
      </c>
      <c r="CK92" s="213" t="s">
        <v>249</v>
      </c>
      <c r="CL92" s="213">
        <v>-9999</v>
      </c>
      <c r="CM92" s="213">
        <v>150</v>
      </c>
      <c r="CN92" s="213">
        <v>392</v>
      </c>
      <c r="CO92" s="213">
        <v>148</v>
      </c>
      <c r="CP92" s="213" t="s">
        <v>710</v>
      </c>
      <c r="CQ92" s="213">
        <v>0</v>
      </c>
      <c r="CR92" s="213">
        <v>40</v>
      </c>
      <c r="CS92" s="213" t="s">
        <v>739</v>
      </c>
      <c r="CT92" s="213" t="s">
        <v>740</v>
      </c>
      <c r="CU92" s="213">
        <v>115</v>
      </c>
      <c r="CV92" s="213">
        <v>115</v>
      </c>
      <c r="CW92" s="213">
        <v>115</v>
      </c>
      <c r="CX92" s="213" t="s">
        <v>710</v>
      </c>
      <c r="CY92" s="213" t="s">
        <v>741</v>
      </c>
      <c r="CZ92" s="213" t="s">
        <v>740</v>
      </c>
      <c r="DA92" s="213">
        <v>101</v>
      </c>
      <c r="DB92" s="213">
        <v>101</v>
      </c>
      <c r="DC92" s="213">
        <v>101</v>
      </c>
      <c r="DD92" s="213" t="s">
        <v>710</v>
      </c>
      <c r="DE92" s="213" t="s">
        <v>742</v>
      </c>
      <c r="DF92" s="213" t="s">
        <v>743</v>
      </c>
      <c r="DG92" s="213">
        <v>0</v>
      </c>
      <c r="DH92" s="213">
        <v>0</v>
      </c>
      <c r="DI92" s="213">
        <v>0</v>
      </c>
      <c r="DJ92" s="213" t="s">
        <v>249</v>
      </c>
      <c r="DM92" s="213" t="s">
        <v>744</v>
      </c>
      <c r="DN92" s="213" t="s">
        <v>743</v>
      </c>
      <c r="DO92" s="213">
        <v>0</v>
      </c>
      <c r="DP92" s="213">
        <v>0</v>
      </c>
      <c r="DQ92" s="213">
        <v>0</v>
      </c>
      <c r="DR92" s="213" t="s">
        <v>249</v>
      </c>
      <c r="DU92" s="213" t="s">
        <v>745</v>
      </c>
      <c r="DV92" s="213" t="s">
        <v>743</v>
      </c>
      <c r="DW92" s="213">
        <v>0</v>
      </c>
      <c r="DX92" s="213">
        <v>0</v>
      </c>
      <c r="DY92" s="213">
        <v>0</v>
      </c>
      <c r="DZ92" s="213" t="s">
        <v>249</v>
      </c>
      <c r="EC92" s="213" t="s">
        <v>746</v>
      </c>
      <c r="ED92" s="213" t="s">
        <v>743</v>
      </c>
      <c r="EE92" s="213">
        <v>0</v>
      </c>
      <c r="EF92" s="213">
        <v>0</v>
      </c>
      <c r="EG92" s="213">
        <v>0</v>
      </c>
      <c r="EH92" s="213" t="s">
        <v>249</v>
      </c>
      <c r="EK92" s="213" t="s">
        <v>747</v>
      </c>
      <c r="EL92" s="213" t="s">
        <v>743</v>
      </c>
      <c r="EM92" s="213">
        <v>0</v>
      </c>
      <c r="EN92" s="213">
        <v>0</v>
      </c>
      <c r="EO92" s="213">
        <v>0</v>
      </c>
      <c r="EP92" s="213" t="s">
        <v>249</v>
      </c>
      <c r="ES92" s="213" t="s">
        <v>748</v>
      </c>
      <c r="ET92" s="213" t="s">
        <v>743</v>
      </c>
      <c r="EU92" s="213">
        <v>0</v>
      </c>
      <c r="EV92" s="213">
        <v>0</v>
      </c>
      <c r="EW92" s="213">
        <v>0</v>
      </c>
      <c r="EX92" s="213" t="s">
        <v>249</v>
      </c>
      <c r="FA92" s="213" t="s">
        <v>749</v>
      </c>
      <c r="FB92" s="213" t="s">
        <v>743</v>
      </c>
      <c r="FC92" s="213">
        <v>0</v>
      </c>
      <c r="FD92" s="213">
        <v>0</v>
      </c>
      <c r="FE92" s="213">
        <v>0</v>
      </c>
      <c r="FF92" s="213" t="s">
        <v>249</v>
      </c>
      <c r="FI92" s="213" t="s">
        <v>750</v>
      </c>
      <c r="FJ92" s="213" t="s">
        <v>743</v>
      </c>
      <c r="FK92" s="213">
        <v>0</v>
      </c>
      <c r="FL92" s="213">
        <v>0</v>
      </c>
      <c r="FM92" s="213">
        <v>0</v>
      </c>
      <c r="FN92" s="213" t="s">
        <v>249</v>
      </c>
      <c r="FQ92" s="213" t="s">
        <v>751</v>
      </c>
      <c r="FR92" s="213" t="s">
        <v>743</v>
      </c>
      <c r="FS92" s="213">
        <v>0</v>
      </c>
      <c r="FT92" s="213">
        <v>0</v>
      </c>
      <c r="FU92" s="213">
        <v>0</v>
      </c>
      <c r="FV92" s="213" t="s">
        <v>249</v>
      </c>
      <c r="FY92" s="213">
        <v>20.5</v>
      </c>
      <c r="FZ92" s="213">
        <v>-11.5</v>
      </c>
      <c r="GF92" s="213" t="s">
        <v>752</v>
      </c>
    </row>
    <row r="93" spans="1:188" s="213" customFormat="1" x14ac:dyDescent="0.15">
      <c r="A93" s="213" t="s">
        <v>654</v>
      </c>
      <c r="B93" s="213">
        <v>4</v>
      </c>
      <c r="C93" s="213" t="s">
        <v>1143</v>
      </c>
      <c r="D93" s="213">
        <v>614390490</v>
      </c>
      <c r="E93" s="213">
        <v>92303</v>
      </c>
      <c r="F93" s="213" t="s">
        <v>725</v>
      </c>
      <c r="G93" s="213">
        <v>847922</v>
      </c>
      <c r="H93" s="213">
        <v>702829</v>
      </c>
      <c r="I93" s="213">
        <v>6.8</v>
      </c>
      <c r="J93" s="213" t="s">
        <v>1144</v>
      </c>
      <c r="K93" s="213" t="s">
        <v>727</v>
      </c>
      <c r="L93" s="213" t="s">
        <v>656</v>
      </c>
      <c r="M93" s="213" t="s">
        <v>728</v>
      </c>
      <c r="N93" s="213" t="s">
        <v>728</v>
      </c>
      <c r="O93" s="213" t="s">
        <v>729</v>
      </c>
      <c r="P93" s="213" t="s">
        <v>710</v>
      </c>
      <c r="Q93" s="213">
        <v>24.6</v>
      </c>
      <c r="R93" s="213">
        <v>145</v>
      </c>
      <c r="S93" s="213" t="s">
        <v>710</v>
      </c>
      <c r="T93" s="213">
        <v>-9999</v>
      </c>
      <c r="U93" s="213">
        <v>224</v>
      </c>
      <c r="V93" s="213">
        <v>481</v>
      </c>
      <c r="W93" s="213">
        <v>217</v>
      </c>
      <c r="X93" s="213" t="s">
        <v>710</v>
      </c>
      <c r="Y93" s="213">
        <v>0</v>
      </c>
      <c r="Z93" s="213">
        <v>40</v>
      </c>
      <c r="AA93" s="213" t="s">
        <v>730</v>
      </c>
      <c r="AB93" s="213" t="s">
        <v>731</v>
      </c>
      <c r="AC93" s="213" t="s">
        <v>729</v>
      </c>
      <c r="AD93" s="213" t="s">
        <v>732</v>
      </c>
      <c r="AE93" s="213">
        <v>0</v>
      </c>
      <c r="AF93" s="213">
        <v>6</v>
      </c>
      <c r="AG93" s="213" t="s">
        <v>249</v>
      </c>
      <c r="AH93" s="213">
        <v>-9999</v>
      </c>
      <c r="AI93" s="213">
        <v>194</v>
      </c>
      <c r="AJ93" s="213">
        <v>462</v>
      </c>
      <c r="AK93" s="213">
        <v>192</v>
      </c>
      <c r="AL93" s="213" t="s">
        <v>710</v>
      </c>
      <c r="AM93" s="213">
        <v>0</v>
      </c>
      <c r="AN93" s="213">
        <v>40</v>
      </c>
      <c r="AO93" s="213" t="s">
        <v>733</v>
      </c>
      <c r="AP93" s="213" t="s">
        <v>734</v>
      </c>
      <c r="AQ93" s="213">
        <v>1</v>
      </c>
      <c r="AR93" s="213" t="s">
        <v>735</v>
      </c>
      <c r="AS93" s="213">
        <v>0</v>
      </c>
      <c r="AT93" s="213">
        <v>7</v>
      </c>
      <c r="AU93" s="213" t="s">
        <v>249</v>
      </c>
      <c r="AV93" s="213">
        <v>-9999</v>
      </c>
      <c r="AW93" s="213">
        <v>248</v>
      </c>
      <c r="AX93" s="213">
        <v>603</v>
      </c>
      <c r="AY93" s="213">
        <v>245</v>
      </c>
      <c r="AZ93" s="213" t="s">
        <v>710</v>
      </c>
      <c r="BA93" s="213">
        <v>0</v>
      </c>
      <c r="BB93" s="213">
        <v>40</v>
      </c>
      <c r="BC93" s="213" t="s">
        <v>736</v>
      </c>
      <c r="BD93" s="213" t="s">
        <v>734</v>
      </c>
      <c r="BE93" s="213">
        <v>2</v>
      </c>
      <c r="BF93" s="213" t="s">
        <v>735</v>
      </c>
      <c r="BG93" s="213">
        <v>0</v>
      </c>
      <c r="BH93" s="213">
        <v>2</v>
      </c>
      <c r="BI93" s="213" t="s">
        <v>249</v>
      </c>
      <c r="BJ93" s="213">
        <v>-9999</v>
      </c>
      <c r="BK93" s="213">
        <v>112</v>
      </c>
      <c r="BL93" s="213">
        <v>343</v>
      </c>
      <c r="BM93" s="213">
        <v>111</v>
      </c>
      <c r="BN93" s="213" t="s">
        <v>710</v>
      </c>
      <c r="BO93" s="213">
        <v>0</v>
      </c>
      <c r="BP93" s="213">
        <v>40</v>
      </c>
      <c r="BQ93" s="213" t="s">
        <v>737</v>
      </c>
      <c r="BR93" s="213" t="s">
        <v>734</v>
      </c>
      <c r="BS93" s="213">
        <v>3</v>
      </c>
      <c r="BT93" s="213" t="s">
        <v>735</v>
      </c>
      <c r="BU93" s="213">
        <v>0</v>
      </c>
      <c r="BV93" s="213">
        <v>5</v>
      </c>
      <c r="BW93" s="213" t="s">
        <v>249</v>
      </c>
      <c r="BX93" s="213">
        <v>-9999</v>
      </c>
      <c r="BY93" s="213">
        <v>172</v>
      </c>
      <c r="BZ93" s="213">
        <v>409</v>
      </c>
      <c r="CA93" s="213">
        <v>171</v>
      </c>
      <c r="CB93" s="213" t="s">
        <v>710</v>
      </c>
      <c r="CC93" s="213">
        <v>0</v>
      </c>
      <c r="CD93" s="213">
        <v>40</v>
      </c>
      <c r="CE93" s="213" t="s">
        <v>738</v>
      </c>
      <c r="CF93" s="213" t="s">
        <v>734</v>
      </c>
      <c r="CG93" s="213">
        <v>4</v>
      </c>
      <c r="CH93" s="213" t="s">
        <v>735</v>
      </c>
      <c r="CI93" s="213">
        <v>0</v>
      </c>
      <c r="CJ93" s="213">
        <v>5</v>
      </c>
      <c r="CK93" s="213" t="s">
        <v>249</v>
      </c>
      <c r="CL93" s="213">
        <v>-9999</v>
      </c>
      <c r="CM93" s="213">
        <v>164</v>
      </c>
      <c r="CN93" s="213">
        <v>428</v>
      </c>
      <c r="CO93" s="213">
        <v>162</v>
      </c>
      <c r="CP93" s="213" t="s">
        <v>710</v>
      </c>
      <c r="CQ93" s="213">
        <v>0</v>
      </c>
      <c r="CR93" s="213">
        <v>40</v>
      </c>
      <c r="CS93" s="213" t="s">
        <v>739</v>
      </c>
      <c r="CT93" s="213" t="s">
        <v>740</v>
      </c>
      <c r="CU93" s="213">
        <v>124</v>
      </c>
      <c r="CV93" s="213">
        <v>124</v>
      </c>
      <c r="CW93" s="213">
        <v>124</v>
      </c>
      <c r="CX93" s="213" t="s">
        <v>710</v>
      </c>
      <c r="CY93" s="213" t="s">
        <v>741</v>
      </c>
      <c r="CZ93" s="213" t="s">
        <v>740</v>
      </c>
      <c r="DA93" s="213">
        <v>118</v>
      </c>
      <c r="DB93" s="213">
        <v>118</v>
      </c>
      <c r="DC93" s="213">
        <v>117</v>
      </c>
      <c r="DD93" s="213" t="s">
        <v>710</v>
      </c>
      <c r="DE93" s="213" t="s">
        <v>742</v>
      </c>
      <c r="DF93" s="213" t="s">
        <v>743</v>
      </c>
      <c r="DG93" s="213">
        <v>0</v>
      </c>
      <c r="DH93" s="213">
        <v>0</v>
      </c>
      <c r="DI93" s="213">
        <v>0</v>
      </c>
      <c r="DJ93" s="213" t="s">
        <v>249</v>
      </c>
      <c r="DM93" s="213" t="s">
        <v>744</v>
      </c>
      <c r="DN93" s="213" t="s">
        <v>743</v>
      </c>
      <c r="DO93" s="213">
        <v>0</v>
      </c>
      <c r="DP93" s="213">
        <v>0</v>
      </c>
      <c r="DQ93" s="213">
        <v>0</v>
      </c>
      <c r="DR93" s="213" t="s">
        <v>249</v>
      </c>
      <c r="DU93" s="213" t="s">
        <v>745</v>
      </c>
      <c r="DV93" s="213" t="s">
        <v>743</v>
      </c>
      <c r="DW93" s="213">
        <v>0</v>
      </c>
      <c r="DX93" s="213">
        <v>0</v>
      </c>
      <c r="DY93" s="213">
        <v>0</v>
      </c>
      <c r="DZ93" s="213" t="s">
        <v>249</v>
      </c>
      <c r="EC93" s="213" t="s">
        <v>746</v>
      </c>
      <c r="ED93" s="213" t="s">
        <v>743</v>
      </c>
      <c r="EE93" s="213">
        <v>0</v>
      </c>
      <c r="EF93" s="213">
        <v>0</v>
      </c>
      <c r="EG93" s="213">
        <v>0</v>
      </c>
      <c r="EH93" s="213" t="s">
        <v>249</v>
      </c>
      <c r="EK93" s="213" t="s">
        <v>747</v>
      </c>
      <c r="EL93" s="213" t="s">
        <v>743</v>
      </c>
      <c r="EM93" s="213">
        <v>0</v>
      </c>
      <c r="EN93" s="213">
        <v>0</v>
      </c>
      <c r="EO93" s="213">
        <v>0</v>
      </c>
      <c r="EP93" s="213" t="s">
        <v>249</v>
      </c>
      <c r="ES93" s="213" t="s">
        <v>748</v>
      </c>
      <c r="ET93" s="213" t="s">
        <v>743</v>
      </c>
      <c r="EU93" s="213">
        <v>0</v>
      </c>
      <c r="EV93" s="213">
        <v>0</v>
      </c>
      <c r="EW93" s="213">
        <v>0</v>
      </c>
      <c r="EX93" s="213" t="s">
        <v>249</v>
      </c>
      <c r="FA93" s="213" t="s">
        <v>749</v>
      </c>
      <c r="FB93" s="213" t="s">
        <v>743</v>
      </c>
      <c r="FC93" s="213">
        <v>0</v>
      </c>
      <c r="FD93" s="213">
        <v>0</v>
      </c>
      <c r="FE93" s="213">
        <v>0</v>
      </c>
      <c r="FF93" s="213" t="s">
        <v>249</v>
      </c>
      <c r="FI93" s="213" t="s">
        <v>750</v>
      </c>
      <c r="FJ93" s="213" t="s">
        <v>743</v>
      </c>
      <c r="FK93" s="213">
        <v>0</v>
      </c>
      <c r="FL93" s="213">
        <v>0</v>
      </c>
      <c r="FM93" s="213">
        <v>0</v>
      </c>
      <c r="FN93" s="213" t="s">
        <v>249</v>
      </c>
      <c r="FQ93" s="213" t="s">
        <v>751</v>
      </c>
      <c r="FR93" s="213" t="s">
        <v>743</v>
      </c>
      <c r="FS93" s="213">
        <v>0</v>
      </c>
      <c r="FT93" s="213">
        <v>0</v>
      </c>
      <c r="FU93" s="213">
        <v>0</v>
      </c>
      <c r="FV93" s="213" t="s">
        <v>249</v>
      </c>
      <c r="FY93" s="213">
        <v>16.399999999999999</v>
      </c>
      <c r="FZ93" s="213">
        <v>-7.1</v>
      </c>
      <c r="GF93" s="213" t="s">
        <v>752</v>
      </c>
    </row>
    <row r="94" spans="1:188" s="213" customFormat="1" x14ac:dyDescent="0.15">
      <c r="A94" s="213" t="s">
        <v>654</v>
      </c>
      <c r="B94" s="213">
        <v>4</v>
      </c>
      <c r="C94" s="213" t="s">
        <v>1145</v>
      </c>
      <c r="D94" s="213">
        <v>614390034</v>
      </c>
      <c r="E94" s="213">
        <v>92303</v>
      </c>
      <c r="F94" s="213" t="s">
        <v>725</v>
      </c>
      <c r="G94" s="213">
        <v>847922</v>
      </c>
      <c r="H94" s="213">
        <v>220000161</v>
      </c>
      <c r="I94" s="213">
        <v>6.8</v>
      </c>
      <c r="J94" s="213" t="s">
        <v>1146</v>
      </c>
      <c r="K94" s="213" t="s">
        <v>727</v>
      </c>
      <c r="L94" s="213" t="s">
        <v>656</v>
      </c>
      <c r="M94" s="213" t="s">
        <v>728</v>
      </c>
      <c r="N94" s="213" t="s">
        <v>728</v>
      </c>
      <c r="O94" s="213" t="s">
        <v>729</v>
      </c>
      <c r="P94" s="213" t="s">
        <v>710</v>
      </c>
      <c r="Q94" s="213">
        <v>25.1</v>
      </c>
      <c r="R94" s="213">
        <v>139</v>
      </c>
      <c r="S94" s="213" t="s">
        <v>710</v>
      </c>
      <c r="T94" s="213">
        <v>-9999</v>
      </c>
      <c r="U94" s="213">
        <v>237</v>
      </c>
      <c r="V94" s="213">
        <v>519</v>
      </c>
      <c r="W94" s="213">
        <v>228</v>
      </c>
      <c r="X94" s="213" t="s">
        <v>710</v>
      </c>
      <c r="Y94" s="213">
        <v>0</v>
      </c>
      <c r="Z94" s="213">
        <v>40</v>
      </c>
      <c r="AA94" s="213" t="s">
        <v>730</v>
      </c>
      <c r="AB94" s="213" t="s">
        <v>731</v>
      </c>
      <c r="AC94" s="213" t="s">
        <v>729</v>
      </c>
      <c r="AD94" s="213" t="s">
        <v>732</v>
      </c>
      <c r="AE94" s="213">
        <v>0</v>
      </c>
      <c r="AF94" s="213">
        <v>7</v>
      </c>
      <c r="AG94" s="213" t="s">
        <v>249</v>
      </c>
      <c r="AH94" s="213">
        <v>-9999</v>
      </c>
      <c r="AI94" s="213">
        <v>202</v>
      </c>
      <c r="AJ94" s="213">
        <v>479</v>
      </c>
      <c r="AK94" s="213">
        <v>200</v>
      </c>
      <c r="AL94" s="213" t="s">
        <v>710</v>
      </c>
      <c r="AM94" s="213">
        <v>0</v>
      </c>
      <c r="AN94" s="213">
        <v>40</v>
      </c>
      <c r="AO94" s="213" t="s">
        <v>733</v>
      </c>
      <c r="AP94" s="213" t="s">
        <v>734</v>
      </c>
      <c r="AQ94" s="213">
        <v>1</v>
      </c>
      <c r="AR94" s="213" t="s">
        <v>735</v>
      </c>
      <c r="AS94" s="213">
        <v>0</v>
      </c>
      <c r="AT94" s="213">
        <v>2</v>
      </c>
      <c r="AU94" s="213" t="s">
        <v>249</v>
      </c>
      <c r="AV94" s="213">
        <v>-9999</v>
      </c>
      <c r="AW94" s="213">
        <v>285</v>
      </c>
      <c r="AX94" s="213">
        <v>707</v>
      </c>
      <c r="AY94" s="213">
        <v>282</v>
      </c>
      <c r="AZ94" s="213" t="s">
        <v>710</v>
      </c>
      <c r="BA94" s="213">
        <v>0</v>
      </c>
      <c r="BB94" s="213">
        <v>40</v>
      </c>
      <c r="BC94" s="213" t="s">
        <v>736</v>
      </c>
      <c r="BD94" s="213" t="s">
        <v>734</v>
      </c>
      <c r="BE94" s="213">
        <v>2</v>
      </c>
      <c r="BF94" s="213" t="s">
        <v>735</v>
      </c>
      <c r="BG94" s="213">
        <v>0</v>
      </c>
      <c r="BH94" s="213">
        <v>0</v>
      </c>
      <c r="BI94" s="213" t="s">
        <v>249</v>
      </c>
      <c r="BJ94" s="213">
        <v>-9999</v>
      </c>
      <c r="BK94" s="213">
        <v>112</v>
      </c>
      <c r="BL94" s="213">
        <v>331</v>
      </c>
      <c r="BM94" s="213">
        <v>109</v>
      </c>
      <c r="BN94" s="213" t="s">
        <v>710</v>
      </c>
      <c r="BO94" s="213">
        <v>0</v>
      </c>
      <c r="BP94" s="213">
        <v>40</v>
      </c>
      <c r="BQ94" s="213" t="s">
        <v>737</v>
      </c>
      <c r="BR94" s="213" t="s">
        <v>734</v>
      </c>
      <c r="BS94" s="213">
        <v>3</v>
      </c>
      <c r="BT94" s="213" t="s">
        <v>735</v>
      </c>
      <c r="BU94" s="213">
        <v>0</v>
      </c>
      <c r="BV94" s="213">
        <v>4</v>
      </c>
      <c r="BW94" s="213" t="s">
        <v>249</v>
      </c>
      <c r="BX94" s="213">
        <v>-9999</v>
      </c>
      <c r="BY94" s="213">
        <v>158</v>
      </c>
      <c r="BZ94" s="213">
        <v>388</v>
      </c>
      <c r="CA94" s="213">
        <v>157</v>
      </c>
      <c r="CB94" s="213" t="s">
        <v>710</v>
      </c>
      <c r="CC94" s="213">
        <v>0</v>
      </c>
      <c r="CD94" s="213">
        <v>40</v>
      </c>
      <c r="CE94" s="213" t="s">
        <v>738</v>
      </c>
      <c r="CF94" s="213" t="s">
        <v>734</v>
      </c>
      <c r="CG94" s="213">
        <v>4</v>
      </c>
      <c r="CH94" s="213" t="s">
        <v>735</v>
      </c>
      <c r="CI94" s="213">
        <v>0</v>
      </c>
      <c r="CJ94" s="213">
        <v>3</v>
      </c>
      <c r="CK94" s="213" t="s">
        <v>249</v>
      </c>
      <c r="CL94" s="213">
        <v>-9999</v>
      </c>
      <c r="CM94" s="213">
        <v>145</v>
      </c>
      <c r="CN94" s="213">
        <v>376</v>
      </c>
      <c r="CO94" s="213">
        <v>142</v>
      </c>
      <c r="CP94" s="213" t="s">
        <v>710</v>
      </c>
      <c r="CQ94" s="213">
        <v>0</v>
      </c>
      <c r="CR94" s="213">
        <v>40</v>
      </c>
      <c r="CS94" s="213" t="s">
        <v>739</v>
      </c>
      <c r="CT94" s="213" t="s">
        <v>740</v>
      </c>
      <c r="CU94" s="213">
        <v>115</v>
      </c>
      <c r="CV94" s="213">
        <v>114</v>
      </c>
      <c r="CW94" s="213">
        <v>114</v>
      </c>
      <c r="CX94" s="213" t="s">
        <v>710</v>
      </c>
      <c r="CY94" s="213" t="s">
        <v>741</v>
      </c>
      <c r="CZ94" s="213" t="s">
        <v>740</v>
      </c>
      <c r="DA94" s="213">
        <v>95</v>
      </c>
      <c r="DB94" s="213">
        <v>95</v>
      </c>
      <c r="DC94" s="213">
        <v>95</v>
      </c>
      <c r="DD94" s="213" t="s">
        <v>710</v>
      </c>
      <c r="DE94" s="213" t="s">
        <v>742</v>
      </c>
      <c r="DF94" s="213" t="s">
        <v>743</v>
      </c>
      <c r="DG94" s="213">
        <v>0</v>
      </c>
      <c r="DH94" s="213">
        <v>0</v>
      </c>
      <c r="DI94" s="213">
        <v>0</v>
      </c>
      <c r="DJ94" s="213" t="s">
        <v>249</v>
      </c>
      <c r="DM94" s="213" t="s">
        <v>744</v>
      </c>
      <c r="DN94" s="213" t="s">
        <v>743</v>
      </c>
      <c r="DO94" s="213">
        <v>0</v>
      </c>
      <c r="DP94" s="213">
        <v>0</v>
      </c>
      <c r="DQ94" s="213">
        <v>0</v>
      </c>
      <c r="DR94" s="213" t="s">
        <v>249</v>
      </c>
      <c r="DU94" s="213" t="s">
        <v>745</v>
      </c>
      <c r="DV94" s="213" t="s">
        <v>743</v>
      </c>
      <c r="DW94" s="213">
        <v>0</v>
      </c>
      <c r="DX94" s="213">
        <v>0</v>
      </c>
      <c r="DY94" s="213">
        <v>0</v>
      </c>
      <c r="DZ94" s="213" t="s">
        <v>249</v>
      </c>
      <c r="EC94" s="213" t="s">
        <v>746</v>
      </c>
      <c r="ED94" s="213" t="s">
        <v>743</v>
      </c>
      <c r="EE94" s="213">
        <v>0</v>
      </c>
      <c r="EF94" s="213">
        <v>0</v>
      </c>
      <c r="EG94" s="213">
        <v>0</v>
      </c>
      <c r="EH94" s="213" t="s">
        <v>249</v>
      </c>
      <c r="EK94" s="213" t="s">
        <v>747</v>
      </c>
      <c r="EL94" s="213" t="s">
        <v>743</v>
      </c>
      <c r="EM94" s="213">
        <v>0</v>
      </c>
      <c r="EN94" s="213">
        <v>0</v>
      </c>
      <c r="EO94" s="213">
        <v>0</v>
      </c>
      <c r="EP94" s="213" t="s">
        <v>249</v>
      </c>
      <c r="ES94" s="213" t="s">
        <v>748</v>
      </c>
      <c r="ET94" s="213" t="s">
        <v>743</v>
      </c>
      <c r="EU94" s="213">
        <v>0</v>
      </c>
      <c r="EV94" s="213">
        <v>0</v>
      </c>
      <c r="EW94" s="213">
        <v>0</v>
      </c>
      <c r="EX94" s="213" t="s">
        <v>249</v>
      </c>
      <c r="FA94" s="213" t="s">
        <v>749</v>
      </c>
      <c r="FB94" s="213" t="s">
        <v>743</v>
      </c>
      <c r="FC94" s="213">
        <v>0</v>
      </c>
      <c r="FD94" s="213">
        <v>0</v>
      </c>
      <c r="FE94" s="213">
        <v>0</v>
      </c>
      <c r="FF94" s="213" t="s">
        <v>249</v>
      </c>
      <c r="FI94" s="213" t="s">
        <v>750</v>
      </c>
      <c r="FJ94" s="213" t="s">
        <v>743</v>
      </c>
      <c r="FK94" s="213">
        <v>0</v>
      </c>
      <c r="FL94" s="213">
        <v>0</v>
      </c>
      <c r="FM94" s="213">
        <v>0</v>
      </c>
      <c r="FN94" s="213" t="s">
        <v>249</v>
      </c>
      <c r="FQ94" s="213" t="s">
        <v>751</v>
      </c>
      <c r="FR94" s="213" t="s">
        <v>743</v>
      </c>
      <c r="FS94" s="213">
        <v>0</v>
      </c>
      <c r="FT94" s="213">
        <v>0</v>
      </c>
      <c r="FU94" s="213">
        <v>0</v>
      </c>
      <c r="FV94" s="213" t="s">
        <v>249</v>
      </c>
      <c r="FY94" s="213">
        <v>20.9</v>
      </c>
      <c r="FZ94" s="213">
        <v>-9.3000000000000007</v>
      </c>
      <c r="GF94" s="213" t="s">
        <v>752</v>
      </c>
    </row>
    <row r="95" spans="1:188" s="213" customFormat="1" x14ac:dyDescent="0.15">
      <c r="A95" s="213" t="s">
        <v>654</v>
      </c>
      <c r="B95" s="213">
        <v>4</v>
      </c>
      <c r="C95" s="213" t="s">
        <v>1147</v>
      </c>
      <c r="D95" s="213">
        <v>614390494</v>
      </c>
      <c r="E95" s="213">
        <v>92303</v>
      </c>
      <c r="F95" s="213" t="s">
        <v>725</v>
      </c>
      <c r="G95" s="213">
        <v>847922</v>
      </c>
      <c r="H95" s="213">
        <v>912152</v>
      </c>
      <c r="I95" s="213">
        <v>6.8</v>
      </c>
      <c r="J95" s="213" t="s">
        <v>1148</v>
      </c>
      <c r="K95" s="213" t="s">
        <v>727</v>
      </c>
      <c r="L95" s="213" t="s">
        <v>656</v>
      </c>
      <c r="M95" s="213" t="s">
        <v>728</v>
      </c>
      <c r="N95" s="213" t="s">
        <v>728</v>
      </c>
      <c r="O95" s="213" t="s">
        <v>729</v>
      </c>
      <c r="P95" s="213" t="s">
        <v>710</v>
      </c>
      <c r="Q95" s="213">
        <v>24.4</v>
      </c>
      <c r="R95" s="213">
        <v>134</v>
      </c>
      <c r="S95" s="213" t="s">
        <v>710</v>
      </c>
      <c r="T95" s="213">
        <v>-9999</v>
      </c>
      <c r="U95" s="213">
        <v>203</v>
      </c>
      <c r="V95" s="213">
        <v>445</v>
      </c>
      <c r="W95" s="213">
        <v>198</v>
      </c>
      <c r="X95" s="213" t="s">
        <v>710</v>
      </c>
      <c r="Y95" s="213">
        <v>0</v>
      </c>
      <c r="Z95" s="213">
        <v>40</v>
      </c>
      <c r="AA95" s="213" t="s">
        <v>730</v>
      </c>
      <c r="AB95" s="213" t="s">
        <v>731</v>
      </c>
      <c r="AC95" s="213" t="s">
        <v>729</v>
      </c>
      <c r="AD95" s="213" t="s">
        <v>732</v>
      </c>
      <c r="AE95" s="213">
        <v>0</v>
      </c>
      <c r="AF95" s="213">
        <v>4</v>
      </c>
      <c r="AG95" s="213" t="s">
        <v>249</v>
      </c>
      <c r="AH95" s="213">
        <v>-9999</v>
      </c>
      <c r="AI95" s="213">
        <v>207</v>
      </c>
      <c r="AJ95" s="213">
        <v>494</v>
      </c>
      <c r="AK95" s="213">
        <v>205</v>
      </c>
      <c r="AL95" s="213" t="s">
        <v>710</v>
      </c>
      <c r="AM95" s="213">
        <v>0</v>
      </c>
      <c r="AN95" s="213">
        <v>40</v>
      </c>
      <c r="AO95" s="213" t="s">
        <v>733</v>
      </c>
      <c r="AP95" s="213" t="s">
        <v>734</v>
      </c>
      <c r="AQ95" s="213">
        <v>1</v>
      </c>
      <c r="AR95" s="213" t="s">
        <v>735</v>
      </c>
      <c r="AS95" s="213">
        <v>0</v>
      </c>
      <c r="AT95" s="213">
        <v>-1</v>
      </c>
      <c r="AU95" s="213" t="s">
        <v>249</v>
      </c>
      <c r="AV95" s="213">
        <v>-9999</v>
      </c>
      <c r="AW95" s="213">
        <v>261</v>
      </c>
      <c r="AX95" s="213">
        <v>647</v>
      </c>
      <c r="AY95" s="213">
        <v>261</v>
      </c>
      <c r="AZ95" s="213" t="s">
        <v>710</v>
      </c>
      <c r="BA95" s="213">
        <v>0</v>
      </c>
      <c r="BB95" s="213">
        <v>40</v>
      </c>
      <c r="BC95" s="213" t="s">
        <v>736</v>
      </c>
      <c r="BD95" s="213" t="s">
        <v>734</v>
      </c>
      <c r="BE95" s="213">
        <v>2</v>
      </c>
      <c r="BF95" s="213" t="s">
        <v>735</v>
      </c>
      <c r="BG95" s="213">
        <v>0</v>
      </c>
      <c r="BH95" s="213">
        <v>3</v>
      </c>
      <c r="BI95" s="213" t="s">
        <v>249</v>
      </c>
      <c r="BJ95" s="213">
        <v>-9999</v>
      </c>
      <c r="BK95" s="213">
        <v>108</v>
      </c>
      <c r="BL95" s="213">
        <v>341</v>
      </c>
      <c r="BM95" s="213">
        <v>106</v>
      </c>
      <c r="BN95" s="213" t="s">
        <v>710</v>
      </c>
      <c r="BO95" s="213">
        <v>0</v>
      </c>
      <c r="BP95" s="213">
        <v>40</v>
      </c>
      <c r="BQ95" s="213" t="s">
        <v>737</v>
      </c>
      <c r="BR95" s="213" t="s">
        <v>734</v>
      </c>
      <c r="BS95" s="213">
        <v>3</v>
      </c>
      <c r="BT95" s="213" t="s">
        <v>735</v>
      </c>
      <c r="BU95" s="213">
        <v>0</v>
      </c>
      <c r="BV95" s="213">
        <v>2</v>
      </c>
      <c r="BW95" s="213" t="s">
        <v>249</v>
      </c>
      <c r="BX95" s="213">
        <v>-9999</v>
      </c>
      <c r="BY95" s="213">
        <v>176</v>
      </c>
      <c r="BZ95" s="213">
        <v>422</v>
      </c>
      <c r="CA95" s="213">
        <v>176</v>
      </c>
      <c r="CB95" s="213" t="s">
        <v>710</v>
      </c>
      <c r="CC95" s="213">
        <v>0</v>
      </c>
      <c r="CD95" s="213">
        <v>40</v>
      </c>
      <c r="CE95" s="213" t="s">
        <v>738</v>
      </c>
      <c r="CF95" s="213" t="s">
        <v>734</v>
      </c>
      <c r="CG95" s="213">
        <v>4</v>
      </c>
      <c r="CH95" s="213" t="s">
        <v>735</v>
      </c>
      <c r="CI95" s="213">
        <v>0</v>
      </c>
      <c r="CJ95" s="213">
        <v>2</v>
      </c>
      <c r="CK95" s="213" t="s">
        <v>249</v>
      </c>
      <c r="CL95" s="213">
        <v>-9999</v>
      </c>
      <c r="CM95" s="213">
        <v>148</v>
      </c>
      <c r="CN95" s="213">
        <v>396</v>
      </c>
      <c r="CO95" s="213">
        <v>145</v>
      </c>
      <c r="CP95" s="213" t="s">
        <v>710</v>
      </c>
      <c r="CQ95" s="213">
        <v>0</v>
      </c>
      <c r="CR95" s="213">
        <v>40</v>
      </c>
      <c r="CS95" s="213" t="s">
        <v>739</v>
      </c>
      <c r="CT95" s="213" t="s">
        <v>740</v>
      </c>
      <c r="CU95" s="213">
        <v>123</v>
      </c>
      <c r="CV95" s="213">
        <v>122</v>
      </c>
      <c r="CW95" s="213">
        <v>122</v>
      </c>
      <c r="CX95" s="213" t="s">
        <v>710</v>
      </c>
      <c r="CY95" s="213" t="s">
        <v>741</v>
      </c>
      <c r="CZ95" s="213" t="s">
        <v>740</v>
      </c>
      <c r="DA95" s="213">
        <v>124</v>
      </c>
      <c r="DB95" s="213">
        <v>124</v>
      </c>
      <c r="DC95" s="213">
        <v>124</v>
      </c>
      <c r="DD95" s="213" t="s">
        <v>710</v>
      </c>
      <c r="DE95" s="213" t="s">
        <v>742</v>
      </c>
      <c r="DF95" s="213" t="s">
        <v>743</v>
      </c>
      <c r="DG95" s="213">
        <v>0</v>
      </c>
      <c r="DH95" s="213">
        <v>0</v>
      </c>
      <c r="DI95" s="213">
        <v>0</v>
      </c>
      <c r="DJ95" s="213" t="s">
        <v>249</v>
      </c>
      <c r="DM95" s="213" t="s">
        <v>744</v>
      </c>
      <c r="DN95" s="213" t="s">
        <v>743</v>
      </c>
      <c r="DO95" s="213">
        <v>0</v>
      </c>
      <c r="DP95" s="213">
        <v>0</v>
      </c>
      <c r="DQ95" s="213">
        <v>0</v>
      </c>
      <c r="DR95" s="213" t="s">
        <v>249</v>
      </c>
      <c r="DU95" s="213" t="s">
        <v>745</v>
      </c>
      <c r="DV95" s="213" t="s">
        <v>743</v>
      </c>
      <c r="DW95" s="213">
        <v>0</v>
      </c>
      <c r="DX95" s="213">
        <v>0</v>
      </c>
      <c r="DY95" s="213">
        <v>0</v>
      </c>
      <c r="DZ95" s="213" t="s">
        <v>249</v>
      </c>
      <c r="EC95" s="213" t="s">
        <v>746</v>
      </c>
      <c r="ED95" s="213" t="s">
        <v>743</v>
      </c>
      <c r="EE95" s="213">
        <v>0</v>
      </c>
      <c r="EF95" s="213">
        <v>0</v>
      </c>
      <c r="EG95" s="213">
        <v>0</v>
      </c>
      <c r="EH95" s="213" t="s">
        <v>249</v>
      </c>
      <c r="EK95" s="213" t="s">
        <v>747</v>
      </c>
      <c r="EL95" s="213" t="s">
        <v>743</v>
      </c>
      <c r="EM95" s="213">
        <v>0</v>
      </c>
      <c r="EN95" s="213">
        <v>0</v>
      </c>
      <c r="EO95" s="213">
        <v>0</v>
      </c>
      <c r="EP95" s="213" t="s">
        <v>249</v>
      </c>
      <c r="ES95" s="213" t="s">
        <v>748</v>
      </c>
      <c r="ET95" s="213" t="s">
        <v>743</v>
      </c>
      <c r="EU95" s="213">
        <v>0</v>
      </c>
      <c r="EV95" s="213">
        <v>0</v>
      </c>
      <c r="EW95" s="213">
        <v>0</v>
      </c>
      <c r="EX95" s="213" t="s">
        <v>249</v>
      </c>
      <c r="FA95" s="213" t="s">
        <v>749</v>
      </c>
      <c r="FB95" s="213" t="s">
        <v>743</v>
      </c>
      <c r="FC95" s="213">
        <v>0</v>
      </c>
      <c r="FD95" s="213">
        <v>0</v>
      </c>
      <c r="FE95" s="213">
        <v>0</v>
      </c>
      <c r="FF95" s="213" t="s">
        <v>249</v>
      </c>
      <c r="FI95" s="213" t="s">
        <v>750</v>
      </c>
      <c r="FJ95" s="213" t="s">
        <v>743</v>
      </c>
      <c r="FK95" s="213">
        <v>0</v>
      </c>
      <c r="FL95" s="213">
        <v>0</v>
      </c>
      <c r="FM95" s="213">
        <v>0</v>
      </c>
      <c r="FN95" s="213" t="s">
        <v>249</v>
      </c>
      <c r="FQ95" s="213" t="s">
        <v>751</v>
      </c>
      <c r="FR95" s="213" t="s">
        <v>743</v>
      </c>
      <c r="FS95" s="213">
        <v>0</v>
      </c>
      <c r="FT95" s="213">
        <v>0</v>
      </c>
      <c r="FU95" s="213">
        <v>0</v>
      </c>
      <c r="FV95" s="213" t="s">
        <v>249</v>
      </c>
      <c r="FY95" s="213">
        <v>17.100000000000001</v>
      </c>
      <c r="FZ95" s="213">
        <v>-9</v>
      </c>
      <c r="GF95" s="213" t="s">
        <v>752</v>
      </c>
    </row>
    <row r="96" spans="1:188" s="213" customFormat="1" x14ac:dyDescent="0.15">
      <c r="A96" s="213" t="s">
        <v>654</v>
      </c>
      <c r="B96" s="213">
        <v>4</v>
      </c>
      <c r="C96" s="213" t="s">
        <v>1149</v>
      </c>
      <c r="D96" s="213">
        <v>614390402</v>
      </c>
      <c r="E96" s="213">
        <v>92303</v>
      </c>
      <c r="F96" s="213" t="s">
        <v>725</v>
      </c>
      <c r="G96" s="213">
        <v>847922</v>
      </c>
      <c r="H96" s="213">
        <v>210046047</v>
      </c>
      <c r="I96" s="213">
        <v>6.8</v>
      </c>
      <c r="J96" s="213" t="s">
        <v>1150</v>
      </c>
      <c r="K96" s="213" t="s">
        <v>727</v>
      </c>
      <c r="L96" s="213" t="s">
        <v>656</v>
      </c>
      <c r="M96" s="213" t="s">
        <v>728</v>
      </c>
      <c r="N96" s="213" t="s">
        <v>728</v>
      </c>
      <c r="O96" s="213" t="s">
        <v>729</v>
      </c>
      <c r="P96" s="213" t="s">
        <v>710</v>
      </c>
      <c r="Q96" s="213">
        <v>23.9</v>
      </c>
      <c r="R96" s="213">
        <v>140</v>
      </c>
      <c r="S96" s="213" t="s">
        <v>710</v>
      </c>
      <c r="T96" s="213">
        <v>-9999</v>
      </c>
      <c r="U96" s="213">
        <v>238</v>
      </c>
      <c r="V96" s="213">
        <v>525</v>
      </c>
      <c r="W96" s="213">
        <v>228</v>
      </c>
      <c r="X96" s="213" t="s">
        <v>710</v>
      </c>
      <c r="Y96" s="213">
        <v>0</v>
      </c>
      <c r="Z96" s="213">
        <v>40</v>
      </c>
      <c r="AA96" s="213" t="s">
        <v>730</v>
      </c>
      <c r="AB96" s="213" t="s">
        <v>731</v>
      </c>
      <c r="AC96" s="213" t="s">
        <v>729</v>
      </c>
      <c r="AD96" s="213" t="s">
        <v>732</v>
      </c>
      <c r="AE96" s="213">
        <v>0</v>
      </c>
      <c r="AF96" s="213">
        <v>7</v>
      </c>
      <c r="AG96" s="213" t="s">
        <v>249</v>
      </c>
      <c r="AH96" s="213">
        <v>-9999</v>
      </c>
      <c r="AI96" s="213">
        <v>190</v>
      </c>
      <c r="AJ96" s="213">
        <v>456</v>
      </c>
      <c r="AK96" s="213">
        <v>187</v>
      </c>
      <c r="AL96" s="213" t="s">
        <v>710</v>
      </c>
      <c r="AM96" s="213">
        <v>0</v>
      </c>
      <c r="AN96" s="213">
        <v>40</v>
      </c>
      <c r="AO96" s="213" t="s">
        <v>733</v>
      </c>
      <c r="AP96" s="213" t="s">
        <v>734</v>
      </c>
      <c r="AQ96" s="213">
        <v>1</v>
      </c>
      <c r="AR96" s="213" t="s">
        <v>735</v>
      </c>
      <c r="AS96" s="213">
        <v>0</v>
      </c>
      <c r="AT96" s="213">
        <v>0</v>
      </c>
      <c r="AU96" s="213" t="s">
        <v>249</v>
      </c>
      <c r="AV96" s="213">
        <v>-9999</v>
      </c>
      <c r="AW96" s="213">
        <v>257</v>
      </c>
      <c r="AX96" s="213">
        <v>641</v>
      </c>
      <c r="AY96" s="213">
        <v>256</v>
      </c>
      <c r="AZ96" s="213" t="s">
        <v>710</v>
      </c>
      <c r="BA96" s="213">
        <v>0</v>
      </c>
      <c r="BB96" s="213">
        <v>40</v>
      </c>
      <c r="BC96" s="213" t="s">
        <v>736</v>
      </c>
      <c r="BD96" s="213" t="s">
        <v>734</v>
      </c>
      <c r="BE96" s="213">
        <v>2</v>
      </c>
      <c r="BF96" s="213" t="s">
        <v>735</v>
      </c>
      <c r="BG96" s="213">
        <v>0</v>
      </c>
      <c r="BH96" s="213">
        <v>0</v>
      </c>
      <c r="BI96" s="213" t="s">
        <v>249</v>
      </c>
      <c r="BJ96" s="213">
        <v>-9999</v>
      </c>
      <c r="BK96" s="213">
        <v>99</v>
      </c>
      <c r="BL96" s="213">
        <v>302</v>
      </c>
      <c r="BM96" s="213">
        <v>97</v>
      </c>
      <c r="BN96" s="213" t="s">
        <v>710</v>
      </c>
      <c r="BO96" s="213">
        <v>0</v>
      </c>
      <c r="BP96" s="213">
        <v>40</v>
      </c>
      <c r="BQ96" s="213" t="s">
        <v>737</v>
      </c>
      <c r="BR96" s="213" t="s">
        <v>734</v>
      </c>
      <c r="BS96" s="213">
        <v>3</v>
      </c>
      <c r="BT96" s="213" t="s">
        <v>735</v>
      </c>
      <c r="BU96" s="213">
        <v>0</v>
      </c>
      <c r="BV96" s="213">
        <v>5</v>
      </c>
      <c r="BW96" s="213" t="s">
        <v>249</v>
      </c>
      <c r="BX96" s="213">
        <v>-9999</v>
      </c>
      <c r="BY96" s="213">
        <v>179</v>
      </c>
      <c r="BZ96" s="213">
        <v>424</v>
      </c>
      <c r="CA96" s="213">
        <v>179</v>
      </c>
      <c r="CB96" s="213" t="s">
        <v>710</v>
      </c>
      <c r="CC96" s="213">
        <v>0</v>
      </c>
      <c r="CD96" s="213">
        <v>40</v>
      </c>
      <c r="CE96" s="213" t="s">
        <v>738</v>
      </c>
      <c r="CF96" s="213" t="s">
        <v>734</v>
      </c>
      <c r="CG96" s="213">
        <v>4</v>
      </c>
      <c r="CH96" s="213" t="s">
        <v>735</v>
      </c>
      <c r="CI96" s="213">
        <v>0</v>
      </c>
      <c r="CJ96" s="213">
        <v>5</v>
      </c>
      <c r="CK96" s="213" t="s">
        <v>249</v>
      </c>
      <c r="CL96" s="213">
        <v>-9999</v>
      </c>
      <c r="CM96" s="213">
        <v>139</v>
      </c>
      <c r="CN96" s="213">
        <v>367</v>
      </c>
      <c r="CO96" s="213">
        <v>137</v>
      </c>
      <c r="CP96" s="213" t="s">
        <v>710</v>
      </c>
      <c r="CQ96" s="213">
        <v>0</v>
      </c>
      <c r="CR96" s="213">
        <v>40</v>
      </c>
      <c r="CS96" s="213" t="s">
        <v>739</v>
      </c>
      <c r="CT96" s="213" t="s">
        <v>740</v>
      </c>
      <c r="CU96" s="213">
        <v>133</v>
      </c>
      <c r="CV96" s="213">
        <v>133</v>
      </c>
      <c r="CW96" s="213">
        <v>132</v>
      </c>
      <c r="CX96" s="213" t="s">
        <v>710</v>
      </c>
      <c r="CY96" s="213" t="s">
        <v>741</v>
      </c>
      <c r="CZ96" s="213" t="s">
        <v>740</v>
      </c>
      <c r="DA96" s="213">
        <v>120</v>
      </c>
      <c r="DB96" s="213">
        <v>120</v>
      </c>
      <c r="DC96" s="213">
        <v>120</v>
      </c>
      <c r="DD96" s="213" t="s">
        <v>710</v>
      </c>
      <c r="DE96" s="213" t="s">
        <v>742</v>
      </c>
      <c r="DF96" s="213" t="s">
        <v>743</v>
      </c>
      <c r="DG96" s="213">
        <v>0</v>
      </c>
      <c r="DH96" s="213">
        <v>0</v>
      </c>
      <c r="DI96" s="213">
        <v>0</v>
      </c>
      <c r="DJ96" s="213" t="s">
        <v>249</v>
      </c>
      <c r="DM96" s="213" t="s">
        <v>744</v>
      </c>
      <c r="DN96" s="213" t="s">
        <v>743</v>
      </c>
      <c r="DO96" s="213">
        <v>0</v>
      </c>
      <c r="DP96" s="213">
        <v>0</v>
      </c>
      <c r="DQ96" s="213">
        <v>0</v>
      </c>
      <c r="DR96" s="213" t="s">
        <v>249</v>
      </c>
      <c r="DU96" s="213" t="s">
        <v>745</v>
      </c>
      <c r="DV96" s="213" t="s">
        <v>743</v>
      </c>
      <c r="DW96" s="213">
        <v>0</v>
      </c>
      <c r="DX96" s="213">
        <v>0</v>
      </c>
      <c r="DY96" s="213">
        <v>0</v>
      </c>
      <c r="DZ96" s="213" t="s">
        <v>249</v>
      </c>
      <c r="EC96" s="213" t="s">
        <v>746</v>
      </c>
      <c r="ED96" s="213" t="s">
        <v>743</v>
      </c>
      <c r="EE96" s="213">
        <v>0</v>
      </c>
      <c r="EF96" s="213">
        <v>0</v>
      </c>
      <c r="EG96" s="213">
        <v>0</v>
      </c>
      <c r="EH96" s="213" t="s">
        <v>249</v>
      </c>
      <c r="EK96" s="213" t="s">
        <v>747</v>
      </c>
      <c r="EL96" s="213" t="s">
        <v>743</v>
      </c>
      <c r="EM96" s="213">
        <v>0</v>
      </c>
      <c r="EN96" s="213">
        <v>0</v>
      </c>
      <c r="EO96" s="213">
        <v>0</v>
      </c>
      <c r="EP96" s="213" t="s">
        <v>249</v>
      </c>
      <c r="ES96" s="213" t="s">
        <v>748</v>
      </c>
      <c r="ET96" s="213" t="s">
        <v>743</v>
      </c>
      <c r="EU96" s="213">
        <v>0</v>
      </c>
      <c r="EV96" s="213">
        <v>0</v>
      </c>
      <c r="EW96" s="213">
        <v>0</v>
      </c>
      <c r="EX96" s="213" t="s">
        <v>249</v>
      </c>
      <c r="FA96" s="213" t="s">
        <v>749</v>
      </c>
      <c r="FB96" s="213" t="s">
        <v>743</v>
      </c>
      <c r="FC96" s="213">
        <v>0</v>
      </c>
      <c r="FD96" s="213">
        <v>0</v>
      </c>
      <c r="FE96" s="213">
        <v>0</v>
      </c>
      <c r="FF96" s="213" t="s">
        <v>249</v>
      </c>
      <c r="FI96" s="213" t="s">
        <v>750</v>
      </c>
      <c r="FJ96" s="213" t="s">
        <v>743</v>
      </c>
      <c r="FK96" s="213">
        <v>0</v>
      </c>
      <c r="FL96" s="213">
        <v>0</v>
      </c>
      <c r="FM96" s="213">
        <v>0</v>
      </c>
      <c r="FN96" s="213" t="s">
        <v>249</v>
      </c>
      <c r="FQ96" s="213" t="s">
        <v>751</v>
      </c>
      <c r="FR96" s="213" t="s">
        <v>743</v>
      </c>
      <c r="FS96" s="213">
        <v>0</v>
      </c>
      <c r="FT96" s="213">
        <v>0</v>
      </c>
      <c r="FU96" s="213">
        <v>0</v>
      </c>
      <c r="FV96" s="213" t="s">
        <v>249</v>
      </c>
      <c r="FY96" s="213">
        <v>20.5</v>
      </c>
      <c r="FZ96" s="213">
        <v>-10.1</v>
      </c>
      <c r="GF96" s="213" t="s">
        <v>752</v>
      </c>
    </row>
    <row r="97" spans="1:188" s="283" customFormat="1" x14ac:dyDescent="0.15">
      <c r="A97" s="213" t="s">
        <v>654</v>
      </c>
      <c r="B97" s="213">
        <v>4</v>
      </c>
      <c r="C97" s="213" t="s">
        <v>1151</v>
      </c>
      <c r="D97" s="213">
        <v>614390505</v>
      </c>
      <c r="E97" s="213">
        <v>92303</v>
      </c>
      <c r="F97" s="213" t="s">
        <v>725</v>
      </c>
      <c r="G97" s="213">
        <v>847922</v>
      </c>
      <c r="H97" s="213">
        <v>701892</v>
      </c>
      <c r="I97" s="213">
        <v>6.8</v>
      </c>
      <c r="J97" s="213" t="s">
        <v>1152</v>
      </c>
      <c r="K97" s="213" t="s">
        <v>1193</v>
      </c>
      <c r="L97" s="213" t="s">
        <v>1196</v>
      </c>
      <c r="M97" s="213" t="s">
        <v>728</v>
      </c>
      <c r="N97" s="213" t="s">
        <v>728</v>
      </c>
      <c r="O97" s="213" t="s">
        <v>729</v>
      </c>
      <c r="P97" s="213" t="s">
        <v>710</v>
      </c>
      <c r="Q97" s="213">
        <v>23.5</v>
      </c>
      <c r="R97" s="213">
        <v>149</v>
      </c>
      <c r="S97" s="213" t="s">
        <v>710</v>
      </c>
      <c r="T97" s="213">
        <v>-9999</v>
      </c>
      <c r="U97" s="213">
        <v>231</v>
      </c>
      <c r="V97" s="213">
        <v>507</v>
      </c>
      <c r="W97" s="213">
        <v>224</v>
      </c>
      <c r="X97" s="213" t="s">
        <v>710</v>
      </c>
      <c r="Y97" s="213">
        <v>0</v>
      </c>
      <c r="Z97" s="213">
        <v>40</v>
      </c>
      <c r="AA97" s="213" t="s">
        <v>730</v>
      </c>
      <c r="AB97" s="213" t="s">
        <v>731</v>
      </c>
      <c r="AC97" s="213" t="s">
        <v>729</v>
      </c>
      <c r="AD97" s="213" t="s">
        <v>732</v>
      </c>
      <c r="AE97" s="213">
        <v>0</v>
      </c>
      <c r="AF97" s="213">
        <v>1</v>
      </c>
      <c r="AG97" s="213" t="s">
        <v>249</v>
      </c>
      <c r="AH97" s="213">
        <v>-9999</v>
      </c>
      <c r="AI97" s="213">
        <v>226</v>
      </c>
      <c r="AJ97" s="213">
        <v>531</v>
      </c>
      <c r="AK97" s="213">
        <v>223</v>
      </c>
      <c r="AL97" s="213" t="s">
        <v>710</v>
      </c>
      <c r="AM97" s="213">
        <v>0</v>
      </c>
      <c r="AN97" s="213">
        <v>40</v>
      </c>
      <c r="AO97" s="213" t="s">
        <v>733</v>
      </c>
      <c r="AP97" s="213" t="s">
        <v>734</v>
      </c>
      <c r="AQ97" s="213">
        <v>1</v>
      </c>
      <c r="AR97" s="213" t="s">
        <v>735</v>
      </c>
      <c r="AS97" s="213">
        <v>0</v>
      </c>
      <c r="AT97" s="213">
        <v>6</v>
      </c>
      <c r="AU97" s="213" t="s">
        <v>249</v>
      </c>
      <c r="AV97" s="213">
        <v>-9999</v>
      </c>
      <c r="AW97" s="213">
        <v>282</v>
      </c>
      <c r="AX97" s="213">
        <v>697</v>
      </c>
      <c r="AY97" s="213">
        <v>278</v>
      </c>
      <c r="AZ97" s="213" t="s">
        <v>710</v>
      </c>
      <c r="BA97" s="213">
        <v>0</v>
      </c>
      <c r="BB97" s="213">
        <v>40</v>
      </c>
      <c r="BC97" s="213" t="s">
        <v>736</v>
      </c>
      <c r="BD97" s="213" t="s">
        <v>734</v>
      </c>
      <c r="BE97" s="213">
        <v>2</v>
      </c>
      <c r="BF97" s="213" t="s">
        <v>735</v>
      </c>
      <c r="BG97" s="213">
        <v>0</v>
      </c>
      <c r="BH97" s="213">
        <v>3</v>
      </c>
      <c r="BI97" s="213" t="s">
        <v>249</v>
      </c>
      <c r="BJ97" s="213">
        <v>-9999</v>
      </c>
      <c r="BK97" s="213">
        <v>117</v>
      </c>
      <c r="BL97" s="213">
        <v>350</v>
      </c>
      <c r="BM97" s="213">
        <v>115</v>
      </c>
      <c r="BN97" s="213" t="s">
        <v>710</v>
      </c>
      <c r="BO97" s="213">
        <v>0</v>
      </c>
      <c r="BP97" s="213">
        <v>40</v>
      </c>
      <c r="BQ97" s="213" t="s">
        <v>737</v>
      </c>
      <c r="BR97" s="213" t="s">
        <v>734</v>
      </c>
      <c r="BS97" s="213">
        <v>3</v>
      </c>
      <c r="BT97" s="213" t="s">
        <v>735</v>
      </c>
      <c r="BU97" s="213">
        <v>0</v>
      </c>
      <c r="BV97" s="213">
        <v>7</v>
      </c>
      <c r="BW97" s="213" t="s">
        <v>249</v>
      </c>
      <c r="BX97" s="213">
        <v>-9999</v>
      </c>
      <c r="BY97" s="213">
        <v>204</v>
      </c>
      <c r="BZ97" s="213">
        <v>485</v>
      </c>
      <c r="CA97" s="213">
        <v>202</v>
      </c>
      <c r="CB97" s="213" t="s">
        <v>710</v>
      </c>
      <c r="CC97" s="213">
        <v>0</v>
      </c>
      <c r="CD97" s="213">
        <v>40</v>
      </c>
      <c r="CE97" s="213" t="s">
        <v>738</v>
      </c>
      <c r="CF97" s="213" t="s">
        <v>734</v>
      </c>
      <c r="CG97" s="213">
        <v>4</v>
      </c>
      <c r="CH97" s="213" t="s">
        <v>735</v>
      </c>
      <c r="CI97" s="213">
        <v>0</v>
      </c>
      <c r="CJ97" s="213">
        <v>6</v>
      </c>
      <c r="CK97" s="213" t="s">
        <v>249</v>
      </c>
      <c r="CL97" s="213">
        <v>-9999</v>
      </c>
      <c r="CM97" s="213">
        <v>159</v>
      </c>
      <c r="CN97" s="213">
        <v>415</v>
      </c>
      <c r="CO97" s="213">
        <v>155</v>
      </c>
      <c r="CP97" s="213" t="s">
        <v>710</v>
      </c>
      <c r="CQ97" s="213">
        <v>0</v>
      </c>
      <c r="CR97" s="213">
        <v>40</v>
      </c>
      <c r="CS97" s="213" t="s">
        <v>739</v>
      </c>
      <c r="CT97" s="213" t="s">
        <v>740</v>
      </c>
      <c r="CU97" s="213">
        <v>142</v>
      </c>
      <c r="CV97" s="213">
        <v>141</v>
      </c>
      <c r="CW97" s="213">
        <v>140</v>
      </c>
      <c r="CX97" s="213" t="s">
        <v>710</v>
      </c>
      <c r="CY97" s="213" t="s">
        <v>741</v>
      </c>
      <c r="CZ97" s="213" t="s">
        <v>740</v>
      </c>
      <c r="DA97" s="213">
        <v>151</v>
      </c>
      <c r="DB97" s="213">
        <v>151</v>
      </c>
      <c r="DC97" s="213">
        <v>150</v>
      </c>
      <c r="DD97" s="213" t="s">
        <v>710</v>
      </c>
      <c r="DE97" s="213" t="s">
        <v>742</v>
      </c>
      <c r="DF97" s="213" t="s">
        <v>743</v>
      </c>
      <c r="DG97" s="213">
        <v>0</v>
      </c>
      <c r="DH97" s="213">
        <v>0</v>
      </c>
      <c r="DI97" s="213">
        <v>0</v>
      </c>
      <c r="DJ97" s="213" t="s">
        <v>249</v>
      </c>
      <c r="DK97" s="213"/>
      <c r="DL97" s="213"/>
      <c r="DM97" s="213" t="s">
        <v>744</v>
      </c>
      <c r="DN97" s="213" t="s">
        <v>743</v>
      </c>
      <c r="DO97" s="213">
        <v>0</v>
      </c>
      <c r="DP97" s="213">
        <v>0</v>
      </c>
      <c r="DQ97" s="213">
        <v>0</v>
      </c>
      <c r="DR97" s="213" t="s">
        <v>249</v>
      </c>
      <c r="DS97" s="213"/>
      <c r="DT97" s="213"/>
      <c r="DU97" s="213" t="s">
        <v>745</v>
      </c>
      <c r="DV97" s="213" t="s">
        <v>743</v>
      </c>
      <c r="DW97" s="213">
        <v>0</v>
      </c>
      <c r="DX97" s="213">
        <v>0</v>
      </c>
      <c r="DY97" s="213">
        <v>0</v>
      </c>
      <c r="DZ97" s="213" t="s">
        <v>249</v>
      </c>
      <c r="EA97" s="213"/>
      <c r="EB97" s="213"/>
      <c r="EC97" s="213" t="s">
        <v>746</v>
      </c>
      <c r="ED97" s="213" t="s">
        <v>743</v>
      </c>
      <c r="EE97" s="213">
        <v>0</v>
      </c>
      <c r="EF97" s="213">
        <v>0</v>
      </c>
      <c r="EG97" s="213">
        <v>0</v>
      </c>
      <c r="EH97" s="213" t="s">
        <v>249</v>
      </c>
      <c r="EI97" s="213"/>
      <c r="EJ97" s="213"/>
      <c r="EK97" s="213" t="s">
        <v>747</v>
      </c>
      <c r="EL97" s="213" t="s">
        <v>743</v>
      </c>
      <c r="EM97" s="213">
        <v>0</v>
      </c>
      <c r="EN97" s="213">
        <v>0</v>
      </c>
      <c r="EO97" s="213">
        <v>0</v>
      </c>
      <c r="EP97" s="213" t="s">
        <v>249</v>
      </c>
      <c r="ES97" s="283" t="s">
        <v>748</v>
      </c>
      <c r="ET97" s="283" t="s">
        <v>743</v>
      </c>
      <c r="EU97" s="283">
        <v>0</v>
      </c>
      <c r="EV97" s="283">
        <v>0</v>
      </c>
      <c r="EW97" s="283">
        <v>0</v>
      </c>
      <c r="EX97" s="283" t="s">
        <v>249</v>
      </c>
      <c r="FA97" s="283" t="s">
        <v>749</v>
      </c>
      <c r="FB97" s="283" t="s">
        <v>743</v>
      </c>
      <c r="FC97" s="283">
        <v>0</v>
      </c>
      <c r="FD97" s="283">
        <v>0</v>
      </c>
      <c r="FE97" s="283">
        <v>0</v>
      </c>
      <c r="FF97" s="283" t="s">
        <v>249</v>
      </c>
      <c r="FI97" s="283" t="s">
        <v>750</v>
      </c>
      <c r="FJ97" s="283" t="s">
        <v>743</v>
      </c>
      <c r="FK97" s="283">
        <v>0</v>
      </c>
      <c r="FL97" s="283">
        <v>0</v>
      </c>
      <c r="FM97" s="283">
        <v>0</v>
      </c>
      <c r="FN97" s="283" t="s">
        <v>249</v>
      </c>
      <c r="FQ97" s="283" t="s">
        <v>751</v>
      </c>
      <c r="FR97" s="283" t="s">
        <v>743</v>
      </c>
      <c r="FS97" s="283">
        <v>0</v>
      </c>
      <c r="FT97" s="283">
        <v>0</v>
      </c>
      <c r="FU97" s="283">
        <v>0</v>
      </c>
      <c r="FV97" s="283" t="s">
        <v>249</v>
      </c>
      <c r="FY97" s="283">
        <v>92</v>
      </c>
      <c r="FZ97" s="283">
        <v>-8.1999999999999993</v>
      </c>
      <c r="GA97" s="283" t="s">
        <v>1210</v>
      </c>
      <c r="GF97" s="283" t="s">
        <v>752</v>
      </c>
    </row>
    <row r="98" spans="1:188" s="213" customFormat="1" x14ac:dyDescent="0.15">
      <c r="A98" s="213" t="s">
        <v>654</v>
      </c>
      <c r="B98" s="213">
        <v>4</v>
      </c>
      <c r="C98" s="213" t="s">
        <v>1153</v>
      </c>
      <c r="D98" s="213">
        <v>614390503</v>
      </c>
      <c r="E98" s="213">
        <v>92303</v>
      </c>
      <c r="F98" s="213" t="s">
        <v>725</v>
      </c>
      <c r="G98" s="213">
        <v>847922</v>
      </c>
      <c r="H98" s="213">
        <v>866331</v>
      </c>
      <c r="I98" s="213">
        <v>6.8</v>
      </c>
      <c r="J98" s="213" t="s">
        <v>1154</v>
      </c>
      <c r="K98" s="213" t="s">
        <v>727</v>
      </c>
      <c r="L98" s="213" t="s">
        <v>656</v>
      </c>
      <c r="M98" s="213" t="s">
        <v>728</v>
      </c>
      <c r="N98" s="213" t="s">
        <v>728</v>
      </c>
      <c r="O98" s="213" t="s">
        <v>729</v>
      </c>
      <c r="P98" s="213" t="s">
        <v>710</v>
      </c>
      <c r="Q98" s="213">
        <v>23.7</v>
      </c>
      <c r="R98" s="213">
        <v>148</v>
      </c>
      <c r="S98" s="213" t="s">
        <v>710</v>
      </c>
      <c r="T98" s="213">
        <v>-9999</v>
      </c>
      <c r="U98" s="213">
        <v>212</v>
      </c>
      <c r="V98" s="213">
        <v>454</v>
      </c>
      <c r="W98" s="213">
        <v>200</v>
      </c>
      <c r="X98" s="213" t="s">
        <v>710</v>
      </c>
      <c r="Y98" s="213">
        <v>0</v>
      </c>
      <c r="Z98" s="213">
        <v>40</v>
      </c>
      <c r="AA98" s="213" t="s">
        <v>730</v>
      </c>
      <c r="AB98" s="213" t="s">
        <v>731</v>
      </c>
      <c r="AC98" s="213" t="s">
        <v>729</v>
      </c>
      <c r="AD98" s="213" t="s">
        <v>732</v>
      </c>
      <c r="AE98" s="213">
        <v>0</v>
      </c>
      <c r="AF98" s="213">
        <v>12</v>
      </c>
      <c r="AG98" s="213" t="s">
        <v>249</v>
      </c>
      <c r="AH98" s="213">
        <v>-9999</v>
      </c>
      <c r="AI98" s="213">
        <v>181</v>
      </c>
      <c r="AJ98" s="213">
        <v>432</v>
      </c>
      <c r="AK98" s="213">
        <v>176</v>
      </c>
      <c r="AL98" s="213" t="s">
        <v>710</v>
      </c>
      <c r="AM98" s="213">
        <v>0</v>
      </c>
      <c r="AN98" s="213">
        <v>40</v>
      </c>
      <c r="AO98" s="213" t="s">
        <v>733</v>
      </c>
      <c r="AP98" s="213" t="s">
        <v>734</v>
      </c>
      <c r="AQ98" s="213">
        <v>1</v>
      </c>
      <c r="AR98" s="213" t="s">
        <v>735</v>
      </c>
      <c r="AS98" s="213">
        <v>0</v>
      </c>
      <c r="AT98" s="213">
        <v>14</v>
      </c>
      <c r="AU98" s="213" t="s">
        <v>249</v>
      </c>
      <c r="AV98" s="213">
        <v>-9999</v>
      </c>
      <c r="AW98" s="213">
        <v>218</v>
      </c>
      <c r="AX98" s="213">
        <v>526</v>
      </c>
      <c r="AY98" s="213">
        <v>214</v>
      </c>
      <c r="AZ98" s="213" t="s">
        <v>710</v>
      </c>
      <c r="BA98" s="213">
        <v>0</v>
      </c>
      <c r="BB98" s="213">
        <v>40</v>
      </c>
      <c r="BC98" s="213" t="s">
        <v>736</v>
      </c>
      <c r="BD98" s="213" t="s">
        <v>734</v>
      </c>
      <c r="BE98" s="213">
        <v>2</v>
      </c>
      <c r="BF98" s="213" t="s">
        <v>735</v>
      </c>
      <c r="BG98" s="213">
        <v>0</v>
      </c>
      <c r="BH98" s="213">
        <v>1</v>
      </c>
      <c r="BI98" s="213" t="s">
        <v>249</v>
      </c>
      <c r="BJ98" s="213">
        <v>-9999</v>
      </c>
      <c r="BK98" s="213">
        <v>95</v>
      </c>
      <c r="BL98" s="213">
        <v>298</v>
      </c>
      <c r="BM98" s="213">
        <v>91</v>
      </c>
      <c r="BN98" s="213" t="s">
        <v>710</v>
      </c>
      <c r="BO98" s="213">
        <v>0</v>
      </c>
      <c r="BP98" s="213">
        <v>40</v>
      </c>
      <c r="BQ98" s="213" t="s">
        <v>737</v>
      </c>
      <c r="BR98" s="213" t="s">
        <v>734</v>
      </c>
      <c r="BS98" s="213">
        <v>3</v>
      </c>
      <c r="BT98" s="213" t="s">
        <v>735</v>
      </c>
      <c r="BU98" s="213">
        <v>0</v>
      </c>
      <c r="BV98" s="213">
        <v>7</v>
      </c>
      <c r="BW98" s="213" t="s">
        <v>249</v>
      </c>
      <c r="BX98" s="213">
        <v>-9999</v>
      </c>
      <c r="BY98" s="213">
        <v>175</v>
      </c>
      <c r="BZ98" s="213">
        <v>402</v>
      </c>
      <c r="CA98" s="213">
        <v>172</v>
      </c>
      <c r="CB98" s="213" t="s">
        <v>710</v>
      </c>
      <c r="CC98" s="213">
        <v>0</v>
      </c>
      <c r="CD98" s="213">
        <v>40</v>
      </c>
      <c r="CE98" s="213" t="s">
        <v>738</v>
      </c>
      <c r="CF98" s="213" t="s">
        <v>734</v>
      </c>
      <c r="CG98" s="213">
        <v>4</v>
      </c>
      <c r="CH98" s="213" t="s">
        <v>735</v>
      </c>
      <c r="CI98" s="213">
        <v>0</v>
      </c>
      <c r="CJ98" s="213">
        <v>10</v>
      </c>
      <c r="CK98" s="213" t="s">
        <v>249</v>
      </c>
      <c r="CL98" s="213">
        <v>-9999</v>
      </c>
      <c r="CM98" s="213">
        <v>136</v>
      </c>
      <c r="CN98" s="213">
        <v>355</v>
      </c>
      <c r="CO98" s="213">
        <v>131</v>
      </c>
      <c r="CP98" s="213" t="s">
        <v>710</v>
      </c>
      <c r="CQ98" s="213">
        <v>0</v>
      </c>
      <c r="CR98" s="213">
        <v>40</v>
      </c>
      <c r="CS98" s="213" t="s">
        <v>739</v>
      </c>
      <c r="CT98" s="213" t="s">
        <v>740</v>
      </c>
      <c r="CU98" s="213">
        <v>117</v>
      </c>
      <c r="CV98" s="213">
        <v>116</v>
      </c>
      <c r="CW98" s="213">
        <v>116</v>
      </c>
      <c r="CX98" s="213" t="s">
        <v>710</v>
      </c>
      <c r="CY98" s="213" t="s">
        <v>741</v>
      </c>
      <c r="CZ98" s="213" t="s">
        <v>740</v>
      </c>
      <c r="DA98" s="213">
        <v>105</v>
      </c>
      <c r="DB98" s="213">
        <v>105</v>
      </c>
      <c r="DC98" s="213">
        <v>105</v>
      </c>
      <c r="DD98" s="213" t="s">
        <v>710</v>
      </c>
      <c r="DE98" s="213" t="s">
        <v>742</v>
      </c>
      <c r="DF98" s="213" t="s">
        <v>743</v>
      </c>
      <c r="DG98" s="213">
        <v>0</v>
      </c>
      <c r="DH98" s="213">
        <v>0</v>
      </c>
      <c r="DI98" s="213">
        <v>0</v>
      </c>
      <c r="DJ98" s="213" t="s">
        <v>249</v>
      </c>
      <c r="DM98" s="213" t="s">
        <v>744</v>
      </c>
      <c r="DN98" s="213" t="s">
        <v>743</v>
      </c>
      <c r="DO98" s="213">
        <v>0</v>
      </c>
      <c r="DP98" s="213">
        <v>0</v>
      </c>
      <c r="DQ98" s="213">
        <v>0</v>
      </c>
      <c r="DR98" s="213" t="s">
        <v>249</v>
      </c>
      <c r="DU98" s="213" t="s">
        <v>745</v>
      </c>
      <c r="DV98" s="213" t="s">
        <v>743</v>
      </c>
      <c r="DW98" s="213">
        <v>0</v>
      </c>
      <c r="DX98" s="213">
        <v>0</v>
      </c>
      <c r="DY98" s="213">
        <v>0</v>
      </c>
      <c r="DZ98" s="213" t="s">
        <v>249</v>
      </c>
      <c r="EC98" s="213" t="s">
        <v>746</v>
      </c>
      <c r="ED98" s="213" t="s">
        <v>743</v>
      </c>
      <c r="EE98" s="213">
        <v>0</v>
      </c>
      <c r="EF98" s="213">
        <v>0</v>
      </c>
      <c r="EG98" s="213">
        <v>0</v>
      </c>
      <c r="EH98" s="213" t="s">
        <v>249</v>
      </c>
      <c r="EK98" s="213" t="s">
        <v>747</v>
      </c>
      <c r="EL98" s="213" t="s">
        <v>743</v>
      </c>
      <c r="EM98" s="213">
        <v>0</v>
      </c>
      <c r="EN98" s="213">
        <v>0</v>
      </c>
      <c r="EO98" s="213">
        <v>0</v>
      </c>
      <c r="EP98" s="213" t="s">
        <v>249</v>
      </c>
      <c r="ES98" s="213" t="s">
        <v>748</v>
      </c>
      <c r="ET98" s="213" t="s">
        <v>743</v>
      </c>
      <c r="EU98" s="213">
        <v>0</v>
      </c>
      <c r="EV98" s="213">
        <v>0</v>
      </c>
      <c r="EW98" s="213">
        <v>0</v>
      </c>
      <c r="EX98" s="213" t="s">
        <v>249</v>
      </c>
      <c r="FA98" s="213" t="s">
        <v>749</v>
      </c>
      <c r="FB98" s="213" t="s">
        <v>743</v>
      </c>
      <c r="FC98" s="213">
        <v>0</v>
      </c>
      <c r="FD98" s="213">
        <v>0</v>
      </c>
      <c r="FE98" s="213">
        <v>0</v>
      </c>
      <c r="FF98" s="213" t="s">
        <v>249</v>
      </c>
      <c r="FI98" s="213" t="s">
        <v>750</v>
      </c>
      <c r="FJ98" s="213" t="s">
        <v>743</v>
      </c>
      <c r="FK98" s="213">
        <v>0</v>
      </c>
      <c r="FL98" s="213">
        <v>0</v>
      </c>
      <c r="FM98" s="213">
        <v>0</v>
      </c>
      <c r="FN98" s="213" t="s">
        <v>249</v>
      </c>
      <c r="FQ98" s="213" t="s">
        <v>751</v>
      </c>
      <c r="FR98" s="213" t="s">
        <v>743</v>
      </c>
      <c r="FS98" s="213">
        <v>0</v>
      </c>
      <c r="FT98" s="213">
        <v>0</v>
      </c>
      <c r="FU98" s="213">
        <v>0</v>
      </c>
      <c r="FV98" s="213" t="s">
        <v>249</v>
      </c>
      <c r="FY98" s="213">
        <v>13.4</v>
      </c>
      <c r="FZ98" s="213">
        <v>-6.3</v>
      </c>
      <c r="GF98" s="213" t="s">
        <v>752</v>
      </c>
    </row>
    <row r="99" spans="1:188" s="213" customFormat="1" x14ac:dyDescent="0.15">
      <c r="A99" s="213" t="s">
        <v>654</v>
      </c>
      <c r="B99" s="213">
        <v>4</v>
      </c>
      <c r="C99" s="213" t="s">
        <v>1155</v>
      </c>
      <c r="D99" s="213">
        <v>614389891</v>
      </c>
      <c r="E99" s="213">
        <v>92303</v>
      </c>
      <c r="F99" s="213" t="s">
        <v>725</v>
      </c>
      <c r="G99" s="213">
        <v>847922</v>
      </c>
      <c r="H99" s="213">
        <v>902140</v>
      </c>
      <c r="I99" s="213">
        <v>6.8</v>
      </c>
      <c r="J99" s="213" t="s">
        <v>1156</v>
      </c>
      <c r="K99" s="213" t="s">
        <v>727</v>
      </c>
      <c r="L99" s="213" t="s">
        <v>656</v>
      </c>
      <c r="M99" s="213" t="s">
        <v>728</v>
      </c>
      <c r="N99" s="213" t="s">
        <v>728</v>
      </c>
      <c r="O99" s="213" t="s">
        <v>729</v>
      </c>
      <c r="P99" s="213" t="s">
        <v>710</v>
      </c>
      <c r="Q99" s="213">
        <v>26.4</v>
      </c>
      <c r="R99" s="213">
        <v>143</v>
      </c>
      <c r="S99" s="213" t="s">
        <v>710</v>
      </c>
      <c r="T99" s="213">
        <v>-9999</v>
      </c>
      <c r="U99" s="213">
        <v>185</v>
      </c>
      <c r="V99" s="213">
        <v>398</v>
      </c>
      <c r="W99" s="213">
        <v>179</v>
      </c>
      <c r="X99" s="213" t="s">
        <v>710</v>
      </c>
      <c r="Y99" s="213">
        <v>0</v>
      </c>
      <c r="Z99" s="213">
        <v>40</v>
      </c>
      <c r="AA99" s="213" t="s">
        <v>730</v>
      </c>
      <c r="AB99" s="213" t="s">
        <v>731</v>
      </c>
      <c r="AC99" s="213" t="s">
        <v>729</v>
      </c>
      <c r="AD99" s="213" t="s">
        <v>732</v>
      </c>
      <c r="AE99" s="213">
        <v>0</v>
      </c>
      <c r="AF99" s="213">
        <v>5</v>
      </c>
      <c r="AG99" s="213" t="s">
        <v>249</v>
      </c>
      <c r="AH99" s="213">
        <v>-9999</v>
      </c>
      <c r="AI99" s="213">
        <v>186</v>
      </c>
      <c r="AJ99" s="213">
        <v>439</v>
      </c>
      <c r="AK99" s="213">
        <v>183</v>
      </c>
      <c r="AL99" s="213" t="s">
        <v>710</v>
      </c>
      <c r="AM99" s="213">
        <v>0</v>
      </c>
      <c r="AN99" s="213">
        <v>40</v>
      </c>
      <c r="AO99" s="213" t="s">
        <v>733</v>
      </c>
      <c r="AP99" s="213" t="s">
        <v>734</v>
      </c>
      <c r="AQ99" s="213">
        <v>1</v>
      </c>
      <c r="AR99" s="213" t="s">
        <v>735</v>
      </c>
      <c r="AS99" s="213">
        <v>0</v>
      </c>
      <c r="AT99" s="213">
        <v>0</v>
      </c>
      <c r="AU99" s="213" t="s">
        <v>249</v>
      </c>
      <c r="AV99" s="213">
        <v>-9999</v>
      </c>
      <c r="AW99" s="213">
        <v>235</v>
      </c>
      <c r="AX99" s="213">
        <v>581</v>
      </c>
      <c r="AY99" s="213">
        <v>232</v>
      </c>
      <c r="AZ99" s="213" t="s">
        <v>710</v>
      </c>
      <c r="BA99" s="213">
        <v>0</v>
      </c>
      <c r="BB99" s="213">
        <v>40</v>
      </c>
      <c r="BC99" s="213" t="s">
        <v>736</v>
      </c>
      <c r="BD99" s="213" t="s">
        <v>734</v>
      </c>
      <c r="BE99" s="213">
        <v>2</v>
      </c>
      <c r="BF99" s="213" t="s">
        <v>735</v>
      </c>
      <c r="BG99" s="213">
        <v>0</v>
      </c>
      <c r="BH99" s="213">
        <v>3</v>
      </c>
      <c r="BI99" s="213" t="s">
        <v>249</v>
      </c>
      <c r="BJ99" s="213">
        <v>-9999</v>
      </c>
      <c r="BK99" s="213">
        <v>89</v>
      </c>
      <c r="BL99" s="213">
        <v>268</v>
      </c>
      <c r="BM99" s="213">
        <v>87</v>
      </c>
      <c r="BN99" s="213" t="s">
        <v>710</v>
      </c>
      <c r="BO99" s="213">
        <v>0</v>
      </c>
      <c r="BP99" s="213">
        <v>40</v>
      </c>
      <c r="BQ99" s="213" t="s">
        <v>737</v>
      </c>
      <c r="BR99" s="213" t="s">
        <v>734</v>
      </c>
      <c r="BS99" s="213">
        <v>3</v>
      </c>
      <c r="BT99" s="213" t="s">
        <v>735</v>
      </c>
      <c r="BU99" s="213">
        <v>0</v>
      </c>
      <c r="BV99" s="213">
        <v>8</v>
      </c>
      <c r="BW99" s="213" t="s">
        <v>249</v>
      </c>
      <c r="BX99" s="213">
        <v>-9999</v>
      </c>
      <c r="BY99" s="213">
        <v>148</v>
      </c>
      <c r="BZ99" s="213">
        <v>352</v>
      </c>
      <c r="CA99" s="213">
        <v>147</v>
      </c>
      <c r="CB99" s="213" t="s">
        <v>710</v>
      </c>
      <c r="CC99" s="213">
        <v>0</v>
      </c>
      <c r="CD99" s="213">
        <v>40</v>
      </c>
      <c r="CE99" s="213" t="s">
        <v>738</v>
      </c>
      <c r="CF99" s="213" t="s">
        <v>734</v>
      </c>
      <c r="CG99" s="213">
        <v>4</v>
      </c>
      <c r="CH99" s="213" t="s">
        <v>735</v>
      </c>
      <c r="CI99" s="213">
        <v>0</v>
      </c>
      <c r="CJ99" s="213">
        <v>2</v>
      </c>
      <c r="CK99" s="213" t="s">
        <v>249</v>
      </c>
      <c r="CL99" s="213">
        <v>-9999</v>
      </c>
      <c r="CM99" s="213">
        <v>146</v>
      </c>
      <c r="CN99" s="213">
        <v>382</v>
      </c>
      <c r="CO99" s="213">
        <v>143</v>
      </c>
      <c r="CP99" s="213" t="s">
        <v>710</v>
      </c>
      <c r="CQ99" s="213">
        <v>0</v>
      </c>
      <c r="CR99" s="213">
        <v>40</v>
      </c>
      <c r="CS99" s="213" t="s">
        <v>739</v>
      </c>
      <c r="CT99" s="213" t="s">
        <v>740</v>
      </c>
      <c r="CU99" s="213">
        <v>118</v>
      </c>
      <c r="CV99" s="213">
        <v>117</v>
      </c>
      <c r="CW99" s="213">
        <v>117</v>
      </c>
      <c r="CX99" s="213" t="s">
        <v>710</v>
      </c>
      <c r="CY99" s="213" t="s">
        <v>741</v>
      </c>
      <c r="CZ99" s="213" t="s">
        <v>740</v>
      </c>
      <c r="DA99" s="213">
        <v>93</v>
      </c>
      <c r="DB99" s="213">
        <v>93</v>
      </c>
      <c r="DC99" s="213">
        <v>93</v>
      </c>
      <c r="DD99" s="213" t="s">
        <v>710</v>
      </c>
      <c r="DE99" s="213" t="s">
        <v>742</v>
      </c>
      <c r="DF99" s="213" t="s">
        <v>743</v>
      </c>
      <c r="DG99" s="213">
        <v>0</v>
      </c>
      <c r="DH99" s="213">
        <v>0</v>
      </c>
      <c r="DI99" s="213">
        <v>0</v>
      </c>
      <c r="DJ99" s="213" t="s">
        <v>249</v>
      </c>
      <c r="DM99" s="213" t="s">
        <v>744</v>
      </c>
      <c r="DN99" s="213" t="s">
        <v>743</v>
      </c>
      <c r="DO99" s="213">
        <v>0</v>
      </c>
      <c r="DP99" s="213">
        <v>0</v>
      </c>
      <c r="DQ99" s="213">
        <v>0</v>
      </c>
      <c r="DR99" s="213" t="s">
        <v>249</v>
      </c>
      <c r="DU99" s="213" t="s">
        <v>745</v>
      </c>
      <c r="DV99" s="213" t="s">
        <v>743</v>
      </c>
      <c r="DW99" s="213">
        <v>0</v>
      </c>
      <c r="DX99" s="213">
        <v>0</v>
      </c>
      <c r="DY99" s="213">
        <v>0</v>
      </c>
      <c r="DZ99" s="213" t="s">
        <v>249</v>
      </c>
      <c r="EC99" s="213" t="s">
        <v>746</v>
      </c>
      <c r="ED99" s="213" t="s">
        <v>743</v>
      </c>
      <c r="EE99" s="213">
        <v>0</v>
      </c>
      <c r="EF99" s="213">
        <v>0</v>
      </c>
      <c r="EG99" s="213">
        <v>0</v>
      </c>
      <c r="EH99" s="213" t="s">
        <v>249</v>
      </c>
      <c r="EK99" s="213" t="s">
        <v>747</v>
      </c>
      <c r="EL99" s="213" t="s">
        <v>743</v>
      </c>
      <c r="EM99" s="213">
        <v>0</v>
      </c>
      <c r="EN99" s="213">
        <v>0</v>
      </c>
      <c r="EO99" s="213">
        <v>0</v>
      </c>
      <c r="EP99" s="213" t="s">
        <v>249</v>
      </c>
      <c r="ES99" s="213" t="s">
        <v>748</v>
      </c>
      <c r="ET99" s="213" t="s">
        <v>743</v>
      </c>
      <c r="EU99" s="213">
        <v>0</v>
      </c>
      <c r="EV99" s="213">
        <v>0</v>
      </c>
      <c r="EW99" s="213">
        <v>0</v>
      </c>
      <c r="EX99" s="213" t="s">
        <v>249</v>
      </c>
      <c r="FA99" s="213" t="s">
        <v>749</v>
      </c>
      <c r="FB99" s="213" t="s">
        <v>743</v>
      </c>
      <c r="FC99" s="213">
        <v>0</v>
      </c>
      <c r="FD99" s="213">
        <v>0</v>
      </c>
      <c r="FE99" s="213">
        <v>0</v>
      </c>
      <c r="FF99" s="213" t="s">
        <v>249</v>
      </c>
      <c r="FI99" s="213" t="s">
        <v>750</v>
      </c>
      <c r="FJ99" s="213" t="s">
        <v>743</v>
      </c>
      <c r="FK99" s="213">
        <v>0</v>
      </c>
      <c r="FL99" s="213">
        <v>0</v>
      </c>
      <c r="FM99" s="213">
        <v>0</v>
      </c>
      <c r="FN99" s="213" t="s">
        <v>249</v>
      </c>
      <c r="FQ99" s="213" t="s">
        <v>751</v>
      </c>
      <c r="FR99" s="213" t="s">
        <v>743</v>
      </c>
      <c r="FS99" s="213">
        <v>0</v>
      </c>
      <c r="FT99" s="213">
        <v>0</v>
      </c>
      <c r="FU99" s="213">
        <v>0</v>
      </c>
      <c r="FV99" s="213" t="s">
        <v>249</v>
      </c>
      <c r="FY99" s="213">
        <v>17.100000000000001</v>
      </c>
      <c r="FZ99" s="213">
        <v>-7.5</v>
      </c>
      <c r="GF99" s="213" t="s">
        <v>752</v>
      </c>
    </row>
    <row r="100" spans="1:188" s="213" customFormat="1" x14ac:dyDescent="0.15">
      <c r="A100" s="213" t="s">
        <v>654</v>
      </c>
      <c r="B100" s="213">
        <v>4</v>
      </c>
      <c r="C100" s="213" t="s">
        <v>1157</v>
      </c>
      <c r="D100" s="213">
        <v>614390529</v>
      </c>
      <c r="E100" s="213">
        <v>92303</v>
      </c>
      <c r="F100" s="213" t="s">
        <v>725</v>
      </c>
      <c r="G100" s="213">
        <v>847922</v>
      </c>
      <c r="H100" s="213">
        <v>635023</v>
      </c>
      <c r="I100" s="213">
        <v>6.8</v>
      </c>
      <c r="J100" s="213" t="s">
        <v>1158</v>
      </c>
      <c r="K100" s="213" t="s">
        <v>727</v>
      </c>
      <c r="L100" s="213" t="s">
        <v>656</v>
      </c>
      <c r="M100" s="213" t="s">
        <v>728</v>
      </c>
      <c r="N100" s="213" t="s">
        <v>728</v>
      </c>
      <c r="O100" s="213" t="s">
        <v>729</v>
      </c>
      <c r="P100" s="213" t="s">
        <v>710</v>
      </c>
      <c r="Q100" s="213">
        <v>22.8</v>
      </c>
      <c r="R100" s="213">
        <v>156</v>
      </c>
      <c r="S100" s="213" t="s">
        <v>710</v>
      </c>
      <c r="T100" s="213">
        <v>-9999</v>
      </c>
      <c r="U100" s="213">
        <v>169</v>
      </c>
      <c r="V100" s="213">
        <v>373</v>
      </c>
      <c r="W100" s="213">
        <v>164</v>
      </c>
      <c r="X100" s="213" t="s">
        <v>710</v>
      </c>
      <c r="Y100" s="213">
        <v>0</v>
      </c>
      <c r="Z100" s="213">
        <v>40</v>
      </c>
      <c r="AA100" s="213" t="s">
        <v>730</v>
      </c>
      <c r="AB100" s="213" t="s">
        <v>731</v>
      </c>
      <c r="AC100" s="213" t="s">
        <v>729</v>
      </c>
      <c r="AD100" s="213" t="s">
        <v>732</v>
      </c>
      <c r="AE100" s="213">
        <v>0</v>
      </c>
      <c r="AF100" s="213">
        <v>8</v>
      </c>
      <c r="AG100" s="213" t="s">
        <v>249</v>
      </c>
      <c r="AH100" s="213">
        <v>-9999</v>
      </c>
      <c r="AI100" s="213">
        <v>197</v>
      </c>
      <c r="AJ100" s="213">
        <v>472</v>
      </c>
      <c r="AK100" s="213">
        <v>195</v>
      </c>
      <c r="AL100" s="213" t="s">
        <v>710</v>
      </c>
      <c r="AM100" s="213">
        <v>0</v>
      </c>
      <c r="AN100" s="213">
        <v>40</v>
      </c>
      <c r="AO100" s="213" t="s">
        <v>733</v>
      </c>
      <c r="AP100" s="213" t="s">
        <v>734</v>
      </c>
      <c r="AQ100" s="213">
        <v>1</v>
      </c>
      <c r="AR100" s="213" t="s">
        <v>735</v>
      </c>
      <c r="AS100" s="213">
        <v>0</v>
      </c>
      <c r="AT100" s="213">
        <v>10</v>
      </c>
      <c r="AU100" s="213" t="s">
        <v>249</v>
      </c>
      <c r="AV100" s="213">
        <v>-9999</v>
      </c>
      <c r="AW100" s="213">
        <v>259</v>
      </c>
      <c r="AX100" s="213">
        <v>634</v>
      </c>
      <c r="AY100" s="213">
        <v>258</v>
      </c>
      <c r="AZ100" s="213" t="s">
        <v>710</v>
      </c>
      <c r="BA100" s="213">
        <v>0</v>
      </c>
      <c r="BB100" s="213">
        <v>40</v>
      </c>
      <c r="BC100" s="213" t="s">
        <v>736</v>
      </c>
      <c r="BD100" s="213" t="s">
        <v>734</v>
      </c>
      <c r="BE100" s="213">
        <v>2</v>
      </c>
      <c r="BF100" s="213" t="s">
        <v>735</v>
      </c>
      <c r="BG100" s="213">
        <v>0</v>
      </c>
      <c r="BH100" s="213">
        <v>6</v>
      </c>
      <c r="BI100" s="213" t="s">
        <v>249</v>
      </c>
      <c r="BJ100" s="213">
        <v>-9999</v>
      </c>
      <c r="BK100" s="213">
        <v>112</v>
      </c>
      <c r="BL100" s="213">
        <v>343</v>
      </c>
      <c r="BM100" s="213">
        <v>111</v>
      </c>
      <c r="BN100" s="213" t="s">
        <v>710</v>
      </c>
      <c r="BO100" s="213">
        <v>0</v>
      </c>
      <c r="BP100" s="213">
        <v>40</v>
      </c>
      <c r="BQ100" s="213" t="s">
        <v>737</v>
      </c>
      <c r="BR100" s="213" t="s">
        <v>734</v>
      </c>
      <c r="BS100" s="213">
        <v>3</v>
      </c>
      <c r="BT100" s="213" t="s">
        <v>735</v>
      </c>
      <c r="BU100" s="213">
        <v>0</v>
      </c>
      <c r="BV100" s="213">
        <v>10</v>
      </c>
      <c r="BW100" s="213" t="s">
        <v>249</v>
      </c>
      <c r="BX100" s="213">
        <v>-9999</v>
      </c>
      <c r="BY100" s="213">
        <v>173</v>
      </c>
      <c r="BZ100" s="213">
        <v>387</v>
      </c>
      <c r="CA100" s="213">
        <v>171</v>
      </c>
      <c r="CB100" s="213" t="s">
        <v>710</v>
      </c>
      <c r="CC100" s="213">
        <v>0</v>
      </c>
      <c r="CD100" s="213">
        <v>40</v>
      </c>
      <c r="CE100" s="213" t="s">
        <v>738</v>
      </c>
      <c r="CF100" s="213" t="s">
        <v>734</v>
      </c>
      <c r="CG100" s="213">
        <v>4</v>
      </c>
      <c r="CH100" s="213" t="s">
        <v>735</v>
      </c>
      <c r="CI100" s="213">
        <v>0</v>
      </c>
      <c r="CJ100" s="213">
        <v>10</v>
      </c>
      <c r="CK100" s="213" t="s">
        <v>249</v>
      </c>
      <c r="CL100" s="213">
        <v>-9999</v>
      </c>
      <c r="CM100" s="213">
        <v>132</v>
      </c>
      <c r="CN100" s="213">
        <v>349</v>
      </c>
      <c r="CO100" s="213">
        <v>130</v>
      </c>
      <c r="CP100" s="213" t="s">
        <v>710</v>
      </c>
      <c r="CQ100" s="213">
        <v>0</v>
      </c>
      <c r="CR100" s="213">
        <v>40</v>
      </c>
      <c r="CS100" s="213" t="s">
        <v>739</v>
      </c>
      <c r="CT100" s="213" t="s">
        <v>740</v>
      </c>
      <c r="CU100" s="213">
        <v>127</v>
      </c>
      <c r="CV100" s="213">
        <v>126</v>
      </c>
      <c r="CW100" s="213">
        <v>126</v>
      </c>
      <c r="CX100" s="213" t="s">
        <v>710</v>
      </c>
      <c r="CY100" s="213" t="s">
        <v>741</v>
      </c>
      <c r="CZ100" s="213" t="s">
        <v>740</v>
      </c>
      <c r="DA100" s="213">
        <v>117</v>
      </c>
      <c r="DB100" s="213">
        <v>116</v>
      </c>
      <c r="DC100" s="213">
        <v>116</v>
      </c>
      <c r="DD100" s="213" t="s">
        <v>710</v>
      </c>
      <c r="DE100" s="213" t="s">
        <v>742</v>
      </c>
      <c r="DF100" s="213" t="s">
        <v>743</v>
      </c>
      <c r="DG100" s="213">
        <v>0</v>
      </c>
      <c r="DH100" s="213">
        <v>0</v>
      </c>
      <c r="DI100" s="213">
        <v>0</v>
      </c>
      <c r="DJ100" s="213" t="s">
        <v>249</v>
      </c>
      <c r="DM100" s="213" t="s">
        <v>744</v>
      </c>
      <c r="DN100" s="213" t="s">
        <v>743</v>
      </c>
      <c r="DO100" s="213">
        <v>0</v>
      </c>
      <c r="DP100" s="213">
        <v>0</v>
      </c>
      <c r="DQ100" s="213">
        <v>0</v>
      </c>
      <c r="DR100" s="213" t="s">
        <v>249</v>
      </c>
      <c r="DU100" s="213" t="s">
        <v>745</v>
      </c>
      <c r="DV100" s="213" t="s">
        <v>743</v>
      </c>
      <c r="DW100" s="213">
        <v>0</v>
      </c>
      <c r="DX100" s="213">
        <v>0</v>
      </c>
      <c r="DY100" s="213">
        <v>0</v>
      </c>
      <c r="DZ100" s="213" t="s">
        <v>249</v>
      </c>
      <c r="EC100" s="213" t="s">
        <v>746</v>
      </c>
      <c r="ED100" s="213" t="s">
        <v>743</v>
      </c>
      <c r="EE100" s="213">
        <v>0</v>
      </c>
      <c r="EF100" s="213">
        <v>0</v>
      </c>
      <c r="EG100" s="213">
        <v>0</v>
      </c>
      <c r="EH100" s="213" t="s">
        <v>249</v>
      </c>
      <c r="EK100" s="213" t="s">
        <v>747</v>
      </c>
      <c r="EL100" s="213" t="s">
        <v>743</v>
      </c>
      <c r="EM100" s="213">
        <v>0</v>
      </c>
      <c r="EN100" s="213">
        <v>0</v>
      </c>
      <c r="EO100" s="213">
        <v>0</v>
      </c>
      <c r="EP100" s="213" t="s">
        <v>249</v>
      </c>
      <c r="ES100" s="213" t="s">
        <v>748</v>
      </c>
      <c r="ET100" s="213" t="s">
        <v>743</v>
      </c>
      <c r="EU100" s="213">
        <v>0</v>
      </c>
      <c r="EV100" s="213">
        <v>0</v>
      </c>
      <c r="EW100" s="213">
        <v>0</v>
      </c>
      <c r="EX100" s="213" t="s">
        <v>249</v>
      </c>
      <c r="FA100" s="213" t="s">
        <v>749</v>
      </c>
      <c r="FB100" s="213" t="s">
        <v>743</v>
      </c>
      <c r="FC100" s="213">
        <v>0</v>
      </c>
      <c r="FD100" s="213">
        <v>0</v>
      </c>
      <c r="FE100" s="213">
        <v>0</v>
      </c>
      <c r="FF100" s="213" t="s">
        <v>249</v>
      </c>
      <c r="FI100" s="213" t="s">
        <v>750</v>
      </c>
      <c r="FJ100" s="213" t="s">
        <v>743</v>
      </c>
      <c r="FK100" s="213">
        <v>0</v>
      </c>
      <c r="FL100" s="213">
        <v>0</v>
      </c>
      <c r="FM100" s="213">
        <v>0</v>
      </c>
      <c r="FN100" s="213" t="s">
        <v>249</v>
      </c>
      <c r="FQ100" s="213" t="s">
        <v>751</v>
      </c>
      <c r="FR100" s="213" t="s">
        <v>743</v>
      </c>
      <c r="FS100" s="213">
        <v>0</v>
      </c>
      <c r="FT100" s="213">
        <v>0</v>
      </c>
      <c r="FU100" s="213">
        <v>0</v>
      </c>
      <c r="FV100" s="213" t="s">
        <v>249</v>
      </c>
      <c r="FY100" s="213">
        <v>18.100000000000001</v>
      </c>
      <c r="FZ100" s="213">
        <v>-9.8000000000000007</v>
      </c>
      <c r="GF100" s="213" t="s">
        <v>752</v>
      </c>
    </row>
    <row r="101" spans="1:188" s="213" customFormat="1" x14ac:dyDescent="0.15">
      <c r="A101" s="213" t="s">
        <v>654</v>
      </c>
      <c r="B101" s="213">
        <v>4</v>
      </c>
      <c r="C101" s="213" t="s">
        <v>1159</v>
      </c>
      <c r="D101" s="213">
        <v>614390273</v>
      </c>
      <c r="E101" s="213">
        <v>92303</v>
      </c>
      <c r="F101" s="213" t="s">
        <v>725</v>
      </c>
      <c r="G101" s="213">
        <v>847922</v>
      </c>
      <c r="H101" s="213">
        <v>652001</v>
      </c>
      <c r="I101" s="213">
        <v>6.8</v>
      </c>
      <c r="J101" s="213" t="s">
        <v>1160</v>
      </c>
      <c r="K101" s="213" t="s">
        <v>727</v>
      </c>
      <c r="L101" s="213" t="s">
        <v>656</v>
      </c>
      <c r="M101" s="213" t="s">
        <v>728</v>
      </c>
      <c r="N101" s="213" t="s">
        <v>728</v>
      </c>
      <c r="O101" s="213" t="s">
        <v>729</v>
      </c>
      <c r="P101" s="213" t="s">
        <v>710</v>
      </c>
      <c r="Q101" s="213">
        <v>23.9</v>
      </c>
      <c r="R101" s="213">
        <v>162</v>
      </c>
      <c r="S101" s="213" t="s">
        <v>710</v>
      </c>
      <c r="T101" s="213">
        <v>-9999</v>
      </c>
      <c r="U101" s="213">
        <v>170</v>
      </c>
      <c r="V101" s="213">
        <v>371</v>
      </c>
      <c r="W101" s="213">
        <v>162</v>
      </c>
      <c r="X101" s="213" t="s">
        <v>710</v>
      </c>
      <c r="Y101" s="213">
        <v>0</v>
      </c>
      <c r="Z101" s="213">
        <v>40</v>
      </c>
      <c r="AA101" s="213" t="s">
        <v>730</v>
      </c>
      <c r="AB101" s="213" t="s">
        <v>731</v>
      </c>
      <c r="AC101" s="213" t="s">
        <v>729</v>
      </c>
      <c r="AD101" s="213" t="s">
        <v>732</v>
      </c>
      <c r="AE101" s="213">
        <v>0</v>
      </c>
      <c r="AF101" s="213">
        <v>6</v>
      </c>
      <c r="AG101" s="213" t="s">
        <v>249</v>
      </c>
      <c r="AH101" s="213">
        <v>-9999</v>
      </c>
      <c r="AI101" s="213">
        <v>168</v>
      </c>
      <c r="AJ101" s="213">
        <v>401</v>
      </c>
      <c r="AK101" s="213">
        <v>166</v>
      </c>
      <c r="AL101" s="213" t="s">
        <v>710</v>
      </c>
      <c r="AM101" s="213">
        <v>0</v>
      </c>
      <c r="AN101" s="213">
        <v>40</v>
      </c>
      <c r="AO101" s="213" t="s">
        <v>733</v>
      </c>
      <c r="AP101" s="213" t="s">
        <v>734</v>
      </c>
      <c r="AQ101" s="213">
        <v>1</v>
      </c>
      <c r="AR101" s="213" t="s">
        <v>735</v>
      </c>
      <c r="AS101" s="213">
        <v>0</v>
      </c>
      <c r="AT101" s="213">
        <v>10</v>
      </c>
      <c r="AU101" s="213" t="s">
        <v>249</v>
      </c>
      <c r="AV101" s="213">
        <v>-9999</v>
      </c>
      <c r="AW101" s="213">
        <v>227</v>
      </c>
      <c r="AX101" s="213">
        <v>559</v>
      </c>
      <c r="AY101" s="213">
        <v>224</v>
      </c>
      <c r="AZ101" s="213" t="s">
        <v>710</v>
      </c>
      <c r="BA101" s="213">
        <v>0</v>
      </c>
      <c r="BB101" s="213">
        <v>40</v>
      </c>
      <c r="BC101" s="213" t="s">
        <v>736</v>
      </c>
      <c r="BD101" s="213" t="s">
        <v>734</v>
      </c>
      <c r="BE101" s="213">
        <v>2</v>
      </c>
      <c r="BF101" s="213" t="s">
        <v>735</v>
      </c>
      <c r="BG101" s="213">
        <v>0</v>
      </c>
      <c r="BH101" s="213">
        <v>2</v>
      </c>
      <c r="BI101" s="213" t="s">
        <v>249</v>
      </c>
      <c r="BJ101" s="213">
        <v>-9999</v>
      </c>
      <c r="BK101" s="213">
        <v>97</v>
      </c>
      <c r="BL101" s="213">
        <v>299</v>
      </c>
      <c r="BM101" s="213">
        <v>95</v>
      </c>
      <c r="BN101" s="213" t="s">
        <v>710</v>
      </c>
      <c r="BO101" s="213">
        <v>0</v>
      </c>
      <c r="BP101" s="213">
        <v>40</v>
      </c>
      <c r="BQ101" s="213" t="s">
        <v>737</v>
      </c>
      <c r="BR101" s="213" t="s">
        <v>734</v>
      </c>
      <c r="BS101" s="213">
        <v>3</v>
      </c>
      <c r="BT101" s="213" t="s">
        <v>735</v>
      </c>
      <c r="BU101" s="213">
        <v>0</v>
      </c>
      <c r="BV101" s="213">
        <v>7</v>
      </c>
      <c r="BW101" s="213" t="s">
        <v>249</v>
      </c>
      <c r="BX101" s="213">
        <v>-9999</v>
      </c>
      <c r="BY101" s="213">
        <v>145</v>
      </c>
      <c r="BZ101" s="213">
        <v>346</v>
      </c>
      <c r="CA101" s="213">
        <v>145</v>
      </c>
      <c r="CB101" s="213" t="s">
        <v>710</v>
      </c>
      <c r="CC101" s="213">
        <v>0</v>
      </c>
      <c r="CD101" s="213">
        <v>40</v>
      </c>
      <c r="CE101" s="213" t="s">
        <v>738</v>
      </c>
      <c r="CF101" s="213" t="s">
        <v>734</v>
      </c>
      <c r="CG101" s="213">
        <v>4</v>
      </c>
      <c r="CH101" s="213" t="s">
        <v>735</v>
      </c>
      <c r="CI101" s="213">
        <v>0</v>
      </c>
      <c r="CJ101" s="213">
        <v>8</v>
      </c>
      <c r="CK101" s="213" t="s">
        <v>249</v>
      </c>
      <c r="CL101" s="213">
        <v>-9999</v>
      </c>
      <c r="CM101" s="213">
        <v>125</v>
      </c>
      <c r="CN101" s="213">
        <v>333</v>
      </c>
      <c r="CO101" s="213">
        <v>123</v>
      </c>
      <c r="CP101" s="213" t="s">
        <v>710</v>
      </c>
      <c r="CQ101" s="213">
        <v>0</v>
      </c>
      <c r="CR101" s="213">
        <v>40</v>
      </c>
      <c r="CS101" s="213" t="s">
        <v>739</v>
      </c>
      <c r="CT101" s="213" t="s">
        <v>740</v>
      </c>
      <c r="CU101" s="213">
        <v>108</v>
      </c>
      <c r="CV101" s="213">
        <v>107</v>
      </c>
      <c r="CW101" s="213">
        <v>107</v>
      </c>
      <c r="CX101" s="213" t="s">
        <v>710</v>
      </c>
      <c r="CY101" s="213" t="s">
        <v>741</v>
      </c>
      <c r="CZ101" s="213" t="s">
        <v>740</v>
      </c>
      <c r="DA101" s="213">
        <v>93</v>
      </c>
      <c r="DB101" s="213">
        <v>93</v>
      </c>
      <c r="DC101" s="213">
        <v>92</v>
      </c>
      <c r="DD101" s="213" t="s">
        <v>710</v>
      </c>
      <c r="DE101" s="213" t="s">
        <v>742</v>
      </c>
      <c r="DF101" s="213" t="s">
        <v>743</v>
      </c>
      <c r="DG101" s="213">
        <v>0</v>
      </c>
      <c r="DH101" s="213">
        <v>0</v>
      </c>
      <c r="DI101" s="213">
        <v>0</v>
      </c>
      <c r="DJ101" s="213" t="s">
        <v>249</v>
      </c>
      <c r="DM101" s="213" t="s">
        <v>744</v>
      </c>
      <c r="DN101" s="213" t="s">
        <v>743</v>
      </c>
      <c r="DO101" s="213">
        <v>0</v>
      </c>
      <c r="DP101" s="213">
        <v>0</v>
      </c>
      <c r="DQ101" s="213">
        <v>0</v>
      </c>
      <c r="DR101" s="213" t="s">
        <v>249</v>
      </c>
      <c r="DU101" s="213" t="s">
        <v>745</v>
      </c>
      <c r="DV101" s="213" t="s">
        <v>743</v>
      </c>
      <c r="DW101" s="213">
        <v>0</v>
      </c>
      <c r="DX101" s="213">
        <v>0</v>
      </c>
      <c r="DY101" s="213">
        <v>0</v>
      </c>
      <c r="DZ101" s="213" t="s">
        <v>249</v>
      </c>
      <c r="EC101" s="213" t="s">
        <v>746</v>
      </c>
      <c r="ED101" s="213" t="s">
        <v>743</v>
      </c>
      <c r="EE101" s="213">
        <v>0</v>
      </c>
      <c r="EF101" s="213">
        <v>0</v>
      </c>
      <c r="EG101" s="213">
        <v>0</v>
      </c>
      <c r="EH101" s="213" t="s">
        <v>249</v>
      </c>
      <c r="EK101" s="213" t="s">
        <v>747</v>
      </c>
      <c r="EL101" s="213" t="s">
        <v>743</v>
      </c>
      <c r="EM101" s="213">
        <v>0</v>
      </c>
      <c r="EN101" s="213">
        <v>0</v>
      </c>
      <c r="EO101" s="213">
        <v>0</v>
      </c>
      <c r="EP101" s="213" t="s">
        <v>249</v>
      </c>
      <c r="ES101" s="213" t="s">
        <v>748</v>
      </c>
      <c r="ET101" s="213" t="s">
        <v>743</v>
      </c>
      <c r="EU101" s="213">
        <v>0</v>
      </c>
      <c r="EV101" s="213">
        <v>0</v>
      </c>
      <c r="EW101" s="213">
        <v>0</v>
      </c>
      <c r="EX101" s="213" t="s">
        <v>249</v>
      </c>
      <c r="FA101" s="213" t="s">
        <v>749</v>
      </c>
      <c r="FB101" s="213" t="s">
        <v>743</v>
      </c>
      <c r="FC101" s="213">
        <v>0</v>
      </c>
      <c r="FD101" s="213">
        <v>0</v>
      </c>
      <c r="FE101" s="213">
        <v>0</v>
      </c>
      <c r="FF101" s="213" t="s">
        <v>249</v>
      </c>
      <c r="FI101" s="213" t="s">
        <v>750</v>
      </c>
      <c r="FJ101" s="213" t="s">
        <v>743</v>
      </c>
      <c r="FK101" s="213">
        <v>0</v>
      </c>
      <c r="FL101" s="213">
        <v>0</v>
      </c>
      <c r="FM101" s="213">
        <v>0</v>
      </c>
      <c r="FN101" s="213" t="s">
        <v>249</v>
      </c>
      <c r="FQ101" s="213" t="s">
        <v>751</v>
      </c>
      <c r="FR101" s="213" t="s">
        <v>743</v>
      </c>
      <c r="FS101" s="213">
        <v>0</v>
      </c>
      <c r="FT101" s="213">
        <v>0</v>
      </c>
      <c r="FU101" s="213">
        <v>0</v>
      </c>
      <c r="FV101" s="213" t="s">
        <v>249</v>
      </c>
      <c r="FY101" s="213">
        <v>18.2</v>
      </c>
      <c r="FZ101" s="213">
        <v>-8.3000000000000007</v>
      </c>
      <c r="GF101" s="213" t="s">
        <v>752</v>
      </c>
    </row>
    <row r="102" spans="1:188" ht="16" x14ac:dyDescent="0.15">
      <c r="A102" s="59" t="s">
        <v>605</v>
      </c>
      <c r="C102" s="86" t="s">
        <v>315</v>
      </c>
      <c r="D102" s="86"/>
      <c r="J102" s="161"/>
    </row>
    <row r="103" spans="1:188" x14ac:dyDescent="0.15">
      <c r="A103" s="59" t="s">
        <v>569</v>
      </c>
      <c r="B103" s="59" t="s">
        <v>570</v>
      </c>
      <c r="C103" s="59" t="s">
        <v>571</v>
      </c>
      <c r="D103" s="59" t="s">
        <v>572</v>
      </c>
      <c r="E103" s="59" t="s">
        <v>573</v>
      </c>
      <c r="F103" s="59" t="s">
        <v>574</v>
      </c>
      <c r="G103" s="59" t="s">
        <v>575</v>
      </c>
      <c r="H103" s="59" t="s">
        <v>576</v>
      </c>
      <c r="I103" s="59" t="s">
        <v>577</v>
      </c>
      <c r="J103" s="59" t="s">
        <v>578</v>
      </c>
      <c r="K103" s="59" t="s">
        <v>579</v>
      </c>
      <c r="L103" s="59" t="s">
        <v>580</v>
      </c>
      <c r="M103" s="59" t="s">
        <v>581</v>
      </c>
      <c r="N103" s="59" t="s">
        <v>582</v>
      </c>
      <c r="O103" s="59" t="s">
        <v>583</v>
      </c>
      <c r="P103" s="59" t="s">
        <v>584</v>
      </c>
      <c r="Q103" s="59" t="s">
        <v>585</v>
      </c>
      <c r="R103" s="59" t="s">
        <v>586</v>
      </c>
      <c r="S103" s="59" t="s">
        <v>587</v>
      </c>
      <c r="T103" s="59" t="s">
        <v>588</v>
      </c>
      <c r="U103" s="59" t="s">
        <v>589</v>
      </c>
      <c r="V103" s="59" t="s">
        <v>590</v>
      </c>
      <c r="W103" s="59" t="s">
        <v>591</v>
      </c>
      <c r="X103" s="59" t="s">
        <v>592</v>
      </c>
      <c r="Y103" s="59" t="s">
        <v>593</v>
      </c>
      <c r="Z103" s="59" t="s">
        <v>594</v>
      </c>
      <c r="AA103" s="59" t="s">
        <v>581</v>
      </c>
      <c r="AB103" s="59" t="s">
        <v>582</v>
      </c>
      <c r="AC103" s="59" t="s">
        <v>583</v>
      </c>
      <c r="AD103" s="59" t="s">
        <v>584</v>
      </c>
      <c r="AE103" s="59" t="s">
        <v>585</v>
      </c>
      <c r="AF103" s="59" t="s">
        <v>586</v>
      </c>
      <c r="AG103" s="59" t="s">
        <v>587</v>
      </c>
      <c r="AH103" s="59" t="s">
        <v>588</v>
      </c>
      <c r="AI103" s="59" t="s">
        <v>589</v>
      </c>
      <c r="AJ103" s="59" t="s">
        <v>590</v>
      </c>
      <c r="AK103" s="59" t="s">
        <v>591</v>
      </c>
      <c r="AL103" s="59" t="s">
        <v>592</v>
      </c>
      <c r="AM103" s="59" t="s">
        <v>593</v>
      </c>
      <c r="AN103" s="59" t="s">
        <v>594</v>
      </c>
      <c r="AO103" s="59" t="s">
        <v>581</v>
      </c>
      <c r="AP103" s="59" t="s">
        <v>582</v>
      </c>
      <c r="AQ103" s="59" t="s">
        <v>583</v>
      </c>
      <c r="AR103" s="59" t="s">
        <v>584</v>
      </c>
      <c r="AS103" s="59" t="s">
        <v>585</v>
      </c>
      <c r="AT103" s="59" t="s">
        <v>586</v>
      </c>
      <c r="AU103" s="59" t="s">
        <v>587</v>
      </c>
      <c r="AV103" s="59" t="s">
        <v>588</v>
      </c>
      <c r="AW103" s="59" t="s">
        <v>589</v>
      </c>
      <c r="AX103" s="59" t="s">
        <v>590</v>
      </c>
      <c r="AY103" s="59" t="s">
        <v>591</v>
      </c>
      <c r="AZ103" s="59" t="s">
        <v>592</v>
      </c>
      <c r="BA103" s="59" t="s">
        <v>593</v>
      </c>
      <c r="BB103" s="59" t="s">
        <v>594</v>
      </c>
      <c r="BC103" s="59" t="s">
        <v>581</v>
      </c>
      <c r="BD103" s="59" t="s">
        <v>582</v>
      </c>
      <c r="BE103" s="59" t="s">
        <v>583</v>
      </c>
      <c r="BF103" s="59" t="s">
        <v>584</v>
      </c>
      <c r="BG103" s="59" t="s">
        <v>585</v>
      </c>
      <c r="BH103" s="59" t="s">
        <v>586</v>
      </c>
      <c r="BI103" s="59" t="s">
        <v>587</v>
      </c>
      <c r="BJ103" s="59" t="s">
        <v>588</v>
      </c>
      <c r="BK103" s="59" t="s">
        <v>589</v>
      </c>
      <c r="BL103" s="59" t="s">
        <v>590</v>
      </c>
      <c r="BM103" s="59" t="s">
        <v>591</v>
      </c>
      <c r="BN103" s="59" t="s">
        <v>592</v>
      </c>
      <c r="BO103" s="59" t="s">
        <v>593</v>
      </c>
      <c r="BP103" s="59" t="s">
        <v>594</v>
      </c>
      <c r="BQ103" s="59" t="s">
        <v>581</v>
      </c>
      <c r="BR103" s="59" t="s">
        <v>582</v>
      </c>
      <c r="BS103" s="59" t="s">
        <v>583</v>
      </c>
      <c r="BT103" s="59" t="s">
        <v>584</v>
      </c>
      <c r="BU103" s="59" t="s">
        <v>585</v>
      </c>
      <c r="BV103" s="59" t="s">
        <v>586</v>
      </c>
      <c r="BW103" s="59" t="s">
        <v>587</v>
      </c>
      <c r="BX103" s="59" t="s">
        <v>588</v>
      </c>
      <c r="BY103" s="59" t="s">
        <v>589</v>
      </c>
      <c r="BZ103" s="59" t="s">
        <v>590</v>
      </c>
      <c r="CA103" s="59" t="s">
        <v>591</v>
      </c>
      <c r="CB103" s="59" t="s">
        <v>592</v>
      </c>
      <c r="CC103" s="59" t="s">
        <v>593</v>
      </c>
      <c r="CD103" s="59" t="s">
        <v>594</v>
      </c>
      <c r="CE103" s="59" t="s">
        <v>581</v>
      </c>
      <c r="CF103" s="59" t="s">
        <v>582</v>
      </c>
      <c r="CG103" s="59" t="s">
        <v>583</v>
      </c>
      <c r="CH103" s="59" t="s">
        <v>584</v>
      </c>
      <c r="CI103" s="59" t="s">
        <v>585</v>
      </c>
      <c r="CJ103" s="59" t="s">
        <v>586</v>
      </c>
      <c r="CK103" s="59" t="s">
        <v>587</v>
      </c>
      <c r="CL103" s="59" t="s">
        <v>588</v>
      </c>
      <c r="CM103" s="59" t="s">
        <v>589</v>
      </c>
      <c r="CN103" s="59" t="s">
        <v>590</v>
      </c>
      <c r="CO103" s="59" t="s">
        <v>591</v>
      </c>
      <c r="CP103" s="59" t="s">
        <v>592</v>
      </c>
      <c r="CQ103" s="59" t="s">
        <v>593</v>
      </c>
      <c r="CR103" s="59" t="s">
        <v>594</v>
      </c>
      <c r="CS103" s="59" t="s">
        <v>581</v>
      </c>
      <c r="CT103" s="59" t="s">
        <v>582</v>
      </c>
      <c r="CU103" s="59" t="s">
        <v>589</v>
      </c>
      <c r="CV103" s="59" t="s">
        <v>590</v>
      </c>
      <c r="CW103" s="59" t="s">
        <v>591</v>
      </c>
      <c r="CX103" s="59" t="s">
        <v>592</v>
      </c>
      <c r="CY103" s="59" t="s">
        <v>581</v>
      </c>
      <c r="CZ103" s="59" t="s">
        <v>582</v>
      </c>
      <c r="DA103" s="59" t="s">
        <v>589</v>
      </c>
      <c r="DB103" s="59" t="s">
        <v>590</v>
      </c>
      <c r="DC103" s="59" t="s">
        <v>591</v>
      </c>
      <c r="DD103" s="59" t="s">
        <v>592</v>
      </c>
      <c r="DE103" s="59" t="s">
        <v>581</v>
      </c>
      <c r="DF103" s="59" t="s">
        <v>582</v>
      </c>
      <c r="DG103" s="59" t="s">
        <v>589</v>
      </c>
      <c r="DH103" s="59" t="s">
        <v>590</v>
      </c>
      <c r="DI103" s="59" t="s">
        <v>591</v>
      </c>
      <c r="DJ103" s="59" t="s">
        <v>592</v>
      </c>
      <c r="DK103" s="59" t="s">
        <v>595</v>
      </c>
      <c r="DL103" s="59" t="s">
        <v>596</v>
      </c>
      <c r="DM103" s="59" t="s">
        <v>581</v>
      </c>
      <c r="DN103" s="59" t="s">
        <v>582</v>
      </c>
      <c r="DO103" s="59" t="s">
        <v>589</v>
      </c>
      <c r="DP103" s="59" t="s">
        <v>590</v>
      </c>
      <c r="DQ103" s="59" t="s">
        <v>591</v>
      </c>
      <c r="DR103" s="59" t="s">
        <v>592</v>
      </c>
      <c r="DS103" s="59" t="s">
        <v>595</v>
      </c>
      <c r="DT103" s="59" t="s">
        <v>596</v>
      </c>
      <c r="DU103" s="59" t="s">
        <v>581</v>
      </c>
      <c r="DV103" s="59" t="s">
        <v>582</v>
      </c>
      <c r="DW103" s="59" t="s">
        <v>589</v>
      </c>
      <c r="DX103" s="59" t="s">
        <v>590</v>
      </c>
      <c r="DY103" s="59" t="s">
        <v>591</v>
      </c>
      <c r="DZ103" s="59" t="s">
        <v>592</v>
      </c>
      <c r="EA103" s="59" t="s">
        <v>595</v>
      </c>
      <c r="EB103" s="59" t="s">
        <v>596</v>
      </c>
      <c r="EC103" s="59" t="s">
        <v>581</v>
      </c>
      <c r="ED103" s="59" t="s">
        <v>582</v>
      </c>
      <c r="EE103" s="59" t="s">
        <v>589</v>
      </c>
      <c r="EF103" s="59" t="s">
        <v>590</v>
      </c>
      <c r="EG103" s="59" t="s">
        <v>591</v>
      </c>
      <c r="EH103" s="59" t="s">
        <v>592</v>
      </c>
      <c r="EI103" s="59" t="s">
        <v>595</v>
      </c>
      <c r="EJ103" s="59" t="s">
        <v>596</v>
      </c>
      <c r="EK103" s="59" t="s">
        <v>581</v>
      </c>
      <c r="EL103" s="59" t="s">
        <v>582</v>
      </c>
      <c r="EM103" s="59" t="s">
        <v>589</v>
      </c>
      <c r="EN103" s="59" t="s">
        <v>590</v>
      </c>
      <c r="EO103" s="59" t="s">
        <v>591</v>
      </c>
      <c r="EP103" s="59" t="s">
        <v>592</v>
      </c>
      <c r="EQ103" s="59" t="s">
        <v>595</v>
      </c>
      <c r="ER103" s="59" t="s">
        <v>596</v>
      </c>
      <c r="ES103" s="59" t="s">
        <v>581</v>
      </c>
      <c r="ET103" s="59" t="s">
        <v>582</v>
      </c>
      <c r="EU103" s="59" t="s">
        <v>589</v>
      </c>
      <c r="EV103" s="59" t="s">
        <v>590</v>
      </c>
      <c r="EW103" s="59" t="s">
        <v>591</v>
      </c>
      <c r="EX103" s="59" t="s">
        <v>592</v>
      </c>
      <c r="EY103" s="59" t="s">
        <v>595</v>
      </c>
      <c r="EZ103" s="59" t="s">
        <v>596</v>
      </c>
      <c r="FA103" s="59" t="s">
        <v>581</v>
      </c>
      <c r="FB103" s="59" t="s">
        <v>582</v>
      </c>
      <c r="FC103" s="59" t="s">
        <v>589</v>
      </c>
      <c r="FD103" s="59" t="s">
        <v>590</v>
      </c>
      <c r="FE103" s="59" t="s">
        <v>591</v>
      </c>
      <c r="FF103" s="59" t="s">
        <v>592</v>
      </c>
      <c r="FG103" s="59" t="s">
        <v>595</v>
      </c>
      <c r="FH103" s="59" t="s">
        <v>596</v>
      </c>
      <c r="FI103" s="59" t="s">
        <v>581</v>
      </c>
      <c r="FJ103" s="59" t="s">
        <v>582</v>
      </c>
      <c r="FK103" s="59" t="s">
        <v>589</v>
      </c>
      <c r="FL103" s="59" t="s">
        <v>590</v>
      </c>
      <c r="FM103" s="59" t="s">
        <v>591</v>
      </c>
      <c r="FN103" s="59" t="s">
        <v>592</v>
      </c>
      <c r="FO103" s="59" t="s">
        <v>595</v>
      </c>
      <c r="FP103" s="59" t="s">
        <v>596</v>
      </c>
      <c r="FQ103" s="59" t="s">
        <v>581</v>
      </c>
      <c r="FR103" s="59" t="s">
        <v>582</v>
      </c>
      <c r="FS103" s="59" t="s">
        <v>589</v>
      </c>
      <c r="FT103" s="59" t="s">
        <v>590</v>
      </c>
      <c r="FU103" s="59" t="s">
        <v>591</v>
      </c>
      <c r="FV103" s="59" t="s">
        <v>592</v>
      </c>
      <c r="FW103" s="59" t="s">
        <v>595</v>
      </c>
      <c r="FX103" s="59" t="s">
        <v>596</v>
      </c>
      <c r="FY103" s="59" t="s">
        <v>597</v>
      </c>
      <c r="FZ103" s="59" t="s">
        <v>598</v>
      </c>
      <c r="GA103" s="59" t="s">
        <v>599</v>
      </c>
      <c r="GB103" s="59" t="s">
        <v>600</v>
      </c>
      <c r="GC103" s="59" t="s">
        <v>601</v>
      </c>
      <c r="GD103" s="59" t="s">
        <v>602</v>
      </c>
      <c r="GE103" s="59" t="s">
        <v>603</v>
      </c>
      <c r="GF103" s="59" t="s">
        <v>604</v>
      </c>
    </row>
    <row r="104" spans="1:188" x14ac:dyDescent="0.15">
      <c r="J104" s="60"/>
    </row>
    <row r="105" spans="1:188" x14ac:dyDescent="0.15">
      <c r="J105" s="60"/>
    </row>
    <row r="106" spans="1:188" x14ac:dyDescent="0.15">
      <c r="J106" s="60"/>
    </row>
    <row r="107" spans="1:188" x14ac:dyDescent="0.15">
      <c r="J107" s="60"/>
    </row>
    <row r="108" spans="1:188" x14ac:dyDescent="0.15">
      <c r="J108" s="60"/>
    </row>
    <row r="109" spans="1:188" x14ac:dyDescent="0.15">
      <c r="J109" s="60"/>
    </row>
    <row r="110" spans="1:188" x14ac:dyDescent="0.15">
      <c r="J110" s="60"/>
    </row>
    <row r="111" spans="1:188" x14ac:dyDescent="0.15">
      <c r="J111" s="60"/>
    </row>
    <row r="112" spans="1:188" x14ac:dyDescent="0.15">
      <c r="J112" s="60"/>
    </row>
    <row r="113" spans="10:10" x14ac:dyDescent="0.15">
      <c r="J113" s="60"/>
    </row>
    <row r="114" spans="10:10" x14ac:dyDescent="0.15">
      <c r="J114" s="60"/>
    </row>
    <row r="115" spans="10:10" x14ac:dyDescent="0.15">
      <c r="J115" s="60"/>
    </row>
    <row r="116" spans="10:10" x14ac:dyDescent="0.15">
      <c r="J116" s="60"/>
    </row>
    <row r="117" spans="10:10" x14ac:dyDescent="0.15">
      <c r="J117" s="60"/>
    </row>
    <row r="118" spans="10:10" x14ac:dyDescent="0.15">
      <c r="J118" s="60"/>
    </row>
    <row r="119" spans="10:10" x14ac:dyDescent="0.15">
      <c r="J119" s="60"/>
    </row>
    <row r="120" spans="10:10" x14ac:dyDescent="0.15">
      <c r="J120" s="60"/>
    </row>
    <row r="121" spans="10:10" x14ac:dyDescent="0.15">
      <c r="J121" s="60"/>
    </row>
    <row r="122" spans="10:10" x14ac:dyDescent="0.15">
      <c r="J122" s="60"/>
    </row>
    <row r="123" spans="10:10" x14ac:dyDescent="0.15">
      <c r="J123" s="60"/>
    </row>
    <row r="124" spans="10:10" x14ac:dyDescent="0.15">
      <c r="J124" s="60"/>
    </row>
    <row r="125" spans="10:10" x14ac:dyDescent="0.15">
      <c r="J125" s="60"/>
    </row>
    <row r="126" spans="10:10" x14ac:dyDescent="0.15">
      <c r="J126" s="60"/>
    </row>
    <row r="127" spans="10:10" x14ac:dyDescent="0.15">
      <c r="J127" s="60"/>
    </row>
    <row r="128" spans="10:10" x14ac:dyDescent="0.15">
      <c r="J128" s="60"/>
    </row>
    <row r="129" spans="10:10" x14ac:dyDescent="0.15">
      <c r="J129" s="60"/>
    </row>
    <row r="130" spans="10:10" x14ac:dyDescent="0.15">
      <c r="J130" s="60"/>
    </row>
    <row r="131" spans="10:10" x14ac:dyDescent="0.15">
      <c r="J131" s="60"/>
    </row>
    <row r="132" spans="10:10" x14ac:dyDescent="0.15">
      <c r="J132" s="60"/>
    </row>
    <row r="133" spans="10:10" x14ac:dyDescent="0.15">
      <c r="J133" s="60"/>
    </row>
    <row r="134" spans="10:10" x14ac:dyDescent="0.15">
      <c r="J134" s="60"/>
    </row>
    <row r="135" spans="10:10" x14ac:dyDescent="0.15">
      <c r="J135" s="60"/>
    </row>
    <row r="136" spans="10:10" x14ac:dyDescent="0.15">
      <c r="J136" s="60"/>
    </row>
    <row r="137" spans="10:10" x14ac:dyDescent="0.15">
      <c r="J137" s="60"/>
    </row>
    <row r="138" spans="10:10" x14ac:dyDescent="0.15">
      <c r="J138" s="60"/>
    </row>
    <row r="139" spans="10:10" x14ac:dyDescent="0.15">
      <c r="J139" s="60"/>
    </row>
    <row r="140" spans="10:10" x14ac:dyDescent="0.15">
      <c r="J140" s="60"/>
    </row>
    <row r="141" spans="10:10" x14ac:dyDescent="0.15">
      <c r="J141" s="60"/>
    </row>
    <row r="142" spans="10:10" x14ac:dyDescent="0.15">
      <c r="J142" s="60"/>
    </row>
    <row r="143" spans="10:10" x14ac:dyDescent="0.15">
      <c r="J143" s="60"/>
    </row>
    <row r="144" spans="10:10" x14ac:dyDescent="0.15">
      <c r="J144" s="60"/>
    </row>
    <row r="145" spans="10:10" x14ac:dyDescent="0.15">
      <c r="J145" s="60"/>
    </row>
    <row r="146" spans="10:10" x14ac:dyDescent="0.15">
      <c r="J146" s="60"/>
    </row>
    <row r="147" spans="10:10" x14ac:dyDescent="0.15">
      <c r="J147" s="60"/>
    </row>
    <row r="148" spans="10:10" x14ac:dyDescent="0.15">
      <c r="J148" s="60"/>
    </row>
    <row r="149" spans="10:10" x14ac:dyDescent="0.15">
      <c r="J149" s="60"/>
    </row>
    <row r="150" spans="10:10" x14ac:dyDescent="0.15">
      <c r="J150" s="60"/>
    </row>
    <row r="151" spans="10:10" x14ac:dyDescent="0.15">
      <c r="J151" s="60"/>
    </row>
    <row r="152" spans="10:10" x14ac:dyDescent="0.15">
      <c r="J152" s="60"/>
    </row>
    <row r="153" spans="10:10" x14ac:dyDescent="0.15">
      <c r="J153" s="60"/>
    </row>
    <row r="154" spans="10:10" x14ac:dyDescent="0.15">
      <c r="J154" s="60"/>
    </row>
    <row r="155" spans="10:10" x14ac:dyDescent="0.15">
      <c r="J155" s="60"/>
    </row>
    <row r="156" spans="10:10" x14ac:dyDescent="0.15">
      <c r="J156" s="60"/>
    </row>
    <row r="157" spans="10:10" x14ac:dyDescent="0.15">
      <c r="J157" s="60"/>
    </row>
    <row r="158" spans="10:10" x14ac:dyDescent="0.15">
      <c r="J158" s="60"/>
    </row>
    <row r="159" spans="10:10" x14ac:dyDescent="0.15">
      <c r="J159" s="60"/>
    </row>
    <row r="160" spans="10:10" x14ac:dyDescent="0.15">
      <c r="J160" s="60"/>
    </row>
    <row r="161" spans="10:10" x14ac:dyDescent="0.15">
      <c r="J161" s="60"/>
    </row>
    <row r="162" spans="10:10" x14ac:dyDescent="0.15">
      <c r="J162" s="60"/>
    </row>
    <row r="163" spans="10:10" x14ac:dyDescent="0.15">
      <c r="J163" s="60"/>
    </row>
    <row r="164" spans="10:10" x14ac:dyDescent="0.15">
      <c r="J164" s="60"/>
    </row>
    <row r="165" spans="10:10" x14ac:dyDescent="0.15">
      <c r="J165" s="60"/>
    </row>
    <row r="166" spans="10:10" x14ac:dyDescent="0.15">
      <c r="J166" s="60"/>
    </row>
    <row r="167" spans="10:10" x14ac:dyDescent="0.15">
      <c r="J167" s="60"/>
    </row>
    <row r="168" spans="10:10" x14ac:dyDescent="0.15">
      <c r="J168" s="60"/>
    </row>
    <row r="169" spans="10:10" x14ac:dyDescent="0.15">
      <c r="J169" s="60"/>
    </row>
    <row r="170" spans="10:10" x14ac:dyDescent="0.15">
      <c r="J170" s="60"/>
    </row>
    <row r="171" spans="10:10" x14ac:dyDescent="0.15">
      <c r="J171" s="60"/>
    </row>
    <row r="172" spans="10:10" x14ac:dyDescent="0.15">
      <c r="J172" s="60"/>
    </row>
    <row r="173" spans="10:10" x14ac:dyDescent="0.15">
      <c r="J173" s="60"/>
    </row>
    <row r="174" spans="10:10" x14ac:dyDescent="0.15">
      <c r="J174" s="60"/>
    </row>
    <row r="175" spans="10:10" x14ac:dyDescent="0.15">
      <c r="J175" s="60"/>
    </row>
    <row r="176" spans="10:10" x14ac:dyDescent="0.15">
      <c r="J176" s="60"/>
    </row>
    <row r="177" spans="10:10" x14ac:dyDescent="0.15">
      <c r="J177" s="60"/>
    </row>
    <row r="178" spans="10:10" x14ac:dyDescent="0.15">
      <c r="J178" s="60"/>
    </row>
    <row r="179" spans="10:10" x14ac:dyDescent="0.15">
      <c r="J179" s="60"/>
    </row>
    <row r="180" spans="10:10" x14ac:dyDescent="0.15">
      <c r="J180" s="60"/>
    </row>
    <row r="181" spans="10:10" x14ac:dyDescent="0.15">
      <c r="J181" s="60"/>
    </row>
    <row r="182" spans="10:10" x14ac:dyDescent="0.15">
      <c r="J182" s="60"/>
    </row>
    <row r="183" spans="10:10" x14ac:dyDescent="0.15">
      <c r="J183" s="60"/>
    </row>
    <row r="184" spans="10:10" x14ac:dyDescent="0.15">
      <c r="J184" s="60"/>
    </row>
    <row r="185" spans="10:10" x14ac:dyDescent="0.15">
      <c r="J185" s="60"/>
    </row>
    <row r="186" spans="10:10" x14ac:dyDescent="0.15">
      <c r="J186" s="60"/>
    </row>
    <row r="187" spans="10:10" x14ac:dyDescent="0.15">
      <c r="J187" s="60"/>
    </row>
    <row r="188" spans="10:10" x14ac:dyDescent="0.15">
      <c r="J188" s="60"/>
    </row>
    <row r="189" spans="10:10" x14ac:dyDescent="0.15">
      <c r="J189" s="60"/>
    </row>
    <row r="190" spans="10:10" x14ac:dyDescent="0.15">
      <c r="J190" s="60"/>
    </row>
    <row r="191" spans="10:10" x14ac:dyDescent="0.15">
      <c r="J191" s="60"/>
    </row>
    <row r="192" spans="10:10" x14ac:dyDescent="0.15">
      <c r="J192" s="60"/>
    </row>
    <row r="193" spans="10:10" x14ac:dyDescent="0.15">
      <c r="J193" s="60"/>
    </row>
    <row r="194" spans="10:10" x14ac:dyDescent="0.15">
      <c r="J194" s="60"/>
    </row>
    <row r="195" spans="10:10" x14ac:dyDescent="0.15">
      <c r="J195" s="60"/>
    </row>
    <row r="196" spans="10:10" x14ac:dyDescent="0.15">
      <c r="J196" s="60"/>
    </row>
    <row r="197" spans="10:10" x14ac:dyDescent="0.15">
      <c r="J197" s="60"/>
    </row>
    <row r="198" spans="10:10" x14ac:dyDescent="0.15">
      <c r="J198" s="60"/>
    </row>
    <row r="199" spans="10:10" x14ac:dyDescent="0.15">
      <c r="J199" s="60"/>
    </row>
    <row r="200" spans="10:10" x14ac:dyDescent="0.15">
      <c r="J200" s="60"/>
    </row>
    <row r="201" spans="10:10" x14ac:dyDescent="0.15">
      <c r="J201" s="60"/>
    </row>
    <row r="202" spans="10:10" x14ac:dyDescent="0.15">
      <c r="J202" s="60"/>
    </row>
    <row r="203" spans="10:10" x14ac:dyDescent="0.15">
      <c r="J203" s="60"/>
    </row>
  </sheetData>
  <phoneticPr fontId="4" type="noConversion"/>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F212"/>
  <sheetViews>
    <sheetView topLeftCell="A42" zoomScaleNormal="100" zoomScalePageLayoutView="87" workbookViewId="0">
      <selection activeCell="A44" sqref="A44:XFD81"/>
    </sheetView>
  </sheetViews>
  <sheetFormatPr baseColWidth="10" defaultColWidth="9.5" defaultRowHeight="13" x14ac:dyDescent="0.15"/>
  <cols>
    <col min="1" max="1" width="26.5" style="59" bestFit="1" customWidth="1"/>
    <col min="2" max="2" width="13.33203125" style="59" bestFit="1" customWidth="1"/>
    <col min="3" max="3" width="30.1640625" style="59" bestFit="1" customWidth="1"/>
    <col min="4" max="4" width="12.6640625" style="59" bestFit="1" customWidth="1"/>
    <col min="5" max="5" width="14" style="59" bestFit="1" customWidth="1"/>
    <col min="6" max="6" width="16.33203125" style="59" bestFit="1" customWidth="1"/>
    <col min="7" max="7" width="14" style="59" bestFit="1" customWidth="1"/>
    <col min="8" max="8" width="11" style="59" bestFit="1" customWidth="1"/>
    <col min="9" max="9" width="11.5" style="59" bestFit="1" customWidth="1"/>
    <col min="10" max="10" width="15.1640625" style="59" bestFit="1" customWidth="1"/>
    <col min="11" max="11" width="7.6640625" style="59" bestFit="1" customWidth="1"/>
    <col min="12" max="12" width="51.5" style="59" bestFit="1" customWidth="1"/>
    <col min="13" max="13" width="13" style="59" bestFit="1" customWidth="1"/>
    <col min="14" max="14" width="6.83203125" style="59" bestFit="1" customWidth="1"/>
    <col min="15" max="15" width="8.1640625" style="59" bestFit="1" customWidth="1"/>
    <col min="16" max="16" width="13.33203125" style="59" bestFit="1" customWidth="1"/>
    <col min="17" max="17" width="5.5" style="59" bestFit="1" customWidth="1"/>
    <col min="18" max="18" width="6.33203125" style="59" bestFit="1" customWidth="1"/>
    <col min="19" max="19" width="8.5" style="59" bestFit="1" customWidth="1"/>
    <col min="20" max="20" width="14" style="59" bestFit="1" customWidth="1"/>
    <col min="21" max="23" width="9.5" style="59" bestFit="1" customWidth="1"/>
    <col min="24" max="24" width="18.5" style="59" bestFit="1" customWidth="1"/>
    <col min="25" max="25" width="20.5" style="59" bestFit="1" customWidth="1"/>
    <col min="26" max="26" width="6.83203125" style="59" bestFit="1" customWidth="1"/>
    <col min="27" max="27" width="14" style="59" bestFit="1" customWidth="1"/>
    <col min="28" max="28" width="6.83203125" style="59" bestFit="1" customWidth="1"/>
    <col min="29" max="29" width="8.1640625" style="59" bestFit="1" customWidth="1"/>
    <col min="30" max="30" width="13.33203125" style="59" bestFit="1" customWidth="1"/>
    <col min="31" max="31" width="5.5" style="59" bestFit="1" customWidth="1"/>
    <col min="32" max="32" width="6.33203125" style="59" bestFit="1" customWidth="1"/>
    <col min="33" max="33" width="8.5" style="59" bestFit="1" customWidth="1"/>
    <col min="34" max="34" width="14" style="59" bestFit="1" customWidth="1"/>
    <col min="35" max="37" width="9.5" style="59" bestFit="1" customWidth="1"/>
    <col min="38" max="38" width="18.5" style="59" bestFit="1" customWidth="1"/>
    <col min="39" max="39" width="20.5" style="59" bestFit="1" customWidth="1"/>
    <col min="40" max="40" width="6.83203125" style="59" bestFit="1" customWidth="1"/>
    <col min="41" max="41" width="13" style="59" bestFit="1" customWidth="1"/>
    <col min="42" max="42" width="6.83203125" style="59" bestFit="1" customWidth="1"/>
    <col min="43" max="43" width="8.1640625" style="59" bestFit="1" customWidth="1"/>
    <col min="44" max="44" width="13.33203125" style="59" bestFit="1" customWidth="1"/>
    <col min="45" max="45" width="5.5" style="59" bestFit="1" customWidth="1"/>
    <col min="46" max="46" width="6.33203125" style="59" bestFit="1" customWidth="1"/>
    <col min="47" max="47" width="8.5" style="59" bestFit="1" customWidth="1"/>
    <col min="48" max="48" width="14" style="59" bestFit="1" customWidth="1"/>
    <col min="49" max="51" width="9.5" style="59" bestFit="1" customWidth="1"/>
    <col min="52" max="52" width="18.5" style="59" bestFit="1" customWidth="1"/>
    <col min="53" max="53" width="20.5" style="59" bestFit="1" customWidth="1"/>
    <col min="54" max="54" width="6.83203125" style="59" bestFit="1" customWidth="1"/>
    <col min="55" max="55" width="13" style="59" bestFit="1" customWidth="1"/>
    <col min="56" max="56" width="6.83203125" style="59" bestFit="1" customWidth="1"/>
    <col min="57" max="57" width="8.1640625" style="59" bestFit="1" customWidth="1"/>
    <col min="58" max="58" width="13.33203125" style="59" bestFit="1" customWidth="1"/>
    <col min="59" max="59" width="5.5" style="59" bestFit="1" customWidth="1"/>
    <col min="60" max="60" width="6.33203125" style="59" bestFit="1" customWidth="1"/>
    <col min="61" max="61" width="8.5" style="59" bestFit="1" customWidth="1"/>
    <col min="62" max="62" width="14" style="59" bestFit="1" customWidth="1"/>
    <col min="63" max="65" width="9.5" style="59" bestFit="1" customWidth="1"/>
    <col min="66" max="66" width="18.5" style="59" bestFit="1" customWidth="1"/>
    <col min="67" max="67" width="20.5" style="59" bestFit="1" customWidth="1"/>
    <col min="68" max="68" width="6.83203125" style="59" bestFit="1" customWidth="1"/>
    <col min="69" max="69" width="13" style="59" bestFit="1" customWidth="1"/>
    <col min="70" max="70" width="6.83203125" style="59" bestFit="1" customWidth="1"/>
    <col min="71" max="71" width="8.1640625" style="59" bestFit="1" customWidth="1"/>
    <col min="72" max="72" width="13.33203125" style="59" bestFit="1" customWidth="1"/>
    <col min="73" max="73" width="3" style="59" bestFit="1" customWidth="1"/>
    <col min="74" max="74" width="6.33203125" style="59" bestFit="1" customWidth="1"/>
    <col min="75" max="75" width="8.5" style="59" bestFit="1" customWidth="1"/>
    <col min="76" max="76" width="14" style="59" bestFit="1" customWidth="1"/>
    <col min="77" max="79" width="9.5" style="59" bestFit="1" customWidth="1"/>
    <col min="80" max="80" width="18.5" style="59" bestFit="1" customWidth="1"/>
    <col min="81" max="81" width="20.5" style="59" bestFit="1" customWidth="1"/>
    <col min="82" max="82" width="6.83203125" style="59" bestFit="1" customWidth="1"/>
    <col min="83" max="83" width="13" style="59" bestFit="1" customWidth="1"/>
    <col min="84" max="84" width="6.83203125" style="59" bestFit="1" customWidth="1"/>
    <col min="85" max="85" width="8.1640625" style="59" bestFit="1" customWidth="1"/>
    <col min="86" max="86" width="13.33203125" style="59" bestFit="1" customWidth="1"/>
    <col min="87" max="87" width="5.5" style="59" bestFit="1" customWidth="1"/>
    <col min="88" max="88" width="6.33203125" style="59" bestFit="1" customWidth="1"/>
    <col min="89" max="89" width="8.5" style="59" bestFit="1" customWidth="1"/>
    <col min="90" max="90" width="14" style="59" bestFit="1" customWidth="1"/>
    <col min="91" max="93" width="9.5" style="59" bestFit="1" customWidth="1"/>
    <col min="94" max="94" width="18.5" style="59" bestFit="1" customWidth="1"/>
    <col min="95" max="95" width="20.5" style="59" bestFit="1" customWidth="1"/>
    <col min="96" max="96" width="6.83203125" style="59" bestFit="1" customWidth="1"/>
    <col min="97" max="97" width="13" style="59" bestFit="1" customWidth="1"/>
    <col min="98" max="98" width="6.83203125" style="59" bestFit="1" customWidth="1"/>
    <col min="99" max="101" width="9.5" style="59" bestFit="1" customWidth="1"/>
    <col min="102" max="102" width="18.5" style="59" bestFit="1" customWidth="1"/>
    <col min="103" max="103" width="13" style="59" bestFit="1" customWidth="1"/>
    <col min="104" max="104" width="6.83203125" style="59" bestFit="1" customWidth="1"/>
    <col min="105" max="107" width="9.5" style="59" bestFit="1" customWidth="1"/>
    <col min="108" max="108" width="18.5" style="59" bestFit="1" customWidth="1"/>
    <col min="109" max="109" width="13" style="59" bestFit="1" customWidth="1"/>
    <col min="110" max="110" width="10.5" style="59" bestFit="1" customWidth="1"/>
    <col min="111" max="113" width="9.5" style="59" bestFit="1" customWidth="1"/>
    <col min="114" max="114" width="18.5" style="59" bestFit="1" customWidth="1"/>
    <col min="115" max="115" width="21.33203125" style="59" bestFit="1" customWidth="1"/>
    <col min="116" max="116" width="15.6640625" style="59" bestFit="1" customWidth="1"/>
    <col min="117" max="117" width="13" style="59" bestFit="1" customWidth="1"/>
    <col min="118" max="118" width="10.5" style="59" bestFit="1" customWidth="1"/>
    <col min="119" max="121" width="9.5" style="59" bestFit="1" customWidth="1"/>
    <col min="122" max="122" width="18.5" style="59" bestFit="1" customWidth="1"/>
    <col min="123" max="123" width="21.33203125" style="59" bestFit="1" customWidth="1"/>
    <col min="124" max="124" width="15.6640625" style="59" bestFit="1" customWidth="1"/>
    <col min="125" max="125" width="13" style="59" bestFit="1" customWidth="1"/>
    <col min="126" max="126" width="10.5" style="59" bestFit="1" customWidth="1"/>
    <col min="127" max="129" width="9.5" style="59" bestFit="1" customWidth="1"/>
    <col min="130" max="130" width="18.5" style="59" bestFit="1" customWidth="1"/>
    <col min="131" max="131" width="21.33203125" style="59" bestFit="1" customWidth="1"/>
    <col min="132" max="132" width="15.6640625" style="59" bestFit="1" customWidth="1"/>
    <col min="133" max="133" width="13" style="59" bestFit="1" customWidth="1"/>
    <col min="134" max="134" width="10.5" style="59" bestFit="1" customWidth="1"/>
    <col min="135" max="137" width="9.5" style="59" bestFit="1" customWidth="1"/>
    <col min="138" max="138" width="18.5" style="59" bestFit="1" customWidth="1"/>
    <col min="139" max="139" width="21.33203125" style="59" bestFit="1" customWidth="1"/>
    <col min="140" max="140" width="15.6640625" style="59" bestFit="1" customWidth="1"/>
    <col min="141" max="141" width="14" style="59" bestFit="1" customWidth="1"/>
    <col min="142" max="142" width="10.5" style="59" bestFit="1" customWidth="1"/>
    <col min="143" max="145" width="9.5" style="59" bestFit="1" customWidth="1"/>
    <col min="146" max="146" width="18.5" style="59" bestFit="1" customWidth="1"/>
    <col min="147" max="147" width="21.33203125" style="59" bestFit="1" customWidth="1"/>
    <col min="148" max="148" width="15.6640625" style="59" bestFit="1" customWidth="1"/>
    <col min="149" max="149" width="14" style="59" bestFit="1" customWidth="1"/>
    <col min="150" max="150" width="10.5" style="59" bestFit="1" customWidth="1"/>
    <col min="151" max="153" width="9.5" style="59" bestFit="1" customWidth="1"/>
    <col min="154" max="154" width="18.5" style="59" bestFit="1" customWidth="1"/>
    <col min="155" max="155" width="21.33203125" style="59" bestFit="1" customWidth="1"/>
    <col min="156" max="156" width="15.6640625" style="59" bestFit="1" customWidth="1"/>
    <col min="157" max="157" width="14" style="59" bestFit="1" customWidth="1"/>
    <col min="158" max="158" width="10.5" style="59" bestFit="1" customWidth="1"/>
    <col min="159" max="161" width="9.5" style="59" bestFit="1" customWidth="1"/>
    <col min="162" max="162" width="18.5" style="59" bestFit="1" customWidth="1"/>
    <col min="163" max="163" width="21.33203125" style="59" bestFit="1" customWidth="1"/>
    <col min="164" max="165" width="15.6640625" style="59" bestFit="1" customWidth="1"/>
    <col min="166" max="166" width="10.5" style="59" bestFit="1" customWidth="1"/>
    <col min="167" max="169" width="9.5" style="59" bestFit="1" customWidth="1"/>
    <col min="170" max="170" width="18.5" style="59" bestFit="1" customWidth="1"/>
    <col min="171" max="171" width="21.33203125" style="59" bestFit="1" customWidth="1"/>
    <col min="172" max="172" width="15.6640625" style="59" bestFit="1" customWidth="1"/>
    <col min="173" max="173" width="15.83203125" style="59" bestFit="1" customWidth="1"/>
    <col min="174" max="174" width="10.5" style="59" bestFit="1" customWidth="1"/>
    <col min="175" max="177" width="9.5" style="59" bestFit="1" customWidth="1"/>
    <col min="178" max="178" width="18.5" style="59" bestFit="1" customWidth="1"/>
    <col min="179" max="179" width="21.33203125" style="59" bestFit="1" customWidth="1"/>
    <col min="180" max="180" width="15.6640625" style="59" bestFit="1" customWidth="1"/>
    <col min="181" max="181" width="17.6640625" style="59" bestFit="1" customWidth="1"/>
    <col min="182" max="182" width="17.5" style="59" bestFit="1" customWidth="1"/>
    <col min="183" max="183" width="202.83203125" style="59" bestFit="1" customWidth="1"/>
    <col min="184" max="184" width="9.5" style="59" bestFit="1" customWidth="1"/>
    <col min="185" max="185" width="16.5" style="59" bestFit="1" customWidth="1"/>
    <col min="186" max="186" width="15.1640625" style="59" bestFit="1" customWidth="1"/>
    <col min="187" max="187" width="16.6640625" style="59" bestFit="1" customWidth="1"/>
    <col min="188" max="188" width="22" style="59" bestFit="1" customWidth="1"/>
    <col min="189" max="189" width="9.5" style="59" customWidth="1"/>
    <col min="190" max="16384" width="9.5" style="59"/>
  </cols>
  <sheetData>
    <row r="1" spans="1:188" x14ac:dyDescent="0.15">
      <c r="A1" s="59" t="s">
        <v>569</v>
      </c>
      <c r="B1" s="59" t="s">
        <v>570</v>
      </c>
      <c r="C1" s="59" t="s">
        <v>571</v>
      </c>
      <c r="D1" s="59" t="s">
        <v>572</v>
      </c>
      <c r="E1" s="59" t="s">
        <v>573</v>
      </c>
      <c r="F1" s="59" t="s">
        <v>574</v>
      </c>
      <c r="G1" s="59" t="s">
        <v>575</v>
      </c>
      <c r="H1" s="59" t="s">
        <v>576</v>
      </c>
      <c r="I1" s="59" t="s">
        <v>577</v>
      </c>
      <c r="J1" s="59" t="s">
        <v>578</v>
      </c>
      <c r="K1" s="59" t="s">
        <v>579</v>
      </c>
      <c r="L1" s="59" t="s">
        <v>580</v>
      </c>
      <c r="M1" s="59" t="s">
        <v>581</v>
      </c>
      <c r="N1" s="59" t="s">
        <v>582</v>
      </c>
      <c r="O1" s="59" t="s">
        <v>583</v>
      </c>
      <c r="P1" s="59" t="s">
        <v>584</v>
      </c>
      <c r="Q1" s="59" t="s">
        <v>585</v>
      </c>
      <c r="R1" s="59" t="s">
        <v>586</v>
      </c>
      <c r="S1" s="59" t="s">
        <v>587</v>
      </c>
      <c r="T1" s="59" t="s">
        <v>588</v>
      </c>
      <c r="U1" s="59" t="s">
        <v>589</v>
      </c>
      <c r="V1" s="59" t="s">
        <v>590</v>
      </c>
      <c r="W1" s="59" t="s">
        <v>591</v>
      </c>
      <c r="X1" s="59" t="s">
        <v>592</v>
      </c>
      <c r="Y1" s="59" t="s">
        <v>593</v>
      </c>
      <c r="Z1" s="59" t="s">
        <v>594</v>
      </c>
      <c r="AA1" s="59" t="s">
        <v>581</v>
      </c>
      <c r="AB1" s="59" t="s">
        <v>582</v>
      </c>
      <c r="AC1" s="59" t="s">
        <v>583</v>
      </c>
      <c r="AD1" s="59" t="s">
        <v>584</v>
      </c>
      <c r="AE1" s="59" t="s">
        <v>585</v>
      </c>
      <c r="AF1" s="59" t="s">
        <v>586</v>
      </c>
      <c r="AG1" s="59" t="s">
        <v>587</v>
      </c>
      <c r="AH1" s="59" t="s">
        <v>588</v>
      </c>
      <c r="AI1" s="59" t="s">
        <v>589</v>
      </c>
      <c r="AJ1" s="59" t="s">
        <v>590</v>
      </c>
      <c r="AK1" s="59" t="s">
        <v>591</v>
      </c>
      <c r="AL1" s="59" t="s">
        <v>592</v>
      </c>
      <c r="AM1" s="59" t="s">
        <v>593</v>
      </c>
      <c r="AN1" s="59" t="s">
        <v>594</v>
      </c>
      <c r="AO1" s="59" t="s">
        <v>581</v>
      </c>
      <c r="AP1" s="59" t="s">
        <v>582</v>
      </c>
      <c r="AQ1" s="59" t="s">
        <v>583</v>
      </c>
      <c r="AR1" s="59" t="s">
        <v>584</v>
      </c>
      <c r="AS1" s="59" t="s">
        <v>585</v>
      </c>
      <c r="AT1" s="59" t="s">
        <v>586</v>
      </c>
      <c r="AU1" s="59" t="s">
        <v>587</v>
      </c>
      <c r="AV1" s="59" t="s">
        <v>588</v>
      </c>
      <c r="AW1" s="59" t="s">
        <v>589</v>
      </c>
      <c r="AX1" s="59" t="s">
        <v>590</v>
      </c>
      <c r="AY1" s="59" t="s">
        <v>591</v>
      </c>
      <c r="AZ1" s="59" t="s">
        <v>592</v>
      </c>
      <c r="BA1" s="59" t="s">
        <v>593</v>
      </c>
      <c r="BB1" s="59" t="s">
        <v>594</v>
      </c>
      <c r="BC1" s="59" t="s">
        <v>581</v>
      </c>
      <c r="BD1" s="59" t="s">
        <v>582</v>
      </c>
      <c r="BE1" s="59" t="s">
        <v>583</v>
      </c>
      <c r="BF1" s="59" t="s">
        <v>584</v>
      </c>
      <c r="BG1" s="59" t="s">
        <v>585</v>
      </c>
      <c r="BH1" s="59" t="s">
        <v>586</v>
      </c>
      <c r="BI1" s="59" t="s">
        <v>587</v>
      </c>
      <c r="BJ1" s="59" t="s">
        <v>588</v>
      </c>
      <c r="BK1" s="59" t="s">
        <v>589</v>
      </c>
      <c r="BL1" s="59" t="s">
        <v>590</v>
      </c>
      <c r="BM1" s="59" t="s">
        <v>591</v>
      </c>
      <c r="BN1" s="59" t="s">
        <v>592</v>
      </c>
      <c r="BO1" s="59" t="s">
        <v>593</v>
      </c>
      <c r="BP1" s="59" t="s">
        <v>594</v>
      </c>
      <c r="BQ1" s="59" t="s">
        <v>581</v>
      </c>
      <c r="BR1" s="59" t="s">
        <v>582</v>
      </c>
      <c r="BS1" s="59" t="s">
        <v>583</v>
      </c>
      <c r="BT1" s="59" t="s">
        <v>584</v>
      </c>
      <c r="BU1" s="59" t="s">
        <v>585</v>
      </c>
      <c r="BV1" s="59" t="s">
        <v>586</v>
      </c>
      <c r="BW1" s="59" t="s">
        <v>587</v>
      </c>
      <c r="BX1" s="59" t="s">
        <v>588</v>
      </c>
      <c r="BY1" s="59" t="s">
        <v>589</v>
      </c>
      <c r="BZ1" s="59" t="s">
        <v>590</v>
      </c>
      <c r="CA1" s="59" t="s">
        <v>591</v>
      </c>
      <c r="CB1" s="59" t="s">
        <v>592</v>
      </c>
      <c r="CC1" s="59" t="s">
        <v>593</v>
      </c>
      <c r="CD1" s="59" t="s">
        <v>594</v>
      </c>
      <c r="CE1" s="59" t="s">
        <v>581</v>
      </c>
      <c r="CF1" s="59" t="s">
        <v>582</v>
      </c>
      <c r="CG1" s="59" t="s">
        <v>583</v>
      </c>
      <c r="CH1" s="59" t="s">
        <v>584</v>
      </c>
      <c r="CI1" s="59" t="s">
        <v>585</v>
      </c>
      <c r="CJ1" s="59" t="s">
        <v>586</v>
      </c>
      <c r="CK1" s="59" t="s">
        <v>587</v>
      </c>
      <c r="CL1" s="59" t="s">
        <v>588</v>
      </c>
      <c r="CM1" s="59" t="s">
        <v>589</v>
      </c>
      <c r="CN1" s="59" t="s">
        <v>590</v>
      </c>
      <c r="CO1" s="59" t="s">
        <v>591</v>
      </c>
      <c r="CP1" s="59" t="s">
        <v>592</v>
      </c>
      <c r="CQ1" s="59" t="s">
        <v>593</v>
      </c>
      <c r="CR1" s="59" t="s">
        <v>594</v>
      </c>
      <c r="CS1" s="59" t="s">
        <v>581</v>
      </c>
      <c r="CT1" s="59" t="s">
        <v>582</v>
      </c>
      <c r="CU1" s="59" t="s">
        <v>589</v>
      </c>
      <c r="CV1" s="59" t="s">
        <v>590</v>
      </c>
      <c r="CW1" s="59" t="s">
        <v>591</v>
      </c>
      <c r="CX1" s="59" t="s">
        <v>592</v>
      </c>
      <c r="CY1" s="59" t="s">
        <v>581</v>
      </c>
      <c r="CZ1" s="59" t="s">
        <v>582</v>
      </c>
      <c r="DA1" s="59" t="s">
        <v>589</v>
      </c>
      <c r="DB1" s="59" t="s">
        <v>590</v>
      </c>
      <c r="DC1" s="59" t="s">
        <v>591</v>
      </c>
      <c r="DD1" s="59" t="s">
        <v>592</v>
      </c>
      <c r="DE1" s="59" t="s">
        <v>581</v>
      </c>
      <c r="DF1" s="59" t="s">
        <v>582</v>
      </c>
      <c r="DG1" s="59" t="s">
        <v>589</v>
      </c>
      <c r="DH1" s="59" t="s">
        <v>590</v>
      </c>
      <c r="DI1" s="59" t="s">
        <v>591</v>
      </c>
      <c r="DJ1" s="59" t="s">
        <v>592</v>
      </c>
      <c r="DK1" s="59" t="s">
        <v>595</v>
      </c>
      <c r="DL1" s="59" t="s">
        <v>596</v>
      </c>
      <c r="DM1" s="59" t="s">
        <v>581</v>
      </c>
      <c r="DN1" s="59" t="s">
        <v>582</v>
      </c>
      <c r="DO1" s="59" t="s">
        <v>589</v>
      </c>
      <c r="DP1" s="59" t="s">
        <v>590</v>
      </c>
      <c r="DQ1" s="59" t="s">
        <v>591</v>
      </c>
      <c r="DR1" s="59" t="s">
        <v>592</v>
      </c>
      <c r="DS1" s="59" t="s">
        <v>595</v>
      </c>
      <c r="DT1" s="59" t="s">
        <v>596</v>
      </c>
      <c r="DU1" s="59" t="s">
        <v>581</v>
      </c>
      <c r="DV1" s="59" t="s">
        <v>582</v>
      </c>
      <c r="DW1" s="59" t="s">
        <v>589</v>
      </c>
      <c r="DX1" s="59" t="s">
        <v>590</v>
      </c>
      <c r="DY1" s="59" t="s">
        <v>591</v>
      </c>
      <c r="DZ1" s="59" t="s">
        <v>592</v>
      </c>
      <c r="EA1" s="59" t="s">
        <v>595</v>
      </c>
      <c r="EB1" s="59" t="s">
        <v>596</v>
      </c>
      <c r="EC1" s="59" t="s">
        <v>581</v>
      </c>
      <c r="ED1" s="59" t="s">
        <v>582</v>
      </c>
      <c r="EE1" s="59" t="s">
        <v>589</v>
      </c>
      <c r="EF1" s="59" t="s">
        <v>590</v>
      </c>
      <c r="EG1" s="59" t="s">
        <v>591</v>
      </c>
      <c r="EH1" s="59" t="s">
        <v>592</v>
      </c>
      <c r="EI1" s="59" t="s">
        <v>595</v>
      </c>
      <c r="EJ1" s="59" t="s">
        <v>596</v>
      </c>
      <c r="EK1" s="59" t="s">
        <v>581</v>
      </c>
      <c r="EL1" s="59" t="s">
        <v>582</v>
      </c>
      <c r="EM1" s="59" t="s">
        <v>589</v>
      </c>
      <c r="EN1" s="59" t="s">
        <v>590</v>
      </c>
      <c r="EO1" s="59" t="s">
        <v>591</v>
      </c>
      <c r="EP1" s="59" t="s">
        <v>592</v>
      </c>
      <c r="EQ1" s="59" t="s">
        <v>595</v>
      </c>
      <c r="ER1" s="59" t="s">
        <v>596</v>
      </c>
      <c r="ES1" s="59" t="s">
        <v>581</v>
      </c>
      <c r="ET1" s="59" t="s">
        <v>582</v>
      </c>
      <c r="EU1" s="59" t="s">
        <v>589</v>
      </c>
      <c r="EV1" s="59" t="s">
        <v>590</v>
      </c>
      <c r="EW1" s="59" t="s">
        <v>591</v>
      </c>
      <c r="EX1" s="59" t="s">
        <v>592</v>
      </c>
      <c r="EY1" s="59" t="s">
        <v>595</v>
      </c>
      <c r="EZ1" s="59" t="s">
        <v>596</v>
      </c>
      <c r="FA1" s="59" t="s">
        <v>581</v>
      </c>
      <c r="FB1" s="59" t="s">
        <v>582</v>
      </c>
      <c r="FC1" s="59" t="s">
        <v>589</v>
      </c>
      <c r="FD1" s="59" t="s">
        <v>590</v>
      </c>
      <c r="FE1" s="59" t="s">
        <v>591</v>
      </c>
      <c r="FF1" s="59" t="s">
        <v>592</v>
      </c>
      <c r="FG1" s="59" t="s">
        <v>595</v>
      </c>
      <c r="FH1" s="59" t="s">
        <v>596</v>
      </c>
      <c r="FI1" s="59" t="s">
        <v>581</v>
      </c>
      <c r="FJ1" s="59" t="s">
        <v>582</v>
      </c>
      <c r="FK1" s="59" t="s">
        <v>589</v>
      </c>
      <c r="FL1" s="59" t="s">
        <v>590</v>
      </c>
      <c r="FM1" s="59" t="s">
        <v>591</v>
      </c>
      <c r="FN1" s="59" t="s">
        <v>592</v>
      </c>
      <c r="FO1" s="59" t="s">
        <v>595</v>
      </c>
      <c r="FP1" s="59" t="s">
        <v>596</v>
      </c>
      <c r="FQ1" s="59" t="s">
        <v>581</v>
      </c>
      <c r="FR1" s="59" t="s">
        <v>582</v>
      </c>
      <c r="FS1" s="59" t="s">
        <v>589</v>
      </c>
      <c r="FT1" s="59" t="s">
        <v>590</v>
      </c>
      <c r="FU1" s="59" t="s">
        <v>591</v>
      </c>
      <c r="FV1" s="59" t="s">
        <v>592</v>
      </c>
      <c r="FW1" s="59" t="s">
        <v>595</v>
      </c>
      <c r="FX1" s="59" t="s">
        <v>596</v>
      </c>
      <c r="FY1" s="59" t="s">
        <v>597</v>
      </c>
      <c r="FZ1" s="59" t="s">
        <v>598</v>
      </c>
      <c r="GA1" s="59" t="s">
        <v>599</v>
      </c>
      <c r="GB1" s="59" t="s">
        <v>600</v>
      </c>
      <c r="GC1" s="59" t="s">
        <v>601</v>
      </c>
      <c r="GD1" s="59" t="s">
        <v>602</v>
      </c>
      <c r="GE1" s="59" t="s">
        <v>603</v>
      </c>
      <c r="GF1" s="59" t="s">
        <v>604</v>
      </c>
    </row>
    <row r="2" spans="1:188" s="213" customFormat="1" x14ac:dyDescent="0.15">
      <c r="A2" s="213" t="s">
        <v>654</v>
      </c>
      <c r="B2" s="213">
        <v>4</v>
      </c>
      <c r="C2" s="213" t="s">
        <v>794</v>
      </c>
      <c r="D2" s="213">
        <v>614332200</v>
      </c>
      <c r="E2" s="213">
        <v>92303</v>
      </c>
      <c r="F2" s="213" t="s">
        <v>795</v>
      </c>
      <c r="G2" s="213">
        <v>839032</v>
      </c>
      <c r="H2" s="213">
        <v>652304</v>
      </c>
      <c r="I2" s="213">
        <v>6.8</v>
      </c>
      <c r="J2" s="213" t="s">
        <v>796</v>
      </c>
      <c r="K2" s="213" t="s">
        <v>727</v>
      </c>
      <c r="L2" s="213" t="s">
        <v>797</v>
      </c>
      <c r="M2" s="213" t="s">
        <v>728</v>
      </c>
      <c r="N2" s="213" t="s">
        <v>728</v>
      </c>
      <c r="O2" s="213" t="s">
        <v>729</v>
      </c>
      <c r="P2" s="213" t="s">
        <v>249</v>
      </c>
      <c r="Q2" s="213">
        <v>25.3</v>
      </c>
      <c r="R2" s="213">
        <v>140</v>
      </c>
      <c r="S2" s="213" t="s">
        <v>249</v>
      </c>
      <c r="T2" s="213">
        <v>-9999</v>
      </c>
      <c r="U2" s="213">
        <v>226</v>
      </c>
      <c r="V2" s="213">
        <v>495</v>
      </c>
      <c r="W2" s="213">
        <v>221</v>
      </c>
      <c r="X2" s="213" t="s">
        <v>710</v>
      </c>
      <c r="Y2" s="213">
        <v>0</v>
      </c>
      <c r="Z2" s="213">
        <v>40</v>
      </c>
      <c r="AA2" s="213" t="s">
        <v>730</v>
      </c>
      <c r="AB2" s="213" t="s">
        <v>731</v>
      </c>
      <c r="AC2" s="213" t="s">
        <v>729</v>
      </c>
      <c r="AD2" s="213" t="s">
        <v>249</v>
      </c>
      <c r="AE2" s="213">
        <v>27.2</v>
      </c>
      <c r="AF2" s="213">
        <v>117</v>
      </c>
      <c r="AG2" s="213" t="s">
        <v>249</v>
      </c>
      <c r="AH2" s="213">
        <v>-9999</v>
      </c>
      <c r="AI2" s="213">
        <v>209</v>
      </c>
      <c r="AJ2" s="213">
        <v>504</v>
      </c>
      <c r="AK2" s="213">
        <v>208</v>
      </c>
      <c r="AL2" s="213" t="s">
        <v>710</v>
      </c>
      <c r="AM2" s="213">
        <v>0</v>
      </c>
      <c r="AN2" s="213">
        <v>40</v>
      </c>
      <c r="AO2" s="213" t="s">
        <v>733</v>
      </c>
      <c r="AP2" s="213" t="s">
        <v>734</v>
      </c>
      <c r="AQ2" s="213">
        <v>1</v>
      </c>
      <c r="AR2" s="213" t="s">
        <v>798</v>
      </c>
      <c r="AS2" s="213">
        <v>25</v>
      </c>
      <c r="AT2" s="213">
        <v>382</v>
      </c>
      <c r="AU2" s="213" t="s">
        <v>710</v>
      </c>
      <c r="AV2" s="213">
        <v>-9999</v>
      </c>
      <c r="AW2" s="213">
        <v>274</v>
      </c>
      <c r="AX2" s="213">
        <v>683</v>
      </c>
      <c r="AY2" s="213">
        <v>272</v>
      </c>
      <c r="AZ2" s="213" t="s">
        <v>710</v>
      </c>
      <c r="BA2" s="213">
        <v>0</v>
      </c>
      <c r="BB2" s="213">
        <v>40</v>
      </c>
      <c r="BC2" s="213" t="s">
        <v>736</v>
      </c>
      <c r="BD2" s="213" t="s">
        <v>734</v>
      </c>
      <c r="BE2" s="213">
        <v>2</v>
      </c>
      <c r="BF2" s="213" t="s">
        <v>798</v>
      </c>
      <c r="BG2" s="213">
        <v>25.9</v>
      </c>
      <c r="BH2" s="213">
        <v>172</v>
      </c>
      <c r="BI2" s="213" t="s">
        <v>710</v>
      </c>
      <c r="BJ2" s="213">
        <v>-9999</v>
      </c>
      <c r="BK2" s="213">
        <v>119</v>
      </c>
      <c r="BL2" s="213">
        <v>381</v>
      </c>
      <c r="BM2" s="213">
        <v>117</v>
      </c>
      <c r="BN2" s="213" t="s">
        <v>710</v>
      </c>
      <c r="BO2" s="213">
        <v>0</v>
      </c>
      <c r="BP2" s="213">
        <v>40</v>
      </c>
      <c r="BQ2" s="213" t="s">
        <v>737</v>
      </c>
      <c r="BR2" s="213" t="s">
        <v>734</v>
      </c>
      <c r="BS2" s="213">
        <v>3</v>
      </c>
      <c r="BT2" s="213" t="s">
        <v>799</v>
      </c>
      <c r="BU2" s="213">
        <v>0</v>
      </c>
      <c r="BV2" s="213">
        <v>30</v>
      </c>
      <c r="BW2" s="213" t="s">
        <v>249</v>
      </c>
      <c r="BX2" s="213">
        <v>-9999</v>
      </c>
      <c r="BY2" s="213">
        <v>189</v>
      </c>
      <c r="BZ2" s="213">
        <v>457</v>
      </c>
      <c r="CA2" s="213">
        <v>189</v>
      </c>
      <c r="CB2" s="213" t="s">
        <v>710</v>
      </c>
      <c r="CC2" s="213">
        <v>0</v>
      </c>
      <c r="CD2" s="213">
        <v>40</v>
      </c>
      <c r="CE2" s="213" t="s">
        <v>738</v>
      </c>
      <c r="CF2" s="213" t="s">
        <v>734</v>
      </c>
      <c r="CG2" s="213">
        <v>4</v>
      </c>
      <c r="CH2" s="213" t="s">
        <v>798</v>
      </c>
      <c r="CI2" s="213">
        <v>23.5</v>
      </c>
      <c r="CJ2" s="213">
        <v>396</v>
      </c>
      <c r="CK2" s="213" t="s">
        <v>710</v>
      </c>
      <c r="CL2" s="213">
        <v>-9999</v>
      </c>
      <c r="CM2" s="213">
        <v>137</v>
      </c>
      <c r="CN2" s="213">
        <v>359</v>
      </c>
      <c r="CO2" s="213">
        <v>135</v>
      </c>
      <c r="CP2" s="213" t="s">
        <v>710</v>
      </c>
      <c r="CQ2" s="213">
        <v>0</v>
      </c>
      <c r="CR2" s="213">
        <v>40</v>
      </c>
      <c r="CS2" s="213" t="s">
        <v>739</v>
      </c>
      <c r="CT2" s="213" t="s">
        <v>740</v>
      </c>
      <c r="CU2" s="213">
        <v>113</v>
      </c>
      <c r="CV2" s="213">
        <v>112</v>
      </c>
      <c r="CW2" s="213">
        <v>112</v>
      </c>
      <c r="CX2" s="213" t="s">
        <v>710</v>
      </c>
      <c r="CY2" s="213" t="s">
        <v>741</v>
      </c>
      <c r="CZ2" s="213" t="s">
        <v>740</v>
      </c>
      <c r="DA2" s="213">
        <v>111</v>
      </c>
      <c r="DB2" s="213">
        <v>111</v>
      </c>
      <c r="DC2" s="213">
        <v>111</v>
      </c>
      <c r="DD2" s="213" t="s">
        <v>710</v>
      </c>
      <c r="DE2" s="213" t="s">
        <v>742</v>
      </c>
      <c r="DF2" s="213" t="s">
        <v>743</v>
      </c>
      <c r="DG2" s="213">
        <v>0</v>
      </c>
      <c r="DH2" s="213">
        <v>0</v>
      </c>
      <c r="DI2" s="213">
        <v>0</v>
      </c>
      <c r="DJ2" s="213" t="s">
        <v>249</v>
      </c>
      <c r="DK2" s="213">
        <v>69.3</v>
      </c>
      <c r="DL2" s="213">
        <v>50.5</v>
      </c>
      <c r="DM2" s="213" t="s">
        <v>744</v>
      </c>
      <c r="DN2" s="213" t="s">
        <v>743</v>
      </c>
      <c r="DO2" s="213">
        <v>0</v>
      </c>
      <c r="DP2" s="213">
        <v>0</v>
      </c>
      <c r="DQ2" s="213">
        <v>0</v>
      </c>
      <c r="DR2" s="213" t="s">
        <v>249</v>
      </c>
      <c r="DU2" s="213" t="s">
        <v>745</v>
      </c>
      <c r="DV2" s="213" t="s">
        <v>743</v>
      </c>
      <c r="DW2" s="213">
        <v>0</v>
      </c>
      <c r="DX2" s="213">
        <v>0</v>
      </c>
      <c r="DY2" s="213">
        <v>0</v>
      </c>
      <c r="DZ2" s="213" t="s">
        <v>249</v>
      </c>
      <c r="EC2" s="213" t="s">
        <v>746</v>
      </c>
      <c r="ED2" s="213" t="s">
        <v>743</v>
      </c>
      <c r="EE2" s="213">
        <v>0</v>
      </c>
      <c r="EF2" s="213">
        <v>0</v>
      </c>
      <c r="EG2" s="213">
        <v>0</v>
      </c>
      <c r="EH2" s="213" t="s">
        <v>249</v>
      </c>
      <c r="EK2" s="213" t="s">
        <v>747</v>
      </c>
      <c r="EL2" s="213" t="s">
        <v>743</v>
      </c>
      <c r="EM2" s="213">
        <v>0</v>
      </c>
      <c r="EN2" s="213">
        <v>0</v>
      </c>
      <c r="EO2" s="213">
        <v>0</v>
      </c>
      <c r="EP2" s="213" t="s">
        <v>249</v>
      </c>
      <c r="ES2" s="213" t="s">
        <v>748</v>
      </c>
      <c r="ET2" s="213" t="s">
        <v>743</v>
      </c>
      <c r="EU2" s="213">
        <v>0</v>
      </c>
      <c r="EV2" s="213">
        <v>0</v>
      </c>
      <c r="EW2" s="213">
        <v>0</v>
      </c>
      <c r="EX2" s="213" t="s">
        <v>249</v>
      </c>
      <c r="EY2" s="213">
        <v>70</v>
      </c>
      <c r="EZ2" s="213">
        <v>46.6</v>
      </c>
      <c r="FA2" s="213" t="s">
        <v>749</v>
      </c>
      <c r="FB2" s="213" t="s">
        <v>743</v>
      </c>
      <c r="FC2" s="213">
        <v>0</v>
      </c>
      <c r="FD2" s="213">
        <v>0</v>
      </c>
      <c r="FE2" s="213">
        <v>0</v>
      </c>
      <c r="FF2" s="213" t="s">
        <v>249</v>
      </c>
      <c r="FI2" s="213" t="s">
        <v>750</v>
      </c>
      <c r="FJ2" s="213" t="s">
        <v>743</v>
      </c>
      <c r="FK2" s="213">
        <v>0</v>
      </c>
      <c r="FL2" s="213">
        <v>0</v>
      </c>
      <c r="FM2" s="213">
        <v>0</v>
      </c>
      <c r="FN2" s="213" t="s">
        <v>249</v>
      </c>
      <c r="FO2" s="213">
        <v>73.5</v>
      </c>
      <c r="FP2" s="213">
        <v>148.9</v>
      </c>
      <c r="FQ2" s="213" t="s">
        <v>751</v>
      </c>
      <c r="FR2" s="213" t="s">
        <v>743</v>
      </c>
      <c r="FS2" s="213">
        <v>0</v>
      </c>
      <c r="FT2" s="213">
        <v>0</v>
      </c>
      <c r="FU2" s="213">
        <v>0</v>
      </c>
      <c r="FV2" s="213" t="s">
        <v>249</v>
      </c>
      <c r="FY2" s="213">
        <v>21.2</v>
      </c>
      <c r="FZ2" s="213">
        <v>-19.7</v>
      </c>
      <c r="GF2" s="213" t="s">
        <v>752</v>
      </c>
    </row>
    <row r="3" spans="1:188" s="213" customFormat="1" x14ac:dyDescent="0.15">
      <c r="A3" s="213" t="s">
        <v>654</v>
      </c>
      <c r="B3" s="213">
        <v>4</v>
      </c>
      <c r="C3" s="213" t="s">
        <v>800</v>
      </c>
      <c r="D3" s="213">
        <v>614332198</v>
      </c>
      <c r="E3" s="213">
        <v>92303</v>
      </c>
      <c r="F3" s="213" t="s">
        <v>795</v>
      </c>
      <c r="G3" s="213">
        <v>839032</v>
      </c>
      <c r="H3" s="213">
        <v>653259</v>
      </c>
      <c r="I3" s="213">
        <v>6.8</v>
      </c>
      <c r="J3" s="213" t="s">
        <v>801</v>
      </c>
      <c r="K3" s="213" t="s">
        <v>727</v>
      </c>
      <c r="L3" s="213" t="s">
        <v>797</v>
      </c>
      <c r="M3" s="213" t="s">
        <v>728</v>
      </c>
      <c r="N3" s="213" t="s">
        <v>728</v>
      </c>
      <c r="O3" s="213" t="s">
        <v>729</v>
      </c>
      <c r="P3" s="213" t="s">
        <v>249</v>
      </c>
      <c r="Q3" s="213">
        <v>24.1</v>
      </c>
      <c r="R3" s="213">
        <v>166</v>
      </c>
      <c r="S3" s="213" t="s">
        <v>249</v>
      </c>
      <c r="T3" s="213">
        <v>-9999</v>
      </c>
      <c r="U3" s="213">
        <v>231</v>
      </c>
      <c r="V3" s="213">
        <v>496</v>
      </c>
      <c r="W3" s="213">
        <v>222</v>
      </c>
      <c r="X3" s="213" t="s">
        <v>710</v>
      </c>
      <c r="Y3" s="213">
        <v>0</v>
      </c>
      <c r="Z3" s="213">
        <v>40</v>
      </c>
      <c r="AA3" s="213" t="s">
        <v>730</v>
      </c>
      <c r="AB3" s="213" t="s">
        <v>731</v>
      </c>
      <c r="AC3" s="213" t="s">
        <v>729</v>
      </c>
      <c r="AD3" s="213" t="s">
        <v>249</v>
      </c>
      <c r="AE3" s="213">
        <v>25.6</v>
      </c>
      <c r="AF3" s="213">
        <v>127</v>
      </c>
      <c r="AG3" s="213" t="s">
        <v>249</v>
      </c>
      <c r="AH3" s="213">
        <v>-9999</v>
      </c>
      <c r="AI3" s="213">
        <v>206</v>
      </c>
      <c r="AJ3" s="213">
        <v>491</v>
      </c>
      <c r="AK3" s="213">
        <v>202</v>
      </c>
      <c r="AL3" s="213" t="s">
        <v>710</v>
      </c>
      <c r="AM3" s="213">
        <v>0</v>
      </c>
      <c r="AN3" s="213">
        <v>40</v>
      </c>
      <c r="AO3" s="213" t="s">
        <v>733</v>
      </c>
      <c r="AP3" s="213" t="s">
        <v>734</v>
      </c>
      <c r="AQ3" s="213">
        <v>1</v>
      </c>
      <c r="AR3" s="213" t="s">
        <v>798</v>
      </c>
      <c r="AS3" s="213">
        <v>23.5</v>
      </c>
      <c r="AT3" s="213">
        <v>433</v>
      </c>
      <c r="AU3" s="213" t="s">
        <v>710</v>
      </c>
      <c r="AV3" s="213">
        <v>-9999</v>
      </c>
      <c r="AW3" s="213">
        <v>250</v>
      </c>
      <c r="AX3" s="213">
        <v>616</v>
      </c>
      <c r="AY3" s="213">
        <v>246</v>
      </c>
      <c r="AZ3" s="213" t="s">
        <v>710</v>
      </c>
      <c r="BA3" s="213">
        <v>0</v>
      </c>
      <c r="BB3" s="213">
        <v>40</v>
      </c>
      <c r="BC3" s="213" t="s">
        <v>736</v>
      </c>
      <c r="BD3" s="213" t="s">
        <v>734</v>
      </c>
      <c r="BE3" s="213">
        <v>2</v>
      </c>
      <c r="BF3" s="213" t="s">
        <v>798</v>
      </c>
      <c r="BG3" s="213">
        <v>24.8</v>
      </c>
      <c r="BH3" s="213">
        <v>180</v>
      </c>
      <c r="BI3" s="213" t="s">
        <v>710</v>
      </c>
      <c r="BJ3" s="213">
        <v>-9999</v>
      </c>
      <c r="BK3" s="213">
        <v>123</v>
      </c>
      <c r="BL3" s="213">
        <v>371</v>
      </c>
      <c r="BM3" s="213">
        <v>122</v>
      </c>
      <c r="BN3" s="213" t="s">
        <v>710</v>
      </c>
      <c r="BO3" s="213">
        <v>0</v>
      </c>
      <c r="BP3" s="213">
        <v>40</v>
      </c>
      <c r="BQ3" s="213" t="s">
        <v>737</v>
      </c>
      <c r="BR3" s="213" t="s">
        <v>734</v>
      </c>
      <c r="BS3" s="213">
        <v>3</v>
      </c>
      <c r="BT3" s="213" t="s">
        <v>798</v>
      </c>
      <c r="BU3" s="213">
        <v>39.200000000000003</v>
      </c>
      <c r="BV3" s="213">
        <v>41</v>
      </c>
      <c r="BW3" s="213" t="s">
        <v>710</v>
      </c>
      <c r="BX3" s="213">
        <v>-9999</v>
      </c>
      <c r="BY3" s="213">
        <v>182</v>
      </c>
      <c r="BZ3" s="213">
        <v>441</v>
      </c>
      <c r="CA3" s="213">
        <v>181</v>
      </c>
      <c r="CB3" s="213" t="s">
        <v>710</v>
      </c>
      <c r="CC3" s="213">
        <v>0</v>
      </c>
      <c r="CD3" s="213">
        <v>40</v>
      </c>
      <c r="CE3" s="213" t="s">
        <v>738</v>
      </c>
      <c r="CF3" s="213" t="s">
        <v>734</v>
      </c>
      <c r="CG3" s="213">
        <v>4</v>
      </c>
      <c r="CH3" s="213" t="s">
        <v>798</v>
      </c>
      <c r="CI3" s="213">
        <v>22.3</v>
      </c>
      <c r="CJ3" s="213">
        <v>407</v>
      </c>
      <c r="CK3" s="213" t="s">
        <v>710</v>
      </c>
      <c r="CL3" s="213">
        <v>-9999</v>
      </c>
      <c r="CM3" s="213">
        <v>154</v>
      </c>
      <c r="CN3" s="213">
        <v>401</v>
      </c>
      <c r="CO3" s="213">
        <v>151</v>
      </c>
      <c r="CP3" s="213" t="s">
        <v>710</v>
      </c>
      <c r="CQ3" s="213">
        <v>0</v>
      </c>
      <c r="CR3" s="213">
        <v>40</v>
      </c>
      <c r="CS3" s="213" t="s">
        <v>739</v>
      </c>
      <c r="CT3" s="213" t="s">
        <v>740</v>
      </c>
      <c r="CU3" s="213">
        <v>121</v>
      </c>
      <c r="CV3" s="213">
        <v>120</v>
      </c>
      <c r="CW3" s="213">
        <v>120</v>
      </c>
      <c r="CX3" s="213" t="s">
        <v>710</v>
      </c>
      <c r="CY3" s="213" t="s">
        <v>741</v>
      </c>
      <c r="CZ3" s="213" t="s">
        <v>740</v>
      </c>
      <c r="DA3" s="213">
        <v>114</v>
      </c>
      <c r="DB3" s="213">
        <v>114</v>
      </c>
      <c r="DC3" s="213">
        <v>114</v>
      </c>
      <c r="DD3" s="213" t="s">
        <v>710</v>
      </c>
      <c r="DE3" s="213" t="s">
        <v>742</v>
      </c>
      <c r="DF3" s="213" t="s">
        <v>743</v>
      </c>
      <c r="DG3" s="213">
        <v>0</v>
      </c>
      <c r="DH3" s="213">
        <v>0</v>
      </c>
      <c r="DI3" s="213">
        <v>0</v>
      </c>
      <c r="DJ3" s="213" t="s">
        <v>249</v>
      </c>
      <c r="DK3" s="213">
        <v>69.2</v>
      </c>
      <c r="DL3" s="213">
        <v>46.4</v>
      </c>
      <c r="DM3" s="213" t="s">
        <v>744</v>
      </c>
      <c r="DN3" s="213" t="s">
        <v>743</v>
      </c>
      <c r="DO3" s="213">
        <v>0</v>
      </c>
      <c r="DP3" s="213">
        <v>0</v>
      </c>
      <c r="DQ3" s="213">
        <v>0</v>
      </c>
      <c r="DR3" s="213" t="s">
        <v>249</v>
      </c>
      <c r="DU3" s="213" t="s">
        <v>745</v>
      </c>
      <c r="DV3" s="213" t="s">
        <v>743</v>
      </c>
      <c r="DW3" s="213">
        <v>0</v>
      </c>
      <c r="DX3" s="213">
        <v>0</v>
      </c>
      <c r="DY3" s="213">
        <v>0</v>
      </c>
      <c r="DZ3" s="213" t="s">
        <v>249</v>
      </c>
      <c r="EC3" s="213" t="s">
        <v>746</v>
      </c>
      <c r="ED3" s="213" t="s">
        <v>743</v>
      </c>
      <c r="EE3" s="213">
        <v>0</v>
      </c>
      <c r="EF3" s="213">
        <v>0</v>
      </c>
      <c r="EG3" s="213">
        <v>0</v>
      </c>
      <c r="EH3" s="213" t="s">
        <v>249</v>
      </c>
      <c r="EK3" s="213" t="s">
        <v>747</v>
      </c>
      <c r="EL3" s="213" t="s">
        <v>743</v>
      </c>
      <c r="EM3" s="213">
        <v>0</v>
      </c>
      <c r="EN3" s="213">
        <v>0</v>
      </c>
      <c r="EO3" s="213">
        <v>0</v>
      </c>
      <c r="EP3" s="213" t="s">
        <v>249</v>
      </c>
      <c r="ES3" s="213" t="s">
        <v>748</v>
      </c>
      <c r="ET3" s="213" t="s">
        <v>743</v>
      </c>
      <c r="EU3" s="213">
        <v>0</v>
      </c>
      <c r="EV3" s="213">
        <v>0</v>
      </c>
      <c r="EW3" s="213">
        <v>0</v>
      </c>
      <c r="EX3" s="213" t="s">
        <v>249</v>
      </c>
      <c r="EY3" s="213">
        <v>70</v>
      </c>
      <c r="EZ3" s="213">
        <v>49.3</v>
      </c>
      <c r="FA3" s="213" t="s">
        <v>749</v>
      </c>
      <c r="FB3" s="213" t="s">
        <v>743</v>
      </c>
      <c r="FC3" s="213">
        <v>0</v>
      </c>
      <c r="FD3" s="213">
        <v>0</v>
      </c>
      <c r="FE3" s="213">
        <v>0</v>
      </c>
      <c r="FF3" s="213" t="s">
        <v>249</v>
      </c>
      <c r="FI3" s="213" t="s">
        <v>750</v>
      </c>
      <c r="FJ3" s="213" t="s">
        <v>743</v>
      </c>
      <c r="FK3" s="213">
        <v>0</v>
      </c>
      <c r="FL3" s="213">
        <v>0</v>
      </c>
      <c r="FM3" s="213">
        <v>0</v>
      </c>
      <c r="FN3" s="213" t="s">
        <v>249</v>
      </c>
      <c r="FO3" s="213">
        <v>73.5</v>
      </c>
      <c r="FP3" s="213">
        <v>175.3</v>
      </c>
      <c r="FQ3" s="213" t="s">
        <v>751</v>
      </c>
      <c r="FR3" s="213" t="s">
        <v>743</v>
      </c>
      <c r="FS3" s="213">
        <v>0</v>
      </c>
      <c r="FT3" s="213">
        <v>0</v>
      </c>
      <c r="FU3" s="213">
        <v>0</v>
      </c>
      <c r="FV3" s="213" t="s">
        <v>249</v>
      </c>
      <c r="FY3" s="213">
        <v>19.8</v>
      </c>
      <c r="FZ3" s="213">
        <v>-11.3</v>
      </c>
      <c r="GF3" s="213" t="s">
        <v>752</v>
      </c>
    </row>
    <row r="4" spans="1:188" s="213" customFormat="1" x14ac:dyDescent="0.15">
      <c r="A4" s="213" t="s">
        <v>654</v>
      </c>
      <c r="B4" s="213">
        <v>4</v>
      </c>
      <c r="C4" s="213" t="s">
        <v>802</v>
      </c>
      <c r="D4" s="213">
        <v>614332204</v>
      </c>
      <c r="E4" s="213">
        <v>92303</v>
      </c>
      <c r="F4" s="213" t="s">
        <v>795</v>
      </c>
      <c r="G4" s="213">
        <v>839032</v>
      </c>
      <c r="H4" s="213">
        <v>627453</v>
      </c>
      <c r="I4" s="213">
        <v>6.8</v>
      </c>
      <c r="J4" s="213" t="s">
        <v>803</v>
      </c>
      <c r="K4" s="213" t="s">
        <v>727</v>
      </c>
      <c r="L4" s="213" t="s">
        <v>797</v>
      </c>
      <c r="M4" s="213" t="s">
        <v>728</v>
      </c>
      <c r="N4" s="213" t="s">
        <v>728</v>
      </c>
      <c r="O4" s="213" t="s">
        <v>729</v>
      </c>
      <c r="P4" s="213" t="s">
        <v>249</v>
      </c>
      <c r="Q4" s="213">
        <v>24.1</v>
      </c>
      <c r="R4" s="213">
        <v>161</v>
      </c>
      <c r="S4" s="213" t="s">
        <v>249</v>
      </c>
      <c r="T4" s="213">
        <v>-9999</v>
      </c>
      <c r="U4" s="213">
        <v>258</v>
      </c>
      <c r="V4" s="213">
        <v>545</v>
      </c>
      <c r="W4" s="213">
        <v>254</v>
      </c>
      <c r="X4" s="213" t="s">
        <v>710</v>
      </c>
      <c r="Y4" s="213">
        <v>0</v>
      </c>
      <c r="Z4" s="213">
        <v>40</v>
      </c>
      <c r="AA4" s="213" t="s">
        <v>730</v>
      </c>
      <c r="AB4" s="213" t="s">
        <v>731</v>
      </c>
      <c r="AC4" s="213" t="s">
        <v>729</v>
      </c>
      <c r="AD4" s="213" t="s">
        <v>249</v>
      </c>
      <c r="AE4" s="213">
        <v>26.3</v>
      </c>
      <c r="AF4" s="213">
        <v>130</v>
      </c>
      <c r="AG4" s="213" t="s">
        <v>249</v>
      </c>
      <c r="AH4" s="213">
        <v>-9999</v>
      </c>
      <c r="AI4" s="213">
        <v>206</v>
      </c>
      <c r="AJ4" s="213">
        <v>486</v>
      </c>
      <c r="AK4" s="213">
        <v>203</v>
      </c>
      <c r="AL4" s="213" t="s">
        <v>710</v>
      </c>
      <c r="AM4" s="213">
        <v>0</v>
      </c>
      <c r="AN4" s="213">
        <v>40</v>
      </c>
      <c r="AO4" s="213" t="s">
        <v>733</v>
      </c>
      <c r="AP4" s="213" t="s">
        <v>734</v>
      </c>
      <c r="AQ4" s="213">
        <v>1</v>
      </c>
      <c r="AR4" s="213" t="s">
        <v>798</v>
      </c>
      <c r="AS4" s="213">
        <v>23.5</v>
      </c>
      <c r="AT4" s="213">
        <v>433</v>
      </c>
      <c r="AU4" s="213" t="s">
        <v>710</v>
      </c>
      <c r="AV4" s="213">
        <v>-9999</v>
      </c>
      <c r="AW4" s="213">
        <v>279</v>
      </c>
      <c r="AX4" s="213">
        <v>688</v>
      </c>
      <c r="AY4" s="213">
        <v>277</v>
      </c>
      <c r="AZ4" s="213" t="s">
        <v>710</v>
      </c>
      <c r="BA4" s="213">
        <v>0</v>
      </c>
      <c r="BB4" s="213">
        <v>40</v>
      </c>
      <c r="BC4" s="213" t="s">
        <v>736</v>
      </c>
      <c r="BD4" s="213" t="s">
        <v>734</v>
      </c>
      <c r="BE4" s="213">
        <v>2</v>
      </c>
      <c r="BF4" s="213" t="s">
        <v>798</v>
      </c>
      <c r="BG4" s="213">
        <v>24.6</v>
      </c>
      <c r="BH4" s="213">
        <v>186</v>
      </c>
      <c r="BI4" s="213" t="s">
        <v>710</v>
      </c>
      <c r="BJ4" s="213">
        <v>-9999</v>
      </c>
      <c r="BK4" s="213">
        <v>104</v>
      </c>
      <c r="BL4" s="213">
        <v>309</v>
      </c>
      <c r="BM4" s="213">
        <v>102</v>
      </c>
      <c r="BN4" s="213" t="s">
        <v>710</v>
      </c>
      <c r="BO4" s="213">
        <v>0</v>
      </c>
      <c r="BP4" s="213">
        <v>40</v>
      </c>
      <c r="BQ4" s="213" t="s">
        <v>737</v>
      </c>
      <c r="BR4" s="213" t="s">
        <v>734</v>
      </c>
      <c r="BS4" s="213">
        <v>3</v>
      </c>
      <c r="BT4" s="213" t="s">
        <v>799</v>
      </c>
      <c r="BU4" s="213">
        <v>0</v>
      </c>
      <c r="BV4" s="213">
        <v>37</v>
      </c>
      <c r="BW4" s="213" t="s">
        <v>249</v>
      </c>
      <c r="BX4" s="213">
        <v>-9999</v>
      </c>
      <c r="BY4" s="213">
        <v>174</v>
      </c>
      <c r="BZ4" s="213">
        <v>421</v>
      </c>
      <c r="CA4" s="213">
        <v>173</v>
      </c>
      <c r="CB4" s="213" t="s">
        <v>710</v>
      </c>
      <c r="CC4" s="213">
        <v>0</v>
      </c>
      <c r="CD4" s="213">
        <v>40</v>
      </c>
      <c r="CE4" s="213" t="s">
        <v>738</v>
      </c>
      <c r="CF4" s="213" t="s">
        <v>734</v>
      </c>
      <c r="CG4" s="213">
        <v>4</v>
      </c>
      <c r="CH4" s="213" t="s">
        <v>798</v>
      </c>
      <c r="CI4" s="213">
        <v>22.2</v>
      </c>
      <c r="CJ4" s="213">
        <v>434</v>
      </c>
      <c r="CK4" s="213" t="s">
        <v>710</v>
      </c>
      <c r="CL4" s="213">
        <v>-9999</v>
      </c>
      <c r="CM4" s="213">
        <v>128</v>
      </c>
      <c r="CN4" s="213">
        <v>331</v>
      </c>
      <c r="CO4" s="213">
        <v>126</v>
      </c>
      <c r="CP4" s="213" t="s">
        <v>710</v>
      </c>
      <c r="CQ4" s="213">
        <v>0</v>
      </c>
      <c r="CR4" s="213">
        <v>40</v>
      </c>
      <c r="CS4" s="213" t="s">
        <v>739</v>
      </c>
      <c r="CT4" s="213" t="s">
        <v>740</v>
      </c>
      <c r="CU4" s="213">
        <v>106</v>
      </c>
      <c r="CV4" s="213">
        <v>106</v>
      </c>
      <c r="CW4" s="213">
        <v>106</v>
      </c>
      <c r="CX4" s="213" t="s">
        <v>710</v>
      </c>
      <c r="CY4" s="213" t="s">
        <v>741</v>
      </c>
      <c r="CZ4" s="213" t="s">
        <v>740</v>
      </c>
      <c r="DA4" s="213">
        <v>109</v>
      </c>
      <c r="DB4" s="213">
        <v>109</v>
      </c>
      <c r="DC4" s="213">
        <v>108</v>
      </c>
      <c r="DD4" s="213" t="s">
        <v>710</v>
      </c>
      <c r="DE4" s="213" t="s">
        <v>742</v>
      </c>
      <c r="DF4" s="213" t="s">
        <v>743</v>
      </c>
      <c r="DG4" s="213">
        <v>0</v>
      </c>
      <c r="DH4" s="213">
        <v>0</v>
      </c>
      <c r="DI4" s="213">
        <v>0</v>
      </c>
      <c r="DJ4" s="213" t="s">
        <v>249</v>
      </c>
      <c r="DK4" s="213">
        <v>69.099999999999994</v>
      </c>
      <c r="DL4" s="213">
        <v>49.1</v>
      </c>
      <c r="DM4" s="213" t="s">
        <v>744</v>
      </c>
      <c r="DN4" s="213" t="s">
        <v>743</v>
      </c>
      <c r="DO4" s="213">
        <v>0</v>
      </c>
      <c r="DP4" s="213">
        <v>0</v>
      </c>
      <c r="DQ4" s="213">
        <v>0</v>
      </c>
      <c r="DR4" s="213" t="s">
        <v>249</v>
      </c>
      <c r="DU4" s="213" t="s">
        <v>745</v>
      </c>
      <c r="DV4" s="213" t="s">
        <v>743</v>
      </c>
      <c r="DW4" s="213">
        <v>0</v>
      </c>
      <c r="DX4" s="213">
        <v>0</v>
      </c>
      <c r="DY4" s="213">
        <v>0</v>
      </c>
      <c r="DZ4" s="213" t="s">
        <v>249</v>
      </c>
      <c r="EC4" s="213" t="s">
        <v>746</v>
      </c>
      <c r="ED4" s="213" t="s">
        <v>743</v>
      </c>
      <c r="EE4" s="213">
        <v>0</v>
      </c>
      <c r="EF4" s="213">
        <v>0</v>
      </c>
      <c r="EG4" s="213">
        <v>0</v>
      </c>
      <c r="EH4" s="213" t="s">
        <v>249</v>
      </c>
      <c r="EK4" s="213" t="s">
        <v>747</v>
      </c>
      <c r="EL4" s="213" t="s">
        <v>743</v>
      </c>
      <c r="EM4" s="213">
        <v>0</v>
      </c>
      <c r="EN4" s="213">
        <v>0</v>
      </c>
      <c r="EO4" s="213">
        <v>0</v>
      </c>
      <c r="EP4" s="213" t="s">
        <v>249</v>
      </c>
      <c r="ES4" s="213" t="s">
        <v>748</v>
      </c>
      <c r="ET4" s="213" t="s">
        <v>743</v>
      </c>
      <c r="EU4" s="213">
        <v>0</v>
      </c>
      <c r="EV4" s="213">
        <v>0</v>
      </c>
      <c r="EW4" s="213">
        <v>0</v>
      </c>
      <c r="EX4" s="213" t="s">
        <v>249</v>
      </c>
      <c r="EY4" s="213">
        <v>69.900000000000006</v>
      </c>
      <c r="EZ4" s="213">
        <v>43.6</v>
      </c>
      <c r="FA4" s="213" t="s">
        <v>749</v>
      </c>
      <c r="FB4" s="213" t="s">
        <v>743</v>
      </c>
      <c r="FC4" s="213">
        <v>0</v>
      </c>
      <c r="FD4" s="213">
        <v>0</v>
      </c>
      <c r="FE4" s="213">
        <v>0</v>
      </c>
      <c r="FF4" s="213" t="s">
        <v>249</v>
      </c>
      <c r="FI4" s="213" t="s">
        <v>750</v>
      </c>
      <c r="FJ4" s="213" t="s">
        <v>743</v>
      </c>
      <c r="FK4" s="213">
        <v>0</v>
      </c>
      <c r="FL4" s="213">
        <v>0</v>
      </c>
      <c r="FM4" s="213">
        <v>0</v>
      </c>
      <c r="FN4" s="213" t="s">
        <v>249</v>
      </c>
      <c r="FO4" s="213">
        <v>73.400000000000006</v>
      </c>
      <c r="FP4" s="213">
        <v>149.1</v>
      </c>
      <c r="FQ4" s="213" t="s">
        <v>751</v>
      </c>
      <c r="FR4" s="213" t="s">
        <v>743</v>
      </c>
      <c r="FS4" s="213">
        <v>0</v>
      </c>
      <c r="FT4" s="213">
        <v>0</v>
      </c>
      <c r="FU4" s="213">
        <v>0</v>
      </c>
      <c r="FV4" s="213" t="s">
        <v>249</v>
      </c>
      <c r="FY4" s="213">
        <v>18.399999999999999</v>
      </c>
      <c r="FZ4" s="213">
        <v>-12.9</v>
      </c>
      <c r="GF4" s="213" t="s">
        <v>752</v>
      </c>
    </row>
    <row r="5" spans="1:188" s="213" customFormat="1" x14ac:dyDescent="0.15">
      <c r="A5" s="213" t="s">
        <v>654</v>
      </c>
      <c r="B5" s="213">
        <v>4</v>
      </c>
      <c r="C5" s="213" t="s">
        <v>804</v>
      </c>
      <c r="D5" s="213">
        <v>614332202</v>
      </c>
      <c r="E5" s="213">
        <v>92303</v>
      </c>
      <c r="F5" s="213" t="s">
        <v>795</v>
      </c>
      <c r="G5" s="213">
        <v>839032</v>
      </c>
      <c r="H5" s="213">
        <v>782120</v>
      </c>
      <c r="I5" s="213">
        <v>6.8</v>
      </c>
      <c r="J5" s="213" t="s">
        <v>805</v>
      </c>
      <c r="K5" s="213" t="s">
        <v>727</v>
      </c>
      <c r="L5" s="213" t="s">
        <v>797</v>
      </c>
      <c r="M5" s="213" t="s">
        <v>728</v>
      </c>
      <c r="N5" s="213" t="s">
        <v>728</v>
      </c>
      <c r="O5" s="213" t="s">
        <v>729</v>
      </c>
      <c r="P5" s="213" t="s">
        <v>249</v>
      </c>
      <c r="Q5" s="213">
        <v>24.8</v>
      </c>
      <c r="R5" s="213">
        <v>147</v>
      </c>
      <c r="S5" s="213" t="s">
        <v>249</v>
      </c>
      <c r="T5" s="213">
        <v>-9999</v>
      </c>
      <c r="U5" s="213">
        <v>213</v>
      </c>
      <c r="V5" s="213">
        <v>431</v>
      </c>
      <c r="W5" s="213">
        <v>208</v>
      </c>
      <c r="X5" s="213" t="s">
        <v>710</v>
      </c>
      <c r="Y5" s="213">
        <v>0</v>
      </c>
      <c r="Z5" s="213">
        <v>40</v>
      </c>
      <c r="AA5" s="213" t="s">
        <v>730</v>
      </c>
      <c r="AB5" s="213" t="s">
        <v>731</v>
      </c>
      <c r="AC5" s="213" t="s">
        <v>729</v>
      </c>
      <c r="AD5" s="213" t="s">
        <v>249</v>
      </c>
      <c r="AE5" s="213">
        <v>26.4</v>
      </c>
      <c r="AF5" s="213">
        <v>115</v>
      </c>
      <c r="AG5" s="213" t="s">
        <v>249</v>
      </c>
      <c r="AH5" s="213">
        <v>-9999</v>
      </c>
      <c r="AI5" s="213">
        <v>209</v>
      </c>
      <c r="AJ5" s="213">
        <v>492</v>
      </c>
      <c r="AK5" s="213">
        <v>207</v>
      </c>
      <c r="AL5" s="213" t="s">
        <v>710</v>
      </c>
      <c r="AM5" s="213">
        <v>0</v>
      </c>
      <c r="AN5" s="213">
        <v>40</v>
      </c>
      <c r="AO5" s="213" t="s">
        <v>733</v>
      </c>
      <c r="AP5" s="213" t="s">
        <v>734</v>
      </c>
      <c r="AQ5" s="213">
        <v>1</v>
      </c>
      <c r="AR5" s="213" t="s">
        <v>798</v>
      </c>
      <c r="AS5" s="213">
        <v>23.8</v>
      </c>
      <c r="AT5" s="213">
        <v>411</v>
      </c>
      <c r="AU5" s="213" t="s">
        <v>710</v>
      </c>
      <c r="AV5" s="213">
        <v>-9999</v>
      </c>
      <c r="AW5" s="213">
        <v>298</v>
      </c>
      <c r="AX5" s="213">
        <v>726</v>
      </c>
      <c r="AY5" s="213">
        <v>295</v>
      </c>
      <c r="AZ5" s="213" t="s">
        <v>710</v>
      </c>
      <c r="BA5" s="213">
        <v>0</v>
      </c>
      <c r="BB5" s="213">
        <v>40</v>
      </c>
      <c r="BC5" s="213" t="s">
        <v>736</v>
      </c>
      <c r="BD5" s="213" t="s">
        <v>734</v>
      </c>
      <c r="BE5" s="213">
        <v>2</v>
      </c>
      <c r="BF5" s="213" t="s">
        <v>798</v>
      </c>
      <c r="BG5" s="213">
        <v>24.9</v>
      </c>
      <c r="BH5" s="213">
        <v>178</v>
      </c>
      <c r="BI5" s="213" t="s">
        <v>710</v>
      </c>
      <c r="BJ5" s="213">
        <v>-9999</v>
      </c>
      <c r="BK5" s="213">
        <v>109</v>
      </c>
      <c r="BL5" s="213">
        <v>333</v>
      </c>
      <c r="BM5" s="213">
        <v>107</v>
      </c>
      <c r="BN5" s="213" t="s">
        <v>710</v>
      </c>
      <c r="BO5" s="213">
        <v>0</v>
      </c>
      <c r="BP5" s="213">
        <v>40</v>
      </c>
      <c r="BQ5" s="213" t="s">
        <v>737</v>
      </c>
      <c r="BR5" s="213" t="s">
        <v>734</v>
      </c>
      <c r="BS5" s="213">
        <v>3</v>
      </c>
      <c r="BT5" s="213" t="s">
        <v>799</v>
      </c>
      <c r="BU5" s="213">
        <v>0</v>
      </c>
      <c r="BV5" s="213">
        <v>34</v>
      </c>
      <c r="BW5" s="213" t="s">
        <v>249</v>
      </c>
      <c r="BX5" s="213">
        <v>-9999</v>
      </c>
      <c r="BY5" s="213">
        <v>179</v>
      </c>
      <c r="BZ5" s="213">
        <v>420</v>
      </c>
      <c r="CA5" s="213">
        <v>178</v>
      </c>
      <c r="CB5" s="213" t="s">
        <v>710</v>
      </c>
      <c r="CC5" s="213">
        <v>0</v>
      </c>
      <c r="CD5" s="213">
        <v>40</v>
      </c>
      <c r="CE5" s="213" t="s">
        <v>738</v>
      </c>
      <c r="CF5" s="213" t="s">
        <v>734</v>
      </c>
      <c r="CG5" s="213">
        <v>4</v>
      </c>
      <c r="CH5" s="213" t="s">
        <v>798</v>
      </c>
      <c r="CI5" s="213">
        <v>22.6</v>
      </c>
      <c r="CJ5" s="213">
        <v>403</v>
      </c>
      <c r="CK5" s="213" t="s">
        <v>710</v>
      </c>
      <c r="CL5" s="213">
        <v>-9999</v>
      </c>
      <c r="CM5" s="213">
        <v>149</v>
      </c>
      <c r="CN5" s="213">
        <v>397</v>
      </c>
      <c r="CO5" s="213">
        <v>147</v>
      </c>
      <c r="CP5" s="213" t="s">
        <v>710</v>
      </c>
      <c r="CQ5" s="213">
        <v>0</v>
      </c>
      <c r="CR5" s="213">
        <v>40</v>
      </c>
      <c r="CS5" s="213" t="s">
        <v>739</v>
      </c>
      <c r="CT5" s="213" t="s">
        <v>740</v>
      </c>
      <c r="CU5" s="213">
        <v>115</v>
      </c>
      <c r="CV5" s="213">
        <v>114</v>
      </c>
      <c r="CW5" s="213">
        <v>114</v>
      </c>
      <c r="CX5" s="213" t="s">
        <v>710</v>
      </c>
      <c r="CY5" s="213" t="s">
        <v>741</v>
      </c>
      <c r="CZ5" s="213" t="s">
        <v>740</v>
      </c>
      <c r="DA5" s="213">
        <v>113</v>
      </c>
      <c r="DB5" s="213">
        <v>113</v>
      </c>
      <c r="DC5" s="213">
        <v>113</v>
      </c>
      <c r="DD5" s="213" t="s">
        <v>710</v>
      </c>
      <c r="DE5" s="213" t="s">
        <v>742</v>
      </c>
      <c r="DF5" s="213" t="s">
        <v>743</v>
      </c>
      <c r="DG5" s="213">
        <v>0</v>
      </c>
      <c r="DH5" s="213">
        <v>0</v>
      </c>
      <c r="DI5" s="213">
        <v>0</v>
      </c>
      <c r="DJ5" s="213" t="s">
        <v>249</v>
      </c>
      <c r="DK5" s="213">
        <v>69.099999999999994</v>
      </c>
      <c r="DL5" s="213">
        <v>66.400000000000006</v>
      </c>
      <c r="DM5" s="213" t="s">
        <v>744</v>
      </c>
      <c r="DN5" s="213" t="s">
        <v>743</v>
      </c>
      <c r="DO5" s="213">
        <v>0</v>
      </c>
      <c r="DP5" s="213">
        <v>0</v>
      </c>
      <c r="DQ5" s="213">
        <v>0</v>
      </c>
      <c r="DR5" s="213" t="s">
        <v>249</v>
      </c>
      <c r="DU5" s="213" t="s">
        <v>745</v>
      </c>
      <c r="DV5" s="213" t="s">
        <v>743</v>
      </c>
      <c r="DW5" s="213">
        <v>0</v>
      </c>
      <c r="DX5" s="213">
        <v>0</v>
      </c>
      <c r="DY5" s="213">
        <v>0</v>
      </c>
      <c r="DZ5" s="213" t="s">
        <v>249</v>
      </c>
      <c r="EC5" s="213" t="s">
        <v>746</v>
      </c>
      <c r="ED5" s="213" t="s">
        <v>743</v>
      </c>
      <c r="EE5" s="213">
        <v>0</v>
      </c>
      <c r="EF5" s="213">
        <v>0</v>
      </c>
      <c r="EG5" s="213">
        <v>0</v>
      </c>
      <c r="EH5" s="213" t="s">
        <v>249</v>
      </c>
      <c r="EK5" s="213" t="s">
        <v>747</v>
      </c>
      <c r="EL5" s="213" t="s">
        <v>743</v>
      </c>
      <c r="EM5" s="213">
        <v>0</v>
      </c>
      <c r="EN5" s="213">
        <v>0</v>
      </c>
      <c r="EO5" s="213">
        <v>0</v>
      </c>
      <c r="EP5" s="213" t="s">
        <v>249</v>
      </c>
      <c r="ES5" s="213" t="s">
        <v>748</v>
      </c>
      <c r="ET5" s="213" t="s">
        <v>743</v>
      </c>
      <c r="EU5" s="213">
        <v>0</v>
      </c>
      <c r="EV5" s="213">
        <v>0</v>
      </c>
      <c r="EW5" s="213">
        <v>0</v>
      </c>
      <c r="EX5" s="213" t="s">
        <v>249</v>
      </c>
      <c r="EY5" s="213">
        <v>69.8</v>
      </c>
      <c r="EZ5" s="213">
        <v>50.9</v>
      </c>
      <c r="FA5" s="213" t="s">
        <v>749</v>
      </c>
      <c r="FB5" s="213" t="s">
        <v>743</v>
      </c>
      <c r="FC5" s="213">
        <v>0</v>
      </c>
      <c r="FD5" s="213">
        <v>0</v>
      </c>
      <c r="FE5" s="213">
        <v>0</v>
      </c>
      <c r="FF5" s="213" t="s">
        <v>249</v>
      </c>
      <c r="FI5" s="213" t="s">
        <v>750</v>
      </c>
      <c r="FJ5" s="213" t="s">
        <v>743</v>
      </c>
      <c r="FK5" s="213">
        <v>0</v>
      </c>
      <c r="FL5" s="213">
        <v>0</v>
      </c>
      <c r="FM5" s="213">
        <v>0</v>
      </c>
      <c r="FN5" s="213" t="s">
        <v>249</v>
      </c>
      <c r="FO5" s="213">
        <v>73.3</v>
      </c>
      <c r="FP5" s="213">
        <v>169.8</v>
      </c>
      <c r="FQ5" s="213" t="s">
        <v>751</v>
      </c>
      <c r="FR5" s="213" t="s">
        <v>743</v>
      </c>
      <c r="FS5" s="213">
        <v>0</v>
      </c>
      <c r="FT5" s="213">
        <v>0</v>
      </c>
      <c r="FU5" s="213">
        <v>0</v>
      </c>
      <c r="FV5" s="213" t="s">
        <v>249</v>
      </c>
      <c r="FY5" s="213">
        <v>24.8</v>
      </c>
      <c r="FZ5" s="213">
        <v>-16.8</v>
      </c>
      <c r="GF5" s="213" t="s">
        <v>752</v>
      </c>
    </row>
    <row r="6" spans="1:188" s="213" customFormat="1" x14ac:dyDescent="0.15">
      <c r="A6" s="213" t="s">
        <v>654</v>
      </c>
      <c r="B6" s="213">
        <v>4</v>
      </c>
      <c r="C6" s="213" t="s">
        <v>806</v>
      </c>
      <c r="D6" s="213">
        <v>614332201</v>
      </c>
      <c r="E6" s="213">
        <v>92303</v>
      </c>
      <c r="F6" s="213" t="s">
        <v>795</v>
      </c>
      <c r="G6" s="213">
        <v>839032</v>
      </c>
      <c r="H6" s="213">
        <v>210034622</v>
      </c>
      <c r="I6" s="213">
        <v>6.8</v>
      </c>
      <c r="J6" s="213" t="s">
        <v>807</v>
      </c>
      <c r="K6" s="213" t="s">
        <v>727</v>
      </c>
      <c r="L6" s="213" t="s">
        <v>797</v>
      </c>
      <c r="M6" s="213" t="s">
        <v>728</v>
      </c>
      <c r="N6" s="213" t="s">
        <v>728</v>
      </c>
      <c r="O6" s="213" t="s">
        <v>729</v>
      </c>
      <c r="P6" s="213" t="s">
        <v>249</v>
      </c>
      <c r="Q6" s="213">
        <v>23.9</v>
      </c>
      <c r="R6" s="213">
        <v>156</v>
      </c>
      <c r="S6" s="213" t="s">
        <v>249</v>
      </c>
      <c r="T6" s="213">
        <v>-9999</v>
      </c>
      <c r="U6" s="213">
        <v>169</v>
      </c>
      <c r="V6" s="213">
        <v>375</v>
      </c>
      <c r="W6" s="213">
        <v>164</v>
      </c>
      <c r="X6" s="213" t="s">
        <v>710</v>
      </c>
      <c r="Y6" s="213">
        <v>0</v>
      </c>
      <c r="Z6" s="213">
        <v>40</v>
      </c>
      <c r="AA6" s="213" t="s">
        <v>730</v>
      </c>
      <c r="AB6" s="213" t="s">
        <v>731</v>
      </c>
      <c r="AC6" s="213" t="s">
        <v>729</v>
      </c>
      <c r="AD6" s="213" t="s">
        <v>249</v>
      </c>
      <c r="AE6" s="213">
        <v>26.8</v>
      </c>
      <c r="AF6" s="213">
        <v>116</v>
      </c>
      <c r="AG6" s="213" t="s">
        <v>249</v>
      </c>
      <c r="AH6" s="213">
        <v>-9999</v>
      </c>
      <c r="AI6" s="213">
        <v>173</v>
      </c>
      <c r="AJ6" s="213">
        <v>416</v>
      </c>
      <c r="AK6" s="213">
        <v>171</v>
      </c>
      <c r="AL6" s="213" t="s">
        <v>710</v>
      </c>
      <c r="AM6" s="213">
        <v>0</v>
      </c>
      <c r="AN6" s="213">
        <v>40</v>
      </c>
      <c r="AO6" s="213" t="s">
        <v>733</v>
      </c>
      <c r="AP6" s="213" t="s">
        <v>734</v>
      </c>
      <c r="AQ6" s="213">
        <v>1</v>
      </c>
      <c r="AR6" s="213" t="s">
        <v>798</v>
      </c>
      <c r="AS6" s="213">
        <v>24</v>
      </c>
      <c r="AT6" s="213">
        <v>396</v>
      </c>
      <c r="AU6" s="213" t="s">
        <v>710</v>
      </c>
      <c r="AV6" s="213">
        <v>-9999</v>
      </c>
      <c r="AW6" s="213">
        <v>234</v>
      </c>
      <c r="AX6" s="213">
        <v>581</v>
      </c>
      <c r="AY6" s="213">
        <v>233</v>
      </c>
      <c r="AZ6" s="213" t="s">
        <v>710</v>
      </c>
      <c r="BA6" s="213">
        <v>0</v>
      </c>
      <c r="BB6" s="213">
        <v>40</v>
      </c>
      <c r="BC6" s="213" t="s">
        <v>736</v>
      </c>
      <c r="BD6" s="213" t="s">
        <v>734</v>
      </c>
      <c r="BE6" s="213">
        <v>2</v>
      </c>
      <c r="BF6" s="213" t="s">
        <v>798</v>
      </c>
      <c r="BG6" s="213">
        <v>24.7</v>
      </c>
      <c r="BH6" s="213">
        <v>182</v>
      </c>
      <c r="BI6" s="213" t="s">
        <v>710</v>
      </c>
      <c r="BJ6" s="213">
        <v>-9999</v>
      </c>
      <c r="BK6" s="213">
        <v>94</v>
      </c>
      <c r="BL6" s="213">
        <v>291</v>
      </c>
      <c r="BM6" s="213">
        <v>91</v>
      </c>
      <c r="BN6" s="213" t="s">
        <v>710</v>
      </c>
      <c r="BO6" s="213">
        <v>0</v>
      </c>
      <c r="BP6" s="213">
        <v>40</v>
      </c>
      <c r="BQ6" s="213" t="s">
        <v>737</v>
      </c>
      <c r="BR6" s="213" t="s">
        <v>734</v>
      </c>
      <c r="BS6" s="213">
        <v>3</v>
      </c>
      <c r="BT6" s="213" t="s">
        <v>799</v>
      </c>
      <c r="BU6" s="213">
        <v>0</v>
      </c>
      <c r="BV6" s="213">
        <v>35</v>
      </c>
      <c r="BW6" s="213" t="s">
        <v>249</v>
      </c>
      <c r="BX6" s="213">
        <v>-9999</v>
      </c>
      <c r="BY6" s="213">
        <v>164</v>
      </c>
      <c r="BZ6" s="213">
        <v>388</v>
      </c>
      <c r="CA6" s="213">
        <v>164</v>
      </c>
      <c r="CB6" s="213" t="s">
        <v>710</v>
      </c>
      <c r="CC6" s="213">
        <v>0</v>
      </c>
      <c r="CD6" s="213">
        <v>40</v>
      </c>
      <c r="CE6" s="213" t="s">
        <v>738</v>
      </c>
      <c r="CF6" s="213" t="s">
        <v>734</v>
      </c>
      <c r="CG6" s="213">
        <v>4</v>
      </c>
      <c r="CH6" s="213" t="s">
        <v>798</v>
      </c>
      <c r="CI6" s="213">
        <v>22.6</v>
      </c>
      <c r="CJ6" s="213">
        <v>374</v>
      </c>
      <c r="CK6" s="213" t="s">
        <v>710</v>
      </c>
      <c r="CL6" s="213">
        <v>-9999</v>
      </c>
      <c r="CM6" s="213">
        <v>137</v>
      </c>
      <c r="CN6" s="213">
        <v>356</v>
      </c>
      <c r="CO6" s="213">
        <v>135</v>
      </c>
      <c r="CP6" s="213" t="s">
        <v>710</v>
      </c>
      <c r="CQ6" s="213">
        <v>0</v>
      </c>
      <c r="CR6" s="213">
        <v>40</v>
      </c>
      <c r="CS6" s="213" t="s">
        <v>739</v>
      </c>
      <c r="CT6" s="213" t="s">
        <v>740</v>
      </c>
      <c r="CU6" s="213">
        <v>110</v>
      </c>
      <c r="CV6" s="213">
        <v>109</v>
      </c>
      <c r="CW6" s="213">
        <v>109</v>
      </c>
      <c r="CX6" s="213" t="s">
        <v>710</v>
      </c>
      <c r="CY6" s="213" t="s">
        <v>741</v>
      </c>
      <c r="CZ6" s="213" t="s">
        <v>740</v>
      </c>
      <c r="DA6" s="213">
        <v>102</v>
      </c>
      <c r="DB6" s="213">
        <v>102</v>
      </c>
      <c r="DC6" s="213">
        <v>102</v>
      </c>
      <c r="DD6" s="213" t="s">
        <v>710</v>
      </c>
      <c r="DE6" s="213" t="s">
        <v>742</v>
      </c>
      <c r="DF6" s="213" t="s">
        <v>743</v>
      </c>
      <c r="DG6" s="213">
        <v>0</v>
      </c>
      <c r="DH6" s="213">
        <v>0</v>
      </c>
      <c r="DI6" s="213">
        <v>0</v>
      </c>
      <c r="DJ6" s="213" t="s">
        <v>249</v>
      </c>
      <c r="DK6" s="213">
        <v>69.2</v>
      </c>
      <c r="DL6" s="213">
        <v>47.4</v>
      </c>
      <c r="DM6" s="213" t="s">
        <v>744</v>
      </c>
      <c r="DN6" s="213" t="s">
        <v>743</v>
      </c>
      <c r="DO6" s="213">
        <v>0</v>
      </c>
      <c r="DP6" s="213">
        <v>0</v>
      </c>
      <c r="DQ6" s="213">
        <v>0</v>
      </c>
      <c r="DR6" s="213" t="s">
        <v>249</v>
      </c>
      <c r="DU6" s="213" t="s">
        <v>745</v>
      </c>
      <c r="DV6" s="213" t="s">
        <v>743</v>
      </c>
      <c r="DW6" s="213">
        <v>0</v>
      </c>
      <c r="DX6" s="213">
        <v>0</v>
      </c>
      <c r="DY6" s="213">
        <v>0</v>
      </c>
      <c r="DZ6" s="213" t="s">
        <v>249</v>
      </c>
      <c r="EC6" s="213" t="s">
        <v>746</v>
      </c>
      <c r="ED6" s="213" t="s">
        <v>743</v>
      </c>
      <c r="EE6" s="213">
        <v>0</v>
      </c>
      <c r="EF6" s="213">
        <v>0</v>
      </c>
      <c r="EG6" s="213">
        <v>0</v>
      </c>
      <c r="EH6" s="213" t="s">
        <v>249</v>
      </c>
      <c r="EK6" s="213" t="s">
        <v>747</v>
      </c>
      <c r="EL6" s="213" t="s">
        <v>743</v>
      </c>
      <c r="EM6" s="213">
        <v>0</v>
      </c>
      <c r="EN6" s="213">
        <v>0</v>
      </c>
      <c r="EO6" s="213">
        <v>0</v>
      </c>
      <c r="EP6" s="213" t="s">
        <v>249</v>
      </c>
      <c r="ES6" s="213" t="s">
        <v>748</v>
      </c>
      <c r="ET6" s="213" t="s">
        <v>743</v>
      </c>
      <c r="EU6" s="213">
        <v>0</v>
      </c>
      <c r="EV6" s="213">
        <v>0</v>
      </c>
      <c r="EW6" s="213">
        <v>0</v>
      </c>
      <c r="EX6" s="213" t="s">
        <v>249</v>
      </c>
      <c r="EY6" s="213">
        <v>69.8</v>
      </c>
      <c r="EZ6" s="213">
        <v>41.8</v>
      </c>
      <c r="FA6" s="213" t="s">
        <v>749</v>
      </c>
      <c r="FB6" s="213" t="s">
        <v>743</v>
      </c>
      <c r="FC6" s="213">
        <v>0</v>
      </c>
      <c r="FD6" s="213">
        <v>0</v>
      </c>
      <c r="FE6" s="213">
        <v>0</v>
      </c>
      <c r="FF6" s="213" t="s">
        <v>249</v>
      </c>
      <c r="FI6" s="213" t="s">
        <v>750</v>
      </c>
      <c r="FJ6" s="213" t="s">
        <v>743</v>
      </c>
      <c r="FK6" s="213">
        <v>0</v>
      </c>
      <c r="FL6" s="213">
        <v>0</v>
      </c>
      <c r="FM6" s="213">
        <v>0</v>
      </c>
      <c r="FN6" s="213" t="s">
        <v>249</v>
      </c>
      <c r="FO6" s="213">
        <v>73.400000000000006</v>
      </c>
      <c r="FP6" s="213">
        <v>150.19999999999999</v>
      </c>
      <c r="FQ6" s="213" t="s">
        <v>751</v>
      </c>
      <c r="FR6" s="213" t="s">
        <v>743</v>
      </c>
      <c r="FS6" s="213">
        <v>0</v>
      </c>
      <c r="FT6" s="213">
        <v>0</v>
      </c>
      <c r="FU6" s="213">
        <v>0</v>
      </c>
      <c r="FV6" s="213" t="s">
        <v>249</v>
      </c>
      <c r="FY6" s="213">
        <v>20.7</v>
      </c>
      <c r="FZ6" s="213">
        <v>-16.8</v>
      </c>
      <c r="GF6" s="213" t="s">
        <v>752</v>
      </c>
    </row>
    <row r="7" spans="1:188" s="213" customFormat="1" x14ac:dyDescent="0.15">
      <c r="A7" s="213" t="s">
        <v>654</v>
      </c>
      <c r="B7" s="213">
        <v>4</v>
      </c>
      <c r="C7" s="213" t="s">
        <v>808</v>
      </c>
      <c r="D7" s="213">
        <v>614332205</v>
      </c>
      <c r="E7" s="213">
        <v>92303</v>
      </c>
      <c r="F7" s="213" t="s">
        <v>795</v>
      </c>
      <c r="G7" s="213">
        <v>839032</v>
      </c>
      <c r="H7" s="213">
        <v>676886</v>
      </c>
      <c r="I7" s="213">
        <v>6.8</v>
      </c>
      <c r="J7" s="213" t="s">
        <v>809</v>
      </c>
      <c r="K7" s="213" t="s">
        <v>727</v>
      </c>
      <c r="L7" s="213" t="s">
        <v>797</v>
      </c>
      <c r="M7" s="213" t="s">
        <v>728</v>
      </c>
      <c r="N7" s="213" t="s">
        <v>728</v>
      </c>
      <c r="O7" s="213" t="s">
        <v>729</v>
      </c>
      <c r="P7" s="213" t="s">
        <v>249</v>
      </c>
      <c r="Q7" s="213">
        <v>24.1</v>
      </c>
      <c r="R7" s="213">
        <v>162</v>
      </c>
      <c r="S7" s="213" t="s">
        <v>249</v>
      </c>
      <c r="T7" s="213">
        <v>-9999</v>
      </c>
      <c r="U7" s="213">
        <v>197</v>
      </c>
      <c r="V7" s="213">
        <v>428</v>
      </c>
      <c r="W7" s="213">
        <v>191</v>
      </c>
      <c r="X7" s="213" t="s">
        <v>710</v>
      </c>
      <c r="Y7" s="213">
        <v>0</v>
      </c>
      <c r="Z7" s="213">
        <v>40</v>
      </c>
      <c r="AA7" s="213" t="s">
        <v>730</v>
      </c>
      <c r="AB7" s="213" t="s">
        <v>731</v>
      </c>
      <c r="AC7" s="213" t="s">
        <v>729</v>
      </c>
      <c r="AD7" s="213" t="s">
        <v>249</v>
      </c>
      <c r="AE7" s="213">
        <v>26.2</v>
      </c>
      <c r="AF7" s="213">
        <v>120</v>
      </c>
      <c r="AG7" s="213" t="s">
        <v>249</v>
      </c>
      <c r="AH7" s="213">
        <v>-9999</v>
      </c>
      <c r="AI7" s="213">
        <v>179</v>
      </c>
      <c r="AJ7" s="213">
        <v>421</v>
      </c>
      <c r="AK7" s="213">
        <v>176</v>
      </c>
      <c r="AL7" s="213" t="s">
        <v>710</v>
      </c>
      <c r="AM7" s="213">
        <v>0</v>
      </c>
      <c r="AN7" s="213">
        <v>40</v>
      </c>
      <c r="AO7" s="213" t="s">
        <v>733</v>
      </c>
      <c r="AP7" s="213" t="s">
        <v>734</v>
      </c>
      <c r="AQ7" s="213">
        <v>1</v>
      </c>
      <c r="AR7" s="213" t="s">
        <v>798</v>
      </c>
      <c r="AS7" s="213">
        <v>23.4</v>
      </c>
      <c r="AT7" s="213">
        <v>427</v>
      </c>
      <c r="AU7" s="213" t="s">
        <v>710</v>
      </c>
      <c r="AV7" s="213">
        <v>-9999</v>
      </c>
      <c r="AW7" s="213">
        <v>237</v>
      </c>
      <c r="AX7" s="213">
        <v>585</v>
      </c>
      <c r="AY7" s="213">
        <v>234</v>
      </c>
      <c r="AZ7" s="213" t="s">
        <v>710</v>
      </c>
      <c r="BA7" s="213">
        <v>0</v>
      </c>
      <c r="BB7" s="213">
        <v>40</v>
      </c>
      <c r="BC7" s="213" t="s">
        <v>736</v>
      </c>
      <c r="BD7" s="213" t="s">
        <v>734</v>
      </c>
      <c r="BE7" s="213">
        <v>2</v>
      </c>
      <c r="BF7" s="213" t="s">
        <v>798</v>
      </c>
      <c r="BG7" s="213">
        <v>24.6</v>
      </c>
      <c r="BH7" s="213">
        <v>185</v>
      </c>
      <c r="BI7" s="213" t="s">
        <v>710</v>
      </c>
      <c r="BJ7" s="213">
        <v>-9999</v>
      </c>
      <c r="BK7" s="213">
        <v>90</v>
      </c>
      <c r="BL7" s="213">
        <v>273</v>
      </c>
      <c r="BM7" s="213">
        <v>87</v>
      </c>
      <c r="BN7" s="213" t="s">
        <v>710</v>
      </c>
      <c r="BO7" s="213">
        <v>0</v>
      </c>
      <c r="BP7" s="213">
        <v>40</v>
      </c>
      <c r="BQ7" s="213" t="s">
        <v>737</v>
      </c>
      <c r="BR7" s="213" t="s">
        <v>734</v>
      </c>
      <c r="BS7" s="213">
        <v>3</v>
      </c>
      <c r="BT7" s="213" t="s">
        <v>799</v>
      </c>
      <c r="BU7" s="213">
        <v>0</v>
      </c>
      <c r="BV7" s="213">
        <v>34</v>
      </c>
      <c r="BW7" s="213" t="s">
        <v>249</v>
      </c>
      <c r="BX7" s="213">
        <v>-9999</v>
      </c>
      <c r="BY7" s="213">
        <v>160</v>
      </c>
      <c r="BZ7" s="213">
        <v>379</v>
      </c>
      <c r="CA7" s="213">
        <v>160</v>
      </c>
      <c r="CB7" s="213" t="s">
        <v>710</v>
      </c>
      <c r="CC7" s="213">
        <v>0</v>
      </c>
      <c r="CD7" s="213">
        <v>40</v>
      </c>
      <c r="CE7" s="213" t="s">
        <v>738</v>
      </c>
      <c r="CF7" s="213" t="s">
        <v>734</v>
      </c>
      <c r="CG7" s="213">
        <v>4</v>
      </c>
      <c r="CH7" s="213" t="s">
        <v>798</v>
      </c>
      <c r="CI7" s="213">
        <v>22.4</v>
      </c>
      <c r="CJ7" s="213">
        <v>393</v>
      </c>
      <c r="CK7" s="213" t="s">
        <v>710</v>
      </c>
      <c r="CL7" s="213">
        <v>-9999</v>
      </c>
      <c r="CM7" s="213">
        <v>131</v>
      </c>
      <c r="CN7" s="213">
        <v>341</v>
      </c>
      <c r="CO7" s="213">
        <v>128</v>
      </c>
      <c r="CP7" s="213" t="s">
        <v>710</v>
      </c>
      <c r="CQ7" s="213">
        <v>0</v>
      </c>
      <c r="CR7" s="213">
        <v>40</v>
      </c>
      <c r="CS7" s="213" t="s">
        <v>739</v>
      </c>
      <c r="CT7" s="213" t="s">
        <v>740</v>
      </c>
      <c r="CU7" s="213">
        <v>104</v>
      </c>
      <c r="CV7" s="213">
        <v>104</v>
      </c>
      <c r="CW7" s="213">
        <v>104</v>
      </c>
      <c r="CX7" s="213" t="s">
        <v>710</v>
      </c>
      <c r="CY7" s="213" t="s">
        <v>741</v>
      </c>
      <c r="CZ7" s="213" t="s">
        <v>740</v>
      </c>
      <c r="DA7" s="213">
        <v>107</v>
      </c>
      <c r="DB7" s="213">
        <v>107</v>
      </c>
      <c r="DC7" s="213">
        <v>107</v>
      </c>
      <c r="DD7" s="213" t="s">
        <v>710</v>
      </c>
      <c r="DE7" s="213" t="s">
        <v>742</v>
      </c>
      <c r="DF7" s="213" t="s">
        <v>743</v>
      </c>
      <c r="DG7" s="213">
        <v>0</v>
      </c>
      <c r="DH7" s="213">
        <v>0</v>
      </c>
      <c r="DI7" s="213">
        <v>0</v>
      </c>
      <c r="DJ7" s="213" t="s">
        <v>249</v>
      </c>
      <c r="DK7" s="213">
        <v>69.400000000000006</v>
      </c>
      <c r="DL7" s="213">
        <v>51.4</v>
      </c>
      <c r="DM7" s="213" t="s">
        <v>744</v>
      </c>
      <c r="DN7" s="213" t="s">
        <v>743</v>
      </c>
      <c r="DO7" s="213">
        <v>0</v>
      </c>
      <c r="DP7" s="213">
        <v>0</v>
      </c>
      <c r="DQ7" s="213">
        <v>0</v>
      </c>
      <c r="DR7" s="213" t="s">
        <v>249</v>
      </c>
      <c r="DU7" s="213" t="s">
        <v>745</v>
      </c>
      <c r="DV7" s="213" t="s">
        <v>743</v>
      </c>
      <c r="DW7" s="213">
        <v>0</v>
      </c>
      <c r="DX7" s="213">
        <v>0</v>
      </c>
      <c r="DY7" s="213">
        <v>0</v>
      </c>
      <c r="DZ7" s="213" t="s">
        <v>249</v>
      </c>
      <c r="EC7" s="213" t="s">
        <v>746</v>
      </c>
      <c r="ED7" s="213" t="s">
        <v>743</v>
      </c>
      <c r="EE7" s="213">
        <v>0</v>
      </c>
      <c r="EF7" s="213">
        <v>0</v>
      </c>
      <c r="EG7" s="213">
        <v>0</v>
      </c>
      <c r="EH7" s="213" t="s">
        <v>249</v>
      </c>
      <c r="EK7" s="213" t="s">
        <v>747</v>
      </c>
      <c r="EL7" s="213" t="s">
        <v>743</v>
      </c>
      <c r="EM7" s="213">
        <v>0</v>
      </c>
      <c r="EN7" s="213">
        <v>0</v>
      </c>
      <c r="EO7" s="213">
        <v>0</v>
      </c>
      <c r="EP7" s="213" t="s">
        <v>249</v>
      </c>
      <c r="ES7" s="213" t="s">
        <v>748</v>
      </c>
      <c r="ET7" s="213" t="s">
        <v>743</v>
      </c>
      <c r="EU7" s="213">
        <v>0</v>
      </c>
      <c r="EV7" s="213">
        <v>0</v>
      </c>
      <c r="EW7" s="213">
        <v>0</v>
      </c>
      <c r="EX7" s="213" t="s">
        <v>249</v>
      </c>
      <c r="EY7" s="213">
        <v>70.099999999999994</v>
      </c>
      <c r="EZ7" s="213">
        <v>46.1</v>
      </c>
      <c r="FA7" s="213" t="s">
        <v>749</v>
      </c>
      <c r="FB7" s="213" t="s">
        <v>743</v>
      </c>
      <c r="FC7" s="213">
        <v>0</v>
      </c>
      <c r="FD7" s="213">
        <v>0</v>
      </c>
      <c r="FE7" s="213">
        <v>0</v>
      </c>
      <c r="FF7" s="213" t="s">
        <v>249</v>
      </c>
      <c r="FI7" s="213" t="s">
        <v>750</v>
      </c>
      <c r="FJ7" s="213" t="s">
        <v>743</v>
      </c>
      <c r="FK7" s="213">
        <v>0</v>
      </c>
      <c r="FL7" s="213">
        <v>0</v>
      </c>
      <c r="FM7" s="213">
        <v>0</v>
      </c>
      <c r="FN7" s="213" t="s">
        <v>249</v>
      </c>
      <c r="FO7" s="213">
        <v>73.599999999999994</v>
      </c>
      <c r="FP7" s="213">
        <v>140.5</v>
      </c>
      <c r="FQ7" s="213" t="s">
        <v>751</v>
      </c>
      <c r="FR7" s="213" t="s">
        <v>743</v>
      </c>
      <c r="FS7" s="213">
        <v>0</v>
      </c>
      <c r="FT7" s="213">
        <v>0</v>
      </c>
      <c r="FU7" s="213">
        <v>0</v>
      </c>
      <c r="FV7" s="213" t="s">
        <v>249</v>
      </c>
      <c r="FY7" s="213">
        <v>15.5</v>
      </c>
      <c r="FZ7" s="213">
        <v>-9.3000000000000007</v>
      </c>
      <c r="GF7" s="213" t="s">
        <v>752</v>
      </c>
    </row>
    <row r="8" spans="1:188" s="213" customFormat="1" x14ac:dyDescent="0.15">
      <c r="A8" s="213" t="s">
        <v>654</v>
      </c>
      <c r="B8" s="213">
        <v>4</v>
      </c>
      <c r="C8" s="213" t="s">
        <v>810</v>
      </c>
      <c r="D8" s="213">
        <v>614332207</v>
      </c>
      <c r="E8" s="213">
        <v>92303</v>
      </c>
      <c r="F8" s="213" t="s">
        <v>795</v>
      </c>
      <c r="G8" s="213">
        <v>839032</v>
      </c>
      <c r="H8" s="213">
        <v>210024182</v>
      </c>
      <c r="I8" s="213">
        <v>6.8</v>
      </c>
      <c r="J8" s="213" t="s">
        <v>811</v>
      </c>
      <c r="K8" s="213" t="s">
        <v>727</v>
      </c>
      <c r="L8" s="213" t="s">
        <v>797</v>
      </c>
      <c r="M8" s="213" t="s">
        <v>728</v>
      </c>
      <c r="N8" s="213" t="s">
        <v>728</v>
      </c>
      <c r="O8" s="213" t="s">
        <v>729</v>
      </c>
      <c r="P8" s="213" t="s">
        <v>249</v>
      </c>
      <c r="Q8" s="213">
        <v>25</v>
      </c>
      <c r="R8" s="213">
        <v>141</v>
      </c>
      <c r="S8" s="213" t="s">
        <v>249</v>
      </c>
      <c r="T8" s="213">
        <v>-9999</v>
      </c>
      <c r="U8" s="213">
        <v>168</v>
      </c>
      <c r="V8" s="213">
        <v>359</v>
      </c>
      <c r="W8" s="213">
        <v>165</v>
      </c>
      <c r="X8" s="213" t="s">
        <v>710</v>
      </c>
      <c r="Y8" s="213">
        <v>0</v>
      </c>
      <c r="Z8" s="213">
        <v>40</v>
      </c>
      <c r="AA8" s="213" t="s">
        <v>730</v>
      </c>
      <c r="AB8" s="213" t="s">
        <v>731</v>
      </c>
      <c r="AC8" s="213" t="s">
        <v>729</v>
      </c>
      <c r="AD8" s="213" t="s">
        <v>249</v>
      </c>
      <c r="AE8" s="213">
        <v>26.8</v>
      </c>
      <c r="AF8" s="213">
        <v>123</v>
      </c>
      <c r="AG8" s="213" t="s">
        <v>249</v>
      </c>
      <c r="AH8" s="213">
        <v>-9999</v>
      </c>
      <c r="AI8" s="213">
        <v>157</v>
      </c>
      <c r="AJ8" s="213">
        <v>372</v>
      </c>
      <c r="AK8" s="213">
        <v>156</v>
      </c>
      <c r="AL8" s="213" t="s">
        <v>710</v>
      </c>
      <c r="AM8" s="213">
        <v>0</v>
      </c>
      <c r="AN8" s="213">
        <v>40</v>
      </c>
      <c r="AO8" s="213" t="s">
        <v>733</v>
      </c>
      <c r="AP8" s="213" t="s">
        <v>734</v>
      </c>
      <c r="AQ8" s="213">
        <v>1</v>
      </c>
      <c r="AR8" s="213" t="s">
        <v>798</v>
      </c>
      <c r="AS8" s="213">
        <v>24.6</v>
      </c>
      <c r="AT8" s="213">
        <v>416</v>
      </c>
      <c r="AU8" s="213" t="s">
        <v>710</v>
      </c>
      <c r="AV8" s="213">
        <v>-9999</v>
      </c>
      <c r="AW8" s="213">
        <v>188</v>
      </c>
      <c r="AX8" s="213">
        <v>462</v>
      </c>
      <c r="AY8" s="213">
        <v>187</v>
      </c>
      <c r="AZ8" s="213" t="s">
        <v>710</v>
      </c>
      <c r="BA8" s="213">
        <v>0</v>
      </c>
      <c r="BB8" s="213">
        <v>40</v>
      </c>
      <c r="BC8" s="213" t="s">
        <v>736</v>
      </c>
      <c r="BD8" s="213" t="s">
        <v>734</v>
      </c>
      <c r="BE8" s="213">
        <v>2</v>
      </c>
      <c r="BF8" s="213" t="s">
        <v>798</v>
      </c>
      <c r="BG8" s="213">
        <v>26.1</v>
      </c>
      <c r="BH8" s="213">
        <v>166</v>
      </c>
      <c r="BI8" s="213" t="s">
        <v>710</v>
      </c>
      <c r="BJ8" s="213">
        <v>-9999</v>
      </c>
      <c r="BK8" s="213">
        <v>101</v>
      </c>
      <c r="BL8" s="213">
        <v>304</v>
      </c>
      <c r="BM8" s="213">
        <v>99</v>
      </c>
      <c r="BN8" s="213" t="s">
        <v>710</v>
      </c>
      <c r="BO8" s="213">
        <v>0</v>
      </c>
      <c r="BP8" s="213">
        <v>40</v>
      </c>
      <c r="BQ8" s="213" t="s">
        <v>737</v>
      </c>
      <c r="BR8" s="213" t="s">
        <v>734</v>
      </c>
      <c r="BS8" s="213">
        <v>3</v>
      </c>
      <c r="BT8" s="213" t="s">
        <v>799</v>
      </c>
      <c r="BU8" s="213">
        <v>0</v>
      </c>
      <c r="BV8" s="213">
        <v>35</v>
      </c>
      <c r="BW8" s="213" t="s">
        <v>249</v>
      </c>
      <c r="BX8" s="213">
        <v>-9999</v>
      </c>
      <c r="BY8" s="213">
        <v>153</v>
      </c>
      <c r="BZ8" s="213">
        <v>357</v>
      </c>
      <c r="CA8" s="213">
        <v>152</v>
      </c>
      <c r="CB8" s="213" t="s">
        <v>710</v>
      </c>
      <c r="CC8" s="213">
        <v>0</v>
      </c>
      <c r="CD8" s="213">
        <v>40</v>
      </c>
      <c r="CE8" s="213" t="s">
        <v>738</v>
      </c>
      <c r="CF8" s="213" t="s">
        <v>734</v>
      </c>
      <c r="CG8" s="213">
        <v>4</v>
      </c>
      <c r="CH8" s="213" t="s">
        <v>798</v>
      </c>
      <c r="CI8" s="213">
        <v>23.2</v>
      </c>
      <c r="CJ8" s="213">
        <v>386</v>
      </c>
      <c r="CK8" s="213" t="s">
        <v>710</v>
      </c>
      <c r="CL8" s="213">
        <v>-9999</v>
      </c>
      <c r="CM8" s="213">
        <v>126</v>
      </c>
      <c r="CN8" s="213">
        <v>318</v>
      </c>
      <c r="CO8" s="213">
        <v>123</v>
      </c>
      <c r="CP8" s="213" t="s">
        <v>710</v>
      </c>
      <c r="CQ8" s="213">
        <v>0</v>
      </c>
      <c r="CR8" s="213">
        <v>40</v>
      </c>
      <c r="CS8" s="213" t="s">
        <v>739</v>
      </c>
      <c r="CT8" s="213" t="s">
        <v>740</v>
      </c>
      <c r="CU8" s="213">
        <v>108</v>
      </c>
      <c r="CV8" s="213">
        <v>107</v>
      </c>
      <c r="CW8" s="213">
        <v>107</v>
      </c>
      <c r="CX8" s="213" t="s">
        <v>710</v>
      </c>
      <c r="CY8" s="213" t="s">
        <v>741</v>
      </c>
      <c r="CZ8" s="213" t="s">
        <v>740</v>
      </c>
      <c r="DA8" s="213">
        <v>89</v>
      </c>
      <c r="DB8" s="213">
        <v>89</v>
      </c>
      <c r="DC8" s="213">
        <v>89</v>
      </c>
      <c r="DD8" s="213" t="s">
        <v>710</v>
      </c>
      <c r="DE8" s="213" t="s">
        <v>742</v>
      </c>
      <c r="DF8" s="213" t="s">
        <v>743</v>
      </c>
      <c r="DG8" s="213">
        <v>0</v>
      </c>
      <c r="DH8" s="213">
        <v>0</v>
      </c>
      <c r="DI8" s="213">
        <v>0</v>
      </c>
      <c r="DJ8" s="213" t="s">
        <v>249</v>
      </c>
      <c r="DK8" s="213">
        <v>69.3</v>
      </c>
      <c r="DL8" s="213">
        <v>41.5</v>
      </c>
      <c r="DM8" s="213" t="s">
        <v>744</v>
      </c>
      <c r="DN8" s="213" t="s">
        <v>743</v>
      </c>
      <c r="DO8" s="213">
        <v>0</v>
      </c>
      <c r="DP8" s="213">
        <v>0</v>
      </c>
      <c r="DQ8" s="213">
        <v>0</v>
      </c>
      <c r="DR8" s="213" t="s">
        <v>249</v>
      </c>
      <c r="DU8" s="213" t="s">
        <v>745</v>
      </c>
      <c r="DV8" s="213" t="s">
        <v>743</v>
      </c>
      <c r="DW8" s="213">
        <v>0</v>
      </c>
      <c r="DX8" s="213">
        <v>0</v>
      </c>
      <c r="DY8" s="213">
        <v>0</v>
      </c>
      <c r="DZ8" s="213" t="s">
        <v>249</v>
      </c>
      <c r="EC8" s="213" t="s">
        <v>746</v>
      </c>
      <c r="ED8" s="213" t="s">
        <v>743</v>
      </c>
      <c r="EE8" s="213">
        <v>0</v>
      </c>
      <c r="EF8" s="213">
        <v>0</v>
      </c>
      <c r="EG8" s="213">
        <v>0</v>
      </c>
      <c r="EH8" s="213" t="s">
        <v>249</v>
      </c>
      <c r="EK8" s="213" t="s">
        <v>747</v>
      </c>
      <c r="EL8" s="213" t="s">
        <v>743</v>
      </c>
      <c r="EM8" s="213">
        <v>0</v>
      </c>
      <c r="EN8" s="213">
        <v>0</v>
      </c>
      <c r="EO8" s="213">
        <v>0</v>
      </c>
      <c r="EP8" s="213" t="s">
        <v>249</v>
      </c>
      <c r="ES8" s="213" t="s">
        <v>748</v>
      </c>
      <c r="ET8" s="213" t="s">
        <v>743</v>
      </c>
      <c r="EU8" s="213">
        <v>0</v>
      </c>
      <c r="EV8" s="213">
        <v>0</v>
      </c>
      <c r="EW8" s="213">
        <v>0</v>
      </c>
      <c r="EX8" s="213" t="s">
        <v>249</v>
      </c>
      <c r="EY8" s="213">
        <v>69.900000000000006</v>
      </c>
      <c r="EZ8" s="213">
        <v>42.8</v>
      </c>
      <c r="FA8" s="213" t="s">
        <v>749</v>
      </c>
      <c r="FB8" s="213" t="s">
        <v>743</v>
      </c>
      <c r="FC8" s="213">
        <v>0</v>
      </c>
      <c r="FD8" s="213">
        <v>0</v>
      </c>
      <c r="FE8" s="213">
        <v>0</v>
      </c>
      <c r="FF8" s="213" t="s">
        <v>249</v>
      </c>
      <c r="FI8" s="213" t="s">
        <v>750</v>
      </c>
      <c r="FJ8" s="213" t="s">
        <v>743</v>
      </c>
      <c r="FK8" s="213">
        <v>0</v>
      </c>
      <c r="FL8" s="213">
        <v>0</v>
      </c>
      <c r="FM8" s="213">
        <v>0</v>
      </c>
      <c r="FN8" s="213" t="s">
        <v>249</v>
      </c>
      <c r="FO8" s="213">
        <v>73.5</v>
      </c>
      <c r="FP8" s="213">
        <v>138.9</v>
      </c>
      <c r="FQ8" s="213" t="s">
        <v>751</v>
      </c>
      <c r="FR8" s="213" t="s">
        <v>743</v>
      </c>
      <c r="FS8" s="213">
        <v>0</v>
      </c>
      <c r="FT8" s="213">
        <v>0</v>
      </c>
      <c r="FU8" s="213">
        <v>0</v>
      </c>
      <c r="FV8" s="213" t="s">
        <v>249</v>
      </c>
      <c r="FY8" s="213">
        <v>20.3</v>
      </c>
      <c r="FZ8" s="213">
        <v>-7.3</v>
      </c>
      <c r="GF8" s="213" t="s">
        <v>752</v>
      </c>
    </row>
    <row r="9" spans="1:188" s="213" customFormat="1" x14ac:dyDescent="0.15">
      <c r="A9" s="213" t="s">
        <v>654</v>
      </c>
      <c r="B9" s="213">
        <v>4</v>
      </c>
      <c r="C9" s="213" t="s">
        <v>812</v>
      </c>
      <c r="D9" s="213">
        <v>614332209</v>
      </c>
      <c r="E9" s="213">
        <v>92303</v>
      </c>
      <c r="F9" s="213" t="s">
        <v>795</v>
      </c>
      <c r="G9" s="213">
        <v>839032</v>
      </c>
      <c r="H9" s="213">
        <v>210077690</v>
      </c>
      <c r="I9" s="213">
        <v>6.8</v>
      </c>
      <c r="J9" s="213" t="s">
        <v>813</v>
      </c>
      <c r="K9" s="213" t="s">
        <v>727</v>
      </c>
      <c r="L9" s="213" t="s">
        <v>797</v>
      </c>
      <c r="M9" s="213" t="s">
        <v>728</v>
      </c>
      <c r="N9" s="213" t="s">
        <v>728</v>
      </c>
      <c r="O9" s="213" t="s">
        <v>729</v>
      </c>
      <c r="P9" s="213" t="s">
        <v>249</v>
      </c>
      <c r="Q9" s="213">
        <v>23.2</v>
      </c>
      <c r="R9" s="213">
        <v>143</v>
      </c>
      <c r="S9" s="213" t="s">
        <v>249</v>
      </c>
      <c r="T9" s="213">
        <v>-9999</v>
      </c>
      <c r="U9" s="213">
        <v>151</v>
      </c>
      <c r="V9" s="213">
        <v>304</v>
      </c>
      <c r="W9" s="213">
        <v>143</v>
      </c>
      <c r="X9" s="213" t="s">
        <v>710</v>
      </c>
      <c r="Y9" s="213">
        <v>0</v>
      </c>
      <c r="Z9" s="213">
        <v>40</v>
      </c>
      <c r="AA9" s="213" t="s">
        <v>730</v>
      </c>
      <c r="AB9" s="213" t="s">
        <v>731</v>
      </c>
      <c r="AC9" s="213" t="s">
        <v>729</v>
      </c>
      <c r="AD9" s="213" t="s">
        <v>249</v>
      </c>
      <c r="AE9" s="213">
        <v>25.9</v>
      </c>
      <c r="AF9" s="213">
        <v>119</v>
      </c>
      <c r="AG9" s="213" t="s">
        <v>249</v>
      </c>
      <c r="AH9" s="213">
        <v>-9999</v>
      </c>
      <c r="AI9" s="213">
        <v>174</v>
      </c>
      <c r="AJ9" s="213">
        <v>405</v>
      </c>
      <c r="AK9" s="213">
        <v>169</v>
      </c>
      <c r="AL9" s="213" t="s">
        <v>710</v>
      </c>
      <c r="AM9" s="213">
        <v>0</v>
      </c>
      <c r="AN9" s="213">
        <v>40</v>
      </c>
      <c r="AO9" s="213" t="s">
        <v>733</v>
      </c>
      <c r="AP9" s="213" t="s">
        <v>734</v>
      </c>
      <c r="AQ9" s="213">
        <v>1</v>
      </c>
      <c r="AR9" s="213" t="s">
        <v>798</v>
      </c>
      <c r="AS9" s="213">
        <v>23</v>
      </c>
      <c r="AT9" s="213">
        <v>429</v>
      </c>
      <c r="AU9" s="213" t="s">
        <v>710</v>
      </c>
      <c r="AV9" s="213">
        <v>-9999</v>
      </c>
      <c r="AW9" s="213">
        <v>218</v>
      </c>
      <c r="AX9" s="213">
        <v>526</v>
      </c>
      <c r="AY9" s="213">
        <v>209</v>
      </c>
      <c r="AZ9" s="213" t="s">
        <v>710</v>
      </c>
      <c r="BA9" s="213">
        <v>0</v>
      </c>
      <c r="BB9" s="213">
        <v>40</v>
      </c>
      <c r="BC9" s="213" t="s">
        <v>736</v>
      </c>
      <c r="BD9" s="213" t="s">
        <v>734</v>
      </c>
      <c r="BE9" s="213">
        <v>2</v>
      </c>
      <c r="BF9" s="213" t="s">
        <v>798</v>
      </c>
      <c r="BG9" s="213">
        <v>24</v>
      </c>
      <c r="BH9" s="213">
        <v>193</v>
      </c>
      <c r="BI9" s="213" t="s">
        <v>710</v>
      </c>
      <c r="BJ9" s="213">
        <v>-9999</v>
      </c>
      <c r="BK9" s="213">
        <v>95</v>
      </c>
      <c r="BL9" s="213">
        <v>293</v>
      </c>
      <c r="BM9" s="213">
        <v>92</v>
      </c>
      <c r="BN9" s="213" t="s">
        <v>710</v>
      </c>
      <c r="BO9" s="213">
        <v>0</v>
      </c>
      <c r="BP9" s="213">
        <v>40</v>
      </c>
      <c r="BQ9" s="213" t="s">
        <v>737</v>
      </c>
      <c r="BR9" s="213" t="s">
        <v>734</v>
      </c>
      <c r="BS9" s="213">
        <v>3</v>
      </c>
      <c r="BT9" s="213" t="s">
        <v>799</v>
      </c>
      <c r="BU9" s="213">
        <v>0</v>
      </c>
      <c r="BV9" s="213">
        <v>29</v>
      </c>
      <c r="BW9" s="213" t="s">
        <v>249</v>
      </c>
      <c r="BX9" s="213">
        <v>-9999</v>
      </c>
      <c r="BY9" s="213">
        <v>158</v>
      </c>
      <c r="BZ9" s="213">
        <v>356</v>
      </c>
      <c r="CA9" s="213">
        <v>153</v>
      </c>
      <c r="CB9" s="213" t="s">
        <v>710</v>
      </c>
      <c r="CC9" s="213">
        <v>0</v>
      </c>
      <c r="CD9" s="213">
        <v>40</v>
      </c>
      <c r="CE9" s="213" t="s">
        <v>738</v>
      </c>
      <c r="CF9" s="213" t="s">
        <v>734</v>
      </c>
      <c r="CG9" s="213">
        <v>4</v>
      </c>
      <c r="CH9" s="213" t="s">
        <v>798</v>
      </c>
      <c r="CI9" s="213">
        <v>21.6</v>
      </c>
      <c r="CJ9" s="213">
        <v>439</v>
      </c>
      <c r="CK9" s="213" t="s">
        <v>710</v>
      </c>
      <c r="CL9" s="213">
        <v>-9999</v>
      </c>
      <c r="CM9" s="213">
        <v>121</v>
      </c>
      <c r="CN9" s="213">
        <v>321</v>
      </c>
      <c r="CO9" s="213">
        <v>116</v>
      </c>
      <c r="CP9" s="213" t="s">
        <v>710</v>
      </c>
      <c r="CQ9" s="213">
        <v>0</v>
      </c>
      <c r="CR9" s="213">
        <v>40</v>
      </c>
      <c r="CS9" s="213" t="s">
        <v>739</v>
      </c>
      <c r="CT9" s="213" t="s">
        <v>740</v>
      </c>
      <c r="CU9" s="213">
        <v>102</v>
      </c>
      <c r="CV9" s="213">
        <v>101</v>
      </c>
      <c r="CW9" s="213">
        <v>101</v>
      </c>
      <c r="CX9" s="213" t="s">
        <v>710</v>
      </c>
      <c r="CY9" s="213" t="s">
        <v>741</v>
      </c>
      <c r="CZ9" s="213" t="s">
        <v>740</v>
      </c>
      <c r="DA9" s="213">
        <v>107</v>
      </c>
      <c r="DB9" s="213">
        <v>106</v>
      </c>
      <c r="DC9" s="213">
        <v>106</v>
      </c>
      <c r="DD9" s="213" t="s">
        <v>710</v>
      </c>
      <c r="DE9" s="213" t="s">
        <v>742</v>
      </c>
      <c r="DF9" s="213" t="s">
        <v>743</v>
      </c>
      <c r="DG9" s="213">
        <v>0</v>
      </c>
      <c r="DH9" s="213">
        <v>0</v>
      </c>
      <c r="DI9" s="213">
        <v>0</v>
      </c>
      <c r="DJ9" s="213" t="s">
        <v>249</v>
      </c>
      <c r="DK9" s="213">
        <v>69.3</v>
      </c>
      <c r="DL9" s="213">
        <v>41.4</v>
      </c>
      <c r="DM9" s="213" t="s">
        <v>744</v>
      </c>
      <c r="DN9" s="213" t="s">
        <v>743</v>
      </c>
      <c r="DO9" s="213">
        <v>0</v>
      </c>
      <c r="DP9" s="213">
        <v>0</v>
      </c>
      <c r="DQ9" s="213">
        <v>0</v>
      </c>
      <c r="DR9" s="213" t="s">
        <v>249</v>
      </c>
      <c r="DU9" s="213" t="s">
        <v>745</v>
      </c>
      <c r="DV9" s="213" t="s">
        <v>743</v>
      </c>
      <c r="DW9" s="213">
        <v>0</v>
      </c>
      <c r="DX9" s="213">
        <v>0</v>
      </c>
      <c r="DY9" s="213">
        <v>0</v>
      </c>
      <c r="DZ9" s="213" t="s">
        <v>249</v>
      </c>
      <c r="EC9" s="213" t="s">
        <v>746</v>
      </c>
      <c r="ED9" s="213" t="s">
        <v>743</v>
      </c>
      <c r="EE9" s="213">
        <v>0</v>
      </c>
      <c r="EF9" s="213">
        <v>0</v>
      </c>
      <c r="EG9" s="213">
        <v>0</v>
      </c>
      <c r="EH9" s="213" t="s">
        <v>249</v>
      </c>
      <c r="EK9" s="213" t="s">
        <v>747</v>
      </c>
      <c r="EL9" s="213" t="s">
        <v>743</v>
      </c>
      <c r="EM9" s="213">
        <v>0</v>
      </c>
      <c r="EN9" s="213">
        <v>0</v>
      </c>
      <c r="EO9" s="213">
        <v>0</v>
      </c>
      <c r="EP9" s="213" t="s">
        <v>249</v>
      </c>
      <c r="ES9" s="213" t="s">
        <v>748</v>
      </c>
      <c r="ET9" s="213" t="s">
        <v>743</v>
      </c>
      <c r="EU9" s="213">
        <v>0</v>
      </c>
      <c r="EV9" s="213">
        <v>0</v>
      </c>
      <c r="EW9" s="213">
        <v>0</v>
      </c>
      <c r="EX9" s="213" t="s">
        <v>249</v>
      </c>
      <c r="EY9" s="213">
        <v>69.900000000000006</v>
      </c>
      <c r="EZ9" s="213">
        <v>45</v>
      </c>
      <c r="FA9" s="213" t="s">
        <v>749</v>
      </c>
      <c r="FB9" s="213" t="s">
        <v>743</v>
      </c>
      <c r="FC9" s="213">
        <v>0</v>
      </c>
      <c r="FD9" s="213">
        <v>0</v>
      </c>
      <c r="FE9" s="213">
        <v>0</v>
      </c>
      <c r="FF9" s="213" t="s">
        <v>249</v>
      </c>
      <c r="FI9" s="213" t="s">
        <v>750</v>
      </c>
      <c r="FJ9" s="213" t="s">
        <v>743</v>
      </c>
      <c r="FK9" s="213">
        <v>0</v>
      </c>
      <c r="FL9" s="213">
        <v>0</v>
      </c>
      <c r="FM9" s="213">
        <v>0</v>
      </c>
      <c r="FN9" s="213" t="s">
        <v>249</v>
      </c>
      <c r="FO9" s="213">
        <v>73.5</v>
      </c>
      <c r="FP9" s="213">
        <v>144.80000000000001</v>
      </c>
      <c r="FQ9" s="213" t="s">
        <v>751</v>
      </c>
      <c r="FR9" s="213" t="s">
        <v>743</v>
      </c>
      <c r="FS9" s="213">
        <v>0</v>
      </c>
      <c r="FT9" s="213">
        <v>0</v>
      </c>
      <c r="FU9" s="213">
        <v>0</v>
      </c>
      <c r="FV9" s="213" t="s">
        <v>249</v>
      </c>
      <c r="FY9" s="213">
        <v>22</v>
      </c>
      <c r="FZ9" s="213">
        <v>-11.9</v>
      </c>
      <c r="GF9" s="213" t="s">
        <v>752</v>
      </c>
    </row>
    <row r="10" spans="1:188" s="213" customFormat="1" x14ac:dyDescent="0.15">
      <c r="A10" s="213" t="s">
        <v>654</v>
      </c>
      <c r="B10" s="213">
        <v>4</v>
      </c>
      <c r="C10" s="213" t="s">
        <v>835</v>
      </c>
      <c r="D10" s="213">
        <v>614334666</v>
      </c>
      <c r="E10" s="213">
        <v>92303</v>
      </c>
      <c r="F10" s="213" t="s">
        <v>795</v>
      </c>
      <c r="G10" s="213">
        <v>839032</v>
      </c>
      <c r="H10" s="213">
        <v>681294</v>
      </c>
      <c r="I10" s="213">
        <v>6.8</v>
      </c>
      <c r="J10" s="213" t="s">
        <v>836</v>
      </c>
      <c r="K10" s="213" t="s">
        <v>727</v>
      </c>
      <c r="L10" s="213" t="s">
        <v>797</v>
      </c>
      <c r="M10" s="213" t="s">
        <v>728</v>
      </c>
      <c r="N10" s="213" t="s">
        <v>728</v>
      </c>
      <c r="O10" s="213" t="s">
        <v>729</v>
      </c>
      <c r="P10" s="213" t="s">
        <v>249</v>
      </c>
      <c r="Q10" s="213">
        <v>24.2</v>
      </c>
      <c r="R10" s="213">
        <v>160</v>
      </c>
      <c r="S10" s="213" t="s">
        <v>249</v>
      </c>
      <c r="T10" s="213">
        <v>-9999</v>
      </c>
      <c r="U10" s="213">
        <v>209</v>
      </c>
      <c r="V10" s="213">
        <v>464</v>
      </c>
      <c r="W10" s="213">
        <v>204</v>
      </c>
      <c r="X10" s="213" t="s">
        <v>710</v>
      </c>
      <c r="Y10" s="213">
        <v>0</v>
      </c>
      <c r="Z10" s="213">
        <v>40</v>
      </c>
      <c r="AA10" s="213" t="s">
        <v>730</v>
      </c>
      <c r="AB10" s="213" t="s">
        <v>731</v>
      </c>
      <c r="AC10" s="213" t="s">
        <v>729</v>
      </c>
      <c r="AD10" s="213" t="s">
        <v>249</v>
      </c>
      <c r="AE10" s="213">
        <v>25.8</v>
      </c>
      <c r="AF10" s="213">
        <v>125</v>
      </c>
      <c r="AG10" s="213" t="s">
        <v>249</v>
      </c>
      <c r="AH10" s="213">
        <v>-9999</v>
      </c>
      <c r="AI10" s="213">
        <v>215</v>
      </c>
      <c r="AJ10" s="213">
        <v>512</v>
      </c>
      <c r="AK10" s="213">
        <v>213</v>
      </c>
      <c r="AL10" s="213" t="s">
        <v>710</v>
      </c>
      <c r="AM10" s="213">
        <v>0</v>
      </c>
      <c r="AN10" s="213">
        <v>40</v>
      </c>
      <c r="AO10" s="213" t="s">
        <v>733</v>
      </c>
      <c r="AP10" s="213" t="s">
        <v>734</v>
      </c>
      <c r="AQ10" s="213">
        <v>1</v>
      </c>
      <c r="AR10" s="213" t="s">
        <v>798</v>
      </c>
      <c r="AS10" s="213">
        <v>23.8</v>
      </c>
      <c r="AT10" s="213">
        <v>410</v>
      </c>
      <c r="AU10" s="213" t="s">
        <v>710</v>
      </c>
      <c r="AV10" s="213">
        <v>-9999</v>
      </c>
      <c r="AW10" s="213">
        <v>296</v>
      </c>
      <c r="AX10" s="213">
        <v>731</v>
      </c>
      <c r="AY10" s="213">
        <v>293</v>
      </c>
      <c r="AZ10" s="213" t="s">
        <v>710</v>
      </c>
      <c r="BA10" s="213">
        <v>0</v>
      </c>
      <c r="BB10" s="213">
        <v>40</v>
      </c>
      <c r="BC10" s="213" t="s">
        <v>736</v>
      </c>
      <c r="BD10" s="213" t="s">
        <v>734</v>
      </c>
      <c r="BE10" s="213">
        <v>2</v>
      </c>
      <c r="BF10" s="213" t="s">
        <v>798</v>
      </c>
      <c r="BG10" s="213">
        <v>23.8</v>
      </c>
      <c r="BH10" s="213">
        <v>205</v>
      </c>
      <c r="BI10" s="213" t="s">
        <v>710</v>
      </c>
      <c r="BJ10" s="213">
        <v>-9999</v>
      </c>
      <c r="BK10" s="213">
        <v>142</v>
      </c>
      <c r="BL10" s="213">
        <v>431</v>
      </c>
      <c r="BM10" s="213">
        <v>139</v>
      </c>
      <c r="BN10" s="213" t="s">
        <v>710</v>
      </c>
      <c r="BO10" s="213">
        <v>0</v>
      </c>
      <c r="BP10" s="213">
        <v>40</v>
      </c>
      <c r="BQ10" s="213" t="s">
        <v>737</v>
      </c>
      <c r="BR10" s="213" t="s">
        <v>734</v>
      </c>
      <c r="BS10" s="213">
        <v>3</v>
      </c>
      <c r="BT10" s="213" t="s">
        <v>799</v>
      </c>
      <c r="BU10" s="213">
        <v>0</v>
      </c>
      <c r="BV10" s="213">
        <v>33</v>
      </c>
      <c r="BW10" s="213" t="s">
        <v>249</v>
      </c>
      <c r="BX10" s="213">
        <v>-9999</v>
      </c>
      <c r="BY10" s="213">
        <v>171</v>
      </c>
      <c r="BZ10" s="213">
        <v>423</v>
      </c>
      <c r="CA10" s="213">
        <v>170</v>
      </c>
      <c r="CB10" s="213" t="s">
        <v>710</v>
      </c>
      <c r="CC10" s="213">
        <v>0</v>
      </c>
      <c r="CD10" s="213">
        <v>40</v>
      </c>
      <c r="CE10" s="213" t="s">
        <v>738</v>
      </c>
      <c r="CF10" s="213" t="s">
        <v>734</v>
      </c>
      <c r="CG10" s="213">
        <v>4</v>
      </c>
      <c r="CH10" s="213" t="s">
        <v>798</v>
      </c>
      <c r="CI10" s="213">
        <v>22.1</v>
      </c>
      <c r="CJ10" s="213">
        <v>426</v>
      </c>
      <c r="CK10" s="213" t="s">
        <v>710</v>
      </c>
      <c r="CL10" s="213">
        <v>-9999</v>
      </c>
      <c r="CM10" s="213">
        <v>131</v>
      </c>
      <c r="CN10" s="213">
        <v>347</v>
      </c>
      <c r="CO10" s="213">
        <v>129</v>
      </c>
      <c r="CP10" s="213" t="s">
        <v>710</v>
      </c>
      <c r="CQ10" s="213">
        <v>0</v>
      </c>
      <c r="CR10" s="213">
        <v>40</v>
      </c>
      <c r="CS10" s="213" t="s">
        <v>739</v>
      </c>
      <c r="CT10" s="213" t="s">
        <v>740</v>
      </c>
      <c r="CU10" s="213">
        <v>115</v>
      </c>
      <c r="CV10" s="213">
        <v>115</v>
      </c>
      <c r="CW10" s="213">
        <v>114</v>
      </c>
      <c r="CX10" s="213" t="s">
        <v>710</v>
      </c>
      <c r="CY10" s="213" t="s">
        <v>741</v>
      </c>
      <c r="CZ10" s="213" t="s">
        <v>740</v>
      </c>
      <c r="DA10" s="213">
        <v>112</v>
      </c>
      <c r="DB10" s="213">
        <v>112</v>
      </c>
      <c r="DC10" s="213">
        <v>112</v>
      </c>
      <c r="DD10" s="213" t="s">
        <v>710</v>
      </c>
      <c r="DE10" s="213" t="s">
        <v>742</v>
      </c>
      <c r="DF10" s="213" t="s">
        <v>743</v>
      </c>
      <c r="DG10" s="213">
        <v>0</v>
      </c>
      <c r="DH10" s="213">
        <v>0</v>
      </c>
      <c r="DI10" s="213">
        <v>0</v>
      </c>
      <c r="DJ10" s="213" t="s">
        <v>249</v>
      </c>
      <c r="DK10" s="213">
        <v>69.3</v>
      </c>
      <c r="DL10" s="213">
        <v>53.4</v>
      </c>
      <c r="DM10" s="213" t="s">
        <v>744</v>
      </c>
      <c r="DN10" s="213" t="s">
        <v>743</v>
      </c>
      <c r="DO10" s="213">
        <v>0</v>
      </c>
      <c r="DP10" s="213">
        <v>0</v>
      </c>
      <c r="DQ10" s="213">
        <v>0</v>
      </c>
      <c r="DR10" s="213" t="s">
        <v>249</v>
      </c>
      <c r="DU10" s="213" t="s">
        <v>745</v>
      </c>
      <c r="DV10" s="213" t="s">
        <v>743</v>
      </c>
      <c r="DW10" s="213">
        <v>0</v>
      </c>
      <c r="DX10" s="213">
        <v>0</v>
      </c>
      <c r="DY10" s="213">
        <v>0</v>
      </c>
      <c r="DZ10" s="213" t="s">
        <v>249</v>
      </c>
      <c r="EC10" s="213" t="s">
        <v>746</v>
      </c>
      <c r="ED10" s="213" t="s">
        <v>743</v>
      </c>
      <c r="EE10" s="213">
        <v>0</v>
      </c>
      <c r="EF10" s="213">
        <v>0</v>
      </c>
      <c r="EG10" s="213">
        <v>0</v>
      </c>
      <c r="EH10" s="213" t="s">
        <v>249</v>
      </c>
      <c r="EK10" s="213" t="s">
        <v>747</v>
      </c>
      <c r="EL10" s="213" t="s">
        <v>743</v>
      </c>
      <c r="EM10" s="213">
        <v>0</v>
      </c>
      <c r="EN10" s="213">
        <v>0</v>
      </c>
      <c r="EO10" s="213">
        <v>0</v>
      </c>
      <c r="EP10" s="213" t="s">
        <v>249</v>
      </c>
      <c r="ES10" s="213" t="s">
        <v>748</v>
      </c>
      <c r="ET10" s="213" t="s">
        <v>743</v>
      </c>
      <c r="EU10" s="213">
        <v>0</v>
      </c>
      <c r="EV10" s="213">
        <v>0</v>
      </c>
      <c r="EW10" s="213">
        <v>0</v>
      </c>
      <c r="EX10" s="213" t="s">
        <v>249</v>
      </c>
      <c r="EY10" s="213">
        <v>70.099999999999994</v>
      </c>
      <c r="EZ10" s="213">
        <v>65.7</v>
      </c>
      <c r="FA10" s="213" t="s">
        <v>749</v>
      </c>
      <c r="FB10" s="213" t="s">
        <v>743</v>
      </c>
      <c r="FC10" s="213">
        <v>0</v>
      </c>
      <c r="FD10" s="213">
        <v>0</v>
      </c>
      <c r="FE10" s="213">
        <v>0</v>
      </c>
      <c r="FF10" s="213" t="s">
        <v>249</v>
      </c>
      <c r="FI10" s="213" t="s">
        <v>750</v>
      </c>
      <c r="FJ10" s="213" t="s">
        <v>743</v>
      </c>
      <c r="FK10" s="213">
        <v>0</v>
      </c>
      <c r="FL10" s="213">
        <v>0</v>
      </c>
      <c r="FM10" s="213">
        <v>0</v>
      </c>
      <c r="FN10" s="213" t="s">
        <v>249</v>
      </c>
      <c r="FO10" s="213">
        <v>73.599999999999994</v>
      </c>
      <c r="FP10" s="213">
        <v>167.1</v>
      </c>
      <c r="FQ10" s="213" t="s">
        <v>751</v>
      </c>
      <c r="FR10" s="213" t="s">
        <v>743</v>
      </c>
      <c r="FS10" s="213">
        <v>0</v>
      </c>
      <c r="FT10" s="213">
        <v>0</v>
      </c>
      <c r="FU10" s="213">
        <v>0</v>
      </c>
      <c r="FV10" s="213" t="s">
        <v>249</v>
      </c>
      <c r="FY10" s="213">
        <v>18.3</v>
      </c>
      <c r="FZ10" s="213">
        <v>-10.1</v>
      </c>
      <c r="GF10" s="213" t="s">
        <v>752</v>
      </c>
    </row>
    <row r="11" spans="1:188" s="283" customFormat="1" x14ac:dyDescent="0.15">
      <c r="A11" s="213" t="s">
        <v>654</v>
      </c>
      <c r="B11" s="213">
        <v>4</v>
      </c>
      <c r="C11" s="213" t="s">
        <v>837</v>
      </c>
      <c r="D11" s="213">
        <v>614334122</v>
      </c>
      <c r="E11" s="213">
        <v>92303</v>
      </c>
      <c r="F11" s="213" t="s">
        <v>795</v>
      </c>
      <c r="G11" s="213">
        <v>839032</v>
      </c>
      <c r="H11" s="213">
        <v>210058622</v>
      </c>
      <c r="I11" s="213">
        <v>6.8</v>
      </c>
      <c r="J11" s="213" t="s">
        <v>838</v>
      </c>
      <c r="K11" s="213" t="s">
        <v>1193</v>
      </c>
      <c r="L11" s="213" t="s">
        <v>1196</v>
      </c>
      <c r="M11" s="213" t="s">
        <v>728</v>
      </c>
      <c r="N11" s="213" t="s">
        <v>728</v>
      </c>
      <c r="O11" s="213" t="s">
        <v>729</v>
      </c>
      <c r="P11" s="213" t="s">
        <v>249</v>
      </c>
      <c r="Q11" s="213">
        <v>23.9</v>
      </c>
      <c r="R11" s="213">
        <v>161</v>
      </c>
      <c r="S11" s="213" t="s">
        <v>249</v>
      </c>
      <c r="T11" s="213">
        <v>-9999</v>
      </c>
      <c r="U11" s="213">
        <v>151</v>
      </c>
      <c r="V11" s="213">
        <v>330</v>
      </c>
      <c r="W11" s="213">
        <v>147</v>
      </c>
      <c r="X11" s="213" t="s">
        <v>710</v>
      </c>
      <c r="Y11" s="213">
        <v>0</v>
      </c>
      <c r="Z11" s="213">
        <v>40</v>
      </c>
      <c r="AA11" s="213" t="s">
        <v>730</v>
      </c>
      <c r="AB11" s="213" t="s">
        <v>731</v>
      </c>
      <c r="AC11" s="213" t="s">
        <v>729</v>
      </c>
      <c r="AD11" s="213" t="s">
        <v>249</v>
      </c>
      <c r="AE11" s="213">
        <v>25.7</v>
      </c>
      <c r="AF11" s="213">
        <v>110</v>
      </c>
      <c r="AG11" s="213" t="s">
        <v>249</v>
      </c>
      <c r="AH11" s="213">
        <v>-9999</v>
      </c>
      <c r="AI11" s="213">
        <v>185</v>
      </c>
      <c r="AJ11" s="213">
        <v>443</v>
      </c>
      <c r="AK11" s="213">
        <v>184</v>
      </c>
      <c r="AL11" s="213" t="s">
        <v>710</v>
      </c>
      <c r="AM11" s="213">
        <v>0</v>
      </c>
      <c r="AN11" s="213">
        <v>40</v>
      </c>
      <c r="AO11" s="213" t="s">
        <v>733</v>
      </c>
      <c r="AP11" s="213" t="s">
        <v>734</v>
      </c>
      <c r="AQ11" s="213">
        <v>1</v>
      </c>
      <c r="AR11" s="213" t="s">
        <v>798</v>
      </c>
      <c r="AS11" s="213">
        <v>22.9</v>
      </c>
      <c r="AT11" s="213">
        <v>442</v>
      </c>
      <c r="AU11" s="213" t="s">
        <v>710</v>
      </c>
      <c r="AV11" s="213">
        <v>-9999</v>
      </c>
      <c r="AW11" s="213">
        <v>243</v>
      </c>
      <c r="AX11" s="213">
        <v>595</v>
      </c>
      <c r="AY11" s="213">
        <v>240</v>
      </c>
      <c r="AZ11" s="213" t="s">
        <v>710</v>
      </c>
      <c r="BA11" s="213">
        <v>0</v>
      </c>
      <c r="BB11" s="213">
        <v>40</v>
      </c>
      <c r="BC11" s="213" t="s">
        <v>736</v>
      </c>
      <c r="BD11" s="213" t="s">
        <v>734</v>
      </c>
      <c r="BE11" s="213">
        <v>2</v>
      </c>
      <c r="BF11" s="213" t="s">
        <v>798</v>
      </c>
      <c r="BG11" s="213">
        <v>24.1</v>
      </c>
      <c r="BH11" s="213">
        <v>181</v>
      </c>
      <c r="BI11" s="213" t="s">
        <v>710</v>
      </c>
      <c r="BJ11" s="213">
        <v>-9999</v>
      </c>
      <c r="BK11" s="213">
        <v>115</v>
      </c>
      <c r="BL11" s="213">
        <v>351</v>
      </c>
      <c r="BM11" s="213">
        <v>113</v>
      </c>
      <c r="BN11" s="213" t="s">
        <v>710</v>
      </c>
      <c r="BO11" s="213">
        <v>0</v>
      </c>
      <c r="BP11" s="213">
        <v>40</v>
      </c>
      <c r="BQ11" s="213" t="s">
        <v>737</v>
      </c>
      <c r="BR11" s="213" t="s">
        <v>734</v>
      </c>
      <c r="BS11" s="213">
        <v>3</v>
      </c>
      <c r="BT11" s="213" t="s">
        <v>799</v>
      </c>
      <c r="BU11" s="213">
        <v>0</v>
      </c>
      <c r="BV11" s="213">
        <v>37</v>
      </c>
      <c r="BW11" s="213" t="s">
        <v>249</v>
      </c>
      <c r="BX11" s="213">
        <v>-9999</v>
      </c>
      <c r="BY11" s="213">
        <v>161</v>
      </c>
      <c r="BZ11" s="213">
        <v>379</v>
      </c>
      <c r="CA11" s="213">
        <v>160</v>
      </c>
      <c r="CB11" s="213" t="s">
        <v>710</v>
      </c>
      <c r="CC11" s="213">
        <v>0</v>
      </c>
      <c r="CD11" s="213">
        <v>40</v>
      </c>
      <c r="CE11" s="213" t="s">
        <v>738</v>
      </c>
      <c r="CF11" s="213" t="s">
        <v>734</v>
      </c>
      <c r="CG11" s="213">
        <v>4</v>
      </c>
      <c r="CH11" s="213" t="s">
        <v>798</v>
      </c>
      <c r="CI11" s="213">
        <v>21.7</v>
      </c>
      <c r="CJ11" s="213">
        <v>417</v>
      </c>
      <c r="CK11" s="213" t="s">
        <v>710</v>
      </c>
      <c r="CL11" s="213">
        <v>-9999</v>
      </c>
      <c r="CM11" s="213">
        <v>184</v>
      </c>
      <c r="CN11" s="213">
        <v>477</v>
      </c>
      <c r="CO11" s="213">
        <v>181</v>
      </c>
      <c r="CP11" s="213" t="s">
        <v>710</v>
      </c>
      <c r="CQ11" s="213">
        <v>0</v>
      </c>
      <c r="CR11" s="213">
        <v>40</v>
      </c>
      <c r="CS11" s="213" t="s">
        <v>739</v>
      </c>
      <c r="CT11" s="213" t="s">
        <v>740</v>
      </c>
      <c r="CU11" s="213">
        <v>118</v>
      </c>
      <c r="CV11" s="213">
        <v>117</v>
      </c>
      <c r="CW11" s="213">
        <v>117</v>
      </c>
      <c r="CX11" s="213" t="s">
        <v>710</v>
      </c>
      <c r="CY11" s="213" t="s">
        <v>741</v>
      </c>
      <c r="CZ11" s="213" t="s">
        <v>740</v>
      </c>
      <c r="DA11" s="213">
        <v>101</v>
      </c>
      <c r="DB11" s="213">
        <v>101</v>
      </c>
      <c r="DC11" s="213">
        <v>101</v>
      </c>
      <c r="DD11" s="213" t="s">
        <v>710</v>
      </c>
      <c r="DE11" s="213" t="s">
        <v>742</v>
      </c>
      <c r="DF11" s="213" t="s">
        <v>743</v>
      </c>
      <c r="DG11" s="213">
        <v>0</v>
      </c>
      <c r="DH11" s="213">
        <v>0</v>
      </c>
      <c r="DI11" s="213">
        <v>0</v>
      </c>
      <c r="DJ11" s="213" t="s">
        <v>249</v>
      </c>
      <c r="DK11" s="213">
        <v>69.3</v>
      </c>
      <c r="DL11" s="213">
        <v>50.9</v>
      </c>
      <c r="DM11" s="213" t="s">
        <v>744</v>
      </c>
      <c r="DN11" s="213" t="s">
        <v>743</v>
      </c>
      <c r="DO11" s="213">
        <v>0</v>
      </c>
      <c r="DP11" s="213">
        <v>0</v>
      </c>
      <c r="DQ11" s="213">
        <v>0</v>
      </c>
      <c r="DR11" s="213" t="s">
        <v>249</v>
      </c>
      <c r="DS11" s="213"/>
      <c r="DT11" s="213"/>
      <c r="DU11" s="213" t="s">
        <v>745</v>
      </c>
      <c r="DV11" s="213" t="s">
        <v>743</v>
      </c>
      <c r="DW11" s="213">
        <v>0</v>
      </c>
      <c r="DX11" s="213">
        <v>0</v>
      </c>
      <c r="DY11" s="213">
        <v>0</v>
      </c>
      <c r="DZ11" s="213" t="s">
        <v>249</v>
      </c>
      <c r="EA11" s="213"/>
      <c r="EB11" s="213"/>
      <c r="EC11" s="213" t="s">
        <v>746</v>
      </c>
      <c r="ED11" s="213" t="s">
        <v>743</v>
      </c>
      <c r="EE11" s="213">
        <v>0</v>
      </c>
      <c r="EF11" s="213">
        <v>0</v>
      </c>
      <c r="EG11" s="213">
        <v>0</v>
      </c>
      <c r="EH11" s="213" t="s">
        <v>249</v>
      </c>
      <c r="EI11" s="213"/>
      <c r="EJ11" s="213"/>
      <c r="EK11" s="213" t="s">
        <v>747</v>
      </c>
      <c r="EL11" s="213" t="s">
        <v>743</v>
      </c>
      <c r="EM11" s="213">
        <v>0</v>
      </c>
      <c r="EN11" s="213">
        <v>0</v>
      </c>
      <c r="EO11" s="213">
        <v>0</v>
      </c>
      <c r="EP11" s="213" t="s">
        <v>249</v>
      </c>
      <c r="ES11" s="283" t="s">
        <v>748</v>
      </c>
      <c r="ET11" s="283" t="s">
        <v>743</v>
      </c>
      <c r="EU11" s="283">
        <v>0</v>
      </c>
      <c r="EV11" s="283">
        <v>0</v>
      </c>
      <c r="EW11" s="283">
        <v>0</v>
      </c>
      <c r="EX11" s="283" t="s">
        <v>249</v>
      </c>
      <c r="EY11" s="283">
        <v>69.900000000000006</v>
      </c>
      <c r="EZ11" s="283">
        <v>44.3</v>
      </c>
      <c r="FA11" s="283" t="s">
        <v>749</v>
      </c>
      <c r="FB11" s="283" t="s">
        <v>743</v>
      </c>
      <c r="FC11" s="283">
        <v>0</v>
      </c>
      <c r="FD11" s="283">
        <v>0</v>
      </c>
      <c r="FE11" s="283">
        <v>0</v>
      </c>
      <c r="FF11" s="283" t="s">
        <v>249</v>
      </c>
      <c r="FI11" s="283" t="s">
        <v>750</v>
      </c>
      <c r="FJ11" s="283" t="s">
        <v>743</v>
      </c>
      <c r="FK11" s="283">
        <v>0</v>
      </c>
      <c r="FL11" s="283">
        <v>0</v>
      </c>
      <c r="FM11" s="283">
        <v>0</v>
      </c>
      <c r="FN11" s="283" t="s">
        <v>249</v>
      </c>
      <c r="FO11" s="283">
        <v>73.5</v>
      </c>
      <c r="FP11" s="283">
        <v>191.6</v>
      </c>
      <c r="FQ11" s="283" t="s">
        <v>751</v>
      </c>
      <c r="FR11" s="283" t="s">
        <v>743</v>
      </c>
      <c r="FS11" s="283">
        <v>0</v>
      </c>
      <c r="FT11" s="283">
        <v>0</v>
      </c>
      <c r="FU11" s="283">
        <v>0</v>
      </c>
      <c r="FV11" s="283" t="s">
        <v>249</v>
      </c>
      <c r="FY11" s="283">
        <v>17.399999999999999</v>
      </c>
      <c r="FZ11" s="283">
        <v>-9.8000000000000007</v>
      </c>
      <c r="GA11" s="283" t="s">
        <v>1197</v>
      </c>
      <c r="GF11" s="283" t="s">
        <v>752</v>
      </c>
    </row>
    <row r="12" spans="1:188" s="213" customFormat="1" x14ac:dyDescent="0.15">
      <c r="A12" s="213" t="s">
        <v>654</v>
      </c>
      <c r="B12" s="213">
        <v>4</v>
      </c>
      <c r="C12" s="213" t="s">
        <v>839</v>
      </c>
      <c r="D12" s="213">
        <v>614334946</v>
      </c>
      <c r="E12" s="213">
        <v>92303</v>
      </c>
      <c r="F12" s="213" t="s">
        <v>795</v>
      </c>
      <c r="G12" s="213">
        <v>839032</v>
      </c>
      <c r="H12" s="213">
        <v>652304</v>
      </c>
      <c r="I12" s="213">
        <v>6.8</v>
      </c>
      <c r="J12" s="213" t="s">
        <v>840</v>
      </c>
      <c r="K12" s="213" t="s">
        <v>727</v>
      </c>
      <c r="L12" s="213" t="s">
        <v>797</v>
      </c>
      <c r="M12" s="213" t="s">
        <v>728</v>
      </c>
      <c r="N12" s="213" t="s">
        <v>728</v>
      </c>
      <c r="O12" s="213" t="s">
        <v>729</v>
      </c>
      <c r="P12" s="213" t="s">
        <v>249</v>
      </c>
      <c r="Q12" s="213">
        <v>24.5</v>
      </c>
      <c r="R12" s="213">
        <v>145</v>
      </c>
      <c r="S12" s="213" t="s">
        <v>249</v>
      </c>
      <c r="T12" s="213">
        <v>-9999</v>
      </c>
      <c r="U12" s="213">
        <v>221</v>
      </c>
      <c r="V12" s="213">
        <v>484</v>
      </c>
      <c r="W12" s="213">
        <v>216</v>
      </c>
      <c r="X12" s="213" t="s">
        <v>710</v>
      </c>
      <c r="Y12" s="213">
        <v>0</v>
      </c>
      <c r="Z12" s="213">
        <v>40</v>
      </c>
      <c r="AA12" s="213" t="s">
        <v>730</v>
      </c>
      <c r="AB12" s="213" t="s">
        <v>731</v>
      </c>
      <c r="AC12" s="213" t="s">
        <v>729</v>
      </c>
      <c r="AD12" s="213" t="s">
        <v>249</v>
      </c>
      <c r="AE12" s="213">
        <v>25.5</v>
      </c>
      <c r="AF12" s="213">
        <v>118</v>
      </c>
      <c r="AG12" s="213" t="s">
        <v>249</v>
      </c>
      <c r="AH12" s="213">
        <v>-9999</v>
      </c>
      <c r="AI12" s="213">
        <v>203</v>
      </c>
      <c r="AJ12" s="213">
        <v>487</v>
      </c>
      <c r="AK12" s="213">
        <v>200</v>
      </c>
      <c r="AL12" s="213" t="s">
        <v>710</v>
      </c>
      <c r="AM12" s="213">
        <v>0</v>
      </c>
      <c r="AN12" s="213">
        <v>40</v>
      </c>
      <c r="AO12" s="213" t="s">
        <v>733</v>
      </c>
      <c r="AP12" s="213" t="s">
        <v>734</v>
      </c>
      <c r="AQ12" s="213">
        <v>1</v>
      </c>
      <c r="AR12" s="213" t="s">
        <v>798</v>
      </c>
      <c r="AS12" s="213">
        <v>23.6</v>
      </c>
      <c r="AT12" s="213">
        <v>398</v>
      </c>
      <c r="AU12" s="213" t="s">
        <v>710</v>
      </c>
      <c r="AV12" s="213">
        <v>-9999</v>
      </c>
      <c r="AW12" s="213">
        <v>264</v>
      </c>
      <c r="AX12" s="213">
        <v>656</v>
      </c>
      <c r="AY12" s="213">
        <v>260</v>
      </c>
      <c r="AZ12" s="213" t="s">
        <v>710</v>
      </c>
      <c r="BA12" s="213">
        <v>0</v>
      </c>
      <c r="BB12" s="213">
        <v>40</v>
      </c>
      <c r="BC12" s="213" t="s">
        <v>736</v>
      </c>
      <c r="BD12" s="213" t="s">
        <v>734</v>
      </c>
      <c r="BE12" s="213">
        <v>2</v>
      </c>
      <c r="BF12" s="213" t="s">
        <v>798</v>
      </c>
      <c r="BG12" s="213">
        <v>24.5</v>
      </c>
      <c r="BH12" s="213">
        <v>178</v>
      </c>
      <c r="BI12" s="213" t="s">
        <v>710</v>
      </c>
      <c r="BJ12" s="213">
        <v>-9999</v>
      </c>
      <c r="BK12" s="213">
        <v>119</v>
      </c>
      <c r="BL12" s="213">
        <v>376</v>
      </c>
      <c r="BM12" s="213">
        <v>117</v>
      </c>
      <c r="BN12" s="213" t="s">
        <v>710</v>
      </c>
      <c r="BO12" s="213">
        <v>0</v>
      </c>
      <c r="BP12" s="213">
        <v>40</v>
      </c>
      <c r="BQ12" s="213" t="s">
        <v>737</v>
      </c>
      <c r="BR12" s="213" t="s">
        <v>734</v>
      </c>
      <c r="BS12" s="213">
        <v>3</v>
      </c>
      <c r="BT12" s="213" t="s">
        <v>799</v>
      </c>
      <c r="BU12" s="213">
        <v>0</v>
      </c>
      <c r="BV12" s="213">
        <v>36</v>
      </c>
      <c r="BW12" s="213" t="s">
        <v>249</v>
      </c>
      <c r="BX12" s="213">
        <v>-9999</v>
      </c>
      <c r="BY12" s="213">
        <v>185</v>
      </c>
      <c r="BZ12" s="213">
        <v>444</v>
      </c>
      <c r="CA12" s="213">
        <v>185</v>
      </c>
      <c r="CB12" s="213" t="s">
        <v>710</v>
      </c>
      <c r="CC12" s="213">
        <v>0</v>
      </c>
      <c r="CD12" s="213">
        <v>40</v>
      </c>
      <c r="CE12" s="213" t="s">
        <v>738</v>
      </c>
      <c r="CF12" s="213" t="s">
        <v>734</v>
      </c>
      <c r="CG12" s="213">
        <v>4</v>
      </c>
      <c r="CH12" s="213" t="s">
        <v>798</v>
      </c>
      <c r="CI12" s="213">
        <v>22.1</v>
      </c>
      <c r="CJ12" s="213">
        <v>402</v>
      </c>
      <c r="CK12" s="213" t="s">
        <v>710</v>
      </c>
      <c r="CL12" s="213">
        <v>-9999</v>
      </c>
      <c r="CM12" s="213">
        <v>132</v>
      </c>
      <c r="CN12" s="213">
        <v>348</v>
      </c>
      <c r="CO12" s="213">
        <v>130</v>
      </c>
      <c r="CP12" s="213" t="s">
        <v>710</v>
      </c>
      <c r="CQ12" s="213">
        <v>0</v>
      </c>
      <c r="CR12" s="213">
        <v>40</v>
      </c>
      <c r="CS12" s="213" t="s">
        <v>739</v>
      </c>
      <c r="CT12" s="213" t="s">
        <v>740</v>
      </c>
      <c r="CU12" s="213">
        <v>117</v>
      </c>
      <c r="CV12" s="213">
        <v>117</v>
      </c>
      <c r="CW12" s="213">
        <v>117</v>
      </c>
      <c r="CX12" s="213" t="s">
        <v>710</v>
      </c>
      <c r="CY12" s="213" t="s">
        <v>741</v>
      </c>
      <c r="CZ12" s="213" t="s">
        <v>740</v>
      </c>
      <c r="DA12" s="213">
        <v>117</v>
      </c>
      <c r="DB12" s="213">
        <v>117</v>
      </c>
      <c r="DC12" s="213">
        <v>116</v>
      </c>
      <c r="DD12" s="213" t="s">
        <v>710</v>
      </c>
      <c r="DE12" s="213" t="s">
        <v>742</v>
      </c>
      <c r="DF12" s="213" t="s">
        <v>743</v>
      </c>
      <c r="DG12" s="213">
        <v>0</v>
      </c>
      <c r="DH12" s="213">
        <v>0</v>
      </c>
      <c r="DI12" s="213">
        <v>0</v>
      </c>
      <c r="DJ12" s="213" t="s">
        <v>249</v>
      </c>
      <c r="DK12" s="213">
        <v>69.400000000000006</v>
      </c>
      <c r="DL12" s="213">
        <v>54.6</v>
      </c>
      <c r="DM12" s="213" t="s">
        <v>744</v>
      </c>
      <c r="DN12" s="213" t="s">
        <v>743</v>
      </c>
      <c r="DO12" s="213">
        <v>0</v>
      </c>
      <c r="DP12" s="213">
        <v>0</v>
      </c>
      <c r="DQ12" s="213">
        <v>0</v>
      </c>
      <c r="DR12" s="213" t="s">
        <v>249</v>
      </c>
      <c r="DU12" s="213" t="s">
        <v>745</v>
      </c>
      <c r="DV12" s="213" t="s">
        <v>743</v>
      </c>
      <c r="DW12" s="213">
        <v>0</v>
      </c>
      <c r="DX12" s="213">
        <v>0</v>
      </c>
      <c r="DY12" s="213">
        <v>0</v>
      </c>
      <c r="DZ12" s="213" t="s">
        <v>249</v>
      </c>
      <c r="EC12" s="213" t="s">
        <v>746</v>
      </c>
      <c r="ED12" s="213" t="s">
        <v>743</v>
      </c>
      <c r="EE12" s="213">
        <v>0</v>
      </c>
      <c r="EF12" s="213">
        <v>0</v>
      </c>
      <c r="EG12" s="213">
        <v>0</v>
      </c>
      <c r="EH12" s="213" t="s">
        <v>249</v>
      </c>
      <c r="EK12" s="213" t="s">
        <v>747</v>
      </c>
      <c r="EL12" s="213" t="s">
        <v>743</v>
      </c>
      <c r="EM12" s="213">
        <v>0</v>
      </c>
      <c r="EN12" s="213">
        <v>0</v>
      </c>
      <c r="EO12" s="213">
        <v>0</v>
      </c>
      <c r="EP12" s="213" t="s">
        <v>249</v>
      </c>
      <c r="ES12" s="213" t="s">
        <v>748</v>
      </c>
      <c r="ET12" s="213" t="s">
        <v>743</v>
      </c>
      <c r="EU12" s="213">
        <v>0</v>
      </c>
      <c r="EV12" s="213">
        <v>0</v>
      </c>
      <c r="EW12" s="213">
        <v>0</v>
      </c>
      <c r="EX12" s="213" t="s">
        <v>249</v>
      </c>
      <c r="EY12" s="213">
        <v>70.099999999999994</v>
      </c>
      <c r="EZ12" s="213">
        <v>50.7</v>
      </c>
      <c r="FA12" s="213" t="s">
        <v>749</v>
      </c>
      <c r="FB12" s="213" t="s">
        <v>743</v>
      </c>
      <c r="FC12" s="213">
        <v>0</v>
      </c>
      <c r="FD12" s="213">
        <v>0</v>
      </c>
      <c r="FE12" s="213">
        <v>0</v>
      </c>
      <c r="FF12" s="213" t="s">
        <v>249</v>
      </c>
      <c r="FI12" s="213" t="s">
        <v>750</v>
      </c>
      <c r="FJ12" s="213" t="s">
        <v>743</v>
      </c>
      <c r="FK12" s="213">
        <v>0</v>
      </c>
      <c r="FL12" s="213">
        <v>0</v>
      </c>
      <c r="FM12" s="213">
        <v>0</v>
      </c>
      <c r="FN12" s="213" t="s">
        <v>249</v>
      </c>
      <c r="FO12" s="213">
        <v>73.599999999999994</v>
      </c>
      <c r="FP12" s="213">
        <v>149.6</v>
      </c>
      <c r="FQ12" s="213" t="s">
        <v>751</v>
      </c>
      <c r="FR12" s="213" t="s">
        <v>743</v>
      </c>
      <c r="FS12" s="213">
        <v>0</v>
      </c>
      <c r="FT12" s="213">
        <v>0</v>
      </c>
      <c r="FU12" s="213">
        <v>0</v>
      </c>
      <c r="FV12" s="213" t="s">
        <v>249</v>
      </c>
      <c r="FY12" s="213">
        <v>19.7</v>
      </c>
      <c r="FZ12" s="213">
        <v>-9.6</v>
      </c>
      <c r="GF12" s="213" t="s">
        <v>752</v>
      </c>
    </row>
    <row r="13" spans="1:188" s="213" customFormat="1" x14ac:dyDescent="0.15">
      <c r="A13" s="213" t="s">
        <v>654</v>
      </c>
      <c r="B13" s="213">
        <v>4</v>
      </c>
      <c r="C13" s="213" t="s">
        <v>841</v>
      </c>
      <c r="D13" s="213">
        <v>614335244</v>
      </c>
      <c r="E13" s="213">
        <v>92303</v>
      </c>
      <c r="F13" s="213" t="s">
        <v>795</v>
      </c>
      <c r="G13" s="213">
        <v>839032</v>
      </c>
      <c r="H13" s="213">
        <v>653259</v>
      </c>
      <c r="I13" s="213">
        <v>6.8</v>
      </c>
      <c r="J13" s="213" t="s">
        <v>842</v>
      </c>
      <c r="K13" s="213" t="s">
        <v>727</v>
      </c>
      <c r="L13" s="213" t="s">
        <v>797</v>
      </c>
      <c r="M13" s="213" t="s">
        <v>728</v>
      </c>
      <c r="N13" s="213" t="s">
        <v>728</v>
      </c>
      <c r="O13" s="213" t="s">
        <v>729</v>
      </c>
      <c r="P13" s="213" t="s">
        <v>249</v>
      </c>
      <c r="Q13" s="213">
        <v>24.2</v>
      </c>
      <c r="R13" s="213">
        <v>162</v>
      </c>
      <c r="S13" s="213" t="s">
        <v>249</v>
      </c>
      <c r="T13" s="213">
        <v>-9999</v>
      </c>
      <c r="U13" s="213">
        <v>234</v>
      </c>
      <c r="V13" s="213">
        <v>503</v>
      </c>
      <c r="W13" s="213">
        <v>225</v>
      </c>
      <c r="X13" s="213" t="s">
        <v>710</v>
      </c>
      <c r="Y13" s="213">
        <v>0</v>
      </c>
      <c r="Z13" s="213">
        <v>40</v>
      </c>
      <c r="AA13" s="213" t="s">
        <v>730</v>
      </c>
      <c r="AB13" s="213" t="s">
        <v>731</v>
      </c>
      <c r="AC13" s="213" t="s">
        <v>729</v>
      </c>
      <c r="AD13" s="213" t="s">
        <v>249</v>
      </c>
      <c r="AE13" s="213">
        <v>24.9</v>
      </c>
      <c r="AF13" s="213">
        <v>130</v>
      </c>
      <c r="AG13" s="213" t="s">
        <v>249</v>
      </c>
      <c r="AH13" s="213">
        <v>-9999</v>
      </c>
      <c r="AI13" s="213">
        <v>204</v>
      </c>
      <c r="AJ13" s="213">
        <v>484</v>
      </c>
      <c r="AK13" s="213">
        <v>200</v>
      </c>
      <c r="AL13" s="213" t="s">
        <v>710</v>
      </c>
      <c r="AM13" s="213">
        <v>0</v>
      </c>
      <c r="AN13" s="213">
        <v>40</v>
      </c>
      <c r="AO13" s="213" t="s">
        <v>733</v>
      </c>
      <c r="AP13" s="213" t="s">
        <v>734</v>
      </c>
      <c r="AQ13" s="213">
        <v>1</v>
      </c>
      <c r="AR13" s="213" t="s">
        <v>798</v>
      </c>
      <c r="AS13" s="213">
        <v>23</v>
      </c>
      <c r="AT13" s="213">
        <v>444</v>
      </c>
      <c r="AU13" s="213" t="s">
        <v>710</v>
      </c>
      <c r="AV13" s="213">
        <v>-9999</v>
      </c>
      <c r="AW13" s="213">
        <v>244</v>
      </c>
      <c r="AX13" s="213">
        <v>603</v>
      </c>
      <c r="AY13" s="213">
        <v>240</v>
      </c>
      <c r="AZ13" s="213" t="s">
        <v>710</v>
      </c>
      <c r="BA13" s="213">
        <v>0</v>
      </c>
      <c r="BB13" s="213">
        <v>40</v>
      </c>
      <c r="BC13" s="213" t="s">
        <v>736</v>
      </c>
      <c r="BD13" s="213" t="s">
        <v>734</v>
      </c>
      <c r="BE13" s="213">
        <v>2</v>
      </c>
      <c r="BF13" s="213" t="s">
        <v>798</v>
      </c>
      <c r="BG13" s="213">
        <v>24.2</v>
      </c>
      <c r="BH13" s="213">
        <v>182</v>
      </c>
      <c r="BI13" s="213" t="s">
        <v>710</v>
      </c>
      <c r="BJ13" s="213">
        <v>-9999</v>
      </c>
      <c r="BK13" s="213">
        <v>126</v>
      </c>
      <c r="BL13" s="213">
        <v>375</v>
      </c>
      <c r="BM13" s="213">
        <v>124</v>
      </c>
      <c r="BN13" s="213" t="s">
        <v>710</v>
      </c>
      <c r="BO13" s="213">
        <v>0</v>
      </c>
      <c r="BP13" s="213">
        <v>40</v>
      </c>
      <c r="BQ13" s="213" t="s">
        <v>737</v>
      </c>
      <c r="BR13" s="213" t="s">
        <v>734</v>
      </c>
      <c r="BS13" s="213">
        <v>3</v>
      </c>
      <c r="BT13" s="213" t="s">
        <v>799</v>
      </c>
      <c r="BU13" s="213">
        <v>0</v>
      </c>
      <c r="BV13" s="213">
        <v>39</v>
      </c>
      <c r="BW13" s="213" t="s">
        <v>249</v>
      </c>
      <c r="BX13" s="213">
        <v>-9999</v>
      </c>
      <c r="BY13" s="213">
        <v>187</v>
      </c>
      <c r="BZ13" s="213">
        <v>444</v>
      </c>
      <c r="CA13" s="213">
        <v>186</v>
      </c>
      <c r="CB13" s="213" t="s">
        <v>710</v>
      </c>
      <c r="CC13" s="213">
        <v>0</v>
      </c>
      <c r="CD13" s="213">
        <v>40</v>
      </c>
      <c r="CE13" s="213" t="s">
        <v>738</v>
      </c>
      <c r="CF13" s="213" t="s">
        <v>734</v>
      </c>
      <c r="CG13" s="213">
        <v>4</v>
      </c>
      <c r="CH13" s="213" t="s">
        <v>798</v>
      </c>
      <c r="CI13" s="213">
        <v>21.7</v>
      </c>
      <c r="CJ13" s="213">
        <v>419</v>
      </c>
      <c r="CK13" s="213" t="s">
        <v>710</v>
      </c>
      <c r="CL13" s="213">
        <v>-9999</v>
      </c>
      <c r="CM13" s="213">
        <v>150</v>
      </c>
      <c r="CN13" s="213">
        <v>391</v>
      </c>
      <c r="CO13" s="213">
        <v>148</v>
      </c>
      <c r="CP13" s="213" t="s">
        <v>710</v>
      </c>
      <c r="CQ13" s="213">
        <v>0</v>
      </c>
      <c r="CR13" s="213">
        <v>40</v>
      </c>
      <c r="CS13" s="213" t="s">
        <v>739</v>
      </c>
      <c r="CT13" s="213" t="s">
        <v>740</v>
      </c>
      <c r="CU13" s="213">
        <v>123</v>
      </c>
      <c r="CV13" s="213">
        <v>122</v>
      </c>
      <c r="CW13" s="213">
        <v>122</v>
      </c>
      <c r="CX13" s="213" t="s">
        <v>710</v>
      </c>
      <c r="CY13" s="213" t="s">
        <v>741</v>
      </c>
      <c r="CZ13" s="213" t="s">
        <v>740</v>
      </c>
      <c r="DA13" s="213">
        <v>113</v>
      </c>
      <c r="DB13" s="213">
        <v>113</v>
      </c>
      <c r="DC13" s="213">
        <v>113</v>
      </c>
      <c r="DD13" s="213" t="s">
        <v>710</v>
      </c>
      <c r="DE13" s="213" t="s">
        <v>742</v>
      </c>
      <c r="DF13" s="213" t="s">
        <v>743</v>
      </c>
      <c r="DG13" s="213">
        <v>0</v>
      </c>
      <c r="DH13" s="213">
        <v>0</v>
      </c>
      <c r="DI13" s="213">
        <v>0</v>
      </c>
      <c r="DJ13" s="213" t="s">
        <v>249</v>
      </c>
      <c r="DK13" s="213">
        <v>69.3</v>
      </c>
      <c r="DL13" s="213">
        <v>50.9</v>
      </c>
      <c r="DM13" s="213" t="s">
        <v>744</v>
      </c>
      <c r="DN13" s="213" t="s">
        <v>743</v>
      </c>
      <c r="DO13" s="213">
        <v>0</v>
      </c>
      <c r="DP13" s="213">
        <v>0</v>
      </c>
      <c r="DQ13" s="213">
        <v>0</v>
      </c>
      <c r="DR13" s="213" t="s">
        <v>249</v>
      </c>
      <c r="DU13" s="213" t="s">
        <v>745</v>
      </c>
      <c r="DV13" s="213" t="s">
        <v>743</v>
      </c>
      <c r="DW13" s="213">
        <v>0</v>
      </c>
      <c r="DX13" s="213">
        <v>0</v>
      </c>
      <c r="DY13" s="213">
        <v>0</v>
      </c>
      <c r="DZ13" s="213" t="s">
        <v>249</v>
      </c>
      <c r="EC13" s="213" t="s">
        <v>746</v>
      </c>
      <c r="ED13" s="213" t="s">
        <v>743</v>
      </c>
      <c r="EE13" s="213">
        <v>0</v>
      </c>
      <c r="EF13" s="213">
        <v>0</v>
      </c>
      <c r="EG13" s="213">
        <v>0</v>
      </c>
      <c r="EH13" s="213" t="s">
        <v>249</v>
      </c>
      <c r="EK13" s="213" t="s">
        <v>747</v>
      </c>
      <c r="EL13" s="213" t="s">
        <v>743</v>
      </c>
      <c r="EM13" s="213">
        <v>0</v>
      </c>
      <c r="EN13" s="213">
        <v>0</v>
      </c>
      <c r="EO13" s="213">
        <v>0</v>
      </c>
      <c r="EP13" s="213" t="s">
        <v>249</v>
      </c>
      <c r="ES13" s="213" t="s">
        <v>748</v>
      </c>
      <c r="ET13" s="213" t="s">
        <v>743</v>
      </c>
      <c r="EU13" s="213">
        <v>0</v>
      </c>
      <c r="EV13" s="213">
        <v>0</v>
      </c>
      <c r="EW13" s="213">
        <v>0</v>
      </c>
      <c r="EX13" s="213" t="s">
        <v>249</v>
      </c>
      <c r="EY13" s="213">
        <v>70.099999999999994</v>
      </c>
      <c r="EZ13" s="213">
        <v>56.2</v>
      </c>
      <c r="FA13" s="213" t="s">
        <v>749</v>
      </c>
      <c r="FB13" s="213" t="s">
        <v>743</v>
      </c>
      <c r="FC13" s="213">
        <v>0</v>
      </c>
      <c r="FD13" s="213">
        <v>0</v>
      </c>
      <c r="FE13" s="213">
        <v>0</v>
      </c>
      <c r="FF13" s="213" t="s">
        <v>249</v>
      </c>
      <c r="FI13" s="213" t="s">
        <v>750</v>
      </c>
      <c r="FJ13" s="213" t="s">
        <v>743</v>
      </c>
      <c r="FK13" s="213">
        <v>0</v>
      </c>
      <c r="FL13" s="213">
        <v>0</v>
      </c>
      <c r="FM13" s="213">
        <v>0</v>
      </c>
      <c r="FN13" s="213" t="s">
        <v>249</v>
      </c>
      <c r="FO13" s="213">
        <v>73.599999999999994</v>
      </c>
      <c r="FP13" s="213">
        <v>179.2</v>
      </c>
      <c r="FQ13" s="213" t="s">
        <v>751</v>
      </c>
      <c r="FR13" s="213" t="s">
        <v>743</v>
      </c>
      <c r="FS13" s="213">
        <v>0</v>
      </c>
      <c r="FT13" s="213">
        <v>0</v>
      </c>
      <c r="FU13" s="213">
        <v>0</v>
      </c>
      <c r="FV13" s="213" t="s">
        <v>249</v>
      </c>
      <c r="FY13" s="213">
        <v>19.2</v>
      </c>
      <c r="FZ13" s="213">
        <v>-9</v>
      </c>
      <c r="GF13" s="213" t="s">
        <v>752</v>
      </c>
    </row>
    <row r="14" spans="1:188" s="213" customFormat="1" x14ac:dyDescent="0.15">
      <c r="A14" s="213" t="s">
        <v>654</v>
      </c>
      <c r="B14" s="213">
        <v>4</v>
      </c>
      <c r="C14" s="213" t="s">
        <v>843</v>
      </c>
      <c r="D14" s="213">
        <v>614333907</v>
      </c>
      <c r="E14" s="213">
        <v>92303</v>
      </c>
      <c r="F14" s="213" t="s">
        <v>795</v>
      </c>
      <c r="G14" s="213">
        <v>839032</v>
      </c>
      <c r="H14" s="213">
        <v>627453</v>
      </c>
      <c r="I14" s="213">
        <v>6.8</v>
      </c>
      <c r="J14" s="213" t="s">
        <v>844</v>
      </c>
      <c r="K14" s="213" t="s">
        <v>727</v>
      </c>
      <c r="L14" s="213" t="s">
        <v>797</v>
      </c>
      <c r="M14" s="213" t="s">
        <v>728</v>
      </c>
      <c r="N14" s="213" t="s">
        <v>728</v>
      </c>
      <c r="O14" s="213" t="s">
        <v>729</v>
      </c>
      <c r="P14" s="213" t="s">
        <v>249</v>
      </c>
      <c r="Q14" s="213">
        <v>25.2</v>
      </c>
      <c r="R14" s="213">
        <v>147</v>
      </c>
      <c r="S14" s="213" t="s">
        <v>249</v>
      </c>
      <c r="T14" s="213">
        <v>-9999</v>
      </c>
      <c r="U14" s="213">
        <v>248</v>
      </c>
      <c r="V14" s="213">
        <v>516</v>
      </c>
      <c r="W14" s="213">
        <v>243</v>
      </c>
      <c r="X14" s="213" t="s">
        <v>710</v>
      </c>
      <c r="Y14" s="213">
        <v>0</v>
      </c>
      <c r="Z14" s="213">
        <v>40</v>
      </c>
      <c r="AA14" s="213" t="s">
        <v>730</v>
      </c>
      <c r="AB14" s="213" t="s">
        <v>731</v>
      </c>
      <c r="AC14" s="213" t="s">
        <v>729</v>
      </c>
      <c r="AD14" s="213" t="s">
        <v>249</v>
      </c>
      <c r="AE14" s="213">
        <v>26.7</v>
      </c>
      <c r="AF14" s="213">
        <v>117</v>
      </c>
      <c r="AG14" s="213" t="s">
        <v>249</v>
      </c>
      <c r="AH14" s="213">
        <v>-9999</v>
      </c>
      <c r="AI14" s="213">
        <v>198</v>
      </c>
      <c r="AJ14" s="213">
        <v>468</v>
      </c>
      <c r="AK14" s="213">
        <v>196</v>
      </c>
      <c r="AL14" s="213" t="s">
        <v>710</v>
      </c>
      <c r="AM14" s="213">
        <v>0</v>
      </c>
      <c r="AN14" s="213">
        <v>40</v>
      </c>
      <c r="AO14" s="213" t="s">
        <v>733</v>
      </c>
      <c r="AP14" s="213" t="s">
        <v>734</v>
      </c>
      <c r="AQ14" s="213">
        <v>1</v>
      </c>
      <c r="AR14" s="213" t="s">
        <v>798</v>
      </c>
      <c r="AS14" s="213">
        <v>23.8</v>
      </c>
      <c r="AT14" s="213">
        <v>421</v>
      </c>
      <c r="AU14" s="213" t="s">
        <v>710</v>
      </c>
      <c r="AV14" s="213">
        <v>-9999</v>
      </c>
      <c r="AW14" s="213">
        <v>265</v>
      </c>
      <c r="AX14" s="213">
        <v>646</v>
      </c>
      <c r="AY14" s="213">
        <v>262</v>
      </c>
      <c r="AZ14" s="213" t="s">
        <v>710</v>
      </c>
      <c r="BA14" s="213">
        <v>0</v>
      </c>
      <c r="BB14" s="213">
        <v>40</v>
      </c>
      <c r="BC14" s="213" t="s">
        <v>736</v>
      </c>
      <c r="BD14" s="213" t="s">
        <v>734</v>
      </c>
      <c r="BE14" s="213">
        <v>2</v>
      </c>
      <c r="BF14" s="213" t="s">
        <v>798</v>
      </c>
      <c r="BG14" s="213">
        <v>24.9</v>
      </c>
      <c r="BH14" s="213">
        <v>179</v>
      </c>
      <c r="BI14" s="213" t="s">
        <v>710</v>
      </c>
      <c r="BJ14" s="213">
        <v>-9999</v>
      </c>
      <c r="BK14" s="213">
        <v>98</v>
      </c>
      <c r="BL14" s="213">
        <v>299</v>
      </c>
      <c r="BM14" s="213">
        <v>96</v>
      </c>
      <c r="BN14" s="213" t="s">
        <v>710</v>
      </c>
      <c r="BO14" s="213">
        <v>0</v>
      </c>
      <c r="BP14" s="213">
        <v>40</v>
      </c>
      <c r="BQ14" s="213" t="s">
        <v>737</v>
      </c>
      <c r="BR14" s="213" t="s">
        <v>734</v>
      </c>
      <c r="BS14" s="213">
        <v>3</v>
      </c>
      <c r="BT14" s="213" t="s">
        <v>799</v>
      </c>
      <c r="BU14" s="213">
        <v>0</v>
      </c>
      <c r="BV14" s="213">
        <v>32</v>
      </c>
      <c r="BW14" s="213" t="s">
        <v>249</v>
      </c>
      <c r="BX14" s="213">
        <v>-9999</v>
      </c>
      <c r="BY14" s="213">
        <v>169</v>
      </c>
      <c r="BZ14" s="213">
        <v>399</v>
      </c>
      <c r="CA14" s="213">
        <v>168</v>
      </c>
      <c r="CB14" s="213" t="s">
        <v>710</v>
      </c>
      <c r="CC14" s="213">
        <v>0</v>
      </c>
      <c r="CD14" s="213">
        <v>40</v>
      </c>
      <c r="CE14" s="213" t="s">
        <v>738</v>
      </c>
      <c r="CF14" s="213" t="s">
        <v>734</v>
      </c>
      <c r="CG14" s="213">
        <v>4</v>
      </c>
      <c r="CH14" s="213" t="s">
        <v>798</v>
      </c>
      <c r="CI14" s="213">
        <v>22.4</v>
      </c>
      <c r="CJ14" s="213">
        <v>415</v>
      </c>
      <c r="CK14" s="213" t="s">
        <v>710</v>
      </c>
      <c r="CL14" s="213">
        <v>-9999</v>
      </c>
      <c r="CM14" s="213">
        <v>129</v>
      </c>
      <c r="CN14" s="213">
        <v>334</v>
      </c>
      <c r="CO14" s="213">
        <v>128</v>
      </c>
      <c r="CP14" s="213" t="s">
        <v>710</v>
      </c>
      <c r="CQ14" s="213">
        <v>0</v>
      </c>
      <c r="CR14" s="213">
        <v>40</v>
      </c>
      <c r="CS14" s="213" t="s">
        <v>739</v>
      </c>
      <c r="CT14" s="213" t="s">
        <v>740</v>
      </c>
      <c r="CU14" s="213">
        <v>102</v>
      </c>
      <c r="CV14" s="213">
        <v>102</v>
      </c>
      <c r="CW14" s="213">
        <v>102</v>
      </c>
      <c r="CX14" s="213" t="s">
        <v>710</v>
      </c>
      <c r="CY14" s="213" t="s">
        <v>741</v>
      </c>
      <c r="CZ14" s="213" t="s">
        <v>740</v>
      </c>
      <c r="DA14" s="213">
        <v>102</v>
      </c>
      <c r="DB14" s="213">
        <v>101</v>
      </c>
      <c r="DC14" s="213">
        <v>101</v>
      </c>
      <c r="DD14" s="213" t="s">
        <v>710</v>
      </c>
      <c r="DE14" s="213" t="s">
        <v>742</v>
      </c>
      <c r="DF14" s="213" t="s">
        <v>743</v>
      </c>
      <c r="DG14" s="213">
        <v>0</v>
      </c>
      <c r="DH14" s="213">
        <v>0</v>
      </c>
      <c r="DI14" s="213">
        <v>0</v>
      </c>
      <c r="DJ14" s="213" t="s">
        <v>249</v>
      </c>
      <c r="DK14" s="213">
        <v>69.099999999999994</v>
      </c>
      <c r="DL14" s="213">
        <v>55.1</v>
      </c>
      <c r="DM14" s="213" t="s">
        <v>744</v>
      </c>
      <c r="DN14" s="213" t="s">
        <v>743</v>
      </c>
      <c r="DO14" s="213">
        <v>0</v>
      </c>
      <c r="DP14" s="213">
        <v>0</v>
      </c>
      <c r="DQ14" s="213">
        <v>0</v>
      </c>
      <c r="DR14" s="213" t="s">
        <v>249</v>
      </c>
      <c r="DU14" s="213" t="s">
        <v>745</v>
      </c>
      <c r="DV14" s="213" t="s">
        <v>743</v>
      </c>
      <c r="DW14" s="213">
        <v>0</v>
      </c>
      <c r="DX14" s="213">
        <v>0</v>
      </c>
      <c r="DY14" s="213">
        <v>0</v>
      </c>
      <c r="DZ14" s="213" t="s">
        <v>249</v>
      </c>
      <c r="EC14" s="213" t="s">
        <v>746</v>
      </c>
      <c r="ED14" s="213" t="s">
        <v>743</v>
      </c>
      <c r="EE14" s="213">
        <v>0</v>
      </c>
      <c r="EF14" s="213">
        <v>0</v>
      </c>
      <c r="EG14" s="213">
        <v>0</v>
      </c>
      <c r="EH14" s="213" t="s">
        <v>249</v>
      </c>
      <c r="EK14" s="213" t="s">
        <v>747</v>
      </c>
      <c r="EL14" s="213" t="s">
        <v>743</v>
      </c>
      <c r="EM14" s="213">
        <v>0</v>
      </c>
      <c r="EN14" s="213">
        <v>0</v>
      </c>
      <c r="EO14" s="213">
        <v>0</v>
      </c>
      <c r="EP14" s="213" t="s">
        <v>249</v>
      </c>
      <c r="ES14" s="213" t="s">
        <v>748</v>
      </c>
      <c r="ET14" s="213" t="s">
        <v>743</v>
      </c>
      <c r="EU14" s="213">
        <v>0</v>
      </c>
      <c r="EV14" s="213">
        <v>0</v>
      </c>
      <c r="EW14" s="213">
        <v>0</v>
      </c>
      <c r="EX14" s="213" t="s">
        <v>249</v>
      </c>
      <c r="EY14" s="213">
        <v>69.8</v>
      </c>
      <c r="EZ14" s="213">
        <v>42.5</v>
      </c>
      <c r="FA14" s="213" t="s">
        <v>749</v>
      </c>
      <c r="FB14" s="213" t="s">
        <v>743</v>
      </c>
      <c r="FC14" s="213">
        <v>0</v>
      </c>
      <c r="FD14" s="213">
        <v>0</v>
      </c>
      <c r="FE14" s="213">
        <v>0</v>
      </c>
      <c r="FF14" s="213" t="s">
        <v>249</v>
      </c>
      <c r="FI14" s="213" t="s">
        <v>750</v>
      </c>
      <c r="FJ14" s="213" t="s">
        <v>743</v>
      </c>
      <c r="FK14" s="213">
        <v>0</v>
      </c>
      <c r="FL14" s="213">
        <v>0</v>
      </c>
      <c r="FM14" s="213">
        <v>0</v>
      </c>
      <c r="FN14" s="213" t="s">
        <v>249</v>
      </c>
      <c r="FO14" s="213">
        <v>73.3</v>
      </c>
      <c r="FP14" s="213">
        <v>146.80000000000001</v>
      </c>
      <c r="FQ14" s="213" t="s">
        <v>751</v>
      </c>
      <c r="FR14" s="213" t="s">
        <v>743</v>
      </c>
      <c r="FS14" s="213">
        <v>0</v>
      </c>
      <c r="FT14" s="213">
        <v>0</v>
      </c>
      <c r="FU14" s="213">
        <v>0</v>
      </c>
      <c r="FV14" s="213" t="s">
        <v>249</v>
      </c>
      <c r="FY14" s="213">
        <v>15.8</v>
      </c>
      <c r="FZ14" s="213">
        <v>-9</v>
      </c>
      <c r="GF14" s="213" t="s">
        <v>752</v>
      </c>
    </row>
    <row r="15" spans="1:188" s="213" customFormat="1" x14ac:dyDescent="0.15">
      <c r="A15" s="213" t="s">
        <v>654</v>
      </c>
      <c r="B15" s="213">
        <v>4</v>
      </c>
      <c r="C15" s="213" t="s">
        <v>845</v>
      </c>
      <c r="D15" s="213">
        <v>614334807</v>
      </c>
      <c r="E15" s="213">
        <v>92303</v>
      </c>
      <c r="F15" s="213" t="s">
        <v>795</v>
      </c>
      <c r="G15" s="213">
        <v>839032</v>
      </c>
      <c r="H15" s="213">
        <v>782120</v>
      </c>
      <c r="I15" s="213">
        <v>6.8</v>
      </c>
      <c r="J15" s="213" t="s">
        <v>846</v>
      </c>
      <c r="K15" s="213" t="s">
        <v>727</v>
      </c>
      <c r="L15" s="213" t="s">
        <v>797</v>
      </c>
      <c r="M15" s="213" t="s">
        <v>728</v>
      </c>
      <c r="N15" s="213" t="s">
        <v>728</v>
      </c>
      <c r="O15" s="213" t="s">
        <v>729</v>
      </c>
      <c r="P15" s="213" t="s">
        <v>249</v>
      </c>
      <c r="Q15" s="213">
        <v>24.2</v>
      </c>
      <c r="R15" s="213">
        <v>150</v>
      </c>
      <c r="S15" s="213" t="s">
        <v>249</v>
      </c>
      <c r="T15" s="213">
        <v>-9999</v>
      </c>
      <c r="U15" s="213">
        <v>205</v>
      </c>
      <c r="V15" s="213">
        <v>410</v>
      </c>
      <c r="W15" s="213">
        <v>199</v>
      </c>
      <c r="X15" s="213" t="s">
        <v>710</v>
      </c>
      <c r="Y15" s="213">
        <v>0</v>
      </c>
      <c r="Z15" s="213">
        <v>40</v>
      </c>
      <c r="AA15" s="213" t="s">
        <v>730</v>
      </c>
      <c r="AB15" s="213" t="s">
        <v>731</v>
      </c>
      <c r="AC15" s="213" t="s">
        <v>729</v>
      </c>
      <c r="AD15" s="213" t="s">
        <v>249</v>
      </c>
      <c r="AE15" s="213">
        <v>25.4</v>
      </c>
      <c r="AF15" s="213">
        <v>116</v>
      </c>
      <c r="AG15" s="213" t="s">
        <v>249</v>
      </c>
      <c r="AH15" s="213">
        <v>-9999</v>
      </c>
      <c r="AI15" s="213">
        <v>199</v>
      </c>
      <c r="AJ15" s="213">
        <v>468</v>
      </c>
      <c r="AK15" s="213">
        <v>197</v>
      </c>
      <c r="AL15" s="213" t="s">
        <v>710</v>
      </c>
      <c r="AM15" s="213">
        <v>0</v>
      </c>
      <c r="AN15" s="213">
        <v>40</v>
      </c>
      <c r="AO15" s="213" t="s">
        <v>733</v>
      </c>
      <c r="AP15" s="213" t="s">
        <v>734</v>
      </c>
      <c r="AQ15" s="213">
        <v>1</v>
      </c>
      <c r="AR15" s="213" t="s">
        <v>798</v>
      </c>
      <c r="AS15" s="213">
        <v>23</v>
      </c>
      <c r="AT15" s="213">
        <v>407</v>
      </c>
      <c r="AU15" s="213" t="s">
        <v>710</v>
      </c>
      <c r="AV15" s="213">
        <v>-9999</v>
      </c>
      <c r="AW15" s="213">
        <v>280</v>
      </c>
      <c r="AX15" s="213">
        <v>680</v>
      </c>
      <c r="AY15" s="213">
        <v>278</v>
      </c>
      <c r="AZ15" s="213" t="s">
        <v>710</v>
      </c>
      <c r="BA15" s="213">
        <v>0</v>
      </c>
      <c r="BB15" s="213">
        <v>40</v>
      </c>
      <c r="BC15" s="213" t="s">
        <v>736</v>
      </c>
      <c r="BD15" s="213" t="s">
        <v>734</v>
      </c>
      <c r="BE15" s="213">
        <v>2</v>
      </c>
      <c r="BF15" s="213" t="s">
        <v>798</v>
      </c>
      <c r="BG15" s="213">
        <v>24.1</v>
      </c>
      <c r="BH15" s="213">
        <v>181</v>
      </c>
      <c r="BI15" s="213" t="s">
        <v>710</v>
      </c>
      <c r="BJ15" s="213">
        <v>-9999</v>
      </c>
      <c r="BK15" s="213">
        <v>103</v>
      </c>
      <c r="BL15" s="213">
        <v>319</v>
      </c>
      <c r="BM15" s="213">
        <v>101</v>
      </c>
      <c r="BN15" s="213" t="s">
        <v>710</v>
      </c>
      <c r="BO15" s="213">
        <v>0</v>
      </c>
      <c r="BP15" s="213">
        <v>40</v>
      </c>
      <c r="BQ15" s="213" t="s">
        <v>737</v>
      </c>
      <c r="BR15" s="213" t="s">
        <v>734</v>
      </c>
      <c r="BS15" s="213">
        <v>3</v>
      </c>
      <c r="BT15" s="213" t="s">
        <v>799</v>
      </c>
      <c r="BU15" s="213">
        <v>0</v>
      </c>
      <c r="BV15" s="213">
        <v>37</v>
      </c>
      <c r="BW15" s="213" t="s">
        <v>249</v>
      </c>
      <c r="BX15" s="213">
        <v>-9999</v>
      </c>
      <c r="BY15" s="213">
        <v>168</v>
      </c>
      <c r="BZ15" s="213">
        <v>396</v>
      </c>
      <c r="CA15" s="213">
        <v>168</v>
      </c>
      <c r="CB15" s="213" t="s">
        <v>710</v>
      </c>
      <c r="CC15" s="213">
        <v>0</v>
      </c>
      <c r="CD15" s="213">
        <v>40</v>
      </c>
      <c r="CE15" s="213" t="s">
        <v>738</v>
      </c>
      <c r="CF15" s="213" t="s">
        <v>734</v>
      </c>
      <c r="CG15" s="213">
        <v>4</v>
      </c>
      <c r="CH15" s="213" t="s">
        <v>798</v>
      </c>
      <c r="CI15" s="213">
        <v>21.8</v>
      </c>
      <c r="CJ15" s="213">
        <v>406</v>
      </c>
      <c r="CK15" s="213" t="s">
        <v>710</v>
      </c>
      <c r="CL15" s="213">
        <v>-9999</v>
      </c>
      <c r="CM15" s="213">
        <v>150</v>
      </c>
      <c r="CN15" s="213">
        <v>398</v>
      </c>
      <c r="CO15" s="213">
        <v>147</v>
      </c>
      <c r="CP15" s="213" t="s">
        <v>710</v>
      </c>
      <c r="CQ15" s="213">
        <v>0</v>
      </c>
      <c r="CR15" s="213">
        <v>40</v>
      </c>
      <c r="CS15" s="213" t="s">
        <v>739</v>
      </c>
      <c r="CT15" s="213" t="s">
        <v>740</v>
      </c>
      <c r="CU15" s="213">
        <v>114</v>
      </c>
      <c r="CV15" s="213">
        <v>114</v>
      </c>
      <c r="CW15" s="213">
        <v>114</v>
      </c>
      <c r="CX15" s="213" t="s">
        <v>710</v>
      </c>
      <c r="CY15" s="213" t="s">
        <v>741</v>
      </c>
      <c r="CZ15" s="213" t="s">
        <v>740</v>
      </c>
      <c r="DA15" s="213">
        <v>119</v>
      </c>
      <c r="DB15" s="213">
        <v>119</v>
      </c>
      <c r="DC15" s="213">
        <v>119</v>
      </c>
      <c r="DD15" s="213" t="s">
        <v>710</v>
      </c>
      <c r="DE15" s="213" t="s">
        <v>742</v>
      </c>
      <c r="DF15" s="213" t="s">
        <v>743</v>
      </c>
      <c r="DG15" s="213">
        <v>0</v>
      </c>
      <c r="DH15" s="213">
        <v>0</v>
      </c>
      <c r="DI15" s="213">
        <v>0</v>
      </c>
      <c r="DJ15" s="213" t="s">
        <v>249</v>
      </c>
      <c r="DK15" s="213">
        <v>69.2</v>
      </c>
      <c r="DL15" s="213">
        <v>61.1</v>
      </c>
      <c r="DM15" s="213" t="s">
        <v>744</v>
      </c>
      <c r="DN15" s="213" t="s">
        <v>743</v>
      </c>
      <c r="DO15" s="213">
        <v>0</v>
      </c>
      <c r="DP15" s="213">
        <v>0</v>
      </c>
      <c r="DQ15" s="213">
        <v>0</v>
      </c>
      <c r="DR15" s="213" t="s">
        <v>249</v>
      </c>
      <c r="DU15" s="213" t="s">
        <v>745</v>
      </c>
      <c r="DV15" s="213" t="s">
        <v>743</v>
      </c>
      <c r="DW15" s="213">
        <v>0</v>
      </c>
      <c r="DX15" s="213">
        <v>0</v>
      </c>
      <c r="DY15" s="213">
        <v>0</v>
      </c>
      <c r="DZ15" s="213" t="s">
        <v>249</v>
      </c>
      <c r="EC15" s="213" t="s">
        <v>746</v>
      </c>
      <c r="ED15" s="213" t="s">
        <v>743</v>
      </c>
      <c r="EE15" s="213">
        <v>0</v>
      </c>
      <c r="EF15" s="213">
        <v>0</v>
      </c>
      <c r="EG15" s="213">
        <v>0</v>
      </c>
      <c r="EH15" s="213" t="s">
        <v>249</v>
      </c>
      <c r="EK15" s="213" t="s">
        <v>747</v>
      </c>
      <c r="EL15" s="213" t="s">
        <v>743</v>
      </c>
      <c r="EM15" s="213">
        <v>0</v>
      </c>
      <c r="EN15" s="213">
        <v>0</v>
      </c>
      <c r="EO15" s="213">
        <v>0</v>
      </c>
      <c r="EP15" s="213" t="s">
        <v>249</v>
      </c>
      <c r="ES15" s="213" t="s">
        <v>748</v>
      </c>
      <c r="ET15" s="213" t="s">
        <v>743</v>
      </c>
      <c r="EU15" s="213">
        <v>0</v>
      </c>
      <c r="EV15" s="213">
        <v>0</v>
      </c>
      <c r="EW15" s="213">
        <v>0</v>
      </c>
      <c r="EX15" s="213" t="s">
        <v>249</v>
      </c>
      <c r="EY15" s="213">
        <v>69.8</v>
      </c>
      <c r="EZ15" s="213">
        <v>46.6</v>
      </c>
      <c r="FA15" s="213" t="s">
        <v>749</v>
      </c>
      <c r="FB15" s="213" t="s">
        <v>743</v>
      </c>
      <c r="FC15" s="213">
        <v>0</v>
      </c>
      <c r="FD15" s="213">
        <v>0</v>
      </c>
      <c r="FE15" s="213">
        <v>0</v>
      </c>
      <c r="FF15" s="213" t="s">
        <v>249</v>
      </c>
      <c r="FI15" s="213" t="s">
        <v>750</v>
      </c>
      <c r="FJ15" s="213" t="s">
        <v>743</v>
      </c>
      <c r="FK15" s="213">
        <v>0</v>
      </c>
      <c r="FL15" s="213">
        <v>0</v>
      </c>
      <c r="FM15" s="213">
        <v>0</v>
      </c>
      <c r="FN15" s="213" t="s">
        <v>249</v>
      </c>
      <c r="FO15" s="213">
        <v>73.400000000000006</v>
      </c>
      <c r="FP15" s="213">
        <v>171.8</v>
      </c>
      <c r="FQ15" s="213" t="s">
        <v>751</v>
      </c>
      <c r="FR15" s="213" t="s">
        <v>743</v>
      </c>
      <c r="FS15" s="213">
        <v>0</v>
      </c>
      <c r="FT15" s="213">
        <v>0</v>
      </c>
      <c r="FU15" s="213">
        <v>0</v>
      </c>
      <c r="FV15" s="213" t="s">
        <v>249</v>
      </c>
      <c r="FY15" s="213">
        <v>24.8</v>
      </c>
      <c r="FZ15" s="213">
        <v>-15.1</v>
      </c>
      <c r="GF15" s="213" t="s">
        <v>752</v>
      </c>
    </row>
    <row r="16" spans="1:188" s="213" customFormat="1" x14ac:dyDescent="0.15">
      <c r="A16" s="213" t="s">
        <v>654</v>
      </c>
      <c r="B16" s="213">
        <v>4</v>
      </c>
      <c r="C16" s="213" t="s">
        <v>847</v>
      </c>
      <c r="D16" s="213">
        <v>614335071</v>
      </c>
      <c r="E16" s="213">
        <v>92303</v>
      </c>
      <c r="F16" s="213" t="s">
        <v>795</v>
      </c>
      <c r="G16" s="213">
        <v>839032</v>
      </c>
      <c r="H16" s="213">
        <v>676886</v>
      </c>
      <c r="I16" s="213">
        <v>6.8</v>
      </c>
      <c r="J16" s="213" t="s">
        <v>848</v>
      </c>
      <c r="K16" s="213" t="s">
        <v>727</v>
      </c>
      <c r="L16" s="213" t="s">
        <v>797</v>
      </c>
      <c r="M16" s="213" t="s">
        <v>728</v>
      </c>
      <c r="N16" s="213" t="s">
        <v>728</v>
      </c>
      <c r="O16" s="213" t="s">
        <v>729</v>
      </c>
      <c r="P16" s="213" t="s">
        <v>249</v>
      </c>
      <c r="Q16" s="213">
        <v>24</v>
      </c>
      <c r="R16" s="213">
        <v>158</v>
      </c>
      <c r="S16" s="213" t="s">
        <v>249</v>
      </c>
      <c r="T16" s="213">
        <v>-9999</v>
      </c>
      <c r="U16" s="213">
        <v>201</v>
      </c>
      <c r="V16" s="213">
        <v>439</v>
      </c>
      <c r="W16" s="213">
        <v>196</v>
      </c>
      <c r="X16" s="213" t="s">
        <v>710</v>
      </c>
      <c r="Y16" s="213">
        <v>0</v>
      </c>
      <c r="Z16" s="213">
        <v>40</v>
      </c>
      <c r="AA16" s="213" t="s">
        <v>730</v>
      </c>
      <c r="AB16" s="213" t="s">
        <v>731</v>
      </c>
      <c r="AC16" s="213" t="s">
        <v>729</v>
      </c>
      <c r="AD16" s="213" t="s">
        <v>249</v>
      </c>
      <c r="AE16" s="213">
        <v>26.2</v>
      </c>
      <c r="AF16" s="213">
        <v>124</v>
      </c>
      <c r="AG16" s="213" t="s">
        <v>249</v>
      </c>
      <c r="AH16" s="213">
        <v>-9999</v>
      </c>
      <c r="AI16" s="213">
        <v>186</v>
      </c>
      <c r="AJ16" s="213">
        <v>439</v>
      </c>
      <c r="AK16" s="213">
        <v>184</v>
      </c>
      <c r="AL16" s="213" t="s">
        <v>710</v>
      </c>
      <c r="AM16" s="213">
        <v>0</v>
      </c>
      <c r="AN16" s="213">
        <v>40</v>
      </c>
      <c r="AO16" s="213" t="s">
        <v>733</v>
      </c>
      <c r="AP16" s="213" t="s">
        <v>734</v>
      </c>
      <c r="AQ16" s="213">
        <v>1</v>
      </c>
      <c r="AR16" s="213" t="s">
        <v>798</v>
      </c>
      <c r="AS16" s="213">
        <v>23.4</v>
      </c>
      <c r="AT16" s="213">
        <v>434</v>
      </c>
      <c r="AU16" s="213" t="s">
        <v>710</v>
      </c>
      <c r="AV16" s="213">
        <v>-9999</v>
      </c>
      <c r="AW16" s="213">
        <v>239</v>
      </c>
      <c r="AX16" s="213">
        <v>591</v>
      </c>
      <c r="AY16" s="213">
        <v>237</v>
      </c>
      <c r="AZ16" s="213" t="s">
        <v>710</v>
      </c>
      <c r="BA16" s="213">
        <v>0</v>
      </c>
      <c r="BB16" s="213">
        <v>40</v>
      </c>
      <c r="BC16" s="213" t="s">
        <v>736</v>
      </c>
      <c r="BD16" s="213" t="s">
        <v>734</v>
      </c>
      <c r="BE16" s="213">
        <v>2</v>
      </c>
      <c r="BF16" s="213" t="s">
        <v>798</v>
      </c>
      <c r="BG16" s="213">
        <v>24.4</v>
      </c>
      <c r="BH16" s="213">
        <v>190</v>
      </c>
      <c r="BI16" s="213" t="s">
        <v>710</v>
      </c>
      <c r="BJ16" s="213">
        <v>-9999</v>
      </c>
      <c r="BK16" s="213">
        <v>93</v>
      </c>
      <c r="BL16" s="213">
        <v>280</v>
      </c>
      <c r="BM16" s="213">
        <v>91</v>
      </c>
      <c r="BN16" s="213" t="s">
        <v>710</v>
      </c>
      <c r="BO16" s="213">
        <v>0</v>
      </c>
      <c r="BP16" s="213">
        <v>40</v>
      </c>
      <c r="BQ16" s="213" t="s">
        <v>737</v>
      </c>
      <c r="BR16" s="213" t="s">
        <v>734</v>
      </c>
      <c r="BS16" s="213">
        <v>3</v>
      </c>
      <c r="BT16" s="213" t="s">
        <v>799</v>
      </c>
      <c r="BU16" s="213">
        <v>0</v>
      </c>
      <c r="BV16" s="213">
        <v>38</v>
      </c>
      <c r="BW16" s="213" t="s">
        <v>249</v>
      </c>
      <c r="BX16" s="213">
        <v>-9999</v>
      </c>
      <c r="BY16" s="213">
        <v>156</v>
      </c>
      <c r="BZ16" s="213">
        <v>376</v>
      </c>
      <c r="CA16" s="213">
        <v>156</v>
      </c>
      <c r="CB16" s="213" t="s">
        <v>710</v>
      </c>
      <c r="CC16" s="213">
        <v>0</v>
      </c>
      <c r="CD16" s="213">
        <v>40</v>
      </c>
      <c r="CE16" s="213" t="s">
        <v>738</v>
      </c>
      <c r="CF16" s="213" t="s">
        <v>734</v>
      </c>
      <c r="CG16" s="213">
        <v>4</v>
      </c>
      <c r="CH16" s="213" t="s">
        <v>798</v>
      </c>
      <c r="CI16" s="213">
        <v>22.1</v>
      </c>
      <c r="CJ16" s="213">
        <v>418</v>
      </c>
      <c r="CK16" s="213" t="s">
        <v>710</v>
      </c>
      <c r="CL16" s="213">
        <v>-9999</v>
      </c>
      <c r="CM16" s="213">
        <v>128</v>
      </c>
      <c r="CN16" s="213">
        <v>334</v>
      </c>
      <c r="CO16" s="213">
        <v>126</v>
      </c>
      <c r="CP16" s="213" t="s">
        <v>710</v>
      </c>
      <c r="CQ16" s="213">
        <v>0</v>
      </c>
      <c r="CR16" s="213">
        <v>40</v>
      </c>
      <c r="CS16" s="213" t="s">
        <v>739</v>
      </c>
      <c r="CT16" s="213" t="s">
        <v>740</v>
      </c>
      <c r="CU16" s="213">
        <v>107</v>
      </c>
      <c r="CV16" s="213">
        <v>106</v>
      </c>
      <c r="CW16" s="213">
        <v>106</v>
      </c>
      <c r="CX16" s="213" t="s">
        <v>710</v>
      </c>
      <c r="CY16" s="213" t="s">
        <v>741</v>
      </c>
      <c r="CZ16" s="213" t="s">
        <v>740</v>
      </c>
      <c r="DA16" s="213">
        <v>100</v>
      </c>
      <c r="DB16" s="213">
        <v>100</v>
      </c>
      <c r="DC16" s="213">
        <v>100</v>
      </c>
      <c r="DD16" s="213" t="s">
        <v>710</v>
      </c>
      <c r="DE16" s="213" t="s">
        <v>742</v>
      </c>
      <c r="DF16" s="213" t="s">
        <v>743</v>
      </c>
      <c r="DG16" s="213">
        <v>0</v>
      </c>
      <c r="DH16" s="213">
        <v>0</v>
      </c>
      <c r="DI16" s="213">
        <v>0</v>
      </c>
      <c r="DJ16" s="213" t="s">
        <v>249</v>
      </c>
      <c r="DK16" s="213">
        <v>69.3</v>
      </c>
      <c r="DL16" s="213">
        <v>49.3</v>
      </c>
      <c r="DM16" s="213" t="s">
        <v>744</v>
      </c>
      <c r="DN16" s="213" t="s">
        <v>743</v>
      </c>
      <c r="DO16" s="213">
        <v>0</v>
      </c>
      <c r="DP16" s="213">
        <v>0</v>
      </c>
      <c r="DQ16" s="213">
        <v>0</v>
      </c>
      <c r="DR16" s="213" t="s">
        <v>249</v>
      </c>
      <c r="DU16" s="213" t="s">
        <v>745</v>
      </c>
      <c r="DV16" s="213" t="s">
        <v>743</v>
      </c>
      <c r="DW16" s="213">
        <v>0</v>
      </c>
      <c r="DX16" s="213">
        <v>0</v>
      </c>
      <c r="DY16" s="213">
        <v>0</v>
      </c>
      <c r="DZ16" s="213" t="s">
        <v>249</v>
      </c>
      <c r="EC16" s="213" t="s">
        <v>746</v>
      </c>
      <c r="ED16" s="213" t="s">
        <v>743</v>
      </c>
      <c r="EE16" s="213">
        <v>0</v>
      </c>
      <c r="EF16" s="213">
        <v>0</v>
      </c>
      <c r="EG16" s="213">
        <v>0</v>
      </c>
      <c r="EH16" s="213" t="s">
        <v>249</v>
      </c>
      <c r="EK16" s="213" t="s">
        <v>747</v>
      </c>
      <c r="EL16" s="213" t="s">
        <v>743</v>
      </c>
      <c r="EM16" s="213">
        <v>0</v>
      </c>
      <c r="EN16" s="213">
        <v>0</v>
      </c>
      <c r="EO16" s="213">
        <v>0</v>
      </c>
      <c r="EP16" s="213" t="s">
        <v>249</v>
      </c>
      <c r="ES16" s="213" t="s">
        <v>748</v>
      </c>
      <c r="ET16" s="213" t="s">
        <v>743</v>
      </c>
      <c r="EU16" s="213">
        <v>0</v>
      </c>
      <c r="EV16" s="213">
        <v>0</v>
      </c>
      <c r="EW16" s="213">
        <v>0</v>
      </c>
      <c r="EX16" s="213" t="s">
        <v>249</v>
      </c>
      <c r="EY16" s="213">
        <v>70</v>
      </c>
      <c r="EZ16" s="213">
        <v>47</v>
      </c>
      <c r="FA16" s="213" t="s">
        <v>749</v>
      </c>
      <c r="FB16" s="213" t="s">
        <v>743</v>
      </c>
      <c r="FC16" s="213">
        <v>0</v>
      </c>
      <c r="FD16" s="213">
        <v>0</v>
      </c>
      <c r="FE16" s="213">
        <v>0</v>
      </c>
      <c r="FF16" s="213" t="s">
        <v>249</v>
      </c>
      <c r="FI16" s="213" t="s">
        <v>750</v>
      </c>
      <c r="FJ16" s="213" t="s">
        <v>743</v>
      </c>
      <c r="FK16" s="213">
        <v>0</v>
      </c>
      <c r="FL16" s="213">
        <v>0</v>
      </c>
      <c r="FM16" s="213">
        <v>0</v>
      </c>
      <c r="FN16" s="213" t="s">
        <v>249</v>
      </c>
      <c r="FO16" s="213">
        <v>73.5</v>
      </c>
      <c r="FP16" s="213">
        <v>156.80000000000001</v>
      </c>
      <c r="FQ16" s="213" t="s">
        <v>751</v>
      </c>
      <c r="FR16" s="213" t="s">
        <v>743</v>
      </c>
      <c r="FS16" s="213">
        <v>0</v>
      </c>
      <c r="FT16" s="213">
        <v>0</v>
      </c>
      <c r="FU16" s="213">
        <v>0</v>
      </c>
      <c r="FV16" s="213" t="s">
        <v>249</v>
      </c>
      <c r="FY16" s="213">
        <v>17.100000000000001</v>
      </c>
      <c r="FZ16" s="213">
        <v>-9.8000000000000007</v>
      </c>
      <c r="GF16" s="213" t="s">
        <v>752</v>
      </c>
    </row>
    <row r="17" spans="1:188" s="213" customFormat="1" x14ac:dyDescent="0.15">
      <c r="A17" s="213" t="s">
        <v>654</v>
      </c>
      <c r="B17" s="213">
        <v>4</v>
      </c>
      <c r="C17" s="213" t="s">
        <v>849</v>
      </c>
      <c r="D17" s="213">
        <v>614334181</v>
      </c>
      <c r="E17" s="213">
        <v>92303</v>
      </c>
      <c r="F17" s="213" t="s">
        <v>795</v>
      </c>
      <c r="G17" s="213">
        <v>839032</v>
      </c>
      <c r="H17" s="213">
        <v>210034622</v>
      </c>
      <c r="I17" s="213">
        <v>6.8</v>
      </c>
      <c r="J17" s="213" t="s">
        <v>850</v>
      </c>
      <c r="K17" s="213" t="s">
        <v>727</v>
      </c>
      <c r="L17" s="213" t="s">
        <v>797</v>
      </c>
      <c r="M17" s="213" t="s">
        <v>728</v>
      </c>
      <c r="N17" s="213" t="s">
        <v>728</v>
      </c>
      <c r="O17" s="213" t="s">
        <v>729</v>
      </c>
      <c r="P17" s="213" t="s">
        <v>249</v>
      </c>
      <c r="Q17" s="213">
        <v>24.4</v>
      </c>
      <c r="R17" s="213">
        <v>153</v>
      </c>
      <c r="S17" s="213" t="s">
        <v>249</v>
      </c>
      <c r="T17" s="213">
        <v>-9999</v>
      </c>
      <c r="U17" s="213">
        <v>155</v>
      </c>
      <c r="V17" s="213">
        <v>347</v>
      </c>
      <c r="W17" s="213">
        <v>149</v>
      </c>
      <c r="X17" s="213" t="s">
        <v>710</v>
      </c>
      <c r="Y17" s="213">
        <v>0</v>
      </c>
      <c r="Z17" s="213">
        <v>40</v>
      </c>
      <c r="AA17" s="213" t="s">
        <v>730</v>
      </c>
      <c r="AB17" s="213" t="s">
        <v>731</v>
      </c>
      <c r="AC17" s="213" t="s">
        <v>729</v>
      </c>
      <c r="AD17" s="213" t="s">
        <v>249</v>
      </c>
      <c r="AE17" s="213">
        <v>26.4</v>
      </c>
      <c r="AF17" s="213">
        <v>118</v>
      </c>
      <c r="AG17" s="213" t="s">
        <v>249</v>
      </c>
      <c r="AH17" s="213">
        <v>-9999</v>
      </c>
      <c r="AI17" s="213">
        <v>165</v>
      </c>
      <c r="AJ17" s="213">
        <v>396</v>
      </c>
      <c r="AK17" s="213">
        <v>164</v>
      </c>
      <c r="AL17" s="213" t="s">
        <v>710</v>
      </c>
      <c r="AM17" s="213">
        <v>0</v>
      </c>
      <c r="AN17" s="213">
        <v>40</v>
      </c>
      <c r="AO17" s="213" t="s">
        <v>733</v>
      </c>
      <c r="AP17" s="213" t="s">
        <v>734</v>
      </c>
      <c r="AQ17" s="213">
        <v>1</v>
      </c>
      <c r="AR17" s="213" t="s">
        <v>798</v>
      </c>
      <c r="AS17" s="213">
        <v>24.3</v>
      </c>
      <c r="AT17" s="213">
        <v>376</v>
      </c>
      <c r="AU17" s="213" t="s">
        <v>710</v>
      </c>
      <c r="AV17" s="213">
        <v>-9999</v>
      </c>
      <c r="AW17" s="213">
        <v>222</v>
      </c>
      <c r="AX17" s="213">
        <v>547</v>
      </c>
      <c r="AY17" s="213">
        <v>221</v>
      </c>
      <c r="AZ17" s="213" t="s">
        <v>710</v>
      </c>
      <c r="BA17" s="213">
        <v>0</v>
      </c>
      <c r="BB17" s="213">
        <v>40</v>
      </c>
      <c r="BC17" s="213" t="s">
        <v>736</v>
      </c>
      <c r="BD17" s="213" t="s">
        <v>734</v>
      </c>
      <c r="BE17" s="213">
        <v>2</v>
      </c>
      <c r="BF17" s="213" t="s">
        <v>798</v>
      </c>
      <c r="BG17" s="213">
        <v>24.9</v>
      </c>
      <c r="BH17" s="213">
        <v>180</v>
      </c>
      <c r="BI17" s="213" t="s">
        <v>710</v>
      </c>
      <c r="BJ17" s="213">
        <v>-9999</v>
      </c>
      <c r="BK17" s="213">
        <v>91</v>
      </c>
      <c r="BL17" s="213">
        <v>284</v>
      </c>
      <c r="BM17" s="213">
        <v>89</v>
      </c>
      <c r="BN17" s="213" t="s">
        <v>710</v>
      </c>
      <c r="BO17" s="213">
        <v>0</v>
      </c>
      <c r="BP17" s="213">
        <v>40</v>
      </c>
      <c r="BQ17" s="213" t="s">
        <v>737</v>
      </c>
      <c r="BR17" s="213" t="s">
        <v>734</v>
      </c>
      <c r="BS17" s="213">
        <v>3</v>
      </c>
      <c r="BT17" s="213" t="s">
        <v>799</v>
      </c>
      <c r="BU17" s="213">
        <v>0</v>
      </c>
      <c r="BV17" s="213">
        <v>30</v>
      </c>
      <c r="BW17" s="213" t="s">
        <v>249</v>
      </c>
      <c r="BX17" s="213">
        <v>-9999</v>
      </c>
      <c r="BY17" s="213">
        <v>154</v>
      </c>
      <c r="BZ17" s="213">
        <v>358</v>
      </c>
      <c r="CA17" s="213">
        <v>154</v>
      </c>
      <c r="CB17" s="213" t="s">
        <v>710</v>
      </c>
      <c r="CC17" s="213">
        <v>0</v>
      </c>
      <c r="CD17" s="213">
        <v>40</v>
      </c>
      <c r="CE17" s="213" t="s">
        <v>738</v>
      </c>
      <c r="CF17" s="213" t="s">
        <v>734</v>
      </c>
      <c r="CG17" s="213">
        <v>4</v>
      </c>
      <c r="CH17" s="213" t="s">
        <v>798</v>
      </c>
      <c r="CI17" s="213">
        <v>22.7</v>
      </c>
      <c r="CJ17" s="213">
        <v>370</v>
      </c>
      <c r="CK17" s="213" t="s">
        <v>710</v>
      </c>
      <c r="CL17" s="213">
        <v>-9999</v>
      </c>
      <c r="CM17" s="213">
        <v>123</v>
      </c>
      <c r="CN17" s="213">
        <v>321</v>
      </c>
      <c r="CO17" s="213">
        <v>121</v>
      </c>
      <c r="CP17" s="213" t="s">
        <v>710</v>
      </c>
      <c r="CQ17" s="213">
        <v>0</v>
      </c>
      <c r="CR17" s="213">
        <v>40</v>
      </c>
      <c r="CS17" s="213" t="s">
        <v>739</v>
      </c>
      <c r="CT17" s="213" t="s">
        <v>740</v>
      </c>
      <c r="CU17" s="213">
        <v>114</v>
      </c>
      <c r="CV17" s="213">
        <v>114</v>
      </c>
      <c r="CW17" s="213">
        <v>114</v>
      </c>
      <c r="CX17" s="213" t="s">
        <v>710</v>
      </c>
      <c r="CY17" s="213" t="s">
        <v>741</v>
      </c>
      <c r="CZ17" s="213" t="s">
        <v>740</v>
      </c>
      <c r="DA17" s="213">
        <v>99</v>
      </c>
      <c r="DB17" s="213">
        <v>99</v>
      </c>
      <c r="DC17" s="213">
        <v>99</v>
      </c>
      <c r="DD17" s="213" t="s">
        <v>710</v>
      </c>
      <c r="DE17" s="213" t="s">
        <v>742</v>
      </c>
      <c r="DF17" s="213" t="s">
        <v>743</v>
      </c>
      <c r="DG17" s="213">
        <v>0</v>
      </c>
      <c r="DH17" s="213">
        <v>0</v>
      </c>
      <c r="DI17" s="213">
        <v>0</v>
      </c>
      <c r="DJ17" s="213" t="s">
        <v>249</v>
      </c>
      <c r="DK17" s="213">
        <v>69.2</v>
      </c>
      <c r="DL17" s="213">
        <v>49.5</v>
      </c>
      <c r="DM17" s="213" t="s">
        <v>744</v>
      </c>
      <c r="DN17" s="213" t="s">
        <v>743</v>
      </c>
      <c r="DO17" s="213">
        <v>0</v>
      </c>
      <c r="DP17" s="213">
        <v>0</v>
      </c>
      <c r="DQ17" s="213">
        <v>0</v>
      </c>
      <c r="DR17" s="213" t="s">
        <v>249</v>
      </c>
      <c r="DU17" s="213" t="s">
        <v>745</v>
      </c>
      <c r="DV17" s="213" t="s">
        <v>743</v>
      </c>
      <c r="DW17" s="213">
        <v>0</v>
      </c>
      <c r="DX17" s="213">
        <v>0</v>
      </c>
      <c r="DY17" s="213">
        <v>0</v>
      </c>
      <c r="DZ17" s="213" t="s">
        <v>249</v>
      </c>
      <c r="EC17" s="213" t="s">
        <v>746</v>
      </c>
      <c r="ED17" s="213" t="s">
        <v>743</v>
      </c>
      <c r="EE17" s="213">
        <v>0</v>
      </c>
      <c r="EF17" s="213">
        <v>0</v>
      </c>
      <c r="EG17" s="213">
        <v>0</v>
      </c>
      <c r="EH17" s="213" t="s">
        <v>249</v>
      </c>
      <c r="EK17" s="213" t="s">
        <v>747</v>
      </c>
      <c r="EL17" s="213" t="s">
        <v>743</v>
      </c>
      <c r="EM17" s="213">
        <v>0</v>
      </c>
      <c r="EN17" s="213">
        <v>0</v>
      </c>
      <c r="EO17" s="213">
        <v>0</v>
      </c>
      <c r="EP17" s="213" t="s">
        <v>249</v>
      </c>
      <c r="ES17" s="213" t="s">
        <v>748</v>
      </c>
      <c r="ET17" s="213" t="s">
        <v>743</v>
      </c>
      <c r="EU17" s="213">
        <v>0</v>
      </c>
      <c r="EV17" s="213">
        <v>0</v>
      </c>
      <c r="EW17" s="213">
        <v>0</v>
      </c>
      <c r="EX17" s="213" t="s">
        <v>249</v>
      </c>
      <c r="EY17" s="213">
        <v>69.8</v>
      </c>
      <c r="EZ17" s="213">
        <v>49</v>
      </c>
      <c r="FA17" s="213" t="s">
        <v>749</v>
      </c>
      <c r="FB17" s="213" t="s">
        <v>743</v>
      </c>
      <c r="FC17" s="213">
        <v>0</v>
      </c>
      <c r="FD17" s="213">
        <v>0</v>
      </c>
      <c r="FE17" s="213">
        <v>0</v>
      </c>
      <c r="FF17" s="213" t="s">
        <v>249</v>
      </c>
      <c r="FI17" s="213" t="s">
        <v>750</v>
      </c>
      <c r="FJ17" s="213" t="s">
        <v>743</v>
      </c>
      <c r="FK17" s="213">
        <v>0</v>
      </c>
      <c r="FL17" s="213">
        <v>0</v>
      </c>
      <c r="FM17" s="213">
        <v>0</v>
      </c>
      <c r="FN17" s="213" t="s">
        <v>249</v>
      </c>
      <c r="FO17" s="213">
        <v>73.3</v>
      </c>
      <c r="FP17" s="213">
        <v>144.19999999999999</v>
      </c>
      <c r="FQ17" s="213" t="s">
        <v>751</v>
      </c>
      <c r="FR17" s="213" t="s">
        <v>743</v>
      </c>
      <c r="FS17" s="213">
        <v>0</v>
      </c>
      <c r="FT17" s="213">
        <v>0</v>
      </c>
      <c r="FU17" s="213">
        <v>0</v>
      </c>
      <c r="FV17" s="213" t="s">
        <v>249</v>
      </c>
      <c r="FY17" s="213">
        <v>19.600000000000001</v>
      </c>
      <c r="FZ17" s="213">
        <v>-9.6999999999999993</v>
      </c>
      <c r="GF17" s="213" t="s">
        <v>752</v>
      </c>
    </row>
    <row r="18" spans="1:188" s="213" customFormat="1" x14ac:dyDescent="0.15">
      <c r="A18" s="213" t="s">
        <v>654</v>
      </c>
      <c r="B18" s="213">
        <v>4</v>
      </c>
      <c r="C18" s="213" t="s">
        <v>872</v>
      </c>
      <c r="D18" s="213">
        <v>614338636</v>
      </c>
      <c r="E18" s="213">
        <v>92303</v>
      </c>
      <c r="F18" s="213" t="s">
        <v>795</v>
      </c>
      <c r="G18" s="213">
        <v>839032</v>
      </c>
      <c r="H18" s="213">
        <v>210016126</v>
      </c>
      <c r="I18" s="213">
        <v>6.8</v>
      </c>
      <c r="J18" s="213" t="s">
        <v>873</v>
      </c>
      <c r="K18" s="213" t="s">
        <v>727</v>
      </c>
      <c r="L18" s="213" t="s">
        <v>797</v>
      </c>
      <c r="M18" s="213" t="s">
        <v>728</v>
      </c>
      <c r="N18" s="213" t="s">
        <v>728</v>
      </c>
      <c r="O18" s="213" t="s">
        <v>729</v>
      </c>
      <c r="P18" s="213" t="s">
        <v>249</v>
      </c>
      <c r="Q18" s="213">
        <v>24</v>
      </c>
      <c r="R18" s="213">
        <v>147</v>
      </c>
      <c r="S18" s="213" t="s">
        <v>249</v>
      </c>
      <c r="T18" s="213">
        <v>-9999</v>
      </c>
      <c r="U18" s="213">
        <v>234</v>
      </c>
      <c r="V18" s="213">
        <v>495</v>
      </c>
      <c r="W18" s="213">
        <v>231</v>
      </c>
      <c r="X18" s="213" t="s">
        <v>710</v>
      </c>
      <c r="Y18" s="213">
        <v>0</v>
      </c>
      <c r="Z18" s="213">
        <v>40</v>
      </c>
      <c r="AA18" s="213" t="s">
        <v>730</v>
      </c>
      <c r="AB18" s="213" t="s">
        <v>731</v>
      </c>
      <c r="AC18" s="213" t="s">
        <v>729</v>
      </c>
      <c r="AD18" s="213" t="s">
        <v>249</v>
      </c>
      <c r="AE18" s="213">
        <v>26</v>
      </c>
      <c r="AF18" s="213">
        <v>125</v>
      </c>
      <c r="AG18" s="213" t="s">
        <v>249</v>
      </c>
      <c r="AH18" s="213">
        <v>-9999</v>
      </c>
      <c r="AI18" s="213">
        <v>192</v>
      </c>
      <c r="AJ18" s="213">
        <v>459</v>
      </c>
      <c r="AK18" s="213">
        <v>191</v>
      </c>
      <c r="AL18" s="213" t="s">
        <v>710</v>
      </c>
      <c r="AM18" s="213">
        <v>0</v>
      </c>
      <c r="AN18" s="213">
        <v>40</v>
      </c>
      <c r="AO18" s="213" t="s">
        <v>733</v>
      </c>
      <c r="AP18" s="213" t="s">
        <v>734</v>
      </c>
      <c r="AQ18" s="213">
        <v>1</v>
      </c>
      <c r="AR18" s="213" t="s">
        <v>798</v>
      </c>
      <c r="AS18" s="213">
        <v>23.5</v>
      </c>
      <c r="AT18" s="213">
        <v>437</v>
      </c>
      <c r="AU18" s="213" t="s">
        <v>710</v>
      </c>
      <c r="AV18" s="213">
        <v>-9999</v>
      </c>
      <c r="AW18" s="213">
        <v>280</v>
      </c>
      <c r="AX18" s="213">
        <v>697</v>
      </c>
      <c r="AY18" s="213">
        <v>280</v>
      </c>
      <c r="AZ18" s="213" t="s">
        <v>710</v>
      </c>
      <c r="BA18" s="213">
        <v>0</v>
      </c>
      <c r="BB18" s="213">
        <v>40</v>
      </c>
      <c r="BC18" s="213" t="s">
        <v>736</v>
      </c>
      <c r="BD18" s="213" t="s">
        <v>734</v>
      </c>
      <c r="BE18" s="213">
        <v>2</v>
      </c>
      <c r="BF18" s="213" t="s">
        <v>798</v>
      </c>
      <c r="BG18" s="213">
        <v>24.4</v>
      </c>
      <c r="BH18" s="213">
        <v>190</v>
      </c>
      <c r="BI18" s="213" t="s">
        <v>710</v>
      </c>
      <c r="BJ18" s="213">
        <v>-9999</v>
      </c>
      <c r="BK18" s="213">
        <v>111</v>
      </c>
      <c r="BL18" s="213">
        <v>334</v>
      </c>
      <c r="BM18" s="213">
        <v>109</v>
      </c>
      <c r="BN18" s="213" t="s">
        <v>710</v>
      </c>
      <c r="BO18" s="213">
        <v>0</v>
      </c>
      <c r="BP18" s="213">
        <v>40</v>
      </c>
      <c r="BQ18" s="213" t="s">
        <v>737</v>
      </c>
      <c r="BR18" s="213" t="s">
        <v>734</v>
      </c>
      <c r="BS18" s="213">
        <v>3</v>
      </c>
      <c r="BT18" s="213" t="s">
        <v>799</v>
      </c>
      <c r="BU18" s="213">
        <v>0</v>
      </c>
      <c r="BV18" s="213">
        <v>36</v>
      </c>
      <c r="BW18" s="213" t="s">
        <v>249</v>
      </c>
      <c r="BX18" s="213">
        <v>-9999</v>
      </c>
      <c r="BY18" s="213">
        <v>171</v>
      </c>
      <c r="BZ18" s="213">
        <v>408</v>
      </c>
      <c r="CA18" s="213">
        <v>171</v>
      </c>
      <c r="CB18" s="213" t="s">
        <v>710</v>
      </c>
      <c r="CC18" s="213">
        <v>0</v>
      </c>
      <c r="CD18" s="213">
        <v>40</v>
      </c>
      <c r="CE18" s="213" t="s">
        <v>738</v>
      </c>
      <c r="CF18" s="213" t="s">
        <v>734</v>
      </c>
      <c r="CG18" s="213">
        <v>4</v>
      </c>
      <c r="CH18" s="213" t="s">
        <v>798</v>
      </c>
      <c r="CI18" s="213">
        <v>21.8</v>
      </c>
      <c r="CJ18" s="213">
        <v>436</v>
      </c>
      <c r="CK18" s="213" t="s">
        <v>710</v>
      </c>
      <c r="CL18" s="213">
        <v>-9999</v>
      </c>
      <c r="CM18" s="213">
        <v>145</v>
      </c>
      <c r="CN18" s="213">
        <v>377</v>
      </c>
      <c r="CO18" s="213">
        <v>143</v>
      </c>
      <c r="CP18" s="213" t="s">
        <v>710</v>
      </c>
      <c r="CQ18" s="213">
        <v>0</v>
      </c>
      <c r="CR18" s="213">
        <v>40</v>
      </c>
      <c r="CS18" s="213" t="s">
        <v>739</v>
      </c>
      <c r="CT18" s="213" t="s">
        <v>740</v>
      </c>
      <c r="CU18" s="213">
        <v>118</v>
      </c>
      <c r="CV18" s="213">
        <v>117</v>
      </c>
      <c r="CW18" s="213">
        <v>117</v>
      </c>
      <c r="CX18" s="213" t="s">
        <v>710</v>
      </c>
      <c r="CY18" s="213" t="s">
        <v>741</v>
      </c>
      <c r="CZ18" s="213" t="s">
        <v>740</v>
      </c>
      <c r="DA18" s="213">
        <v>111</v>
      </c>
      <c r="DB18" s="213">
        <v>111</v>
      </c>
      <c r="DC18" s="213">
        <v>110</v>
      </c>
      <c r="DD18" s="213" t="s">
        <v>710</v>
      </c>
      <c r="DE18" s="213" t="s">
        <v>742</v>
      </c>
      <c r="DF18" s="213" t="s">
        <v>743</v>
      </c>
      <c r="DG18" s="213">
        <v>0</v>
      </c>
      <c r="DH18" s="213">
        <v>0</v>
      </c>
      <c r="DI18" s="213">
        <v>0</v>
      </c>
      <c r="DJ18" s="213" t="s">
        <v>249</v>
      </c>
      <c r="DK18" s="213">
        <v>69.400000000000006</v>
      </c>
      <c r="DL18" s="213">
        <v>58.8</v>
      </c>
      <c r="DM18" s="213" t="s">
        <v>744</v>
      </c>
      <c r="DN18" s="213" t="s">
        <v>743</v>
      </c>
      <c r="DO18" s="213">
        <v>0</v>
      </c>
      <c r="DP18" s="213">
        <v>0</v>
      </c>
      <c r="DQ18" s="213">
        <v>0</v>
      </c>
      <c r="DR18" s="213" t="s">
        <v>249</v>
      </c>
      <c r="DU18" s="213" t="s">
        <v>745</v>
      </c>
      <c r="DV18" s="213" t="s">
        <v>743</v>
      </c>
      <c r="DW18" s="213">
        <v>0</v>
      </c>
      <c r="DX18" s="213">
        <v>0</v>
      </c>
      <c r="DY18" s="213">
        <v>0</v>
      </c>
      <c r="DZ18" s="213" t="s">
        <v>249</v>
      </c>
      <c r="EC18" s="213" t="s">
        <v>746</v>
      </c>
      <c r="ED18" s="213" t="s">
        <v>743</v>
      </c>
      <c r="EE18" s="213">
        <v>0</v>
      </c>
      <c r="EF18" s="213">
        <v>0</v>
      </c>
      <c r="EG18" s="213">
        <v>0</v>
      </c>
      <c r="EH18" s="213" t="s">
        <v>249</v>
      </c>
      <c r="EK18" s="213" t="s">
        <v>747</v>
      </c>
      <c r="EL18" s="213" t="s">
        <v>743</v>
      </c>
      <c r="EM18" s="213">
        <v>0</v>
      </c>
      <c r="EN18" s="213">
        <v>0</v>
      </c>
      <c r="EO18" s="213">
        <v>0</v>
      </c>
      <c r="EP18" s="213" t="s">
        <v>249</v>
      </c>
      <c r="ES18" s="213" t="s">
        <v>748</v>
      </c>
      <c r="ET18" s="213" t="s">
        <v>743</v>
      </c>
      <c r="EU18" s="213">
        <v>0</v>
      </c>
      <c r="EV18" s="213">
        <v>0</v>
      </c>
      <c r="EW18" s="213">
        <v>0</v>
      </c>
      <c r="EX18" s="213" t="s">
        <v>249</v>
      </c>
      <c r="EY18" s="213">
        <v>70.099999999999994</v>
      </c>
      <c r="EZ18" s="213">
        <v>51</v>
      </c>
      <c r="FA18" s="213" t="s">
        <v>749</v>
      </c>
      <c r="FB18" s="213" t="s">
        <v>743</v>
      </c>
      <c r="FC18" s="213">
        <v>0</v>
      </c>
      <c r="FD18" s="213">
        <v>0</v>
      </c>
      <c r="FE18" s="213">
        <v>0</v>
      </c>
      <c r="FF18" s="213" t="s">
        <v>249</v>
      </c>
      <c r="FI18" s="213" t="s">
        <v>750</v>
      </c>
      <c r="FJ18" s="213" t="s">
        <v>743</v>
      </c>
      <c r="FK18" s="213">
        <v>0</v>
      </c>
      <c r="FL18" s="213">
        <v>0</v>
      </c>
      <c r="FM18" s="213">
        <v>0</v>
      </c>
      <c r="FN18" s="213" t="s">
        <v>249</v>
      </c>
      <c r="FO18" s="213">
        <v>73.599999999999994</v>
      </c>
      <c r="FP18" s="213">
        <v>172</v>
      </c>
      <c r="FQ18" s="213" t="s">
        <v>751</v>
      </c>
      <c r="FR18" s="213" t="s">
        <v>743</v>
      </c>
      <c r="FS18" s="213">
        <v>0</v>
      </c>
      <c r="FT18" s="213">
        <v>0</v>
      </c>
      <c r="FU18" s="213">
        <v>0</v>
      </c>
      <c r="FV18" s="213" t="s">
        <v>249</v>
      </c>
      <c r="FY18" s="213">
        <v>16.7</v>
      </c>
      <c r="FZ18" s="213">
        <v>-9.3000000000000007</v>
      </c>
      <c r="GF18" s="213" t="s">
        <v>752</v>
      </c>
    </row>
    <row r="19" spans="1:188" s="213" customFormat="1" x14ac:dyDescent="0.15">
      <c r="A19" s="213" t="s">
        <v>654</v>
      </c>
      <c r="B19" s="213">
        <v>4</v>
      </c>
      <c r="C19" s="213" t="s">
        <v>874</v>
      </c>
      <c r="D19" s="213">
        <v>614337720</v>
      </c>
      <c r="E19" s="213">
        <v>92303</v>
      </c>
      <c r="F19" s="213" t="s">
        <v>795</v>
      </c>
      <c r="G19" s="213">
        <v>839032</v>
      </c>
      <c r="H19" s="213">
        <v>736872</v>
      </c>
      <c r="I19" s="213">
        <v>6.8</v>
      </c>
      <c r="J19" s="213" t="s">
        <v>875</v>
      </c>
      <c r="K19" s="213" t="s">
        <v>727</v>
      </c>
      <c r="L19" s="213" t="s">
        <v>797</v>
      </c>
      <c r="M19" s="213" t="s">
        <v>728</v>
      </c>
      <c r="N19" s="213" t="s">
        <v>728</v>
      </c>
      <c r="O19" s="213" t="s">
        <v>729</v>
      </c>
      <c r="P19" s="213" t="s">
        <v>249</v>
      </c>
      <c r="Q19" s="213">
        <v>25.2</v>
      </c>
      <c r="R19" s="213">
        <v>177</v>
      </c>
      <c r="S19" s="213" t="s">
        <v>249</v>
      </c>
      <c r="T19" s="213">
        <v>-9999</v>
      </c>
      <c r="U19" s="213">
        <v>195</v>
      </c>
      <c r="V19" s="213">
        <v>443</v>
      </c>
      <c r="W19" s="213">
        <v>188</v>
      </c>
      <c r="X19" s="213" t="s">
        <v>710</v>
      </c>
      <c r="Y19" s="213">
        <v>0</v>
      </c>
      <c r="Z19" s="213">
        <v>40</v>
      </c>
      <c r="AA19" s="213" t="s">
        <v>730</v>
      </c>
      <c r="AB19" s="213" t="s">
        <v>731</v>
      </c>
      <c r="AC19" s="213" t="s">
        <v>729</v>
      </c>
      <c r="AD19" s="213" t="s">
        <v>249</v>
      </c>
      <c r="AE19" s="213">
        <v>26.8</v>
      </c>
      <c r="AF19" s="213">
        <v>129</v>
      </c>
      <c r="AG19" s="213" t="s">
        <v>249</v>
      </c>
      <c r="AH19" s="213">
        <v>-9999</v>
      </c>
      <c r="AI19" s="213">
        <v>233</v>
      </c>
      <c r="AJ19" s="213">
        <v>548</v>
      </c>
      <c r="AK19" s="213">
        <v>229</v>
      </c>
      <c r="AL19" s="213" t="s">
        <v>710</v>
      </c>
      <c r="AM19" s="213">
        <v>0</v>
      </c>
      <c r="AN19" s="213">
        <v>40</v>
      </c>
      <c r="AO19" s="213" t="s">
        <v>733</v>
      </c>
      <c r="AP19" s="213" t="s">
        <v>734</v>
      </c>
      <c r="AQ19" s="213">
        <v>1</v>
      </c>
      <c r="AR19" s="213" t="s">
        <v>798</v>
      </c>
      <c r="AS19" s="213">
        <v>24.6</v>
      </c>
      <c r="AT19" s="213">
        <v>441</v>
      </c>
      <c r="AU19" s="213" t="s">
        <v>710</v>
      </c>
      <c r="AV19" s="213">
        <v>-9999</v>
      </c>
      <c r="AW19" s="213">
        <v>285</v>
      </c>
      <c r="AX19" s="213">
        <v>708</v>
      </c>
      <c r="AY19" s="213">
        <v>282</v>
      </c>
      <c r="AZ19" s="213" t="s">
        <v>710</v>
      </c>
      <c r="BA19" s="213">
        <v>0</v>
      </c>
      <c r="BB19" s="213">
        <v>40</v>
      </c>
      <c r="BC19" s="213" t="s">
        <v>736</v>
      </c>
      <c r="BD19" s="213" t="s">
        <v>734</v>
      </c>
      <c r="BE19" s="213">
        <v>2</v>
      </c>
      <c r="BF19" s="213" t="s">
        <v>798</v>
      </c>
      <c r="BG19" s="213">
        <v>25.6</v>
      </c>
      <c r="BH19" s="213">
        <v>190</v>
      </c>
      <c r="BI19" s="213" t="s">
        <v>710</v>
      </c>
      <c r="BJ19" s="213">
        <v>-9999</v>
      </c>
      <c r="BK19" s="213">
        <v>114</v>
      </c>
      <c r="BL19" s="213">
        <v>353</v>
      </c>
      <c r="BM19" s="213">
        <v>112</v>
      </c>
      <c r="BN19" s="213" t="s">
        <v>710</v>
      </c>
      <c r="BO19" s="213">
        <v>0</v>
      </c>
      <c r="BP19" s="213">
        <v>40</v>
      </c>
      <c r="BQ19" s="213" t="s">
        <v>737</v>
      </c>
      <c r="BR19" s="213" t="s">
        <v>734</v>
      </c>
      <c r="BS19" s="213">
        <v>3</v>
      </c>
      <c r="BT19" s="213" t="s">
        <v>799</v>
      </c>
      <c r="BU19" s="213">
        <v>0</v>
      </c>
      <c r="BV19" s="213">
        <v>33</v>
      </c>
      <c r="BW19" s="213" t="s">
        <v>249</v>
      </c>
      <c r="BX19" s="213">
        <v>-9999</v>
      </c>
      <c r="BY19" s="213">
        <v>190</v>
      </c>
      <c r="BZ19" s="213">
        <v>464</v>
      </c>
      <c r="CA19" s="213">
        <v>189</v>
      </c>
      <c r="CB19" s="213" t="s">
        <v>710</v>
      </c>
      <c r="CC19" s="213">
        <v>0</v>
      </c>
      <c r="CD19" s="213">
        <v>40</v>
      </c>
      <c r="CE19" s="213" t="s">
        <v>738</v>
      </c>
      <c r="CF19" s="213" t="s">
        <v>734</v>
      </c>
      <c r="CG19" s="213">
        <v>4</v>
      </c>
      <c r="CH19" s="213" t="s">
        <v>798</v>
      </c>
      <c r="CI19" s="213">
        <v>23.5</v>
      </c>
      <c r="CJ19" s="213">
        <v>427</v>
      </c>
      <c r="CK19" s="213" t="s">
        <v>710</v>
      </c>
      <c r="CL19" s="213">
        <v>-9999</v>
      </c>
      <c r="CM19" s="213">
        <v>147</v>
      </c>
      <c r="CN19" s="213">
        <v>393</v>
      </c>
      <c r="CO19" s="213">
        <v>144</v>
      </c>
      <c r="CP19" s="213" t="s">
        <v>710</v>
      </c>
      <c r="CQ19" s="213">
        <v>0</v>
      </c>
      <c r="CR19" s="213">
        <v>40</v>
      </c>
      <c r="CS19" s="213" t="s">
        <v>739</v>
      </c>
      <c r="CT19" s="213" t="s">
        <v>740</v>
      </c>
      <c r="CU19" s="213">
        <v>112</v>
      </c>
      <c r="CV19" s="213">
        <v>112</v>
      </c>
      <c r="CW19" s="213">
        <v>111</v>
      </c>
      <c r="CX19" s="213" t="s">
        <v>710</v>
      </c>
      <c r="CY19" s="213" t="s">
        <v>741</v>
      </c>
      <c r="CZ19" s="213" t="s">
        <v>740</v>
      </c>
      <c r="DA19" s="213">
        <v>115</v>
      </c>
      <c r="DB19" s="213">
        <v>115</v>
      </c>
      <c r="DC19" s="213">
        <v>115</v>
      </c>
      <c r="DD19" s="213" t="s">
        <v>710</v>
      </c>
      <c r="DE19" s="213" t="s">
        <v>742</v>
      </c>
      <c r="DF19" s="213" t="s">
        <v>743</v>
      </c>
      <c r="DG19" s="213">
        <v>0</v>
      </c>
      <c r="DH19" s="213">
        <v>0</v>
      </c>
      <c r="DI19" s="213">
        <v>0</v>
      </c>
      <c r="DJ19" s="213" t="s">
        <v>249</v>
      </c>
      <c r="DK19" s="213">
        <v>69.400000000000006</v>
      </c>
      <c r="DL19" s="213">
        <v>48.7</v>
      </c>
      <c r="DM19" s="213" t="s">
        <v>744</v>
      </c>
      <c r="DN19" s="213" t="s">
        <v>743</v>
      </c>
      <c r="DO19" s="213">
        <v>0</v>
      </c>
      <c r="DP19" s="213">
        <v>0</v>
      </c>
      <c r="DQ19" s="213">
        <v>0</v>
      </c>
      <c r="DR19" s="213" t="s">
        <v>249</v>
      </c>
      <c r="DU19" s="213" t="s">
        <v>745</v>
      </c>
      <c r="DV19" s="213" t="s">
        <v>743</v>
      </c>
      <c r="DW19" s="213">
        <v>0</v>
      </c>
      <c r="DX19" s="213">
        <v>0</v>
      </c>
      <c r="DY19" s="213">
        <v>0</v>
      </c>
      <c r="DZ19" s="213" t="s">
        <v>249</v>
      </c>
      <c r="EC19" s="213" t="s">
        <v>746</v>
      </c>
      <c r="ED19" s="213" t="s">
        <v>743</v>
      </c>
      <c r="EE19" s="213">
        <v>0</v>
      </c>
      <c r="EF19" s="213">
        <v>0</v>
      </c>
      <c r="EG19" s="213">
        <v>0</v>
      </c>
      <c r="EH19" s="213" t="s">
        <v>249</v>
      </c>
      <c r="EK19" s="213" t="s">
        <v>747</v>
      </c>
      <c r="EL19" s="213" t="s">
        <v>743</v>
      </c>
      <c r="EM19" s="213">
        <v>0</v>
      </c>
      <c r="EN19" s="213">
        <v>0</v>
      </c>
      <c r="EO19" s="213">
        <v>0</v>
      </c>
      <c r="EP19" s="213" t="s">
        <v>249</v>
      </c>
      <c r="ES19" s="213" t="s">
        <v>748</v>
      </c>
      <c r="ET19" s="213" t="s">
        <v>743</v>
      </c>
      <c r="EU19" s="213">
        <v>0</v>
      </c>
      <c r="EV19" s="213">
        <v>0</v>
      </c>
      <c r="EW19" s="213">
        <v>0</v>
      </c>
      <c r="EX19" s="213" t="s">
        <v>249</v>
      </c>
      <c r="EY19" s="213">
        <v>70.2</v>
      </c>
      <c r="EZ19" s="213">
        <v>43.8</v>
      </c>
      <c r="FA19" s="213" t="s">
        <v>749</v>
      </c>
      <c r="FB19" s="213" t="s">
        <v>743</v>
      </c>
      <c r="FC19" s="213">
        <v>0</v>
      </c>
      <c r="FD19" s="213">
        <v>0</v>
      </c>
      <c r="FE19" s="213">
        <v>0</v>
      </c>
      <c r="FF19" s="213" t="s">
        <v>249</v>
      </c>
      <c r="FI19" s="213" t="s">
        <v>750</v>
      </c>
      <c r="FJ19" s="213" t="s">
        <v>743</v>
      </c>
      <c r="FK19" s="213">
        <v>0</v>
      </c>
      <c r="FL19" s="213">
        <v>0</v>
      </c>
      <c r="FM19" s="213">
        <v>0</v>
      </c>
      <c r="FN19" s="213" t="s">
        <v>249</v>
      </c>
      <c r="FO19" s="213">
        <v>73.7</v>
      </c>
      <c r="FP19" s="213">
        <v>180.1</v>
      </c>
      <c r="FQ19" s="213" t="s">
        <v>751</v>
      </c>
      <c r="FR19" s="213" t="s">
        <v>743</v>
      </c>
      <c r="FS19" s="213">
        <v>0</v>
      </c>
      <c r="FT19" s="213">
        <v>0</v>
      </c>
      <c r="FU19" s="213">
        <v>0</v>
      </c>
      <c r="FV19" s="213" t="s">
        <v>249</v>
      </c>
      <c r="FY19" s="213">
        <v>21.1</v>
      </c>
      <c r="FZ19" s="213">
        <v>-13.7</v>
      </c>
      <c r="GF19" s="213" t="s">
        <v>752</v>
      </c>
    </row>
    <row r="20" spans="1:188" s="213" customFormat="1" x14ac:dyDescent="0.15">
      <c r="A20" s="213" t="s">
        <v>654</v>
      </c>
      <c r="B20" s="213">
        <v>4</v>
      </c>
      <c r="C20" s="213" t="s">
        <v>876</v>
      </c>
      <c r="D20" s="213">
        <v>614338296</v>
      </c>
      <c r="E20" s="213">
        <v>92303</v>
      </c>
      <c r="F20" s="213" t="s">
        <v>795</v>
      </c>
      <c r="G20" s="213">
        <v>839032</v>
      </c>
      <c r="H20" s="213">
        <v>739871</v>
      </c>
      <c r="I20" s="213">
        <v>6.8</v>
      </c>
      <c r="J20" s="213" t="s">
        <v>877</v>
      </c>
      <c r="K20" s="213" t="s">
        <v>727</v>
      </c>
      <c r="L20" s="213" t="s">
        <v>797</v>
      </c>
      <c r="M20" s="213" t="s">
        <v>728</v>
      </c>
      <c r="N20" s="213" t="s">
        <v>728</v>
      </c>
      <c r="O20" s="213" t="s">
        <v>729</v>
      </c>
      <c r="P20" s="213" t="s">
        <v>249</v>
      </c>
      <c r="Q20" s="213">
        <v>25.4</v>
      </c>
      <c r="R20" s="213">
        <v>162</v>
      </c>
      <c r="S20" s="213" t="s">
        <v>249</v>
      </c>
      <c r="T20" s="213">
        <v>-9999</v>
      </c>
      <c r="U20" s="213">
        <v>197</v>
      </c>
      <c r="V20" s="213">
        <v>430</v>
      </c>
      <c r="W20" s="213">
        <v>190</v>
      </c>
      <c r="X20" s="213" t="s">
        <v>710</v>
      </c>
      <c r="Y20" s="213">
        <v>0</v>
      </c>
      <c r="Z20" s="213">
        <v>40</v>
      </c>
      <c r="AA20" s="213" t="s">
        <v>730</v>
      </c>
      <c r="AB20" s="213" t="s">
        <v>731</v>
      </c>
      <c r="AC20" s="213" t="s">
        <v>729</v>
      </c>
      <c r="AD20" s="213" t="s">
        <v>249</v>
      </c>
      <c r="AE20" s="213">
        <v>26.2</v>
      </c>
      <c r="AF20" s="213">
        <v>126</v>
      </c>
      <c r="AG20" s="213" t="s">
        <v>249</v>
      </c>
      <c r="AH20" s="213">
        <v>-9999</v>
      </c>
      <c r="AI20" s="213">
        <v>191</v>
      </c>
      <c r="AJ20" s="213">
        <v>457</v>
      </c>
      <c r="AK20" s="213">
        <v>188</v>
      </c>
      <c r="AL20" s="213" t="s">
        <v>710</v>
      </c>
      <c r="AM20" s="213">
        <v>0</v>
      </c>
      <c r="AN20" s="213">
        <v>40</v>
      </c>
      <c r="AO20" s="213" t="s">
        <v>733</v>
      </c>
      <c r="AP20" s="213" t="s">
        <v>734</v>
      </c>
      <c r="AQ20" s="213">
        <v>1</v>
      </c>
      <c r="AR20" s="213" t="s">
        <v>798</v>
      </c>
      <c r="AS20" s="213">
        <v>24</v>
      </c>
      <c r="AT20" s="213">
        <v>415</v>
      </c>
      <c r="AU20" s="213" t="s">
        <v>710</v>
      </c>
      <c r="AV20" s="213">
        <v>-9999</v>
      </c>
      <c r="AW20" s="213">
        <v>261</v>
      </c>
      <c r="AX20" s="213">
        <v>645</v>
      </c>
      <c r="AY20" s="213">
        <v>259</v>
      </c>
      <c r="AZ20" s="213" t="s">
        <v>710</v>
      </c>
      <c r="BA20" s="213">
        <v>0</v>
      </c>
      <c r="BB20" s="213">
        <v>40</v>
      </c>
      <c r="BC20" s="213" t="s">
        <v>736</v>
      </c>
      <c r="BD20" s="213" t="s">
        <v>734</v>
      </c>
      <c r="BE20" s="213">
        <v>2</v>
      </c>
      <c r="BF20" s="213" t="s">
        <v>798</v>
      </c>
      <c r="BG20" s="213">
        <v>25.2</v>
      </c>
      <c r="BH20" s="213">
        <v>175</v>
      </c>
      <c r="BI20" s="213" t="s">
        <v>710</v>
      </c>
      <c r="BJ20" s="213">
        <v>-9999</v>
      </c>
      <c r="BK20" s="213">
        <v>109</v>
      </c>
      <c r="BL20" s="213">
        <v>332</v>
      </c>
      <c r="BM20" s="213">
        <v>107</v>
      </c>
      <c r="BN20" s="213" t="s">
        <v>710</v>
      </c>
      <c r="BO20" s="213">
        <v>0</v>
      </c>
      <c r="BP20" s="213">
        <v>40</v>
      </c>
      <c r="BQ20" s="213" t="s">
        <v>737</v>
      </c>
      <c r="BR20" s="213" t="s">
        <v>734</v>
      </c>
      <c r="BS20" s="213">
        <v>3</v>
      </c>
      <c r="BT20" s="213" t="s">
        <v>799</v>
      </c>
      <c r="BU20" s="213">
        <v>0</v>
      </c>
      <c r="BV20" s="213">
        <v>30</v>
      </c>
      <c r="BW20" s="213" t="s">
        <v>249</v>
      </c>
      <c r="BX20" s="213">
        <v>-9999</v>
      </c>
      <c r="BY20" s="213">
        <v>166</v>
      </c>
      <c r="BZ20" s="213">
        <v>395</v>
      </c>
      <c r="CA20" s="213">
        <v>165</v>
      </c>
      <c r="CB20" s="213" t="s">
        <v>710</v>
      </c>
      <c r="CC20" s="213">
        <v>0</v>
      </c>
      <c r="CD20" s="213">
        <v>40</v>
      </c>
      <c r="CE20" s="213" t="s">
        <v>738</v>
      </c>
      <c r="CF20" s="213" t="s">
        <v>734</v>
      </c>
      <c r="CG20" s="213">
        <v>4</v>
      </c>
      <c r="CH20" s="213" t="s">
        <v>798</v>
      </c>
      <c r="CI20" s="213">
        <v>22.8</v>
      </c>
      <c r="CJ20" s="213">
        <v>385</v>
      </c>
      <c r="CK20" s="213" t="s">
        <v>710</v>
      </c>
      <c r="CL20" s="213">
        <v>-9999</v>
      </c>
      <c r="CM20" s="213">
        <v>140</v>
      </c>
      <c r="CN20" s="213">
        <v>376</v>
      </c>
      <c r="CO20" s="213">
        <v>138</v>
      </c>
      <c r="CP20" s="213" t="s">
        <v>710</v>
      </c>
      <c r="CQ20" s="213">
        <v>0</v>
      </c>
      <c r="CR20" s="213">
        <v>40</v>
      </c>
      <c r="CS20" s="213" t="s">
        <v>739</v>
      </c>
      <c r="CT20" s="213" t="s">
        <v>740</v>
      </c>
      <c r="CU20" s="213">
        <v>82</v>
      </c>
      <c r="CV20" s="213">
        <v>81</v>
      </c>
      <c r="CW20" s="213">
        <v>81</v>
      </c>
      <c r="CX20" s="213" t="s">
        <v>710</v>
      </c>
      <c r="CY20" s="213" t="s">
        <v>741</v>
      </c>
      <c r="CZ20" s="213" t="s">
        <v>740</v>
      </c>
      <c r="DA20" s="213">
        <v>100</v>
      </c>
      <c r="DB20" s="213">
        <v>100</v>
      </c>
      <c r="DC20" s="213">
        <v>100</v>
      </c>
      <c r="DD20" s="213" t="s">
        <v>710</v>
      </c>
      <c r="DE20" s="213" t="s">
        <v>742</v>
      </c>
      <c r="DF20" s="213" t="s">
        <v>743</v>
      </c>
      <c r="DG20" s="213">
        <v>0</v>
      </c>
      <c r="DH20" s="213">
        <v>0</v>
      </c>
      <c r="DI20" s="213">
        <v>0</v>
      </c>
      <c r="DJ20" s="213" t="s">
        <v>249</v>
      </c>
      <c r="DK20" s="213">
        <v>69.5</v>
      </c>
      <c r="DL20" s="213">
        <v>53</v>
      </c>
      <c r="DM20" s="213" t="s">
        <v>744</v>
      </c>
      <c r="DN20" s="213" t="s">
        <v>743</v>
      </c>
      <c r="DO20" s="213">
        <v>0</v>
      </c>
      <c r="DP20" s="213">
        <v>0</v>
      </c>
      <c r="DQ20" s="213">
        <v>0</v>
      </c>
      <c r="DR20" s="213" t="s">
        <v>249</v>
      </c>
      <c r="DU20" s="213" t="s">
        <v>745</v>
      </c>
      <c r="DV20" s="213" t="s">
        <v>743</v>
      </c>
      <c r="DW20" s="213">
        <v>0</v>
      </c>
      <c r="DX20" s="213">
        <v>0</v>
      </c>
      <c r="DY20" s="213">
        <v>0</v>
      </c>
      <c r="DZ20" s="213" t="s">
        <v>249</v>
      </c>
      <c r="EC20" s="213" t="s">
        <v>746</v>
      </c>
      <c r="ED20" s="213" t="s">
        <v>743</v>
      </c>
      <c r="EE20" s="213">
        <v>0</v>
      </c>
      <c r="EF20" s="213">
        <v>0</v>
      </c>
      <c r="EG20" s="213">
        <v>0</v>
      </c>
      <c r="EH20" s="213" t="s">
        <v>249</v>
      </c>
      <c r="EK20" s="213" t="s">
        <v>747</v>
      </c>
      <c r="EL20" s="213" t="s">
        <v>743</v>
      </c>
      <c r="EM20" s="213">
        <v>0</v>
      </c>
      <c r="EN20" s="213">
        <v>0</v>
      </c>
      <c r="EO20" s="213">
        <v>0</v>
      </c>
      <c r="EP20" s="213" t="s">
        <v>249</v>
      </c>
      <c r="ES20" s="213" t="s">
        <v>748</v>
      </c>
      <c r="ET20" s="213" t="s">
        <v>743</v>
      </c>
      <c r="EU20" s="213">
        <v>0</v>
      </c>
      <c r="EV20" s="213">
        <v>0</v>
      </c>
      <c r="EW20" s="213">
        <v>0</v>
      </c>
      <c r="EX20" s="213" t="s">
        <v>249</v>
      </c>
      <c r="EY20" s="213">
        <v>70</v>
      </c>
      <c r="EZ20" s="213">
        <v>44.1</v>
      </c>
      <c r="FA20" s="213" t="s">
        <v>749</v>
      </c>
      <c r="FB20" s="213" t="s">
        <v>743</v>
      </c>
      <c r="FC20" s="213">
        <v>0</v>
      </c>
      <c r="FD20" s="213">
        <v>0</v>
      </c>
      <c r="FE20" s="213">
        <v>0</v>
      </c>
      <c r="FF20" s="213" t="s">
        <v>249</v>
      </c>
      <c r="FI20" s="213" t="s">
        <v>750</v>
      </c>
      <c r="FJ20" s="213" t="s">
        <v>743</v>
      </c>
      <c r="FK20" s="213">
        <v>0</v>
      </c>
      <c r="FL20" s="213">
        <v>0</v>
      </c>
      <c r="FM20" s="213">
        <v>0</v>
      </c>
      <c r="FN20" s="213" t="s">
        <v>249</v>
      </c>
      <c r="FO20" s="213">
        <v>73.5</v>
      </c>
      <c r="FP20" s="213">
        <v>163</v>
      </c>
      <c r="FQ20" s="213" t="s">
        <v>751</v>
      </c>
      <c r="FR20" s="213" t="s">
        <v>743</v>
      </c>
      <c r="FS20" s="213">
        <v>0</v>
      </c>
      <c r="FT20" s="213">
        <v>0</v>
      </c>
      <c r="FU20" s="213">
        <v>0</v>
      </c>
      <c r="FV20" s="213" t="s">
        <v>249</v>
      </c>
      <c r="FY20" s="213">
        <v>19.3</v>
      </c>
      <c r="FZ20" s="213">
        <v>-6.5</v>
      </c>
      <c r="GF20" s="213" t="s">
        <v>752</v>
      </c>
    </row>
    <row r="21" spans="1:188" s="446" customFormat="1" x14ac:dyDescent="0.15">
      <c r="A21" s="213" t="s">
        <v>654</v>
      </c>
      <c r="B21" s="213">
        <v>4</v>
      </c>
      <c r="C21" s="213" t="s">
        <v>1198</v>
      </c>
      <c r="D21" s="213">
        <v>614338044</v>
      </c>
      <c r="E21" s="213">
        <v>92303</v>
      </c>
      <c r="F21" s="213" t="s">
        <v>795</v>
      </c>
      <c r="G21" s="213">
        <v>839032</v>
      </c>
      <c r="H21" s="213">
        <v>656159</v>
      </c>
      <c r="I21" s="213">
        <v>6.8</v>
      </c>
      <c r="J21" s="213" t="s">
        <v>958</v>
      </c>
      <c r="K21" s="213" t="s">
        <v>727</v>
      </c>
      <c r="L21" s="213" t="s">
        <v>797</v>
      </c>
      <c r="M21" s="213" t="s">
        <v>728</v>
      </c>
      <c r="N21" s="213" t="s">
        <v>728</v>
      </c>
      <c r="O21" s="213" t="s">
        <v>729</v>
      </c>
      <c r="P21" s="213" t="s">
        <v>249</v>
      </c>
      <c r="Q21" s="213">
        <v>24.4</v>
      </c>
      <c r="R21" s="213">
        <v>154</v>
      </c>
      <c r="S21" s="213" t="s">
        <v>249</v>
      </c>
      <c r="T21" s="213">
        <v>-9999</v>
      </c>
      <c r="U21" s="213">
        <v>181</v>
      </c>
      <c r="V21" s="213">
        <v>393</v>
      </c>
      <c r="W21" s="213">
        <v>177</v>
      </c>
      <c r="X21" s="213" t="s">
        <v>710</v>
      </c>
      <c r="Y21" s="213">
        <v>0</v>
      </c>
      <c r="Z21" s="213">
        <v>40</v>
      </c>
      <c r="AA21" s="213" t="s">
        <v>730</v>
      </c>
      <c r="AB21" s="213" t="s">
        <v>731</v>
      </c>
      <c r="AC21" s="213" t="s">
        <v>729</v>
      </c>
      <c r="AD21" s="213" t="s">
        <v>249</v>
      </c>
      <c r="AE21" s="213">
        <v>25.9</v>
      </c>
      <c r="AF21" s="213">
        <v>121</v>
      </c>
      <c r="AG21" s="213" t="s">
        <v>249</v>
      </c>
      <c r="AH21" s="213">
        <v>-9999</v>
      </c>
      <c r="AI21" s="213">
        <v>207</v>
      </c>
      <c r="AJ21" s="213">
        <v>494</v>
      </c>
      <c r="AK21" s="213">
        <v>204</v>
      </c>
      <c r="AL21" s="213" t="s">
        <v>710</v>
      </c>
      <c r="AM21" s="213">
        <v>0</v>
      </c>
      <c r="AN21" s="213">
        <v>40</v>
      </c>
      <c r="AO21" s="213" t="s">
        <v>733</v>
      </c>
      <c r="AP21" s="213" t="s">
        <v>734</v>
      </c>
      <c r="AQ21" s="213">
        <v>1</v>
      </c>
      <c r="AR21" s="213" t="s">
        <v>798</v>
      </c>
      <c r="AS21" s="213">
        <v>23.7</v>
      </c>
      <c r="AT21" s="213">
        <v>410</v>
      </c>
      <c r="AU21" s="213" t="s">
        <v>710</v>
      </c>
      <c r="AV21" s="213">
        <v>-9999</v>
      </c>
      <c r="AW21" s="213">
        <v>262</v>
      </c>
      <c r="AX21" s="213">
        <v>648</v>
      </c>
      <c r="AY21" s="213">
        <v>258</v>
      </c>
      <c r="AZ21" s="213" t="s">
        <v>710</v>
      </c>
      <c r="BA21" s="213">
        <v>0</v>
      </c>
      <c r="BB21" s="213">
        <v>40</v>
      </c>
      <c r="BC21" s="213" t="s">
        <v>736</v>
      </c>
      <c r="BD21" s="213" t="s">
        <v>734</v>
      </c>
      <c r="BE21" s="213">
        <v>2</v>
      </c>
      <c r="BF21" s="213" t="s">
        <v>798</v>
      </c>
      <c r="BG21" s="213">
        <v>24.8</v>
      </c>
      <c r="BH21" s="213">
        <v>177</v>
      </c>
      <c r="BI21" s="213" t="s">
        <v>710</v>
      </c>
      <c r="BJ21" s="213">
        <v>-9999</v>
      </c>
      <c r="BK21" s="213">
        <v>114</v>
      </c>
      <c r="BL21" s="213">
        <v>344</v>
      </c>
      <c r="BM21" s="213">
        <v>111</v>
      </c>
      <c r="BN21" s="213" t="s">
        <v>710</v>
      </c>
      <c r="BO21" s="213">
        <v>0</v>
      </c>
      <c r="BP21" s="213">
        <v>40</v>
      </c>
      <c r="BQ21" s="213" t="s">
        <v>737</v>
      </c>
      <c r="BR21" s="213" t="s">
        <v>734</v>
      </c>
      <c r="BS21" s="213">
        <v>3</v>
      </c>
      <c r="BT21" s="213" t="s">
        <v>799</v>
      </c>
      <c r="BU21" s="213">
        <v>0</v>
      </c>
      <c r="BV21" s="213">
        <v>31</v>
      </c>
      <c r="BW21" s="213" t="s">
        <v>249</v>
      </c>
      <c r="BX21" s="213">
        <v>-9999</v>
      </c>
      <c r="BY21" s="213">
        <v>163</v>
      </c>
      <c r="BZ21" s="213">
        <v>391</v>
      </c>
      <c r="CA21" s="213">
        <v>163</v>
      </c>
      <c r="CB21" s="213" t="s">
        <v>710</v>
      </c>
      <c r="CC21" s="213">
        <v>0</v>
      </c>
      <c r="CD21" s="213">
        <v>40</v>
      </c>
      <c r="CE21" s="213" t="s">
        <v>738</v>
      </c>
      <c r="CF21" s="213" t="s">
        <v>734</v>
      </c>
      <c r="CG21" s="213">
        <v>4</v>
      </c>
      <c r="CH21" s="213" t="s">
        <v>798</v>
      </c>
      <c r="CI21" s="213">
        <v>22.4</v>
      </c>
      <c r="CJ21" s="213">
        <v>411</v>
      </c>
      <c r="CK21" s="213" t="s">
        <v>710</v>
      </c>
      <c r="CL21" s="213">
        <v>-9999</v>
      </c>
      <c r="CM21" s="213">
        <v>131</v>
      </c>
      <c r="CN21" s="213">
        <v>341</v>
      </c>
      <c r="CO21" s="213">
        <v>128</v>
      </c>
      <c r="CP21" s="213" t="s">
        <v>710</v>
      </c>
      <c r="CQ21" s="213">
        <v>0</v>
      </c>
      <c r="CR21" s="213">
        <v>40</v>
      </c>
      <c r="CS21" s="213" t="s">
        <v>739</v>
      </c>
      <c r="CT21" s="213" t="s">
        <v>740</v>
      </c>
      <c r="CU21" s="213">
        <v>106</v>
      </c>
      <c r="CV21" s="213">
        <v>105</v>
      </c>
      <c r="CW21" s="213">
        <v>105</v>
      </c>
      <c r="CX21" s="213" t="s">
        <v>710</v>
      </c>
      <c r="CY21" s="213" t="s">
        <v>741</v>
      </c>
      <c r="CZ21" s="213" t="s">
        <v>740</v>
      </c>
      <c r="DA21" s="213">
        <v>108</v>
      </c>
      <c r="DB21" s="213">
        <v>108</v>
      </c>
      <c r="DC21" s="213">
        <v>108</v>
      </c>
      <c r="DD21" s="213" t="s">
        <v>710</v>
      </c>
      <c r="DE21" s="213" t="s">
        <v>742</v>
      </c>
      <c r="DF21" s="213" t="s">
        <v>743</v>
      </c>
      <c r="DG21" s="213">
        <v>0</v>
      </c>
      <c r="DH21" s="213">
        <v>0</v>
      </c>
      <c r="DI21" s="213">
        <v>0</v>
      </c>
      <c r="DJ21" s="213" t="s">
        <v>249</v>
      </c>
      <c r="DK21" s="213">
        <v>69.400000000000006</v>
      </c>
      <c r="DL21" s="213">
        <v>55.4</v>
      </c>
      <c r="DM21" s="213" t="s">
        <v>744</v>
      </c>
      <c r="DN21" s="213" t="s">
        <v>743</v>
      </c>
      <c r="DO21" s="213">
        <v>0</v>
      </c>
      <c r="DP21" s="213">
        <v>0</v>
      </c>
      <c r="DQ21" s="213">
        <v>0</v>
      </c>
      <c r="DR21" s="213" t="s">
        <v>249</v>
      </c>
      <c r="DS21" s="213"/>
      <c r="DT21" s="213"/>
      <c r="DU21" s="213" t="s">
        <v>745</v>
      </c>
      <c r="DV21" s="213" t="s">
        <v>743</v>
      </c>
      <c r="DW21" s="213">
        <v>0</v>
      </c>
      <c r="DX21" s="213">
        <v>0</v>
      </c>
      <c r="DY21" s="213">
        <v>0</v>
      </c>
      <c r="DZ21" s="213" t="s">
        <v>249</v>
      </c>
      <c r="EA21" s="213"/>
      <c r="EB21" s="213"/>
      <c r="EC21" s="213" t="s">
        <v>746</v>
      </c>
      <c r="ED21" s="213" t="s">
        <v>743</v>
      </c>
      <c r="EE21" s="213">
        <v>0</v>
      </c>
      <c r="EF21" s="213">
        <v>0</v>
      </c>
      <c r="EG21" s="213">
        <v>0</v>
      </c>
      <c r="EH21" s="213" t="s">
        <v>249</v>
      </c>
      <c r="EI21" s="213"/>
      <c r="EJ21" s="213"/>
      <c r="EK21" s="213" t="s">
        <v>747</v>
      </c>
      <c r="EL21" s="213" t="s">
        <v>743</v>
      </c>
      <c r="EM21" s="213">
        <v>0</v>
      </c>
      <c r="EN21" s="213">
        <v>0</v>
      </c>
      <c r="EO21" s="213">
        <v>0</v>
      </c>
      <c r="EP21" s="213" t="s">
        <v>249</v>
      </c>
      <c r="ES21" s="446" t="s">
        <v>748</v>
      </c>
      <c r="ET21" s="446" t="s">
        <v>743</v>
      </c>
      <c r="EU21" s="446">
        <v>0</v>
      </c>
      <c r="EV21" s="446">
        <v>0</v>
      </c>
      <c r="EW21" s="446">
        <v>0</v>
      </c>
      <c r="EX21" s="446" t="s">
        <v>249</v>
      </c>
      <c r="EY21" s="446">
        <v>70</v>
      </c>
      <c r="EZ21" s="446">
        <v>48.9</v>
      </c>
      <c r="FA21" s="446" t="s">
        <v>749</v>
      </c>
      <c r="FB21" s="446" t="s">
        <v>743</v>
      </c>
      <c r="FC21" s="446">
        <v>0</v>
      </c>
      <c r="FD21" s="446">
        <v>0</v>
      </c>
      <c r="FE21" s="446">
        <v>0</v>
      </c>
      <c r="FF21" s="446" t="s">
        <v>249</v>
      </c>
      <c r="FI21" s="446" t="s">
        <v>750</v>
      </c>
      <c r="FJ21" s="446" t="s">
        <v>743</v>
      </c>
      <c r="FK21" s="446">
        <v>0</v>
      </c>
      <c r="FL21" s="446">
        <v>0</v>
      </c>
      <c r="FM21" s="446">
        <v>0</v>
      </c>
      <c r="FN21" s="446" t="s">
        <v>249</v>
      </c>
      <c r="FO21" s="446">
        <v>73.5</v>
      </c>
      <c r="FP21" s="446">
        <v>152</v>
      </c>
      <c r="FQ21" s="446" t="s">
        <v>751</v>
      </c>
      <c r="FR21" s="446" t="s">
        <v>743</v>
      </c>
      <c r="FS21" s="446">
        <v>0</v>
      </c>
      <c r="FT21" s="446">
        <v>0</v>
      </c>
      <c r="FU21" s="446">
        <v>0</v>
      </c>
      <c r="FV21" s="446" t="s">
        <v>249</v>
      </c>
      <c r="FY21" s="446">
        <v>20</v>
      </c>
      <c r="FZ21" s="446">
        <v>-5.6</v>
      </c>
      <c r="GF21" s="446" t="s">
        <v>752</v>
      </c>
    </row>
    <row r="22" spans="1:188" s="446" customFormat="1" x14ac:dyDescent="0.15">
      <c r="A22" s="213" t="s">
        <v>654</v>
      </c>
      <c r="B22" s="213">
        <v>4</v>
      </c>
      <c r="C22" s="213" t="s">
        <v>1199</v>
      </c>
      <c r="D22" s="213">
        <v>614338046</v>
      </c>
      <c r="E22" s="213">
        <v>92303</v>
      </c>
      <c r="F22" s="213" t="s">
        <v>795</v>
      </c>
      <c r="G22" s="213">
        <v>839032</v>
      </c>
      <c r="H22" s="213">
        <v>210058622</v>
      </c>
      <c r="I22" s="213">
        <v>6.8</v>
      </c>
      <c r="J22" s="213" t="s">
        <v>1200</v>
      </c>
      <c r="K22" s="213" t="s">
        <v>727</v>
      </c>
      <c r="L22" s="213" t="s">
        <v>797</v>
      </c>
      <c r="M22" s="213" t="s">
        <v>728</v>
      </c>
      <c r="N22" s="213" t="s">
        <v>728</v>
      </c>
      <c r="O22" s="213" t="s">
        <v>729</v>
      </c>
      <c r="P22" s="213" t="s">
        <v>249</v>
      </c>
      <c r="Q22" s="213">
        <v>24</v>
      </c>
      <c r="R22" s="213">
        <v>155</v>
      </c>
      <c r="S22" s="213" t="s">
        <v>249</v>
      </c>
      <c r="T22" s="213">
        <v>-9999</v>
      </c>
      <c r="U22" s="213">
        <v>146</v>
      </c>
      <c r="V22" s="213">
        <v>344</v>
      </c>
      <c r="W22" s="213">
        <v>142</v>
      </c>
      <c r="X22" s="213" t="s">
        <v>710</v>
      </c>
      <c r="Y22" s="213">
        <v>0</v>
      </c>
      <c r="Z22" s="213">
        <v>40</v>
      </c>
      <c r="AA22" s="213" t="s">
        <v>730</v>
      </c>
      <c r="AB22" s="213" t="s">
        <v>731</v>
      </c>
      <c r="AC22" s="213" t="s">
        <v>729</v>
      </c>
      <c r="AD22" s="213" t="s">
        <v>249</v>
      </c>
      <c r="AE22" s="213">
        <v>27.5</v>
      </c>
      <c r="AF22" s="213">
        <v>125</v>
      </c>
      <c r="AG22" s="213" t="s">
        <v>249</v>
      </c>
      <c r="AH22" s="213">
        <v>-9999</v>
      </c>
      <c r="AI22" s="213">
        <v>202</v>
      </c>
      <c r="AJ22" s="213">
        <v>478</v>
      </c>
      <c r="AK22" s="213">
        <v>199</v>
      </c>
      <c r="AL22" s="213" t="s">
        <v>710</v>
      </c>
      <c r="AM22" s="213">
        <v>0</v>
      </c>
      <c r="AN22" s="213">
        <v>40</v>
      </c>
      <c r="AO22" s="213" t="s">
        <v>733</v>
      </c>
      <c r="AP22" s="213" t="s">
        <v>734</v>
      </c>
      <c r="AQ22" s="213">
        <v>1</v>
      </c>
      <c r="AR22" s="213" t="s">
        <v>798</v>
      </c>
      <c r="AS22" s="213">
        <v>25.4</v>
      </c>
      <c r="AT22" s="213">
        <v>393</v>
      </c>
      <c r="AU22" s="213" t="s">
        <v>710</v>
      </c>
      <c r="AV22" s="213">
        <v>-9999</v>
      </c>
      <c r="AW22" s="213">
        <v>253</v>
      </c>
      <c r="AX22" s="213">
        <v>634</v>
      </c>
      <c r="AY22" s="213">
        <v>250</v>
      </c>
      <c r="AZ22" s="213" t="s">
        <v>710</v>
      </c>
      <c r="BA22" s="213">
        <v>0</v>
      </c>
      <c r="BB22" s="213">
        <v>40</v>
      </c>
      <c r="BC22" s="213" t="s">
        <v>736</v>
      </c>
      <c r="BD22" s="213" t="s">
        <v>734</v>
      </c>
      <c r="BE22" s="213">
        <v>2</v>
      </c>
      <c r="BF22" s="213" t="s">
        <v>798</v>
      </c>
      <c r="BG22" s="213">
        <v>26</v>
      </c>
      <c r="BH22" s="213">
        <v>182</v>
      </c>
      <c r="BI22" s="213" t="s">
        <v>710</v>
      </c>
      <c r="BJ22" s="213">
        <v>-9999</v>
      </c>
      <c r="BK22" s="213">
        <v>101</v>
      </c>
      <c r="BL22" s="213">
        <v>309</v>
      </c>
      <c r="BM22" s="213">
        <v>99</v>
      </c>
      <c r="BN22" s="213" t="s">
        <v>710</v>
      </c>
      <c r="BO22" s="213">
        <v>0</v>
      </c>
      <c r="BP22" s="213">
        <v>40</v>
      </c>
      <c r="BQ22" s="213" t="s">
        <v>737</v>
      </c>
      <c r="BR22" s="213" t="s">
        <v>734</v>
      </c>
      <c r="BS22" s="213">
        <v>3</v>
      </c>
      <c r="BT22" s="213" t="s">
        <v>799</v>
      </c>
      <c r="BU22" s="213">
        <v>0</v>
      </c>
      <c r="BV22" s="213">
        <v>32</v>
      </c>
      <c r="BW22" s="213" t="s">
        <v>249</v>
      </c>
      <c r="BX22" s="213">
        <v>-9999</v>
      </c>
      <c r="BY22" s="213">
        <v>182</v>
      </c>
      <c r="BZ22" s="213">
        <v>437</v>
      </c>
      <c r="CA22" s="213">
        <v>181</v>
      </c>
      <c r="CB22" s="213" t="s">
        <v>710</v>
      </c>
      <c r="CC22" s="213">
        <v>0</v>
      </c>
      <c r="CD22" s="213">
        <v>40</v>
      </c>
      <c r="CE22" s="213" t="s">
        <v>738</v>
      </c>
      <c r="CF22" s="213" t="s">
        <v>734</v>
      </c>
      <c r="CG22" s="213">
        <v>4</v>
      </c>
      <c r="CH22" s="213" t="s">
        <v>798</v>
      </c>
      <c r="CI22" s="213">
        <v>24.1</v>
      </c>
      <c r="CJ22" s="213">
        <v>392</v>
      </c>
      <c r="CK22" s="213" t="s">
        <v>710</v>
      </c>
      <c r="CL22" s="213">
        <v>-9999</v>
      </c>
      <c r="CM22" s="213">
        <v>131</v>
      </c>
      <c r="CN22" s="213">
        <v>347</v>
      </c>
      <c r="CO22" s="213">
        <v>129</v>
      </c>
      <c r="CP22" s="213" t="s">
        <v>710</v>
      </c>
      <c r="CQ22" s="213">
        <v>0</v>
      </c>
      <c r="CR22" s="213">
        <v>40</v>
      </c>
      <c r="CS22" s="213" t="s">
        <v>739</v>
      </c>
      <c r="CT22" s="213" t="s">
        <v>740</v>
      </c>
      <c r="CU22" s="213">
        <v>115</v>
      </c>
      <c r="CV22" s="213">
        <v>114</v>
      </c>
      <c r="CW22" s="213">
        <v>114</v>
      </c>
      <c r="CX22" s="213" t="s">
        <v>710</v>
      </c>
      <c r="CY22" s="213" t="s">
        <v>741</v>
      </c>
      <c r="CZ22" s="213" t="s">
        <v>740</v>
      </c>
      <c r="DA22" s="213">
        <v>122</v>
      </c>
      <c r="DB22" s="213">
        <v>122</v>
      </c>
      <c r="DC22" s="213">
        <v>122</v>
      </c>
      <c r="DD22" s="213" t="s">
        <v>710</v>
      </c>
      <c r="DE22" s="213" t="s">
        <v>742</v>
      </c>
      <c r="DF22" s="213" t="s">
        <v>743</v>
      </c>
      <c r="DG22" s="213">
        <v>0</v>
      </c>
      <c r="DH22" s="213">
        <v>0</v>
      </c>
      <c r="DI22" s="213">
        <v>0</v>
      </c>
      <c r="DJ22" s="213" t="s">
        <v>249</v>
      </c>
      <c r="DK22" s="213">
        <v>69.400000000000006</v>
      </c>
      <c r="DL22" s="213">
        <v>41.2</v>
      </c>
      <c r="DM22" s="213" t="s">
        <v>744</v>
      </c>
      <c r="DN22" s="213" t="s">
        <v>743</v>
      </c>
      <c r="DO22" s="213">
        <v>0</v>
      </c>
      <c r="DP22" s="213">
        <v>0</v>
      </c>
      <c r="DQ22" s="213">
        <v>0</v>
      </c>
      <c r="DR22" s="213" t="s">
        <v>249</v>
      </c>
      <c r="DS22" s="213"/>
      <c r="DT22" s="213"/>
      <c r="DU22" s="213" t="s">
        <v>745</v>
      </c>
      <c r="DV22" s="213" t="s">
        <v>743</v>
      </c>
      <c r="DW22" s="213">
        <v>0</v>
      </c>
      <c r="DX22" s="213">
        <v>0</v>
      </c>
      <c r="DY22" s="213">
        <v>0</v>
      </c>
      <c r="DZ22" s="213" t="s">
        <v>249</v>
      </c>
      <c r="EA22" s="213"/>
      <c r="EB22" s="213"/>
      <c r="EC22" s="213" t="s">
        <v>746</v>
      </c>
      <c r="ED22" s="213" t="s">
        <v>743</v>
      </c>
      <c r="EE22" s="213">
        <v>0</v>
      </c>
      <c r="EF22" s="213">
        <v>0</v>
      </c>
      <c r="EG22" s="213">
        <v>0</v>
      </c>
      <c r="EH22" s="213" t="s">
        <v>249</v>
      </c>
      <c r="EI22" s="213"/>
      <c r="EJ22" s="213"/>
      <c r="EK22" s="213" t="s">
        <v>747</v>
      </c>
      <c r="EL22" s="213" t="s">
        <v>743</v>
      </c>
      <c r="EM22" s="213">
        <v>0</v>
      </c>
      <c r="EN22" s="213">
        <v>0</v>
      </c>
      <c r="EO22" s="213">
        <v>0</v>
      </c>
      <c r="EP22" s="213" t="s">
        <v>249</v>
      </c>
      <c r="ES22" s="446" t="s">
        <v>748</v>
      </c>
      <c r="ET22" s="446" t="s">
        <v>743</v>
      </c>
      <c r="EU22" s="446">
        <v>0</v>
      </c>
      <c r="EV22" s="446">
        <v>0</v>
      </c>
      <c r="EW22" s="446">
        <v>0</v>
      </c>
      <c r="EX22" s="446" t="s">
        <v>249</v>
      </c>
      <c r="EY22" s="446">
        <v>70.099999999999994</v>
      </c>
      <c r="EZ22" s="446">
        <v>36.4</v>
      </c>
      <c r="FA22" s="446" t="s">
        <v>749</v>
      </c>
      <c r="FB22" s="446" t="s">
        <v>743</v>
      </c>
      <c r="FC22" s="446">
        <v>0</v>
      </c>
      <c r="FD22" s="446">
        <v>0</v>
      </c>
      <c r="FE22" s="446">
        <v>0</v>
      </c>
      <c r="FF22" s="446" t="s">
        <v>249</v>
      </c>
      <c r="FI22" s="446" t="s">
        <v>750</v>
      </c>
      <c r="FJ22" s="446" t="s">
        <v>743</v>
      </c>
      <c r="FK22" s="446">
        <v>0</v>
      </c>
      <c r="FL22" s="446">
        <v>0</v>
      </c>
      <c r="FM22" s="446">
        <v>0</v>
      </c>
      <c r="FN22" s="446" t="s">
        <v>249</v>
      </c>
      <c r="FO22" s="446">
        <v>73.599999999999994</v>
      </c>
      <c r="FP22" s="446">
        <v>139.69999999999999</v>
      </c>
      <c r="FQ22" s="446" t="s">
        <v>751</v>
      </c>
      <c r="FR22" s="446" t="s">
        <v>743</v>
      </c>
      <c r="FS22" s="446">
        <v>0</v>
      </c>
      <c r="FT22" s="446">
        <v>0</v>
      </c>
      <c r="FU22" s="446">
        <v>0</v>
      </c>
      <c r="FV22" s="446" t="s">
        <v>249</v>
      </c>
      <c r="FY22" s="446">
        <v>24.6</v>
      </c>
      <c r="FZ22" s="446">
        <v>-16</v>
      </c>
      <c r="GF22" s="446" t="s">
        <v>752</v>
      </c>
    </row>
    <row r="23" spans="1:188" s="446" customFormat="1" x14ac:dyDescent="0.15">
      <c r="A23" s="213" t="s">
        <v>654</v>
      </c>
      <c r="B23" s="213">
        <v>4</v>
      </c>
      <c r="C23" s="213" t="s">
        <v>1201</v>
      </c>
      <c r="D23" s="213">
        <v>614338467</v>
      </c>
      <c r="E23" s="213">
        <v>92303</v>
      </c>
      <c r="F23" s="213" t="s">
        <v>795</v>
      </c>
      <c r="G23" s="213">
        <v>839032</v>
      </c>
      <c r="H23" s="213">
        <v>652304</v>
      </c>
      <c r="I23" s="213">
        <v>6.8</v>
      </c>
      <c r="J23" s="213" t="s">
        <v>1202</v>
      </c>
      <c r="K23" s="213" t="s">
        <v>727</v>
      </c>
      <c r="L23" s="213" t="s">
        <v>797</v>
      </c>
      <c r="M23" s="213" t="s">
        <v>728</v>
      </c>
      <c r="N23" s="213" t="s">
        <v>728</v>
      </c>
      <c r="O23" s="213" t="s">
        <v>729</v>
      </c>
      <c r="P23" s="213" t="s">
        <v>249</v>
      </c>
      <c r="Q23" s="213">
        <v>23.4</v>
      </c>
      <c r="R23" s="213">
        <v>160</v>
      </c>
      <c r="S23" s="213" t="s">
        <v>249</v>
      </c>
      <c r="T23" s="213">
        <v>-9999</v>
      </c>
      <c r="U23" s="213">
        <v>192</v>
      </c>
      <c r="V23" s="213">
        <v>422</v>
      </c>
      <c r="W23" s="213">
        <v>186</v>
      </c>
      <c r="X23" s="213" t="s">
        <v>710</v>
      </c>
      <c r="Y23" s="213">
        <v>0</v>
      </c>
      <c r="Z23" s="213">
        <v>40</v>
      </c>
      <c r="AA23" s="213" t="s">
        <v>730</v>
      </c>
      <c r="AB23" s="213" t="s">
        <v>731</v>
      </c>
      <c r="AC23" s="213" t="s">
        <v>729</v>
      </c>
      <c r="AD23" s="213" t="s">
        <v>249</v>
      </c>
      <c r="AE23" s="213">
        <v>26</v>
      </c>
      <c r="AF23" s="213">
        <v>130</v>
      </c>
      <c r="AG23" s="213" t="s">
        <v>249</v>
      </c>
      <c r="AH23" s="213">
        <v>-9999</v>
      </c>
      <c r="AI23" s="213">
        <v>207</v>
      </c>
      <c r="AJ23" s="213">
        <v>491</v>
      </c>
      <c r="AK23" s="213">
        <v>203</v>
      </c>
      <c r="AL23" s="213" t="s">
        <v>710</v>
      </c>
      <c r="AM23" s="213">
        <v>0</v>
      </c>
      <c r="AN23" s="213">
        <v>40</v>
      </c>
      <c r="AO23" s="213" t="s">
        <v>733</v>
      </c>
      <c r="AP23" s="213" t="s">
        <v>734</v>
      </c>
      <c r="AQ23" s="213">
        <v>1</v>
      </c>
      <c r="AR23" s="213" t="s">
        <v>798</v>
      </c>
      <c r="AS23" s="213">
        <v>23.4</v>
      </c>
      <c r="AT23" s="213">
        <v>435</v>
      </c>
      <c r="AU23" s="213" t="s">
        <v>710</v>
      </c>
      <c r="AV23" s="213">
        <v>-9999</v>
      </c>
      <c r="AW23" s="213">
        <v>241</v>
      </c>
      <c r="AX23" s="213">
        <v>597</v>
      </c>
      <c r="AY23" s="213">
        <v>237</v>
      </c>
      <c r="AZ23" s="213" t="s">
        <v>710</v>
      </c>
      <c r="BA23" s="213">
        <v>0</v>
      </c>
      <c r="BB23" s="213">
        <v>40</v>
      </c>
      <c r="BC23" s="213" t="s">
        <v>736</v>
      </c>
      <c r="BD23" s="213" t="s">
        <v>734</v>
      </c>
      <c r="BE23" s="213">
        <v>2</v>
      </c>
      <c r="BF23" s="213" t="s">
        <v>798</v>
      </c>
      <c r="BG23" s="213">
        <v>24.4</v>
      </c>
      <c r="BH23" s="213">
        <v>188</v>
      </c>
      <c r="BI23" s="213" t="s">
        <v>710</v>
      </c>
      <c r="BJ23" s="213">
        <v>-9999</v>
      </c>
      <c r="BK23" s="213">
        <v>111</v>
      </c>
      <c r="BL23" s="213">
        <v>332</v>
      </c>
      <c r="BM23" s="213">
        <v>109</v>
      </c>
      <c r="BN23" s="213" t="s">
        <v>710</v>
      </c>
      <c r="BO23" s="213">
        <v>0</v>
      </c>
      <c r="BP23" s="213">
        <v>40</v>
      </c>
      <c r="BQ23" s="213" t="s">
        <v>737</v>
      </c>
      <c r="BR23" s="213" t="s">
        <v>734</v>
      </c>
      <c r="BS23" s="213">
        <v>3</v>
      </c>
      <c r="BT23" s="213" t="s">
        <v>799</v>
      </c>
      <c r="BU23" s="213">
        <v>0</v>
      </c>
      <c r="BV23" s="213">
        <v>37</v>
      </c>
      <c r="BW23" s="213" t="s">
        <v>249</v>
      </c>
      <c r="BX23" s="213">
        <v>-9999</v>
      </c>
      <c r="BY23" s="213">
        <v>186</v>
      </c>
      <c r="BZ23" s="213">
        <v>447</v>
      </c>
      <c r="CA23" s="213">
        <v>184</v>
      </c>
      <c r="CB23" s="213" t="s">
        <v>710</v>
      </c>
      <c r="CC23" s="213">
        <v>0</v>
      </c>
      <c r="CD23" s="213">
        <v>40</v>
      </c>
      <c r="CE23" s="213" t="s">
        <v>738</v>
      </c>
      <c r="CF23" s="213" t="s">
        <v>734</v>
      </c>
      <c r="CG23" s="213">
        <v>4</v>
      </c>
      <c r="CH23" s="213" t="s">
        <v>798</v>
      </c>
      <c r="CI23" s="213">
        <v>22.2</v>
      </c>
      <c r="CJ23" s="213">
        <v>430</v>
      </c>
      <c r="CK23" s="213" t="s">
        <v>710</v>
      </c>
      <c r="CL23" s="213">
        <v>-9999</v>
      </c>
      <c r="CM23" s="213">
        <v>133</v>
      </c>
      <c r="CN23" s="213">
        <v>343</v>
      </c>
      <c r="CO23" s="213">
        <v>129</v>
      </c>
      <c r="CP23" s="213" t="s">
        <v>710</v>
      </c>
      <c r="CQ23" s="213">
        <v>0</v>
      </c>
      <c r="CR23" s="213">
        <v>40</v>
      </c>
      <c r="CS23" s="213" t="s">
        <v>739</v>
      </c>
      <c r="CT23" s="213" t="s">
        <v>740</v>
      </c>
      <c r="CU23" s="213">
        <v>114</v>
      </c>
      <c r="CV23" s="213">
        <v>113</v>
      </c>
      <c r="CW23" s="213">
        <v>113</v>
      </c>
      <c r="CX23" s="213" t="s">
        <v>710</v>
      </c>
      <c r="CY23" s="213" t="s">
        <v>741</v>
      </c>
      <c r="CZ23" s="213" t="s">
        <v>740</v>
      </c>
      <c r="DA23" s="213">
        <v>129</v>
      </c>
      <c r="DB23" s="213">
        <v>129</v>
      </c>
      <c r="DC23" s="213">
        <v>129</v>
      </c>
      <c r="DD23" s="213" t="s">
        <v>710</v>
      </c>
      <c r="DE23" s="213" t="s">
        <v>742</v>
      </c>
      <c r="DF23" s="213" t="s">
        <v>743</v>
      </c>
      <c r="DG23" s="213">
        <v>0</v>
      </c>
      <c r="DH23" s="213">
        <v>0</v>
      </c>
      <c r="DI23" s="213">
        <v>0</v>
      </c>
      <c r="DJ23" s="213" t="s">
        <v>249</v>
      </c>
      <c r="DK23" s="213">
        <v>69.400000000000006</v>
      </c>
      <c r="DL23" s="213">
        <v>44.7</v>
      </c>
      <c r="DM23" s="213" t="s">
        <v>744</v>
      </c>
      <c r="DN23" s="213" t="s">
        <v>743</v>
      </c>
      <c r="DO23" s="213">
        <v>0</v>
      </c>
      <c r="DP23" s="213">
        <v>0</v>
      </c>
      <c r="DQ23" s="213">
        <v>0</v>
      </c>
      <c r="DR23" s="213" t="s">
        <v>249</v>
      </c>
      <c r="DS23" s="213"/>
      <c r="DT23" s="213"/>
      <c r="DU23" s="213" t="s">
        <v>745</v>
      </c>
      <c r="DV23" s="213" t="s">
        <v>743</v>
      </c>
      <c r="DW23" s="213">
        <v>0</v>
      </c>
      <c r="DX23" s="213">
        <v>0</v>
      </c>
      <c r="DY23" s="213">
        <v>0</v>
      </c>
      <c r="DZ23" s="213" t="s">
        <v>249</v>
      </c>
      <c r="EA23" s="213"/>
      <c r="EB23" s="213"/>
      <c r="EC23" s="213" t="s">
        <v>746</v>
      </c>
      <c r="ED23" s="213" t="s">
        <v>743</v>
      </c>
      <c r="EE23" s="213">
        <v>0</v>
      </c>
      <c r="EF23" s="213">
        <v>0</v>
      </c>
      <c r="EG23" s="213">
        <v>0</v>
      </c>
      <c r="EH23" s="213" t="s">
        <v>249</v>
      </c>
      <c r="EI23" s="213"/>
      <c r="EJ23" s="213"/>
      <c r="EK23" s="213" t="s">
        <v>747</v>
      </c>
      <c r="EL23" s="213" t="s">
        <v>743</v>
      </c>
      <c r="EM23" s="213">
        <v>0</v>
      </c>
      <c r="EN23" s="213">
        <v>0</v>
      </c>
      <c r="EO23" s="213">
        <v>0</v>
      </c>
      <c r="EP23" s="213" t="s">
        <v>249</v>
      </c>
      <c r="ES23" s="446" t="s">
        <v>748</v>
      </c>
      <c r="ET23" s="446" t="s">
        <v>743</v>
      </c>
      <c r="EU23" s="446">
        <v>0</v>
      </c>
      <c r="EV23" s="446">
        <v>0</v>
      </c>
      <c r="EW23" s="446">
        <v>0</v>
      </c>
      <c r="EX23" s="446" t="s">
        <v>249</v>
      </c>
      <c r="EY23" s="446">
        <v>70.099999999999994</v>
      </c>
      <c r="EZ23" s="446">
        <v>39.1</v>
      </c>
      <c r="FA23" s="446" t="s">
        <v>749</v>
      </c>
      <c r="FB23" s="446" t="s">
        <v>743</v>
      </c>
      <c r="FC23" s="446">
        <v>0</v>
      </c>
      <c r="FD23" s="446">
        <v>0</v>
      </c>
      <c r="FE23" s="446">
        <v>0</v>
      </c>
      <c r="FF23" s="446" t="s">
        <v>249</v>
      </c>
      <c r="FI23" s="446" t="s">
        <v>750</v>
      </c>
      <c r="FJ23" s="446" t="s">
        <v>743</v>
      </c>
      <c r="FK23" s="446">
        <v>0</v>
      </c>
      <c r="FL23" s="446">
        <v>0</v>
      </c>
      <c r="FM23" s="446">
        <v>0</v>
      </c>
      <c r="FN23" s="446" t="s">
        <v>249</v>
      </c>
      <c r="FO23" s="446">
        <v>73.599999999999994</v>
      </c>
      <c r="FP23" s="446">
        <v>138.30000000000001</v>
      </c>
      <c r="FQ23" s="446" t="s">
        <v>751</v>
      </c>
      <c r="FR23" s="446" t="s">
        <v>743</v>
      </c>
      <c r="FS23" s="446">
        <v>0</v>
      </c>
      <c r="FT23" s="446">
        <v>0</v>
      </c>
      <c r="FU23" s="446">
        <v>0</v>
      </c>
      <c r="FV23" s="446" t="s">
        <v>249</v>
      </c>
      <c r="FY23" s="446">
        <v>15.3</v>
      </c>
      <c r="FZ23" s="446">
        <v>-7.9</v>
      </c>
      <c r="GF23" s="446" t="s">
        <v>752</v>
      </c>
    </row>
    <row r="24" spans="1:188" s="213" customFormat="1" x14ac:dyDescent="0.15">
      <c r="A24" s="213" t="s">
        <v>654</v>
      </c>
      <c r="B24" s="213">
        <v>4</v>
      </c>
      <c r="C24" s="213" t="s">
        <v>884</v>
      </c>
      <c r="D24" s="213">
        <v>614337607</v>
      </c>
      <c r="E24" s="213">
        <v>92303</v>
      </c>
      <c r="F24" s="213" t="s">
        <v>795</v>
      </c>
      <c r="G24" s="213">
        <v>839032</v>
      </c>
      <c r="H24" s="213">
        <v>210003146</v>
      </c>
      <c r="I24" s="213">
        <v>6.8</v>
      </c>
      <c r="J24" s="213" t="s">
        <v>885</v>
      </c>
      <c r="K24" s="213" t="s">
        <v>727</v>
      </c>
      <c r="L24" s="213" t="s">
        <v>797</v>
      </c>
      <c r="M24" s="213" t="s">
        <v>728</v>
      </c>
      <c r="N24" s="213" t="s">
        <v>728</v>
      </c>
      <c r="O24" s="213" t="s">
        <v>729</v>
      </c>
      <c r="P24" s="213" t="s">
        <v>249</v>
      </c>
      <c r="Q24" s="213">
        <v>24.3</v>
      </c>
      <c r="R24" s="213">
        <v>162</v>
      </c>
      <c r="S24" s="213" t="s">
        <v>249</v>
      </c>
      <c r="T24" s="213">
        <v>-9999</v>
      </c>
      <c r="U24" s="213">
        <v>185</v>
      </c>
      <c r="V24" s="213">
        <v>398</v>
      </c>
      <c r="W24" s="213">
        <v>179</v>
      </c>
      <c r="X24" s="213" t="s">
        <v>710</v>
      </c>
      <c r="Y24" s="213">
        <v>0</v>
      </c>
      <c r="Z24" s="213">
        <v>40</v>
      </c>
      <c r="AA24" s="213" t="s">
        <v>730</v>
      </c>
      <c r="AB24" s="213" t="s">
        <v>731</v>
      </c>
      <c r="AC24" s="213" t="s">
        <v>729</v>
      </c>
      <c r="AD24" s="213" t="s">
        <v>249</v>
      </c>
      <c r="AE24" s="213">
        <v>24.7</v>
      </c>
      <c r="AF24" s="213">
        <v>137</v>
      </c>
      <c r="AG24" s="213" t="s">
        <v>249</v>
      </c>
      <c r="AH24" s="213">
        <v>-9999</v>
      </c>
      <c r="AI24" s="213">
        <v>173</v>
      </c>
      <c r="AJ24" s="213">
        <v>411</v>
      </c>
      <c r="AK24" s="213">
        <v>170</v>
      </c>
      <c r="AL24" s="213" t="s">
        <v>710</v>
      </c>
      <c r="AM24" s="213">
        <v>0</v>
      </c>
      <c r="AN24" s="213">
        <v>40</v>
      </c>
      <c r="AO24" s="213" t="s">
        <v>733</v>
      </c>
      <c r="AP24" s="213" t="s">
        <v>734</v>
      </c>
      <c r="AQ24" s="213">
        <v>1</v>
      </c>
      <c r="AR24" s="213" t="s">
        <v>798</v>
      </c>
      <c r="AS24" s="213">
        <v>22.5</v>
      </c>
      <c r="AT24" s="213">
        <v>449</v>
      </c>
      <c r="AU24" s="213" t="s">
        <v>710</v>
      </c>
      <c r="AV24" s="213">
        <v>-9999</v>
      </c>
      <c r="AW24" s="213">
        <v>255</v>
      </c>
      <c r="AX24" s="213">
        <v>630</v>
      </c>
      <c r="AY24" s="213">
        <v>252</v>
      </c>
      <c r="AZ24" s="213" t="s">
        <v>710</v>
      </c>
      <c r="BA24" s="213">
        <v>0</v>
      </c>
      <c r="BB24" s="213">
        <v>40</v>
      </c>
      <c r="BC24" s="213" t="s">
        <v>736</v>
      </c>
      <c r="BD24" s="213" t="s">
        <v>734</v>
      </c>
      <c r="BE24" s="213">
        <v>2</v>
      </c>
      <c r="BF24" s="213" t="s">
        <v>798</v>
      </c>
      <c r="BG24" s="213">
        <v>23.2</v>
      </c>
      <c r="BH24" s="213">
        <v>199</v>
      </c>
      <c r="BI24" s="213" t="s">
        <v>710</v>
      </c>
      <c r="BJ24" s="213">
        <v>-9999</v>
      </c>
      <c r="BK24" s="213">
        <v>101</v>
      </c>
      <c r="BL24" s="213">
        <v>309</v>
      </c>
      <c r="BM24" s="213">
        <v>99</v>
      </c>
      <c r="BN24" s="213" t="s">
        <v>710</v>
      </c>
      <c r="BO24" s="213">
        <v>0</v>
      </c>
      <c r="BP24" s="213">
        <v>40</v>
      </c>
      <c r="BQ24" s="213" t="s">
        <v>737</v>
      </c>
      <c r="BR24" s="213" t="s">
        <v>734</v>
      </c>
      <c r="BS24" s="213">
        <v>3</v>
      </c>
      <c r="BT24" s="213" t="s">
        <v>799</v>
      </c>
      <c r="BU24" s="213">
        <v>0</v>
      </c>
      <c r="BV24" s="213">
        <v>28</v>
      </c>
      <c r="BW24" s="213" t="s">
        <v>249</v>
      </c>
      <c r="BX24" s="213">
        <v>-9999</v>
      </c>
      <c r="BY24" s="213">
        <v>157</v>
      </c>
      <c r="BZ24" s="213">
        <v>376</v>
      </c>
      <c r="CA24" s="213">
        <v>157</v>
      </c>
      <c r="CB24" s="213" t="s">
        <v>710</v>
      </c>
      <c r="CC24" s="213">
        <v>0</v>
      </c>
      <c r="CD24" s="213">
        <v>40</v>
      </c>
      <c r="CE24" s="213" t="s">
        <v>738</v>
      </c>
      <c r="CF24" s="213" t="s">
        <v>734</v>
      </c>
      <c r="CG24" s="213">
        <v>4</v>
      </c>
      <c r="CH24" s="213" t="s">
        <v>798</v>
      </c>
      <c r="CI24" s="213">
        <v>20.7</v>
      </c>
      <c r="CJ24" s="213">
        <v>452</v>
      </c>
      <c r="CK24" s="213" t="s">
        <v>710</v>
      </c>
      <c r="CL24" s="213">
        <v>-9999</v>
      </c>
      <c r="CM24" s="213">
        <v>119</v>
      </c>
      <c r="CN24" s="213">
        <v>314</v>
      </c>
      <c r="CO24" s="213">
        <v>116</v>
      </c>
      <c r="CP24" s="213" t="s">
        <v>710</v>
      </c>
      <c r="CQ24" s="213">
        <v>0</v>
      </c>
      <c r="CR24" s="213">
        <v>40</v>
      </c>
      <c r="CS24" s="213" t="s">
        <v>739</v>
      </c>
      <c r="CT24" s="213" t="s">
        <v>740</v>
      </c>
      <c r="CU24" s="213">
        <v>98</v>
      </c>
      <c r="CV24" s="213">
        <v>97</v>
      </c>
      <c r="CW24" s="213">
        <v>97</v>
      </c>
      <c r="CX24" s="213" t="s">
        <v>710</v>
      </c>
      <c r="CY24" s="213" t="s">
        <v>741</v>
      </c>
      <c r="CZ24" s="213" t="s">
        <v>740</v>
      </c>
      <c r="DA24" s="213">
        <v>101</v>
      </c>
      <c r="DB24" s="213">
        <v>101</v>
      </c>
      <c r="DC24" s="213">
        <v>101</v>
      </c>
      <c r="DD24" s="213" t="s">
        <v>710</v>
      </c>
      <c r="DE24" s="213" t="s">
        <v>742</v>
      </c>
      <c r="DF24" s="213" t="s">
        <v>743</v>
      </c>
      <c r="DG24" s="213">
        <v>0</v>
      </c>
      <c r="DH24" s="213">
        <v>0</v>
      </c>
      <c r="DI24" s="213">
        <v>0</v>
      </c>
      <c r="DJ24" s="213" t="s">
        <v>249</v>
      </c>
      <c r="DK24" s="213">
        <v>69.2</v>
      </c>
      <c r="DL24" s="213">
        <v>53.3</v>
      </c>
      <c r="DM24" s="213" t="s">
        <v>744</v>
      </c>
      <c r="DN24" s="213" t="s">
        <v>743</v>
      </c>
      <c r="DO24" s="213">
        <v>0</v>
      </c>
      <c r="DP24" s="213">
        <v>0</v>
      </c>
      <c r="DQ24" s="213">
        <v>0</v>
      </c>
      <c r="DR24" s="213" t="s">
        <v>249</v>
      </c>
      <c r="DU24" s="213" t="s">
        <v>745</v>
      </c>
      <c r="DV24" s="213" t="s">
        <v>743</v>
      </c>
      <c r="DW24" s="213">
        <v>0</v>
      </c>
      <c r="DX24" s="213">
        <v>0</v>
      </c>
      <c r="DY24" s="213">
        <v>0</v>
      </c>
      <c r="DZ24" s="213" t="s">
        <v>249</v>
      </c>
      <c r="EC24" s="213" t="s">
        <v>746</v>
      </c>
      <c r="ED24" s="213" t="s">
        <v>743</v>
      </c>
      <c r="EE24" s="213">
        <v>0</v>
      </c>
      <c r="EF24" s="213">
        <v>0</v>
      </c>
      <c r="EG24" s="213">
        <v>0</v>
      </c>
      <c r="EH24" s="213" t="s">
        <v>249</v>
      </c>
      <c r="EK24" s="213" t="s">
        <v>747</v>
      </c>
      <c r="EL24" s="213" t="s">
        <v>743</v>
      </c>
      <c r="EM24" s="213">
        <v>0</v>
      </c>
      <c r="EN24" s="213">
        <v>0</v>
      </c>
      <c r="EO24" s="213">
        <v>0</v>
      </c>
      <c r="EP24" s="213" t="s">
        <v>249</v>
      </c>
      <c r="ES24" s="213" t="s">
        <v>748</v>
      </c>
      <c r="ET24" s="213" t="s">
        <v>743</v>
      </c>
      <c r="EU24" s="213">
        <v>0</v>
      </c>
      <c r="EV24" s="213">
        <v>0</v>
      </c>
      <c r="EW24" s="213">
        <v>0</v>
      </c>
      <c r="EX24" s="213" t="s">
        <v>249</v>
      </c>
      <c r="EY24" s="213">
        <v>69.900000000000006</v>
      </c>
      <c r="EZ24" s="213">
        <v>49.6</v>
      </c>
      <c r="FA24" s="213" t="s">
        <v>749</v>
      </c>
      <c r="FB24" s="213" t="s">
        <v>743</v>
      </c>
      <c r="FC24" s="213">
        <v>0</v>
      </c>
      <c r="FD24" s="213">
        <v>0</v>
      </c>
      <c r="FE24" s="213">
        <v>0</v>
      </c>
      <c r="FF24" s="213" t="s">
        <v>249</v>
      </c>
      <c r="FI24" s="213" t="s">
        <v>750</v>
      </c>
      <c r="FJ24" s="213" t="s">
        <v>743</v>
      </c>
      <c r="FK24" s="213">
        <v>0</v>
      </c>
      <c r="FL24" s="213">
        <v>0</v>
      </c>
      <c r="FM24" s="213">
        <v>0</v>
      </c>
      <c r="FN24" s="213" t="s">
        <v>249</v>
      </c>
      <c r="FO24" s="213">
        <v>73.400000000000006</v>
      </c>
      <c r="FP24" s="213">
        <v>151.80000000000001</v>
      </c>
      <c r="FQ24" s="213" t="s">
        <v>751</v>
      </c>
      <c r="FR24" s="213" t="s">
        <v>743</v>
      </c>
      <c r="FS24" s="213">
        <v>0</v>
      </c>
      <c r="FT24" s="213">
        <v>0</v>
      </c>
      <c r="FU24" s="213">
        <v>0</v>
      </c>
      <c r="FV24" s="213" t="s">
        <v>249</v>
      </c>
      <c r="FY24" s="213">
        <v>19.5</v>
      </c>
      <c r="FZ24" s="213">
        <v>-8.6</v>
      </c>
      <c r="GF24" s="213" t="s">
        <v>752</v>
      </c>
    </row>
    <row r="25" spans="1:188" s="213" customFormat="1" x14ac:dyDescent="0.15">
      <c r="A25" s="213" t="s">
        <v>654</v>
      </c>
      <c r="B25" s="213">
        <v>4</v>
      </c>
      <c r="C25" s="213" t="s">
        <v>886</v>
      </c>
      <c r="D25" s="213">
        <v>614338203</v>
      </c>
      <c r="E25" s="213">
        <v>92303</v>
      </c>
      <c r="F25" s="213" t="s">
        <v>795</v>
      </c>
      <c r="G25" s="213">
        <v>839032</v>
      </c>
      <c r="H25" s="213">
        <v>694834</v>
      </c>
      <c r="I25" s="213">
        <v>6.8</v>
      </c>
      <c r="J25" s="213" t="s">
        <v>887</v>
      </c>
      <c r="K25" s="213" t="s">
        <v>727</v>
      </c>
      <c r="L25" s="213" t="s">
        <v>797</v>
      </c>
      <c r="M25" s="213" t="s">
        <v>728</v>
      </c>
      <c r="N25" s="213" t="s">
        <v>728</v>
      </c>
      <c r="O25" s="213" t="s">
        <v>729</v>
      </c>
      <c r="P25" s="213" t="s">
        <v>249</v>
      </c>
      <c r="Q25" s="213">
        <v>24.5</v>
      </c>
      <c r="R25" s="213">
        <v>144</v>
      </c>
      <c r="S25" s="213" t="s">
        <v>249</v>
      </c>
      <c r="T25" s="213">
        <v>-9999</v>
      </c>
      <c r="U25" s="213">
        <v>218</v>
      </c>
      <c r="V25" s="213">
        <v>476</v>
      </c>
      <c r="W25" s="213">
        <v>211</v>
      </c>
      <c r="X25" s="213" t="s">
        <v>710</v>
      </c>
      <c r="Y25" s="213">
        <v>0</v>
      </c>
      <c r="Z25" s="213">
        <v>40</v>
      </c>
      <c r="AA25" s="213" t="s">
        <v>730</v>
      </c>
      <c r="AB25" s="213" t="s">
        <v>731</v>
      </c>
      <c r="AC25" s="213" t="s">
        <v>729</v>
      </c>
      <c r="AD25" s="213" t="s">
        <v>249</v>
      </c>
      <c r="AE25" s="213">
        <v>26.6</v>
      </c>
      <c r="AF25" s="213">
        <v>116</v>
      </c>
      <c r="AG25" s="213" t="s">
        <v>249</v>
      </c>
      <c r="AH25" s="213">
        <v>-9999</v>
      </c>
      <c r="AI25" s="213">
        <v>215</v>
      </c>
      <c r="AJ25" s="213">
        <v>507</v>
      </c>
      <c r="AK25" s="213">
        <v>213</v>
      </c>
      <c r="AL25" s="213" t="s">
        <v>710</v>
      </c>
      <c r="AM25" s="213">
        <v>0</v>
      </c>
      <c r="AN25" s="213">
        <v>40</v>
      </c>
      <c r="AO25" s="213" t="s">
        <v>733</v>
      </c>
      <c r="AP25" s="213" t="s">
        <v>734</v>
      </c>
      <c r="AQ25" s="213">
        <v>1</v>
      </c>
      <c r="AR25" s="213" t="s">
        <v>798</v>
      </c>
      <c r="AS25" s="213">
        <v>24.1</v>
      </c>
      <c r="AT25" s="213">
        <v>399</v>
      </c>
      <c r="AU25" s="213" t="s">
        <v>710</v>
      </c>
      <c r="AV25" s="213">
        <v>-9999</v>
      </c>
      <c r="AW25" s="213">
        <v>284</v>
      </c>
      <c r="AX25" s="213">
        <v>702</v>
      </c>
      <c r="AY25" s="213">
        <v>282</v>
      </c>
      <c r="AZ25" s="213" t="s">
        <v>710</v>
      </c>
      <c r="BA25" s="213">
        <v>0</v>
      </c>
      <c r="BB25" s="213">
        <v>40</v>
      </c>
      <c r="BC25" s="213" t="s">
        <v>736</v>
      </c>
      <c r="BD25" s="213" t="s">
        <v>734</v>
      </c>
      <c r="BE25" s="213">
        <v>2</v>
      </c>
      <c r="BF25" s="213" t="s">
        <v>798</v>
      </c>
      <c r="BG25" s="213">
        <v>24.8</v>
      </c>
      <c r="BH25" s="213">
        <v>185</v>
      </c>
      <c r="BI25" s="213" t="s">
        <v>710</v>
      </c>
      <c r="BJ25" s="213">
        <v>-9999</v>
      </c>
      <c r="BK25" s="213">
        <v>124</v>
      </c>
      <c r="BL25" s="213">
        <v>385</v>
      </c>
      <c r="BM25" s="213">
        <v>122</v>
      </c>
      <c r="BN25" s="213" t="s">
        <v>710</v>
      </c>
      <c r="BO25" s="213">
        <v>0</v>
      </c>
      <c r="BP25" s="213">
        <v>40</v>
      </c>
      <c r="BQ25" s="213" t="s">
        <v>737</v>
      </c>
      <c r="BR25" s="213" t="s">
        <v>734</v>
      </c>
      <c r="BS25" s="213">
        <v>3</v>
      </c>
      <c r="BT25" s="213" t="s">
        <v>799</v>
      </c>
      <c r="BU25" s="213">
        <v>0</v>
      </c>
      <c r="BV25" s="213">
        <v>31</v>
      </c>
      <c r="BW25" s="213" t="s">
        <v>249</v>
      </c>
      <c r="BX25" s="213">
        <v>-9999</v>
      </c>
      <c r="BY25" s="213">
        <v>181</v>
      </c>
      <c r="BZ25" s="213">
        <v>436</v>
      </c>
      <c r="CA25" s="213">
        <v>181</v>
      </c>
      <c r="CB25" s="213" t="s">
        <v>710</v>
      </c>
      <c r="CC25" s="213">
        <v>0</v>
      </c>
      <c r="CD25" s="213">
        <v>40</v>
      </c>
      <c r="CE25" s="213" t="s">
        <v>738</v>
      </c>
      <c r="CF25" s="213" t="s">
        <v>734</v>
      </c>
      <c r="CG25" s="213">
        <v>4</v>
      </c>
      <c r="CH25" s="213" t="s">
        <v>798</v>
      </c>
      <c r="CI25" s="213">
        <v>22.5</v>
      </c>
      <c r="CJ25" s="213">
        <v>412</v>
      </c>
      <c r="CK25" s="213" t="s">
        <v>710</v>
      </c>
      <c r="CL25" s="213">
        <v>-9999</v>
      </c>
      <c r="CM25" s="213">
        <v>152</v>
      </c>
      <c r="CN25" s="213">
        <v>410</v>
      </c>
      <c r="CO25" s="213">
        <v>149</v>
      </c>
      <c r="CP25" s="213" t="s">
        <v>710</v>
      </c>
      <c r="CQ25" s="213">
        <v>0</v>
      </c>
      <c r="CR25" s="213">
        <v>40</v>
      </c>
      <c r="CS25" s="213" t="s">
        <v>739</v>
      </c>
      <c r="CT25" s="213" t="s">
        <v>740</v>
      </c>
      <c r="CU25" s="213">
        <v>124</v>
      </c>
      <c r="CV25" s="213">
        <v>123</v>
      </c>
      <c r="CW25" s="213">
        <v>123</v>
      </c>
      <c r="CX25" s="213" t="s">
        <v>710</v>
      </c>
      <c r="CY25" s="213" t="s">
        <v>741</v>
      </c>
      <c r="CZ25" s="213" t="s">
        <v>740</v>
      </c>
      <c r="DA25" s="213">
        <v>117</v>
      </c>
      <c r="DB25" s="213">
        <v>117</v>
      </c>
      <c r="DC25" s="213">
        <v>117</v>
      </c>
      <c r="DD25" s="213" t="s">
        <v>710</v>
      </c>
      <c r="DE25" s="213" t="s">
        <v>742</v>
      </c>
      <c r="DF25" s="213" t="s">
        <v>743</v>
      </c>
      <c r="DG25" s="213">
        <v>0</v>
      </c>
      <c r="DH25" s="213">
        <v>0</v>
      </c>
      <c r="DI25" s="213">
        <v>0</v>
      </c>
      <c r="DJ25" s="213" t="s">
        <v>249</v>
      </c>
      <c r="DK25" s="213">
        <v>69.3</v>
      </c>
      <c r="DL25" s="213">
        <v>53</v>
      </c>
      <c r="DM25" s="213" t="s">
        <v>744</v>
      </c>
      <c r="DN25" s="213" t="s">
        <v>743</v>
      </c>
      <c r="DO25" s="213">
        <v>0</v>
      </c>
      <c r="DP25" s="213">
        <v>0</v>
      </c>
      <c r="DQ25" s="213">
        <v>0</v>
      </c>
      <c r="DR25" s="213" t="s">
        <v>249</v>
      </c>
      <c r="DU25" s="213" t="s">
        <v>745</v>
      </c>
      <c r="DV25" s="213" t="s">
        <v>743</v>
      </c>
      <c r="DW25" s="213">
        <v>0</v>
      </c>
      <c r="DX25" s="213">
        <v>0</v>
      </c>
      <c r="DY25" s="213">
        <v>0</v>
      </c>
      <c r="DZ25" s="213" t="s">
        <v>249</v>
      </c>
      <c r="EC25" s="213" t="s">
        <v>746</v>
      </c>
      <c r="ED25" s="213" t="s">
        <v>743</v>
      </c>
      <c r="EE25" s="213">
        <v>0</v>
      </c>
      <c r="EF25" s="213">
        <v>0</v>
      </c>
      <c r="EG25" s="213">
        <v>0</v>
      </c>
      <c r="EH25" s="213" t="s">
        <v>249</v>
      </c>
      <c r="EK25" s="213" t="s">
        <v>747</v>
      </c>
      <c r="EL25" s="213" t="s">
        <v>743</v>
      </c>
      <c r="EM25" s="213">
        <v>0</v>
      </c>
      <c r="EN25" s="213">
        <v>0</v>
      </c>
      <c r="EO25" s="213">
        <v>0</v>
      </c>
      <c r="EP25" s="213" t="s">
        <v>249</v>
      </c>
      <c r="ES25" s="213" t="s">
        <v>748</v>
      </c>
      <c r="ET25" s="213" t="s">
        <v>743</v>
      </c>
      <c r="EU25" s="213">
        <v>0</v>
      </c>
      <c r="EV25" s="213">
        <v>0</v>
      </c>
      <c r="EW25" s="213">
        <v>0</v>
      </c>
      <c r="EX25" s="213" t="s">
        <v>249</v>
      </c>
      <c r="EY25" s="213">
        <v>70</v>
      </c>
      <c r="EZ25" s="213">
        <v>51.3</v>
      </c>
      <c r="FA25" s="213" t="s">
        <v>749</v>
      </c>
      <c r="FB25" s="213" t="s">
        <v>743</v>
      </c>
      <c r="FC25" s="213">
        <v>0</v>
      </c>
      <c r="FD25" s="213">
        <v>0</v>
      </c>
      <c r="FE25" s="213">
        <v>0</v>
      </c>
      <c r="FF25" s="213" t="s">
        <v>249</v>
      </c>
      <c r="FI25" s="213" t="s">
        <v>750</v>
      </c>
      <c r="FJ25" s="213" t="s">
        <v>743</v>
      </c>
      <c r="FK25" s="213">
        <v>0</v>
      </c>
      <c r="FL25" s="213">
        <v>0</v>
      </c>
      <c r="FM25" s="213">
        <v>0</v>
      </c>
      <c r="FN25" s="213" t="s">
        <v>249</v>
      </c>
      <c r="FO25" s="213">
        <v>73.5</v>
      </c>
      <c r="FP25" s="213">
        <v>169.1</v>
      </c>
      <c r="FQ25" s="213" t="s">
        <v>751</v>
      </c>
      <c r="FR25" s="213" t="s">
        <v>743</v>
      </c>
      <c r="FS25" s="213">
        <v>0</v>
      </c>
      <c r="FT25" s="213">
        <v>0</v>
      </c>
      <c r="FU25" s="213">
        <v>0</v>
      </c>
      <c r="FV25" s="213" t="s">
        <v>249</v>
      </c>
      <c r="FY25" s="213">
        <v>16.8</v>
      </c>
      <c r="FZ25" s="213">
        <v>-10.4</v>
      </c>
      <c r="GF25" s="213" t="s">
        <v>752</v>
      </c>
    </row>
    <row r="26" spans="1:188" s="213" customFormat="1" x14ac:dyDescent="0.15">
      <c r="A26" s="213" t="s">
        <v>654</v>
      </c>
      <c r="B26" s="213">
        <v>4</v>
      </c>
      <c r="C26" s="213" t="s">
        <v>929</v>
      </c>
      <c r="D26" s="213">
        <v>614341522</v>
      </c>
      <c r="E26" s="213">
        <v>92303</v>
      </c>
      <c r="F26" s="213" t="s">
        <v>795</v>
      </c>
      <c r="G26" s="213">
        <v>839032</v>
      </c>
      <c r="H26" s="213">
        <v>210016126</v>
      </c>
      <c r="I26" s="213">
        <v>6.8</v>
      </c>
      <c r="J26" s="213" t="s">
        <v>930</v>
      </c>
      <c r="K26" s="213" t="s">
        <v>727</v>
      </c>
      <c r="L26" s="213" t="s">
        <v>797</v>
      </c>
      <c r="M26" s="213" t="s">
        <v>728</v>
      </c>
      <c r="N26" s="213" t="s">
        <v>728</v>
      </c>
      <c r="O26" s="213" t="s">
        <v>729</v>
      </c>
      <c r="P26" s="213" t="s">
        <v>249</v>
      </c>
      <c r="Q26" s="213">
        <v>23.4</v>
      </c>
      <c r="R26" s="213">
        <v>164</v>
      </c>
      <c r="S26" s="213" t="s">
        <v>249</v>
      </c>
      <c r="T26" s="213">
        <v>-9999</v>
      </c>
      <c r="U26" s="213">
        <v>234</v>
      </c>
      <c r="V26" s="213">
        <v>496</v>
      </c>
      <c r="W26" s="213">
        <v>232</v>
      </c>
      <c r="X26" s="213" t="s">
        <v>710</v>
      </c>
      <c r="Y26" s="213">
        <v>0</v>
      </c>
      <c r="Z26" s="213">
        <v>40</v>
      </c>
      <c r="AA26" s="213" t="s">
        <v>730</v>
      </c>
      <c r="AB26" s="213" t="s">
        <v>731</v>
      </c>
      <c r="AC26" s="213" t="s">
        <v>729</v>
      </c>
      <c r="AD26" s="213" t="s">
        <v>249</v>
      </c>
      <c r="AE26" s="213">
        <v>25</v>
      </c>
      <c r="AF26" s="213">
        <v>131</v>
      </c>
      <c r="AG26" s="213" t="s">
        <v>249</v>
      </c>
      <c r="AH26" s="213">
        <v>-9999</v>
      </c>
      <c r="AI26" s="213">
        <v>198</v>
      </c>
      <c r="AJ26" s="213">
        <v>471</v>
      </c>
      <c r="AK26" s="213">
        <v>197</v>
      </c>
      <c r="AL26" s="213" t="s">
        <v>710</v>
      </c>
      <c r="AM26" s="213">
        <v>0</v>
      </c>
      <c r="AN26" s="213">
        <v>40</v>
      </c>
      <c r="AO26" s="213" t="s">
        <v>733</v>
      </c>
      <c r="AP26" s="213" t="s">
        <v>734</v>
      </c>
      <c r="AQ26" s="213">
        <v>1</v>
      </c>
      <c r="AR26" s="213" t="s">
        <v>798</v>
      </c>
      <c r="AS26" s="213">
        <v>22.5</v>
      </c>
      <c r="AT26" s="213">
        <v>459</v>
      </c>
      <c r="AU26" s="213" t="s">
        <v>710</v>
      </c>
      <c r="AV26" s="213">
        <v>-9999</v>
      </c>
      <c r="AW26" s="213">
        <v>285</v>
      </c>
      <c r="AX26" s="213">
        <v>710</v>
      </c>
      <c r="AY26" s="213">
        <v>286</v>
      </c>
      <c r="AZ26" s="213" t="s">
        <v>710</v>
      </c>
      <c r="BA26" s="213">
        <v>0</v>
      </c>
      <c r="BB26" s="213">
        <v>40</v>
      </c>
      <c r="BC26" s="213" t="s">
        <v>736</v>
      </c>
      <c r="BD26" s="213" t="s">
        <v>734</v>
      </c>
      <c r="BE26" s="213">
        <v>2</v>
      </c>
      <c r="BF26" s="213" t="s">
        <v>798</v>
      </c>
      <c r="BG26" s="213">
        <v>23.4</v>
      </c>
      <c r="BH26" s="213">
        <v>202</v>
      </c>
      <c r="BI26" s="213" t="s">
        <v>710</v>
      </c>
      <c r="BJ26" s="213">
        <v>-9999</v>
      </c>
      <c r="BK26" s="213">
        <v>113</v>
      </c>
      <c r="BL26" s="213">
        <v>337</v>
      </c>
      <c r="BM26" s="213">
        <v>111</v>
      </c>
      <c r="BN26" s="213" t="s">
        <v>710</v>
      </c>
      <c r="BO26" s="213">
        <v>0</v>
      </c>
      <c r="BP26" s="213">
        <v>40</v>
      </c>
      <c r="BQ26" s="213" t="s">
        <v>737</v>
      </c>
      <c r="BR26" s="213" t="s">
        <v>734</v>
      </c>
      <c r="BS26" s="213">
        <v>3</v>
      </c>
      <c r="BT26" s="213" t="s">
        <v>799</v>
      </c>
      <c r="BU26" s="213">
        <v>0</v>
      </c>
      <c r="BV26" s="213">
        <v>38</v>
      </c>
      <c r="BW26" s="213" t="s">
        <v>249</v>
      </c>
      <c r="BX26" s="213">
        <v>-9999</v>
      </c>
      <c r="BY26" s="213">
        <v>176</v>
      </c>
      <c r="BZ26" s="213">
        <v>417</v>
      </c>
      <c r="CA26" s="213">
        <v>177</v>
      </c>
      <c r="CB26" s="213" t="s">
        <v>710</v>
      </c>
      <c r="CC26" s="213">
        <v>0</v>
      </c>
      <c r="CD26" s="213">
        <v>40</v>
      </c>
      <c r="CE26" s="213" t="s">
        <v>738</v>
      </c>
      <c r="CF26" s="213" t="s">
        <v>734</v>
      </c>
      <c r="CG26" s="213">
        <v>4</v>
      </c>
      <c r="CH26" s="213" t="s">
        <v>798</v>
      </c>
      <c r="CI26" s="213">
        <v>21</v>
      </c>
      <c r="CJ26" s="213">
        <v>450</v>
      </c>
      <c r="CK26" s="213" t="s">
        <v>710</v>
      </c>
      <c r="CL26" s="213">
        <v>-9999</v>
      </c>
      <c r="CM26" s="213">
        <v>139</v>
      </c>
      <c r="CN26" s="213">
        <v>361</v>
      </c>
      <c r="CO26" s="213">
        <v>137</v>
      </c>
      <c r="CP26" s="213" t="s">
        <v>710</v>
      </c>
      <c r="CQ26" s="213">
        <v>0</v>
      </c>
      <c r="CR26" s="213">
        <v>40</v>
      </c>
      <c r="CS26" s="213" t="s">
        <v>739</v>
      </c>
      <c r="CT26" s="213" t="s">
        <v>740</v>
      </c>
      <c r="CU26" s="213">
        <v>121</v>
      </c>
      <c r="CV26" s="213">
        <v>120</v>
      </c>
      <c r="CW26" s="213">
        <v>120</v>
      </c>
      <c r="CX26" s="213" t="s">
        <v>710</v>
      </c>
      <c r="CY26" s="213" t="s">
        <v>741</v>
      </c>
      <c r="CZ26" s="213" t="s">
        <v>740</v>
      </c>
      <c r="DA26" s="213">
        <v>120</v>
      </c>
      <c r="DB26" s="213">
        <v>120</v>
      </c>
      <c r="DC26" s="213">
        <v>120</v>
      </c>
      <c r="DD26" s="213" t="s">
        <v>710</v>
      </c>
      <c r="DE26" s="213" t="s">
        <v>742</v>
      </c>
      <c r="DF26" s="213" t="s">
        <v>743</v>
      </c>
      <c r="DG26" s="213">
        <v>0</v>
      </c>
      <c r="DH26" s="213">
        <v>0</v>
      </c>
      <c r="DI26" s="213">
        <v>0</v>
      </c>
      <c r="DJ26" s="213" t="s">
        <v>249</v>
      </c>
      <c r="DK26" s="213">
        <v>69.400000000000006</v>
      </c>
      <c r="DL26" s="213">
        <v>57.3</v>
      </c>
      <c r="DM26" s="213" t="s">
        <v>744</v>
      </c>
      <c r="DN26" s="213" t="s">
        <v>743</v>
      </c>
      <c r="DO26" s="213">
        <v>0</v>
      </c>
      <c r="DP26" s="213">
        <v>0</v>
      </c>
      <c r="DQ26" s="213">
        <v>0</v>
      </c>
      <c r="DR26" s="213" t="s">
        <v>249</v>
      </c>
      <c r="DU26" s="213" t="s">
        <v>745</v>
      </c>
      <c r="DV26" s="213" t="s">
        <v>743</v>
      </c>
      <c r="DW26" s="213">
        <v>0</v>
      </c>
      <c r="DX26" s="213">
        <v>0</v>
      </c>
      <c r="DY26" s="213">
        <v>0</v>
      </c>
      <c r="DZ26" s="213" t="s">
        <v>249</v>
      </c>
      <c r="EC26" s="213" t="s">
        <v>746</v>
      </c>
      <c r="ED26" s="213" t="s">
        <v>743</v>
      </c>
      <c r="EE26" s="213">
        <v>0</v>
      </c>
      <c r="EF26" s="213">
        <v>0</v>
      </c>
      <c r="EG26" s="213">
        <v>0</v>
      </c>
      <c r="EH26" s="213" t="s">
        <v>249</v>
      </c>
      <c r="EK26" s="213" t="s">
        <v>747</v>
      </c>
      <c r="EL26" s="213" t="s">
        <v>743</v>
      </c>
      <c r="EM26" s="213">
        <v>0</v>
      </c>
      <c r="EN26" s="213">
        <v>0</v>
      </c>
      <c r="EO26" s="213">
        <v>0</v>
      </c>
      <c r="EP26" s="213" t="s">
        <v>249</v>
      </c>
      <c r="ES26" s="213" t="s">
        <v>748</v>
      </c>
      <c r="ET26" s="213" t="s">
        <v>743</v>
      </c>
      <c r="EU26" s="213">
        <v>0</v>
      </c>
      <c r="EV26" s="213">
        <v>0</v>
      </c>
      <c r="EW26" s="213">
        <v>0</v>
      </c>
      <c r="EX26" s="213" t="s">
        <v>249</v>
      </c>
      <c r="EY26" s="213">
        <v>70.099999999999994</v>
      </c>
      <c r="EZ26" s="213">
        <v>49.4</v>
      </c>
      <c r="FA26" s="213" t="s">
        <v>749</v>
      </c>
      <c r="FB26" s="213" t="s">
        <v>743</v>
      </c>
      <c r="FC26" s="213">
        <v>0</v>
      </c>
      <c r="FD26" s="213">
        <v>0</v>
      </c>
      <c r="FE26" s="213">
        <v>0</v>
      </c>
      <c r="FF26" s="213" t="s">
        <v>249</v>
      </c>
      <c r="FI26" s="213" t="s">
        <v>750</v>
      </c>
      <c r="FJ26" s="213" t="s">
        <v>743</v>
      </c>
      <c r="FK26" s="213">
        <v>0</v>
      </c>
      <c r="FL26" s="213">
        <v>0</v>
      </c>
      <c r="FM26" s="213">
        <v>0</v>
      </c>
      <c r="FN26" s="213" t="s">
        <v>249</v>
      </c>
      <c r="FO26" s="213">
        <v>73.599999999999994</v>
      </c>
      <c r="FP26" s="213">
        <v>151.19999999999999</v>
      </c>
      <c r="FQ26" s="213" t="s">
        <v>751</v>
      </c>
      <c r="FR26" s="213" t="s">
        <v>743</v>
      </c>
      <c r="FS26" s="213">
        <v>0</v>
      </c>
      <c r="FT26" s="213">
        <v>0</v>
      </c>
      <c r="FU26" s="213">
        <v>0</v>
      </c>
      <c r="FV26" s="213" t="s">
        <v>249</v>
      </c>
      <c r="FY26" s="213">
        <v>15.3</v>
      </c>
      <c r="FZ26" s="213">
        <v>-7.6</v>
      </c>
      <c r="GF26" s="213" t="s">
        <v>752</v>
      </c>
    </row>
    <row r="27" spans="1:188" s="213" customFormat="1" x14ac:dyDescent="0.15">
      <c r="A27" s="213" t="s">
        <v>654</v>
      </c>
      <c r="B27" s="213">
        <v>4</v>
      </c>
      <c r="C27" s="213" t="s">
        <v>931</v>
      </c>
      <c r="D27" s="213">
        <v>614341214</v>
      </c>
      <c r="E27" s="213">
        <v>92303</v>
      </c>
      <c r="F27" s="213" t="s">
        <v>795</v>
      </c>
      <c r="G27" s="213">
        <v>839032</v>
      </c>
      <c r="H27" s="213">
        <v>736872</v>
      </c>
      <c r="I27" s="213">
        <v>6.8</v>
      </c>
      <c r="J27" s="213" t="s">
        <v>932</v>
      </c>
      <c r="K27" s="213" t="s">
        <v>727</v>
      </c>
      <c r="L27" s="213" t="s">
        <v>797</v>
      </c>
      <c r="M27" s="213" t="s">
        <v>728</v>
      </c>
      <c r="N27" s="213" t="s">
        <v>728</v>
      </c>
      <c r="O27" s="213" t="s">
        <v>729</v>
      </c>
      <c r="P27" s="213" t="s">
        <v>249</v>
      </c>
      <c r="Q27" s="213">
        <v>24.2</v>
      </c>
      <c r="R27" s="213">
        <v>169</v>
      </c>
      <c r="S27" s="213" t="s">
        <v>249</v>
      </c>
      <c r="T27" s="213">
        <v>-9999</v>
      </c>
      <c r="U27" s="213">
        <v>180</v>
      </c>
      <c r="V27" s="213">
        <v>397</v>
      </c>
      <c r="W27" s="213">
        <v>174</v>
      </c>
      <c r="X27" s="213" t="s">
        <v>710</v>
      </c>
      <c r="Y27" s="213">
        <v>0</v>
      </c>
      <c r="Z27" s="213">
        <v>40</v>
      </c>
      <c r="AA27" s="213" t="s">
        <v>730</v>
      </c>
      <c r="AB27" s="213" t="s">
        <v>731</v>
      </c>
      <c r="AC27" s="213" t="s">
        <v>729</v>
      </c>
      <c r="AD27" s="213" t="s">
        <v>249</v>
      </c>
      <c r="AE27" s="213">
        <v>25.8</v>
      </c>
      <c r="AF27" s="213">
        <v>120</v>
      </c>
      <c r="AG27" s="213" t="s">
        <v>249</v>
      </c>
      <c r="AH27" s="213">
        <v>-9999</v>
      </c>
      <c r="AI27" s="213">
        <v>203</v>
      </c>
      <c r="AJ27" s="213">
        <v>483</v>
      </c>
      <c r="AK27" s="213">
        <v>200</v>
      </c>
      <c r="AL27" s="213" t="s">
        <v>710</v>
      </c>
      <c r="AM27" s="213">
        <v>0</v>
      </c>
      <c r="AN27" s="213">
        <v>40</v>
      </c>
      <c r="AO27" s="213" t="s">
        <v>733</v>
      </c>
      <c r="AP27" s="213" t="s">
        <v>734</v>
      </c>
      <c r="AQ27" s="213">
        <v>1</v>
      </c>
      <c r="AR27" s="213" t="s">
        <v>798</v>
      </c>
      <c r="AS27" s="213">
        <v>23.6</v>
      </c>
      <c r="AT27" s="213">
        <v>413</v>
      </c>
      <c r="AU27" s="213" t="s">
        <v>710</v>
      </c>
      <c r="AV27" s="213">
        <v>-9999</v>
      </c>
      <c r="AW27" s="213">
        <v>255</v>
      </c>
      <c r="AX27" s="213">
        <v>633</v>
      </c>
      <c r="AY27" s="213">
        <v>255</v>
      </c>
      <c r="AZ27" s="213" t="s">
        <v>710</v>
      </c>
      <c r="BA27" s="213">
        <v>0</v>
      </c>
      <c r="BB27" s="213">
        <v>40</v>
      </c>
      <c r="BC27" s="213" t="s">
        <v>736</v>
      </c>
      <c r="BD27" s="213" t="s">
        <v>734</v>
      </c>
      <c r="BE27" s="213">
        <v>2</v>
      </c>
      <c r="BF27" s="213" t="s">
        <v>798</v>
      </c>
      <c r="BG27" s="213">
        <v>24.3</v>
      </c>
      <c r="BH27" s="213">
        <v>193</v>
      </c>
      <c r="BI27" s="213" t="s">
        <v>710</v>
      </c>
      <c r="BJ27" s="213">
        <v>-9999</v>
      </c>
      <c r="BK27" s="213">
        <v>104</v>
      </c>
      <c r="BL27" s="213">
        <v>327</v>
      </c>
      <c r="BM27" s="213">
        <v>102</v>
      </c>
      <c r="BN27" s="213" t="s">
        <v>710</v>
      </c>
      <c r="BO27" s="213">
        <v>0</v>
      </c>
      <c r="BP27" s="213">
        <v>40</v>
      </c>
      <c r="BQ27" s="213" t="s">
        <v>737</v>
      </c>
      <c r="BR27" s="213" t="s">
        <v>734</v>
      </c>
      <c r="BS27" s="213">
        <v>3</v>
      </c>
      <c r="BT27" s="213" t="s">
        <v>799</v>
      </c>
      <c r="BU27" s="213">
        <v>0</v>
      </c>
      <c r="BV27" s="213">
        <v>33</v>
      </c>
      <c r="BW27" s="213" t="s">
        <v>249</v>
      </c>
      <c r="BX27" s="213">
        <v>-9999</v>
      </c>
      <c r="BY27" s="213">
        <v>182</v>
      </c>
      <c r="BZ27" s="213">
        <v>421</v>
      </c>
      <c r="CA27" s="213">
        <v>181</v>
      </c>
      <c r="CB27" s="213" t="s">
        <v>710</v>
      </c>
      <c r="CC27" s="213">
        <v>0</v>
      </c>
      <c r="CD27" s="213">
        <v>40</v>
      </c>
      <c r="CE27" s="213" t="s">
        <v>738</v>
      </c>
      <c r="CF27" s="213" t="s">
        <v>734</v>
      </c>
      <c r="CG27" s="213">
        <v>4</v>
      </c>
      <c r="CH27" s="213" t="s">
        <v>798</v>
      </c>
      <c r="CI27" s="213">
        <v>22.1</v>
      </c>
      <c r="CJ27" s="213">
        <v>408</v>
      </c>
      <c r="CK27" s="213" t="s">
        <v>710</v>
      </c>
      <c r="CL27" s="213">
        <v>-9999</v>
      </c>
      <c r="CM27" s="213">
        <v>133</v>
      </c>
      <c r="CN27" s="213">
        <v>355</v>
      </c>
      <c r="CO27" s="213">
        <v>131</v>
      </c>
      <c r="CP27" s="213" t="s">
        <v>710</v>
      </c>
      <c r="CQ27" s="213">
        <v>0</v>
      </c>
      <c r="CR27" s="213">
        <v>40</v>
      </c>
      <c r="CS27" s="213" t="s">
        <v>739</v>
      </c>
      <c r="CT27" s="213" t="s">
        <v>740</v>
      </c>
      <c r="CU27" s="213">
        <v>119</v>
      </c>
      <c r="CV27" s="213">
        <v>118</v>
      </c>
      <c r="CW27" s="213">
        <v>118</v>
      </c>
      <c r="CX27" s="213" t="s">
        <v>710</v>
      </c>
      <c r="CY27" s="213" t="s">
        <v>741</v>
      </c>
      <c r="CZ27" s="213" t="s">
        <v>740</v>
      </c>
      <c r="DA27" s="213">
        <v>125</v>
      </c>
      <c r="DB27" s="213">
        <v>125</v>
      </c>
      <c r="DC27" s="213">
        <v>125</v>
      </c>
      <c r="DD27" s="213" t="s">
        <v>710</v>
      </c>
      <c r="DE27" s="213" t="s">
        <v>742</v>
      </c>
      <c r="DF27" s="213" t="s">
        <v>743</v>
      </c>
      <c r="DG27" s="213">
        <v>0</v>
      </c>
      <c r="DH27" s="213">
        <v>0</v>
      </c>
      <c r="DI27" s="213">
        <v>0</v>
      </c>
      <c r="DJ27" s="213" t="s">
        <v>249</v>
      </c>
      <c r="DK27" s="213">
        <v>69.400000000000006</v>
      </c>
      <c r="DL27" s="213">
        <v>51.7</v>
      </c>
      <c r="DM27" s="213" t="s">
        <v>744</v>
      </c>
      <c r="DN27" s="213" t="s">
        <v>743</v>
      </c>
      <c r="DO27" s="213">
        <v>0</v>
      </c>
      <c r="DP27" s="213">
        <v>0</v>
      </c>
      <c r="DQ27" s="213">
        <v>0</v>
      </c>
      <c r="DR27" s="213" t="s">
        <v>249</v>
      </c>
      <c r="DU27" s="213" t="s">
        <v>745</v>
      </c>
      <c r="DV27" s="213" t="s">
        <v>743</v>
      </c>
      <c r="DW27" s="213">
        <v>0</v>
      </c>
      <c r="DX27" s="213">
        <v>0</v>
      </c>
      <c r="DY27" s="213">
        <v>0</v>
      </c>
      <c r="DZ27" s="213" t="s">
        <v>249</v>
      </c>
      <c r="EC27" s="213" t="s">
        <v>746</v>
      </c>
      <c r="ED27" s="213" t="s">
        <v>743</v>
      </c>
      <c r="EE27" s="213">
        <v>0</v>
      </c>
      <c r="EF27" s="213">
        <v>0</v>
      </c>
      <c r="EG27" s="213">
        <v>0</v>
      </c>
      <c r="EH27" s="213" t="s">
        <v>249</v>
      </c>
      <c r="EK27" s="213" t="s">
        <v>747</v>
      </c>
      <c r="EL27" s="213" t="s">
        <v>743</v>
      </c>
      <c r="EM27" s="213">
        <v>0</v>
      </c>
      <c r="EN27" s="213">
        <v>0</v>
      </c>
      <c r="EO27" s="213">
        <v>0</v>
      </c>
      <c r="EP27" s="213" t="s">
        <v>249</v>
      </c>
      <c r="ES27" s="213" t="s">
        <v>748</v>
      </c>
      <c r="ET27" s="213" t="s">
        <v>743</v>
      </c>
      <c r="EU27" s="213">
        <v>0</v>
      </c>
      <c r="EV27" s="213">
        <v>0</v>
      </c>
      <c r="EW27" s="213">
        <v>0</v>
      </c>
      <c r="EX27" s="213" t="s">
        <v>249</v>
      </c>
      <c r="EY27" s="213">
        <v>70</v>
      </c>
      <c r="EZ27" s="213">
        <v>47.1</v>
      </c>
      <c r="FA27" s="213" t="s">
        <v>749</v>
      </c>
      <c r="FB27" s="213" t="s">
        <v>743</v>
      </c>
      <c r="FC27" s="213">
        <v>0</v>
      </c>
      <c r="FD27" s="213">
        <v>0</v>
      </c>
      <c r="FE27" s="213">
        <v>0</v>
      </c>
      <c r="FF27" s="213" t="s">
        <v>249</v>
      </c>
      <c r="FI27" s="213" t="s">
        <v>750</v>
      </c>
      <c r="FJ27" s="213" t="s">
        <v>743</v>
      </c>
      <c r="FK27" s="213">
        <v>0</v>
      </c>
      <c r="FL27" s="213">
        <v>0</v>
      </c>
      <c r="FM27" s="213">
        <v>0</v>
      </c>
      <c r="FN27" s="213" t="s">
        <v>249</v>
      </c>
      <c r="FO27" s="213">
        <v>73.5</v>
      </c>
      <c r="FP27" s="213">
        <v>141.19999999999999</v>
      </c>
      <c r="FQ27" s="213" t="s">
        <v>751</v>
      </c>
      <c r="FR27" s="213" t="s">
        <v>743</v>
      </c>
      <c r="FS27" s="213">
        <v>0</v>
      </c>
      <c r="FT27" s="213">
        <v>0</v>
      </c>
      <c r="FU27" s="213">
        <v>0</v>
      </c>
      <c r="FV27" s="213" t="s">
        <v>249</v>
      </c>
      <c r="FY27" s="213">
        <v>21.1</v>
      </c>
      <c r="FZ27" s="213">
        <v>-12.1</v>
      </c>
      <c r="GF27" s="213" t="s">
        <v>752</v>
      </c>
    </row>
    <row r="28" spans="1:188" s="213" customFormat="1" x14ac:dyDescent="0.15">
      <c r="A28" s="213" t="s">
        <v>654</v>
      </c>
      <c r="B28" s="213">
        <v>4</v>
      </c>
      <c r="C28" s="213" t="s">
        <v>933</v>
      </c>
      <c r="D28" s="213">
        <v>614340896</v>
      </c>
      <c r="E28" s="213">
        <v>92303</v>
      </c>
      <c r="F28" s="213" t="s">
        <v>795</v>
      </c>
      <c r="G28" s="213">
        <v>839032</v>
      </c>
      <c r="H28" s="213">
        <v>739871</v>
      </c>
      <c r="I28" s="213">
        <v>6.8</v>
      </c>
      <c r="J28" s="213" t="s">
        <v>934</v>
      </c>
      <c r="K28" s="213" t="s">
        <v>727</v>
      </c>
      <c r="L28" s="213" t="s">
        <v>797</v>
      </c>
      <c r="M28" s="213" t="s">
        <v>728</v>
      </c>
      <c r="N28" s="213" t="s">
        <v>728</v>
      </c>
      <c r="O28" s="213" t="s">
        <v>729</v>
      </c>
      <c r="P28" s="213" t="s">
        <v>249</v>
      </c>
      <c r="Q28" s="213">
        <v>23.9</v>
      </c>
      <c r="R28" s="213">
        <v>155</v>
      </c>
      <c r="S28" s="213" t="s">
        <v>249</v>
      </c>
      <c r="T28" s="213">
        <v>-9999</v>
      </c>
      <c r="U28" s="213">
        <v>194</v>
      </c>
      <c r="V28" s="213">
        <v>422</v>
      </c>
      <c r="W28" s="213">
        <v>190</v>
      </c>
      <c r="X28" s="213" t="s">
        <v>710</v>
      </c>
      <c r="Y28" s="213">
        <v>0</v>
      </c>
      <c r="Z28" s="213">
        <v>40</v>
      </c>
      <c r="AA28" s="213" t="s">
        <v>730</v>
      </c>
      <c r="AB28" s="213" t="s">
        <v>731</v>
      </c>
      <c r="AC28" s="213" t="s">
        <v>729</v>
      </c>
      <c r="AD28" s="213" t="s">
        <v>249</v>
      </c>
      <c r="AE28" s="213">
        <v>25.5</v>
      </c>
      <c r="AF28" s="213">
        <v>124</v>
      </c>
      <c r="AG28" s="213" t="s">
        <v>249</v>
      </c>
      <c r="AH28" s="213">
        <v>-9999</v>
      </c>
      <c r="AI28" s="213">
        <v>183</v>
      </c>
      <c r="AJ28" s="213">
        <v>436</v>
      </c>
      <c r="AK28" s="213">
        <v>181</v>
      </c>
      <c r="AL28" s="213" t="s">
        <v>710</v>
      </c>
      <c r="AM28" s="213">
        <v>0</v>
      </c>
      <c r="AN28" s="213">
        <v>40</v>
      </c>
      <c r="AO28" s="213" t="s">
        <v>733</v>
      </c>
      <c r="AP28" s="213" t="s">
        <v>734</v>
      </c>
      <c r="AQ28" s="213">
        <v>1</v>
      </c>
      <c r="AR28" s="213" t="s">
        <v>798</v>
      </c>
      <c r="AS28" s="213">
        <v>23.2</v>
      </c>
      <c r="AT28" s="213">
        <v>425</v>
      </c>
      <c r="AU28" s="213" t="s">
        <v>710</v>
      </c>
      <c r="AV28" s="213">
        <v>-9999</v>
      </c>
      <c r="AW28" s="213">
        <v>250</v>
      </c>
      <c r="AX28" s="213">
        <v>618</v>
      </c>
      <c r="AY28" s="213">
        <v>248</v>
      </c>
      <c r="AZ28" s="213" t="s">
        <v>710</v>
      </c>
      <c r="BA28" s="213">
        <v>0</v>
      </c>
      <c r="BB28" s="213">
        <v>40</v>
      </c>
      <c r="BC28" s="213" t="s">
        <v>736</v>
      </c>
      <c r="BD28" s="213" t="s">
        <v>734</v>
      </c>
      <c r="BE28" s="213">
        <v>2</v>
      </c>
      <c r="BF28" s="213" t="s">
        <v>798</v>
      </c>
      <c r="BG28" s="213">
        <v>24.1</v>
      </c>
      <c r="BH28" s="213">
        <v>187</v>
      </c>
      <c r="BI28" s="213" t="s">
        <v>710</v>
      </c>
      <c r="BJ28" s="213">
        <v>-9999</v>
      </c>
      <c r="BK28" s="213">
        <v>104</v>
      </c>
      <c r="BL28" s="213">
        <v>323</v>
      </c>
      <c r="BM28" s="213">
        <v>103</v>
      </c>
      <c r="BN28" s="213" t="s">
        <v>710</v>
      </c>
      <c r="BO28" s="213">
        <v>0</v>
      </c>
      <c r="BP28" s="213">
        <v>40</v>
      </c>
      <c r="BQ28" s="213" t="s">
        <v>737</v>
      </c>
      <c r="BR28" s="213" t="s">
        <v>734</v>
      </c>
      <c r="BS28" s="213">
        <v>3</v>
      </c>
      <c r="BT28" s="213" t="s">
        <v>799</v>
      </c>
      <c r="BU28" s="213">
        <v>0</v>
      </c>
      <c r="BV28" s="213">
        <v>31</v>
      </c>
      <c r="BW28" s="213" t="s">
        <v>249</v>
      </c>
      <c r="BX28" s="213">
        <v>-9999</v>
      </c>
      <c r="BY28" s="213">
        <v>159</v>
      </c>
      <c r="BZ28" s="213">
        <v>380</v>
      </c>
      <c r="CA28" s="213">
        <v>159</v>
      </c>
      <c r="CB28" s="213" t="s">
        <v>710</v>
      </c>
      <c r="CC28" s="213">
        <v>0</v>
      </c>
      <c r="CD28" s="213">
        <v>40</v>
      </c>
      <c r="CE28" s="213" t="s">
        <v>738</v>
      </c>
      <c r="CF28" s="213" t="s">
        <v>734</v>
      </c>
      <c r="CG28" s="213">
        <v>4</v>
      </c>
      <c r="CH28" s="213" t="s">
        <v>798</v>
      </c>
      <c r="CI28" s="213">
        <v>21.7</v>
      </c>
      <c r="CJ28" s="213">
        <v>417</v>
      </c>
      <c r="CK28" s="213" t="s">
        <v>710</v>
      </c>
      <c r="CL28" s="213">
        <v>-9999</v>
      </c>
      <c r="CM28" s="213">
        <v>137</v>
      </c>
      <c r="CN28" s="213">
        <v>370</v>
      </c>
      <c r="CO28" s="213">
        <v>135</v>
      </c>
      <c r="CP28" s="213" t="s">
        <v>710</v>
      </c>
      <c r="CQ28" s="213">
        <v>0</v>
      </c>
      <c r="CR28" s="213">
        <v>40</v>
      </c>
      <c r="CS28" s="213" t="s">
        <v>739</v>
      </c>
      <c r="CT28" s="213" t="s">
        <v>740</v>
      </c>
      <c r="CU28" s="213">
        <v>116</v>
      </c>
      <c r="CV28" s="213">
        <v>116</v>
      </c>
      <c r="CW28" s="213">
        <v>116</v>
      </c>
      <c r="CX28" s="213" t="s">
        <v>710</v>
      </c>
      <c r="CY28" s="213" t="s">
        <v>741</v>
      </c>
      <c r="CZ28" s="213" t="s">
        <v>740</v>
      </c>
      <c r="DA28" s="213">
        <v>108</v>
      </c>
      <c r="DB28" s="213">
        <v>108</v>
      </c>
      <c r="DC28" s="213">
        <v>108</v>
      </c>
      <c r="DD28" s="213" t="s">
        <v>710</v>
      </c>
      <c r="DE28" s="213" t="s">
        <v>742</v>
      </c>
      <c r="DF28" s="213" t="s">
        <v>743</v>
      </c>
      <c r="DG28" s="213">
        <v>0</v>
      </c>
      <c r="DH28" s="213">
        <v>0</v>
      </c>
      <c r="DI28" s="213">
        <v>0</v>
      </c>
      <c r="DJ28" s="213" t="s">
        <v>249</v>
      </c>
      <c r="DK28" s="213">
        <v>69.400000000000006</v>
      </c>
      <c r="DL28" s="213">
        <v>61.1</v>
      </c>
      <c r="DM28" s="213" t="s">
        <v>744</v>
      </c>
      <c r="DN28" s="213" t="s">
        <v>743</v>
      </c>
      <c r="DO28" s="213">
        <v>0</v>
      </c>
      <c r="DP28" s="213">
        <v>0</v>
      </c>
      <c r="DQ28" s="213">
        <v>0</v>
      </c>
      <c r="DR28" s="213" t="s">
        <v>249</v>
      </c>
      <c r="DU28" s="213" t="s">
        <v>745</v>
      </c>
      <c r="DV28" s="213" t="s">
        <v>743</v>
      </c>
      <c r="DW28" s="213">
        <v>0</v>
      </c>
      <c r="DX28" s="213">
        <v>0</v>
      </c>
      <c r="DY28" s="213">
        <v>0</v>
      </c>
      <c r="DZ28" s="213" t="s">
        <v>249</v>
      </c>
      <c r="EC28" s="213" t="s">
        <v>746</v>
      </c>
      <c r="ED28" s="213" t="s">
        <v>743</v>
      </c>
      <c r="EE28" s="213">
        <v>0</v>
      </c>
      <c r="EF28" s="213">
        <v>0</v>
      </c>
      <c r="EG28" s="213">
        <v>0</v>
      </c>
      <c r="EH28" s="213" t="s">
        <v>249</v>
      </c>
      <c r="EK28" s="213" t="s">
        <v>747</v>
      </c>
      <c r="EL28" s="213" t="s">
        <v>743</v>
      </c>
      <c r="EM28" s="213">
        <v>0</v>
      </c>
      <c r="EN28" s="213">
        <v>0</v>
      </c>
      <c r="EO28" s="213">
        <v>0</v>
      </c>
      <c r="EP28" s="213" t="s">
        <v>249</v>
      </c>
      <c r="ES28" s="213" t="s">
        <v>748</v>
      </c>
      <c r="ET28" s="213" t="s">
        <v>743</v>
      </c>
      <c r="EU28" s="213">
        <v>0</v>
      </c>
      <c r="EV28" s="213">
        <v>0</v>
      </c>
      <c r="EW28" s="213">
        <v>0</v>
      </c>
      <c r="EX28" s="213" t="s">
        <v>249</v>
      </c>
      <c r="EY28" s="213">
        <v>70</v>
      </c>
      <c r="EZ28" s="213">
        <v>57.6</v>
      </c>
      <c r="FA28" s="213" t="s">
        <v>749</v>
      </c>
      <c r="FB28" s="213" t="s">
        <v>743</v>
      </c>
      <c r="FC28" s="213">
        <v>0</v>
      </c>
      <c r="FD28" s="213">
        <v>0</v>
      </c>
      <c r="FE28" s="213">
        <v>0</v>
      </c>
      <c r="FF28" s="213" t="s">
        <v>249</v>
      </c>
      <c r="FI28" s="213" t="s">
        <v>750</v>
      </c>
      <c r="FJ28" s="213" t="s">
        <v>743</v>
      </c>
      <c r="FK28" s="213">
        <v>0</v>
      </c>
      <c r="FL28" s="213">
        <v>0</v>
      </c>
      <c r="FM28" s="213">
        <v>0</v>
      </c>
      <c r="FN28" s="213" t="s">
        <v>249</v>
      </c>
      <c r="FO28" s="213">
        <v>73.5</v>
      </c>
      <c r="FP28" s="213">
        <v>169.2</v>
      </c>
      <c r="FQ28" s="213" t="s">
        <v>751</v>
      </c>
      <c r="FR28" s="213" t="s">
        <v>743</v>
      </c>
      <c r="FS28" s="213">
        <v>0</v>
      </c>
      <c r="FT28" s="213">
        <v>0</v>
      </c>
      <c r="FU28" s="213">
        <v>0</v>
      </c>
      <c r="FV28" s="213" t="s">
        <v>249</v>
      </c>
      <c r="FY28" s="213">
        <v>18.399999999999999</v>
      </c>
      <c r="FZ28" s="213">
        <v>-8.6999999999999993</v>
      </c>
      <c r="GF28" s="213" t="s">
        <v>752</v>
      </c>
    </row>
    <row r="29" spans="1:188" s="446" customFormat="1" x14ac:dyDescent="0.15">
      <c r="A29" s="213" t="s">
        <v>654</v>
      </c>
      <c r="B29" s="213">
        <v>4</v>
      </c>
      <c r="C29" s="213" t="s">
        <v>959</v>
      </c>
      <c r="D29" s="213">
        <v>614341834</v>
      </c>
      <c r="E29" s="213">
        <v>92303</v>
      </c>
      <c r="F29" s="213" t="s">
        <v>795</v>
      </c>
      <c r="G29" s="213">
        <v>839032</v>
      </c>
      <c r="H29" s="213">
        <v>210018949</v>
      </c>
      <c r="I29" s="213">
        <v>6.8</v>
      </c>
      <c r="J29" s="213" t="s">
        <v>960</v>
      </c>
      <c r="K29" s="213" t="s">
        <v>727</v>
      </c>
      <c r="L29" s="213" t="s">
        <v>797</v>
      </c>
      <c r="M29" s="213" t="s">
        <v>728</v>
      </c>
      <c r="N29" s="213" t="s">
        <v>728</v>
      </c>
      <c r="O29" s="213" t="s">
        <v>729</v>
      </c>
      <c r="P29" s="213" t="s">
        <v>249</v>
      </c>
      <c r="Q29" s="213">
        <v>24.8</v>
      </c>
      <c r="R29" s="213">
        <v>158</v>
      </c>
      <c r="S29" s="213" t="s">
        <v>249</v>
      </c>
      <c r="T29" s="213">
        <v>-9999</v>
      </c>
      <c r="U29" s="213">
        <v>205</v>
      </c>
      <c r="V29" s="213">
        <v>441</v>
      </c>
      <c r="W29" s="213">
        <v>199</v>
      </c>
      <c r="X29" s="213" t="s">
        <v>710</v>
      </c>
      <c r="Y29" s="213">
        <v>0</v>
      </c>
      <c r="Z29" s="213">
        <v>40</v>
      </c>
      <c r="AA29" s="213" t="s">
        <v>730</v>
      </c>
      <c r="AB29" s="213" t="s">
        <v>731</v>
      </c>
      <c r="AC29" s="213" t="s">
        <v>729</v>
      </c>
      <c r="AD29" s="213" t="s">
        <v>249</v>
      </c>
      <c r="AE29" s="213">
        <v>26.9</v>
      </c>
      <c r="AF29" s="213">
        <v>110</v>
      </c>
      <c r="AG29" s="213" t="s">
        <v>249</v>
      </c>
      <c r="AH29" s="213">
        <v>-9999</v>
      </c>
      <c r="AI29" s="213">
        <v>215</v>
      </c>
      <c r="AJ29" s="213">
        <v>509</v>
      </c>
      <c r="AK29" s="213">
        <v>211</v>
      </c>
      <c r="AL29" s="213" t="s">
        <v>710</v>
      </c>
      <c r="AM29" s="213">
        <v>0</v>
      </c>
      <c r="AN29" s="213">
        <v>40</v>
      </c>
      <c r="AO29" s="213" t="s">
        <v>733</v>
      </c>
      <c r="AP29" s="213" t="s">
        <v>734</v>
      </c>
      <c r="AQ29" s="213">
        <v>1</v>
      </c>
      <c r="AR29" s="213" t="s">
        <v>798</v>
      </c>
      <c r="AS29" s="213">
        <v>24.5</v>
      </c>
      <c r="AT29" s="213">
        <v>397</v>
      </c>
      <c r="AU29" s="213" t="s">
        <v>710</v>
      </c>
      <c r="AV29" s="213">
        <v>-9999</v>
      </c>
      <c r="AW29" s="213">
        <v>282</v>
      </c>
      <c r="AX29" s="213">
        <v>688</v>
      </c>
      <c r="AY29" s="213">
        <v>278</v>
      </c>
      <c r="AZ29" s="213" t="s">
        <v>710</v>
      </c>
      <c r="BA29" s="213">
        <v>0</v>
      </c>
      <c r="BB29" s="213">
        <v>40</v>
      </c>
      <c r="BC29" s="213" t="s">
        <v>736</v>
      </c>
      <c r="BD29" s="213" t="s">
        <v>734</v>
      </c>
      <c r="BE29" s="213">
        <v>2</v>
      </c>
      <c r="BF29" s="213" t="s">
        <v>798</v>
      </c>
      <c r="BG29" s="213">
        <v>25.2</v>
      </c>
      <c r="BH29" s="213">
        <v>183</v>
      </c>
      <c r="BI29" s="213" t="s">
        <v>710</v>
      </c>
      <c r="BJ29" s="213">
        <v>-9999</v>
      </c>
      <c r="BK29" s="213">
        <v>109</v>
      </c>
      <c r="BL29" s="213">
        <v>336</v>
      </c>
      <c r="BM29" s="213">
        <v>106</v>
      </c>
      <c r="BN29" s="213" t="s">
        <v>710</v>
      </c>
      <c r="BO29" s="213">
        <v>0</v>
      </c>
      <c r="BP29" s="213">
        <v>40</v>
      </c>
      <c r="BQ29" s="213" t="s">
        <v>737</v>
      </c>
      <c r="BR29" s="213" t="s">
        <v>734</v>
      </c>
      <c r="BS29" s="213">
        <v>3</v>
      </c>
      <c r="BT29" s="213" t="s">
        <v>799</v>
      </c>
      <c r="BU29" s="213">
        <v>0</v>
      </c>
      <c r="BV29" s="213">
        <v>31</v>
      </c>
      <c r="BW29" s="213" t="s">
        <v>249</v>
      </c>
      <c r="BX29" s="213">
        <v>-9999</v>
      </c>
      <c r="BY29" s="213">
        <v>160</v>
      </c>
      <c r="BZ29" s="213">
        <v>353</v>
      </c>
      <c r="CA29" s="213">
        <v>159</v>
      </c>
      <c r="CB29" s="213" t="s">
        <v>710</v>
      </c>
      <c r="CC29" s="213">
        <v>0</v>
      </c>
      <c r="CD29" s="213">
        <v>40</v>
      </c>
      <c r="CE29" s="213" t="s">
        <v>738</v>
      </c>
      <c r="CF29" s="213" t="s">
        <v>734</v>
      </c>
      <c r="CG29" s="213">
        <v>4</v>
      </c>
      <c r="CH29" s="213" t="s">
        <v>798</v>
      </c>
      <c r="CI29" s="213">
        <v>22.9</v>
      </c>
      <c r="CJ29" s="213">
        <v>402</v>
      </c>
      <c r="CK29" s="213" t="s">
        <v>710</v>
      </c>
      <c r="CL29" s="213">
        <v>-9999</v>
      </c>
      <c r="CM29" s="213">
        <v>147</v>
      </c>
      <c r="CN29" s="213">
        <v>384</v>
      </c>
      <c r="CO29" s="213">
        <v>144</v>
      </c>
      <c r="CP29" s="213" t="s">
        <v>710</v>
      </c>
      <c r="CQ29" s="213">
        <v>0</v>
      </c>
      <c r="CR29" s="213">
        <v>40</v>
      </c>
      <c r="CS29" s="213" t="s">
        <v>739</v>
      </c>
      <c r="CT29" s="213" t="s">
        <v>740</v>
      </c>
      <c r="CU29" s="213">
        <v>110</v>
      </c>
      <c r="CV29" s="213">
        <v>110</v>
      </c>
      <c r="CW29" s="213">
        <v>109</v>
      </c>
      <c r="CX29" s="213" t="s">
        <v>710</v>
      </c>
      <c r="CY29" s="213" t="s">
        <v>741</v>
      </c>
      <c r="CZ29" s="213" t="s">
        <v>740</v>
      </c>
      <c r="DA29" s="213">
        <v>110</v>
      </c>
      <c r="DB29" s="213">
        <v>110</v>
      </c>
      <c r="DC29" s="213">
        <v>110</v>
      </c>
      <c r="DD29" s="213" t="s">
        <v>710</v>
      </c>
      <c r="DE29" s="213" t="s">
        <v>742</v>
      </c>
      <c r="DF29" s="213" t="s">
        <v>743</v>
      </c>
      <c r="DG29" s="213">
        <v>0</v>
      </c>
      <c r="DH29" s="213">
        <v>0</v>
      </c>
      <c r="DI29" s="213">
        <v>0</v>
      </c>
      <c r="DJ29" s="213" t="s">
        <v>249</v>
      </c>
      <c r="DK29" s="213">
        <v>69.400000000000006</v>
      </c>
      <c r="DL29" s="213">
        <v>51.7</v>
      </c>
      <c r="DM29" s="213" t="s">
        <v>744</v>
      </c>
      <c r="DN29" s="213" t="s">
        <v>743</v>
      </c>
      <c r="DO29" s="213">
        <v>0</v>
      </c>
      <c r="DP29" s="213">
        <v>0</v>
      </c>
      <c r="DQ29" s="213">
        <v>0</v>
      </c>
      <c r="DR29" s="213" t="s">
        <v>249</v>
      </c>
      <c r="DS29" s="213"/>
      <c r="DT29" s="213"/>
      <c r="DU29" s="213" t="s">
        <v>745</v>
      </c>
      <c r="DV29" s="213" t="s">
        <v>743</v>
      </c>
      <c r="DW29" s="213">
        <v>0</v>
      </c>
      <c r="DX29" s="213">
        <v>0</v>
      </c>
      <c r="DY29" s="213">
        <v>0</v>
      </c>
      <c r="DZ29" s="213" t="s">
        <v>249</v>
      </c>
      <c r="EA29" s="213"/>
      <c r="EB29" s="213"/>
      <c r="EC29" s="213" t="s">
        <v>746</v>
      </c>
      <c r="ED29" s="213" t="s">
        <v>743</v>
      </c>
      <c r="EE29" s="213">
        <v>0</v>
      </c>
      <c r="EF29" s="213">
        <v>0</v>
      </c>
      <c r="EG29" s="213">
        <v>0</v>
      </c>
      <c r="EH29" s="213" t="s">
        <v>249</v>
      </c>
      <c r="EI29" s="213"/>
      <c r="EJ29" s="213"/>
      <c r="EK29" s="213" t="s">
        <v>747</v>
      </c>
      <c r="EL29" s="213" t="s">
        <v>743</v>
      </c>
      <c r="EM29" s="213">
        <v>0</v>
      </c>
      <c r="EN29" s="213">
        <v>0</v>
      </c>
      <c r="EO29" s="213">
        <v>0</v>
      </c>
      <c r="EP29" s="213" t="s">
        <v>249</v>
      </c>
      <c r="ES29" s="446" t="s">
        <v>748</v>
      </c>
      <c r="ET29" s="446" t="s">
        <v>743</v>
      </c>
      <c r="EU29" s="446">
        <v>0</v>
      </c>
      <c r="EV29" s="446">
        <v>0</v>
      </c>
      <c r="EW29" s="446">
        <v>0</v>
      </c>
      <c r="EX29" s="446" t="s">
        <v>249</v>
      </c>
      <c r="EY29" s="446">
        <v>70</v>
      </c>
      <c r="EZ29" s="446">
        <v>40.9</v>
      </c>
      <c r="FA29" s="446" t="s">
        <v>749</v>
      </c>
      <c r="FB29" s="446" t="s">
        <v>743</v>
      </c>
      <c r="FC29" s="446">
        <v>0</v>
      </c>
      <c r="FD29" s="446">
        <v>0</v>
      </c>
      <c r="FE29" s="446">
        <v>0</v>
      </c>
      <c r="FF29" s="446" t="s">
        <v>249</v>
      </c>
      <c r="FI29" s="446" t="s">
        <v>750</v>
      </c>
      <c r="FJ29" s="446" t="s">
        <v>743</v>
      </c>
      <c r="FK29" s="446">
        <v>0</v>
      </c>
      <c r="FL29" s="446">
        <v>0</v>
      </c>
      <c r="FM29" s="446">
        <v>0</v>
      </c>
      <c r="FN29" s="446" t="s">
        <v>249</v>
      </c>
      <c r="FO29" s="446">
        <v>73.5</v>
      </c>
      <c r="FP29" s="446">
        <v>152.4</v>
      </c>
      <c r="FQ29" s="446" t="s">
        <v>751</v>
      </c>
      <c r="FR29" s="446" t="s">
        <v>743</v>
      </c>
      <c r="FS29" s="446">
        <v>0</v>
      </c>
      <c r="FT29" s="446">
        <v>0</v>
      </c>
      <c r="FU29" s="446">
        <v>0</v>
      </c>
      <c r="FV29" s="446" t="s">
        <v>249</v>
      </c>
      <c r="FY29" s="446">
        <v>20.100000000000001</v>
      </c>
      <c r="FZ29" s="446">
        <v>-6.5</v>
      </c>
      <c r="GF29" s="446" t="s">
        <v>752</v>
      </c>
    </row>
    <row r="30" spans="1:188" s="213" customFormat="1" x14ac:dyDescent="0.15">
      <c r="A30" s="213" t="s">
        <v>654</v>
      </c>
      <c r="B30" s="213">
        <v>4</v>
      </c>
      <c r="C30" s="213" t="s">
        <v>935</v>
      </c>
      <c r="D30" s="213">
        <v>614341037</v>
      </c>
      <c r="E30" s="213">
        <v>92303</v>
      </c>
      <c r="F30" s="213" t="s">
        <v>795</v>
      </c>
      <c r="G30" s="213">
        <v>839032</v>
      </c>
      <c r="H30" s="213">
        <v>210059038</v>
      </c>
      <c r="I30" s="213">
        <v>6.8</v>
      </c>
      <c r="J30" s="213" t="s">
        <v>936</v>
      </c>
      <c r="K30" s="213" t="s">
        <v>727</v>
      </c>
      <c r="L30" s="213" t="s">
        <v>797</v>
      </c>
      <c r="M30" s="213" t="s">
        <v>728</v>
      </c>
      <c r="N30" s="213" t="s">
        <v>728</v>
      </c>
      <c r="O30" s="213" t="s">
        <v>729</v>
      </c>
      <c r="P30" s="213" t="s">
        <v>249</v>
      </c>
      <c r="Q30" s="213">
        <v>26.2</v>
      </c>
      <c r="R30" s="213">
        <v>139</v>
      </c>
      <c r="S30" s="213" t="s">
        <v>249</v>
      </c>
      <c r="T30" s="213">
        <v>-9999</v>
      </c>
      <c r="U30" s="213">
        <v>145</v>
      </c>
      <c r="V30" s="213">
        <v>323</v>
      </c>
      <c r="W30" s="213">
        <v>141</v>
      </c>
      <c r="X30" s="213" t="s">
        <v>710</v>
      </c>
      <c r="Y30" s="213">
        <v>0</v>
      </c>
      <c r="Z30" s="213">
        <v>40</v>
      </c>
      <c r="AA30" s="213" t="s">
        <v>730</v>
      </c>
      <c r="AB30" s="213" t="s">
        <v>731</v>
      </c>
      <c r="AC30" s="213" t="s">
        <v>729</v>
      </c>
      <c r="AD30" s="213" t="s">
        <v>249</v>
      </c>
      <c r="AE30" s="213">
        <v>26.9</v>
      </c>
      <c r="AF30" s="213">
        <v>100</v>
      </c>
      <c r="AG30" s="213" t="s">
        <v>249</v>
      </c>
      <c r="AH30" s="213">
        <v>-9999</v>
      </c>
      <c r="AI30" s="213">
        <v>186</v>
      </c>
      <c r="AJ30" s="213">
        <v>441</v>
      </c>
      <c r="AK30" s="213">
        <v>183</v>
      </c>
      <c r="AL30" s="213" t="s">
        <v>710</v>
      </c>
      <c r="AM30" s="213">
        <v>0</v>
      </c>
      <c r="AN30" s="213">
        <v>40</v>
      </c>
      <c r="AO30" s="213" t="s">
        <v>733</v>
      </c>
      <c r="AP30" s="213" t="s">
        <v>734</v>
      </c>
      <c r="AQ30" s="213">
        <v>1</v>
      </c>
      <c r="AR30" s="213" t="s">
        <v>798</v>
      </c>
      <c r="AS30" s="213">
        <v>25.1</v>
      </c>
      <c r="AT30" s="213">
        <v>361</v>
      </c>
      <c r="AU30" s="213" t="s">
        <v>710</v>
      </c>
      <c r="AV30" s="213">
        <v>-9999</v>
      </c>
      <c r="AW30" s="213">
        <v>231</v>
      </c>
      <c r="AX30" s="213">
        <v>574</v>
      </c>
      <c r="AY30" s="213">
        <v>228</v>
      </c>
      <c r="AZ30" s="213" t="s">
        <v>710</v>
      </c>
      <c r="BA30" s="213">
        <v>0</v>
      </c>
      <c r="BB30" s="213">
        <v>40</v>
      </c>
      <c r="BC30" s="213" t="s">
        <v>736</v>
      </c>
      <c r="BD30" s="213" t="s">
        <v>734</v>
      </c>
      <c r="BE30" s="213">
        <v>2</v>
      </c>
      <c r="BF30" s="213" t="s">
        <v>798</v>
      </c>
      <c r="BG30" s="213">
        <v>25.7</v>
      </c>
      <c r="BH30" s="213">
        <v>169</v>
      </c>
      <c r="BI30" s="213" t="s">
        <v>710</v>
      </c>
      <c r="BJ30" s="213">
        <v>-9999</v>
      </c>
      <c r="BK30" s="213">
        <v>92</v>
      </c>
      <c r="BL30" s="213">
        <v>284</v>
      </c>
      <c r="BM30" s="213">
        <v>89</v>
      </c>
      <c r="BN30" s="213" t="s">
        <v>710</v>
      </c>
      <c r="BO30" s="213">
        <v>0</v>
      </c>
      <c r="BP30" s="213">
        <v>40</v>
      </c>
      <c r="BQ30" s="213" t="s">
        <v>737</v>
      </c>
      <c r="BR30" s="213" t="s">
        <v>734</v>
      </c>
      <c r="BS30" s="213">
        <v>3</v>
      </c>
      <c r="BT30" s="213" t="s">
        <v>799</v>
      </c>
      <c r="BU30" s="213">
        <v>0</v>
      </c>
      <c r="BV30" s="213">
        <v>26</v>
      </c>
      <c r="BW30" s="213" t="s">
        <v>249</v>
      </c>
      <c r="BX30" s="213">
        <v>-9999</v>
      </c>
      <c r="BY30" s="213">
        <v>172</v>
      </c>
      <c r="BZ30" s="213">
        <v>397</v>
      </c>
      <c r="CA30" s="213">
        <v>170</v>
      </c>
      <c r="CB30" s="213" t="s">
        <v>710</v>
      </c>
      <c r="CC30" s="213">
        <v>0</v>
      </c>
      <c r="CD30" s="213">
        <v>40</v>
      </c>
      <c r="CE30" s="213" t="s">
        <v>738</v>
      </c>
      <c r="CF30" s="213" t="s">
        <v>734</v>
      </c>
      <c r="CG30" s="213">
        <v>4</v>
      </c>
      <c r="CH30" s="213" t="s">
        <v>798</v>
      </c>
      <c r="CI30" s="213">
        <v>23.6</v>
      </c>
      <c r="CJ30" s="213">
        <v>354</v>
      </c>
      <c r="CK30" s="213" t="s">
        <v>710</v>
      </c>
      <c r="CL30" s="213">
        <v>-9999</v>
      </c>
      <c r="CM30" s="213">
        <v>137</v>
      </c>
      <c r="CN30" s="213">
        <v>360</v>
      </c>
      <c r="CO30" s="213">
        <v>134</v>
      </c>
      <c r="CP30" s="213" t="s">
        <v>710</v>
      </c>
      <c r="CQ30" s="213">
        <v>0</v>
      </c>
      <c r="CR30" s="213">
        <v>40</v>
      </c>
      <c r="CS30" s="213" t="s">
        <v>739</v>
      </c>
      <c r="CT30" s="213" t="s">
        <v>740</v>
      </c>
      <c r="CU30" s="213">
        <v>125</v>
      </c>
      <c r="CV30" s="213">
        <v>124</v>
      </c>
      <c r="CW30" s="213">
        <v>123</v>
      </c>
      <c r="CX30" s="213" t="s">
        <v>710</v>
      </c>
      <c r="CY30" s="213" t="s">
        <v>741</v>
      </c>
      <c r="CZ30" s="213" t="s">
        <v>740</v>
      </c>
      <c r="DA30" s="213">
        <v>103</v>
      </c>
      <c r="DB30" s="213">
        <v>103</v>
      </c>
      <c r="DC30" s="213">
        <v>103</v>
      </c>
      <c r="DD30" s="213" t="s">
        <v>710</v>
      </c>
      <c r="DE30" s="213" t="s">
        <v>742</v>
      </c>
      <c r="DF30" s="213" t="s">
        <v>743</v>
      </c>
      <c r="DG30" s="213">
        <v>0</v>
      </c>
      <c r="DH30" s="213">
        <v>0</v>
      </c>
      <c r="DI30" s="213">
        <v>0</v>
      </c>
      <c r="DJ30" s="213" t="s">
        <v>249</v>
      </c>
      <c r="DK30" s="213">
        <v>69.400000000000006</v>
      </c>
      <c r="DL30" s="213">
        <v>48.7</v>
      </c>
      <c r="DM30" s="213" t="s">
        <v>744</v>
      </c>
      <c r="DN30" s="213" t="s">
        <v>743</v>
      </c>
      <c r="DO30" s="213">
        <v>0</v>
      </c>
      <c r="DP30" s="213">
        <v>0</v>
      </c>
      <c r="DQ30" s="213">
        <v>0</v>
      </c>
      <c r="DR30" s="213" t="s">
        <v>249</v>
      </c>
      <c r="DU30" s="213" t="s">
        <v>745</v>
      </c>
      <c r="DV30" s="213" t="s">
        <v>743</v>
      </c>
      <c r="DW30" s="213">
        <v>0</v>
      </c>
      <c r="DX30" s="213">
        <v>0</v>
      </c>
      <c r="DY30" s="213">
        <v>0</v>
      </c>
      <c r="DZ30" s="213" t="s">
        <v>249</v>
      </c>
      <c r="EC30" s="213" t="s">
        <v>746</v>
      </c>
      <c r="ED30" s="213" t="s">
        <v>743</v>
      </c>
      <c r="EE30" s="213">
        <v>0</v>
      </c>
      <c r="EF30" s="213">
        <v>0</v>
      </c>
      <c r="EG30" s="213">
        <v>0</v>
      </c>
      <c r="EH30" s="213" t="s">
        <v>249</v>
      </c>
      <c r="EK30" s="213" t="s">
        <v>747</v>
      </c>
      <c r="EL30" s="213" t="s">
        <v>743</v>
      </c>
      <c r="EM30" s="213">
        <v>0</v>
      </c>
      <c r="EN30" s="213">
        <v>0</v>
      </c>
      <c r="EO30" s="213">
        <v>0</v>
      </c>
      <c r="EP30" s="213" t="s">
        <v>249</v>
      </c>
      <c r="ES30" s="213" t="s">
        <v>748</v>
      </c>
      <c r="ET30" s="213" t="s">
        <v>743</v>
      </c>
      <c r="EU30" s="213">
        <v>0</v>
      </c>
      <c r="EV30" s="213">
        <v>0</v>
      </c>
      <c r="EW30" s="213">
        <v>0</v>
      </c>
      <c r="EX30" s="213" t="s">
        <v>249</v>
      </c>
      <c r="EY30" s="213">
        <v>69.900000000000006</v>
      </c>
      <c r="EZ30" s="213">
        <v>34.799999999999997</v>
      </c>
      <c r="FA30" s="213" t="s">
        <v>749</v>
      </c>
      <c r="FB30" s="213" t="s">
        <v>743</v>
      </c>
      <c r="FC30" s="213">
        <v>0</v>
      </c>
      <c r="FD30" s="213">
        <v>0</v>
      </c>
      <c r="FE30" s="213">
        <v>0</v>
      </c>
      <c r="FF30" s="213" t="s">
        <v>249</v>
      </c>
      <c r="FI30" s="213" t="s">
        <v>750</v>
      </c>
      <c r="FJ30" s="213" t="s">
        <v>743</v>
      </c>
      <c r="FK30" s="213">
        <v>0</v>
      </c>
      <c r="FL30" s="213">
        <v>0</v>
      </c>
      <c r="FM30" s="213">
        <v>0</v>
      </c>
      <c r="FN30" s="213" t="s">
        <v>249</v>
      </c>
      <c r="FO30" s="213">
        <v>73.400000000000006</v>
      </c>
      <c r="FP30" s="213">
        <v>127.7</v>
      </c>
      <c r="FQ30" s="213" t="s">
        <v>751</v>
      </c>
      <c r="FR30" s="213" t="s">
        <v>743</v>
      </c>
      <c r="FS30" s="213">
        <v>0</v>
      </c>
      <c r="FT30" s="213">
        <v>0</v>
      </c>
      <c r="FU30" s="213">
        <v>0</v>
      </c>
      <c r="FV30" s="213" t="s">
        <v>249</v>
      </c>
      <c r="FY30" s="213">
        <v>19.8</v>
      </c>
      <c r="FZ30" s="213">
        <v>-10.3</v>
      </c>
      <c r="GF30" s="213" t="s">
        <v>752</v>
      </c>
    </row>
    <row r="31" spans="1:188" s="213" customFormat="1" x14ac:dyDescent="0.15">
      <c r="A31" s="213" t="s">
        <v>654</v>
      </c>
      <c r="B31" s="213">
        <v>4</v>
      </c>
      <c r="C31" s="213" t="s">
        <v>937</v>
      </c>
      <c r="D31" s="213">
        <v>614341409</v>
      </c>
      <c r="E31" s="213">
        <v>92303</v>
      </c>
      <c r="F31" s="213" t="s">
        <v>795</v>
      </c>
      <c r="G31" s="213">
        <v>839032</v>
      </c>
      <c r="H31" s="213">
        <v>210012379</v>
      </c>
      <c r="I31" s="213">
        <v>6.8</v>
      </c>
      <c r="J31" s="213" t="s">
        <v>938</v>
      </c>
      <c r="K31" s="213" t="s">
        <v>727</v>
      </c>
      <c r="L31" s="213" t="s">
        <v>797</v>
      </c>
      <c r="M31" s="213" t="s">
        <v>728</v>
      </c>
      <c r="N31" s="213" t="s">
        <v>728</v>
      </c>
      <c r="O31" s="213" t="s">
        <v>729</v>
      </c>
      <c r="P31" s="213" t="s">
        <v>249</v>
      </c>
      <c r="Q31" s="213">
        <v>25.7</v>
      </c>
      <c r="R31" s="213">
        <v>148</v>
      </c>
      <c r="S31" s="213" t="s">
        <v>249</v>
      </c>
      <c r="T31" s="213">
        <v>-9999</v>
      </c>
      <c r="U31" s="213">
        <v>186</v>
      </c>
      <c r="V31" s="213">
        <v>409</v>
      </c>
      <c r="W31" s="213">
        <v>180</v>
      </c>
      <c r="X31" s="213" t="s">
        <v>710</v>
      </c>
      <c r="Y31" s="213">
        <v>0</v>
      </c>
      <c r="Z31" s="213">
        <v>40</v>
      </c>
      <c r="AA31" s="213" t="s">
        <v>730</v>
      </c>
      <c r="AB31" s="213" t="s">
        <v>731</v>
      </c>
      <c r="AC31" s="213" t="s">
        <v>729</v>
      </c>
      <c r="AD31" s="213" t="s">
        <v>249</v>
      </c>
      <c r="AE31" s="213">
        <v>26.4</v>
      </c>
      <c r="AF31" s="213">
        <v>119</v>
      </c>
      <c r="AG31" s="213" t="s">
        <v>249</v>
      </c>
      <c r="AH31" s="213">
        <v>-9999</v>
      </c>
      <c r="AI31" s="213">
        <v>205</v>
      </c>
      <c r="AJ31" s="213">
        <v>488</v>
      </c>
      <c r="AK31" s="213">
        <v>203</v>
      </c>
      <c r="AL31" s="213" t="s">
        <v>710</v>
      </c>
      <c r="AM31" s="213">
        <v>0</v>
      </c>
      <c r="AN31" s="213">
        <v>40</v>
      </c>
      <c r="AO31" s="213" t="s">
        <v>733</v>
      </c>
      <c r="AP31" s="213" t="s">
        <v>734</v>
      </c>
      <c r="AQ31" s="213">
        <v>1</v>
      </c>
      <c r="AR31" s="213" t="s">
        <v>798</v>
      </c>
      <c r="AS31" s="213">
        <v>24.7</v>
      </c>
      <c r="AT31" s="213">
        <v>397</v>
      </c>
      <c r="AU31" s="213" t="s">
        <v>710</v>
      </c>
      <c r="AV31" s="213">
        <v>-9999</v>
      </c>
      <c r="AW31" s="213">
        <v>243</v>
      </c>
      <c r="AX31" s="213">
        <v>604</v>
      </c>
      <c r="AY31" s="213">
        <v>240</v>
      </c>
      <c r="AZ31" s="213" t="s">
        <v>710</v>
      </c>
      <c r="BA31" s="213">
        <v>0</v>
      </c>
      <c r="BB31" s="213">
        <v>40</v>
      </c>
      <c r="BC31" s="213" t="s">
        <v>736</v>
      </c>
      <c r="BD31" s="213" t="s">
        <v>734</v>
      </c>
      <c r="BE31" s="213">
        <v>2</v>
      </c>
      <c r="BF31" s="213" t="s">
        <v>798</v>
      </c>
      <c r="BG31" s="213">
        <v>25.7</v>
      </c>
      <c r="BH31" s="213">
        <v>171</v>
      </c>
      <c r="BI31" s="213" t="s">
        <v>710</v>
      </c>
      <c r="BJ31" s="213">
        <v>-9999</v>
      </c>
      <c r="BK31" s="213">
        <v>112</v>
      </c>
      <c r="BL31" s="213">
        <v>337</v>
      </c>
      <c r="BM31" s="213">
        <v>110</v>
      </c>
      <c r="BN31" s="213" t="s">
        <v>710</v>
      </c>
      <c r="BO31" s="213">
        <v>0</v>
      </c>
      <c r="BP31" s="213">
        <v>40</v>
      </c>
      <c r="BQ31" s="213" t="s">
        <v>737</v>
      </c>
      <c r="BR31" s="213" t="s">
        <v>734</v>
      </c>
      <c r="BS31" s="213">
        <v>3</v>
      </c>
      <c r="BT31" s="213" t="s">
        <v>799</v>
      </c>
      <c r="BU31" s="213">
        <v>0</v>
      </c>
      <c r="BV31" s="213">
        <v>32</v>
      </c>
      <c r="BW31" s="213" t="s">
        <v>249</v>
      </c>
      <c r="BX31" s="213">
        <v>-9999</v>
      </c>
      <c r="BY31" s="213">
        <v>185</v>
      </c>
      <c r="BZ31" s="213">
        <v>448</v>
      </c>
      <c r="CA31" s="213">
        <v>184</v>
      </c>
      <c r="CB31" s="213" t="s">
        <v>710</v>
      </c>
      <c r="CC31" s="213">
        <v>0</v>
      </c>
      <c r="CD31" s="213">
        <v>40</v>
      </c>
      <c r="CE31" s="213" t="s">
        <v>738</v>
      </c>
      <c r="CF31" s="213" t="s">
        <v>734</v>
      </c>
      <c r="CG31" s="213">
        <v>4</v>
      </c>
      <c r="CH31" s="213" t="s">
        <v>798</v>
      </c>
      <c r="CI31" s="213">
        <v>23.2</v>
      </c>
      <c r="CJ31" s="213">
        <v>381</v>
      </c>
      <c r="CK31" s="213" t="s">
        <v>710</v>
      </c>
      <c r="CL31" s="213">
        <v>-9999</v>
      </c>
      <c r="CM31" s="213">
        <v>136</v>
      </c>
      <c r="CN31" s="213">
        <v>352</v>
      </c>
      <c r="CO31" s="213">
        <v>133</v>
      </c>
      <c r="CP31" s="213" t="s">
        <v>710</v>
      </c>
      <c r="CQ31" s="213">
        <v>0</v>
      </c>
      <c r="CR31" s="213">
        <v>40</v>
      </c>
      <c r="CS31" s="213" t="s">
        <v>739</v>
      </c>
      <c r="CT31" s="213" t="s">
        <v>740</v>
      </c>
      <c r="CU31" s="213">
        <v>109</v>
      </c>
      <c r="CV31" s="213">
        <v>109</v>
      </c>
      <c r="CW31" s="213">
        <v>108</v>
      </c>
      <c r="CX31" s="213" t="s">
        <v>710</v>
      </c>
      <c r="CY31" s="213" t="s">
        <v>741</v>
      </c>
      <c r="CZ31" s="213" t="s">
        <v>740</v>
      </c>
      <c r="DA31" s="213">
        <v>116</v>
      </c>
      <c r="DB31" s="213">
        <v>115</v>
      </c>
      <c r="DC31" s="213">
        <v>115</v>
      </c>
      <c r="DD31" s="213" t="s">
        <v>710</v>
      </c>
      <c r="DE31" s="213" t="s">
        <v>742</v>
      </c>
      <c r="DF31" s="213" t="s">
        <v>743</v>
      </c>
      <c r="DG31" s="213">
        <v>0</v>
      </c>
      <c r="DH31" s="213">
        <v>0</v>
      </c>
      <c r="DI31" s="213">
        <v>0</v>
      </c>
      <c r="DJ31" s="213" t="s">
        <v>249</v>
      </c>
      <c r="DK31" s="213">
        <v>69.5</v>
      </c>
      <c r="DL31" s="213">
        <v>50.8</v>
      </c>
      <c r="DM31" s="213" t="s">
        <v>744</v>
      </c>
      <c r="DN31" s="213" t="s">
        <v>743</v>
      </c>
      <c r="DO31" s="213">
        <v>0</v>
      </c>
      <c r="DP31" s="213">
        <v>0</v>
      </c>
      <c r="DQ31" s="213">
        <v>0</v>
      </c>
      <c r="DR31" s="213" t="s">
        <v>249</v>
      </c>
      <c r="DU31" s="213" t="s">
        <v>745</v>
      </c>
      <c r="DV31" s="213" t="s">
        <v>743</v>
      </c>
      <c r="DW31" s="213">
        <v>0</v>
      </c>
      <c r="DX31" s="213">
        <v>0</v>
      </c>
      <c r="DY31" s="213">
        <v>0</v>
      </c>
      <c r="DZ31" s="213" t="s">
        <v>249</v>
      </c>
      <c r="EC31" s="213" t="s">
        <v>746</v>
      </c>
      <c r="ED31" s="213" t="s">
        <v>743</v>
      </c>
      <c r="EE31" s="213">
        <v>0</v>
      </c>
      <c r="EF31" s="213">
        <v>0</v>
      </c>
      <c r="EG31" s="213">
        <v>0</v>
      </c>
      <c r="EH31" s="213" t="s">
        <v>249</v>
      </c>
      <c r="EK31" s="213" t="s">
        <v>747</v>
      </c>
      <c r="EL31" s="213" t="s">
        <v>743</v>
      </c>
      <c r="EM31" s="213">
        <v>0</v>
      </c>
      <c r="EN31" s="213">
        <v>0</v>
      </c>
      <c r="EO31" s="213">
        <v>0</v>
      </c>
      <c r="EP31" s="213" t="s">
        <v>249</v>
      </c>
      <c r="ES31" s="213" t="s">
        <v>748</v>
      </c>
      <c r="ET31" s="213" t="s">
        <v>743</v>
      </c>
      <c r="EU31" s="213">
        <v>0</v>
      </c>
      <c r="EV31" s="213">
        <v>0</v>
      </c>
      <c r="EW31" s="213">
        <v>0</v>
      </c>
      <c r="EX31" s="213" t="s">
        <v>249</v>
      </c>
      <c r="EY31" s="213">
        <v>70.099999999999994</v>
      </c>
      <c r="EZ31" s="213">
        <v>52.2</v>
      </c>
      <c r="FA31" s="213" t="s">
        <v>749</v>
      </c>
      <c r="FB31" s="213" t="s">
        <v>743</v>
      </c>
      <c r="FC31" s="213">
        <v>0</v>
      </c>
      <c r="FD31" s="213">
        <v>0</v>
      </c>
      <c r="FE31" s="213">
        <v>0</v>
      </c>
      <c r="FF31" s="213" t="s">
        <v>249</v>
      </c>
      <c r="FI31" s="213" t="s">
        <v>750</v>
      </c>
      <c r="FJ31" s="213" t="s">
        <v>743</v>
      </c>
      <c r="FK31" s="213">
        <v>0</v>
      </c>
      <c r="FL31" s="213">
        <v>0</v>
      </c>
      <c r="FM31" s="213">
        <v>0</v>
      </c>
      <c r="FN31" s="213" t="s">
        <v>249</v>
      </c>
      <c r="FO31" s="213">
        <v>73.599999999999994</v>
      </c>
      <c r="FP31" s="213">
        <v>145.6</v>
      </c>
      <c r="FQ31" s="213" t="s">
        <v>751</v>
      </c>
      <c r="FR31" s="213" t="s">
        <v>743</v>
      </c>
      <c r="FS31" s="213">
        <v>0</v>
      </c>
      <c r="FT31" s="213">
        <v>0</v>
      </c>
      <c r="FU31" s="213">
        <v>0</v>
      </c>
      <c r="FV31" s="213" t="s">
        <v>249</v>
      </c>
      <c r="FY31" s="213">
        <v>18.2</v>
      </c>
      <c r="FZ31" s="213">
        <v>-9</v>
      </c>
      <c r="GF31" s="213" t="s">
        <v>752</v>
      </c>
    </row>
    <row r="32" spans="1:188" s="213" customFormat="1" x14ac:dyDescent="0.15">
      <c r="A32" s="213" t="s">
        <v>654</v>
      </c>
      <c r="B32" s="213">
        <v>4</v>
      </c>
      <c r="C32" s="213" t="s">
        <v>939</v>
      </c>
      <c r="D32" s="213">
        <v>614340747</v>
      </c>
      <c r="E32" s="213">
        <v>92303</v>
      </c>
      <c r="F32" s="213" t="s">
        <v>795</v>
      </c>
      <c r="G32" s="213">
        <v>839032</v>
      </c>
      <c r="H32" s="213">
        <v>210003146</v>
      </c>
      <c r="I32" s="213">
        <v>6.8</v>
      </c>
      <c r="J32" s="213" t="s">
        <v>940</v>
      </c>
      <c r="K32" s="213" t="s">
        <v>727</v>
      </c>
      <c r="L32" s="213" t="s">
        <v>797</v>
      </c>
      <c r="M32" s="213" t="s">
        <v>728</v>
      </c>
      <c r="N32" s="213" t="s">
        <v>728</v>
      </c>
      <c r="O32" s="213" t="s">
        <v>729</v>
      </c>
      <c r="P32" s="213" t="s">
        <v>249</v>
      </c>
      <c r="Q32" s="213">
        <v>23.5</v>
      </c>
      <c r="R32" s="213">
        <v>163</v>
      </c>
      <c r="S32" s="213" t="s">
        <v>249</v>
      </c>
      <c r="T32" s="213">
        <v>-9999</v>
      </c>
      <c r="U32" s="213">
        <v>174</v>
      </c>
      <c r="V32" s="213">
        <v>372</v>
      </c>
      <c r="W32" s="213">
        <v>168</v>
      </c>
      <c r="X32" s="213" t="s">
        <v>710</v>
      </c>
      <c r="Y32" s="213">
        <v>0</v>
      </c>
      <c r="Z32" s="213">
        <v>40</v>
      </c>
      <c r="AA32" s="213" t="s">
        <v>730</v>
      </c>
      <c r="AB32" s="213" t="s">
        <v>731</v>
      </c>
      <c r="AC32" s="213" t="s">
        <v>729</v>
      </c>
      <c r="AD32" s="213" t="s">
        <v>249</v>
      </c>
      <c r="AE32" s="213">
        <v>24.8</v>
      </c>
      <c r="AF32" s="213">
        <v>134</v>
      </c>
      <c r="AG32" s="213" t="s">
        <v>249</v>
      </c>
      <c r="AH32" s="213">
        <v>-9999</v>
      </c>
      <c r="AI32" s="213">
        <v>166</v>
      </c>
      <c r="AJ32" s="213">
        <v>397</v>
      </c>
      <c r="AK32" s="213">
        <v>164</v>
      </c>
      <c r="AL32" s="213" t="s">
        <v>710</v>
      </c>
      <c r="AM32" s="213">
        <v>0</v>
      </c>
      <c r="AN32" s="213">
        <v>40</v>
      </c>
      <c r="AO32" s="213" t="s">
        <v>733</v>
      </c>
      <c r="AP32" s="213" t="s">
        <v>734</v>
      </c>
      <c r="AQ32" s="213">
        <v>1</v>
      </c>
      <c r="AR32" s="213" t="s">
        <v>798</v>
      </c>
      <c r="AS32" s="213">
        <v>23.1</v>
      </c>
      <c r="AT32" s="213">
        <v>441</v>
      </c>
      <c r="AU32" s="213" t="s">
        <v>710</v>
      </c>
      <c r="AV32" s="213">
        <v>-9999</v>
      </c>
      <c r="AW32" s="213">
        <v>240</v>
      </c>
      <c r="AX32" s="213">
        <v>591</v>
      </c>
      <c r="AY32" s="213">
        <v>239</v>
      </c>
      <c r="AZ32" s="213" t="s">
        <v>710</v>
      </c>
      <c r="BA32" s="213">
        <v>0</v>
      </c>
      <c r="BB32" s="213">
        <v>40</v>
      </c>
      <c r="BC32" s="213" t="s">
        <v>736</v>
      </c>
      <c r="BD32" s="213" t="s">
        <v>734</v>
      </c>
      <c r="BE32" s="213">
        <v>2</v>
      </c>
      <c r="BF32" s="213" t="s">
        <v>798</v>
      </c>
      <c r="BG32" s="213">
        <v>23.7</v>
      </c>
      <c r="BH32" s="213">
        <v>203</v>
      </c>
      <c r="BI32" s="213" t="s">
        <v>710</v>
      </c>
      <c r="BJ32" s="213">
        <v>-9999</v>
      </c>
      <c r="BK32" s="213">
        <v>95</v>
      </c>
      <c r="BL32" s="213">
        <v>305</v>
      </c>
      <c r="BM32" s="213">
        <v>94</v>
      </c>
      <c r="BN32" s="213" t="s">
        <v>710</v>
      </c>
      <c r="BO32" s="213">
        <v>0</v>
      </c>
      <c r="BP32" s="213">
        <v>40</v>
      </c>
      <c r="BQ32" s="213" t="s">
        <v>737</v>
      </c>
      <c r="BR32" s="213" t="s">
        <v>734</v>
      </c>
      <c r="BS32" s="213">
        <v>3</v>
      </c>
      <c r="BT32" s="213" t="s">
        <v>799</v>
      </c>
      <c r="BU32" s="213">
        <v>0</v>
      </c>
      <c r="BV32" s="213">
        <v>29</v>
      </c>
      <c r="BW32" s="213" t="s">
        <v>249</v>
      </c>
      <c r="BX32" s="213">
        <v>-9999</v>
      </c>
      <c r="BY32" s="213">
        <v>154</v>
      </c>
      <c r="BZ32" s="213">
        <v>365</v>
      </c>
      <c r="CA32" s="213">
        <v>155</v>
      </c>
      <c r="CB32" s="213" t="s">
        <v>710</v>
      </c>
      <c r="CC32" s="213">
        <v>0</v>
      </c>
      <c r="CD32" s="213">
        <v>40</v>
      </c>
      <c r="CE32" s="213" t="s">
        <v>738</v>
      </c>
      <c r="CF32" s="213" t="s">
        <v>734</v>
      </c>
      <c r="CG32" s="213">
        <v>4</v>
      </c>
      <c r="CH32" s="213" t="s">
        <v>798</v>
      </c>
      <c r="CI32" s="213">
        <v>21.4</v>
      </c>
      <c r="CJ32" s="213">
        <v>429</v>
      </c>
      <c r="CK32" s="213" t="s">
        <v>710</v>
      </c>
      <c r="CL32" s="213">
        <v>-9999</v>
      </c>
      <c r="CM32" s="213">
        <v>121</v>
      </c>
      <c r="CN32" s="213">
        <v>319</v>
      </c>
      <c r="CO32" s="213">
        <v>119</v>
      </c>
      <c r="CP32" s="213" t="s">
        <v>710</v>
      </c>
      <c r="CQ32" s="213">
        <v>0</v>
      </c>
      <c r="CR32" s="213">
        <v>40</v>
      </c>
      <c r="CS32" s="213" t="s">
        <v>739</v>
      </c>
      <c r="CT32" s="213" t="s">
        <v>740</v>
      </c>
      <c r="CU32" s="213">
        <v>102</v>
      </c>
      <c r="CV32" s="213">
        <v>102</v>
      </c>
      <c r="CW32" s="213">
        <v>101</v>
      </c>
      <c r="CX32" s="213" t="s">
        <v>710</v>
      </c>
      <c r="CY32" s="213" t="s">
        <v>741</v>
      </c>
      <c r="CZ32" s="213" t="s">
        <v>740</v>
      </c>
      <c r="DA32" s="213">
        <v>106</v>
      </c>
      <c r="DB32" s="213">
        <v>106</v>
      </c>
      <c r="DC32" s="213">
        <v>106</v>
      </c>
      <c r="DD32" s="213" t="s">
        <v>710</v>
      </c>
      <c r="DE32" s="213" t="s">
        <v>742</v>
      </c>
      <c r="DF32" s="213" t="s">
        <v>743</v>
      </c>
      <c r="DG32" s="213">
        <v>0</v>
      </c>
      <c r="DH32" s="213">
        <v>0</v>
      </c>
      <c r="DI32" s="213">
        <v>0</v>
      </c>
      <c r="DJ32" s="213" t="s">
        <v>249</v>
      </c>
      <c r="DK32" s="213">
        <v>69.3</v>
      </c>
      <c r="DL32" s="213">
        <v>54.9</v>
      </c>
      <c r="DM32" s="213" t="s">
        <v>744</v>
      </c>
      <c r="DN32" s="213" t="s">
        <v>743</v>
      </c>
      <c r="DO32" s="213">
        <v>0</v>
      </c>
      <c r="DP32" s="213">
        <v>0</v>
      </c>
      <c r="DQ32" s="213">
        <v>0</v>
      </c>
      <c r="DR32" s="213" t="s">
        <v>249</v>
      </c>
      <c r="DU32" s="213" t="s">
        <v>745</v>
      </c>
      <c r="DV32" s="213" t="s">
        <v>743</v>
      </c>
      <c r="DW32" s="213">
        <v>0</v>
      </c>
      <c r="DX32" s="213">
        <v>0</v>
      </c>
      <c r="DY32" s="213">
        <v>0</v>
      </c>
      <c r="DZ32" s="213" t="s">
        <v>249</v>
      </c>
      <c r="EC32" s="213" t="s">
        <v>746</v>
      </c>
      <c r="ED32" s="213" t="s">
        <v>743</v>
      </c>
      <c r="EE32" s="213">
        <v>0</v>
      </c>
      <c r="EF32" s="213">
        <v>0</v>
      </c>
      <c r="EG32" s="213">
        <v>0</v>
      </c>
      <c r="EH32" s="213" t="s">
        <v>249</v>
      </c>
      <c r="EK32" s="213" t="s">
        <v>747</v>
      </c>
      <c r="EL32" s="213" t="s">
        <v>743</v>
      </c>
      <c r="EM32" s="213">
        <v>0</v>
      </c>
      <c r="EN32" s="213">
        <v>0</v>
      </c>
      <c r="EO32" s="213">
        <v>0</v>
      </c>
      <c r="EP32" s="213" t="s">
        <v>249</v>
      </c>
      <c r="ES32" s="213" t="s">
        <v>748</v>
      </c>
      <c r="ET32" s="213" t="s">
        <v>743</v>
      </c>
      <c r="EU32" s="213">
        <v>0</v>
      </c>
      <c r="EV32" s="213">
        <v>0</v>
      </c>
      <c r="EW32" s="213">
        <v>0</v>
      </c>
      <c r="EX32" s="213" t="s">
        <v>249</v>
      </c>
      <c r="EY32" s="213">
        <v>69.900000000000006</v>
      </c>
      <c r="EZ32" s="213">
        <v>49</v>
      </c>
      <c r="FA32" s="213" t="s">
        <v>749</v>
      </c>
      <c r="FB32" s="213" t="s">
        <v>743</v>
      </c>
      <c r="FC32" s="213">
        <v>0</v>
      </c>
      <c r="FD32" s="213">
        <v>0</v>
      </c>
      <c r="FE32" s="213">
        <v>0</v>
      </c>
      <c r="FF32" s="213" t="s">
        <v>249</v>
      </c>
      <c r="FI32" s="213" t="s">
        <v>750</v>
      </c>
      <c r="FJ32" s="213" t="s">
        <v>743</v>
      </c>
      <c r="FK32" s="213">
        <v>0</v>
      </c>
      <c r="FL32" s="213">
        <v>0</v>
      </c>
      <c r="FM32" s="213">
        <v>0</v>
      </c>
      <c r="FN32" s="213" t="s">
        <v>249</v>
      </c>
      <c r="FO32" s="213">
        <v>73.400000000000006</v>
      </c>
      <c r="FP32" s="213">
        <v>129</v>
      </c>
      <c r="FQ32" s="213" t="s">
        <v>751</v>
      </c>
      <c r="FR32" s="213" t="s">
        <v>743</v>
      </c>
      <c r="FS32" s="213">
        <v>0</v>
      </c>
      <c r="FT32" s="213">
        <v>0</v>
      </c>
      <c r="FU32" s="213">
        <v>0</v>
      </c>
      <c r="FV32" s="213" t="s">
        <v>249</v>
      </c>
      <c r="FY32" s="213">
        <v>21.1</v>
      </c>
      <c r="FZ32" s="213">
        <v>-10.199999999999999</v>
      </c>
      <c r="GF32" s="213" t="s">
        <v>752</v>
      </c>
    </row>
    <row r="33" spans="1:188" s="213" customFormat="1" x14ac:dyDescent="0.15">
      <c r="A33" s="213" t="s">
        <v>654</v>
      </c>
      <c r="B33" s="213">
        <v>4</v>
      </c>
      <c r="C33" s="213" t="s">
        <v>941</v>
      </c>
      <c r="D33" s="213">
        <v>614341905</v>
      </c>
      <c r="E33" s="213">
        <v>92303</v>
      </c>
      <c r="F33" s="213" t="s">
        <v>795</v>
      </c>
      <c r="G33" s="213">
        <v>839032</v>
      </c>
      <c r="H33" s="213">
        <v>694834</v>
      </c>
      <c r="I33" s="213">
        <v>6.8</v>
      </c>
      <c r="J33" s="213" t="s">
        <v>942</v>
      </c>
      <c r="K33" s="213" t="s">
        <v>727</v>
      </c>
      <c r="L33" s="213" t="s">
        <v>797</v>
      </c>
      <c r="M33" s="213" t="s">
        <v>728</v>
      </c>
      <c r="N33" s="213" t="s">
        <v>728</v>
      </c>
      <c r="O33" s="213" t="s">
        <v>729</v>
      </c>
      <c r="P33" s="213" t="s">
        <v>249</v>
      </c>
      <c r="Q33" s="213">
        <v>24.8</v>
      </c>
      <c r="R33" s="213">
        <v>140</v>
      </c>
      <c r="S33" s="213" t="s">
        <v>249</v>
      </c>
      <c r="T33" s="213">
        <v>-9999</v>
      </c>
      <c r="U33" s="213">
        <v>207</v>
      </c>
      <c r="V33" s="213">
        <v>443</v>
      </c>
      <c r="W33" s="213">
        <v>201</v>
      </c>
      <c r="X33" s="213" t="s">
        <v>710</v>
      </c>
      <c r="Y33" s="213">
        <v>0</v>
      </c>
      <c r="Z33" s="213">
        <v>40</v>
      </c>
      <c r="AA33" s="213" t="s">
        <v>730</v>
      </c>
      <c r="AB33" s="213" t="s">
        <v>731</v>
      </c>
      <c r="AC33" s="213" t="s">
        <v>729</v>
      </c>
      <c r="AD33" s="213" t="s">
        <v>249</v>
      </c>
      <c r="AE33" s="213">
        <v>26.1</v>
      </c>
      <c r="AF33" s="213">
        <v>104</v>
      </c>
      <c r="AG33" s="213" t="s">
        <v>249</v>
      </c>
      <c r="AH33" s="213">
        <v>-9999</v>
      </c>
      <c r="AI33" s="213">
        <v>198</v>
      </c>
      <c r="AJ33" s="213">
        <v>463</v>
      </c>
      <c r="AK33" s="213">
        <v>194</v>
      </c>
      <c r="AL33" s="213" t="s">
        <v>710</v>
      </c>
      <c r="AM33" s="213">
        <v>0</v>
      </c>
      <c r="AN33" s="213">
        <v>40</v>
      </c>
      <c r="AO33" s="213" t="s">
        <v>733</v>
      </c>
      <c r="AP33" s="213" t="s">
        <v>734</v>
      </c>
      <c r="AQ33" s="213">
        <v>1</v>
      </c>
      <c r="AR33" s="213" t="s">
        <v>798</v>
      </c>
      <c r="AS33" s="213">
        <v>23.9</v>
      </c>
      <c r="AT33" s="213">
        <v>373</v>
      </c>
      <c r="AU33" s="213" t="s">
        <v>710</v>
      </c>
      <c r="AV33" s="213">
        <v>-9999</v>
      </c>
      <c r="AW33" s="213">
        <v>255</v>
      </c>
      <c r="AX33" s="213">
        <v>623</v>
      </c>
      <c r="AY33" s="213">
        <v>253</v>
      </c>
      <c r="AZ33" s="213" t="s">
        <v>710</v>
      </c>
      <c r="BA33" s="213">
        <v>0</v>
      </c>
      <c r="BB33" s="213">
        <v>40</v>
      </c>
      <c r="BC33" s="213" t="s">
        <v>736</v>
      </c>
      <c r="BD33" s="213" t="s">
        <v>734</v>
      </c>
      <c r="BE33" s="213">
        <v>2</v>
      </c>
      <c r="BF33" s="213" t="s">
        <v>798</v>
      </c>
      <c r="BG33" s="213">
        <v>24.5</v>
      </c>
      <c r="BH33" s="213">
        <v>177</v>
      </c>
      <c r="BI33" s="213" t="s">
        <v>710</v>
      </c>
      <c r="BJ33" s="213">
        <v>-9999</v>
      </c>
      <c r="BK33" s="213">
        <v>119</v>
      </c>
      <c r="BL33" s="213">
        <v>362</v>
      </c>
      <c r="BM33" s="213">
        <v>117</v>
      </c>
      <c r="BN33" s="213" t="s">
        <v>710</v>
      </c>
      <c r="BO33" s="213">
        <v>0</v>
      </c>
      <c r="BP33" s="213">
        <v>40</v>
      </c>
      <c r="BQ33" s="213" t="s">
        <v>737</v>
      </c>
      <c r="BR33" s="213" t="s">
        <v>734</v>
      </c>
      <c r="BS33" s="213">
        <v>3</v>
      </c>
      <c r="BT33" s="213" t="s">
        <v>799</v>
      </c>
      <c r="BU33" s="213">
        <v>0</v>
      </c>
      <c r="BV33" s="213">
        <v>29</v>
      </c>
      <c r="BW33" s="213" t="s">
        <v>249</v>
      </c>
      <c r="BX33" s="213">
        <v>-9999</v>
      </c>
      <c r="BY33" s="213">
        <v>169</v>
      </c>
      <c r="BZ33" s="213">
        <v>390</v>
      </c>
      <c r="CA33" s="213">
        <v>168</v>
      </c>
      <c r="CB33" s="213" t="s">
        <v>710</v>
      </c>
      <c r="CC33" s="213">
        <v>0</v>
      </c>
      <c r="CD33" s="213">
        <v>40</v>
      </c>
      <c r="CE33" s="213" t="s">
        <v>738</v>
      </c>
      <c r="CF33" s="213" t="s">
        <v>734</v>
      </c>
      <c r="CG33" s="213">
        <v>4</v>
      </c>
      <c r="CH33" s="213" t="s">
        <v>798</v>
      </c>
      <c r="CI33" s="213">
        <v>22.2</v>
      </c>
      <c r="CJ33" s="213">
        <v>374</v>
      </c>
      <c r="CK33" s="213" t="s">
        <v>710</v>
      </c>
      <c r="CL33" s="213">
        <v>-9999</v>
      </c>
      <c r="CM33" s="213">
        <v>148</v>
      </c>
      <c r="CN33" s="213">
        <v>395</v>
      </c>
      <c r="CO33" s="213">
        <v>145</v>
      </c>
      <c r="CP33" s="213" t="s">
        <v>710</v>
      </c>
      <c r="CQ33" s="213">
        <v>0</v>
      </c>
      <c r="CR33" s="213">
        <v>40</v>
      </c>
      <c r="CS33" s="213" t="s">
        <v>739</v>
      </c>
      <c r="CT33" s="213" t="s">
        <v>740</v>
      </c>
      <c r="CU33" s="213">
        <v>131</v>
      </c>
      <c r="CV33" s="213">
        <v>130</v>
      </c>
      <c r="CW33" s="213">
        <v>130</v>
      </c>
      <c r="CX33" s="213" t="s">
        <v>710</v>
      </c>
      <c r="CY33" s="213" t="s">
        <v>741</v>
      </c>
      <c r="CZ33" s="213" t="s">
        <v>740</v>
      </c>
      <c r="DA33" s="213">
        <v>120</v>
      </c>
      <c r="DB33" s="213">
        <v>119</v>
      </c>
      <c r="DC33" s="213">
        <v>119</v>
      </c>
      <c r="DD33" s="213" t="s">
        <v>710</v>
      </c>
      <c r="DE33" s="213" t="s">
        <v>742</v>
      </c>
      <c r="DF33" s="213" t="s">
        <v>743</v>
      </c>
      <c r="DG33" s="213">
        <v>0</v>
      </c>
      <c r="DH33" s="213">
        <v>0</v>
      </c>
      <c r="DI33" s="213">
        <v>0</v>
      </c>
      <c r="DJ33" s="213" t="s">
        <v>249</v>
      </c>
      <c r="DK33" s="213">
        <v>69.2</v>
      </c>
      <c r="DL33" s="213">
        <v>51.5</v>
      </c>
      <c r="DM33" s="213" t="s">
        <v>744</v>
      </c>
      <c r="DN33" s="213" t="s">
        <v>743</v>
      </c>
      <c r="DO33" s="213">
        <v>0</v>
      </c>
      <c r="DP33" s="213">
        <v>0</v>
      </c>
      <c r="DQ33" s="213">
        <v>0</v>
      </c>
      <c r="DR33" s="213" t="s">
        <v>249</v>
      </c>
      <c r="DU33" s="213" t="s">
        <v>745</v>
      </c>
      <c r="DV33" s="213" t="s">
        <v>743</v>
      </c>
      <c r="DW33" s="213">
        <v>0</v>
      </c>
      <c r="DX33" s="213">
        <v>0</v>
      </c>
      <c r="DY33" s="213">
        <v>0</v>
      </c>
      <c r="DZ33" s="213" t="s">
        <v>249</v>
      </c>
      <c r="EC33" s="213" t="s">
        <v>746</v>
      </c>
      <c r="ED33" s="213" t="s">
        <v>743</v>
      </c>
      <c r="EE33" s="213">
        <v>0</v>
      </c>
      <c r="EF33" s="213">
        <v>0</v>
      </c>
      <c r="EG33" s="213">
        <v>0</v>
      </c>
      <c r="EH33" s="213" t="s">
        <v>249</v>
      </c>
      <c r="EK33" s="213" t="s">
        <v>747</v>
      </c>
      <c r="EL33" s="213" t="s">
        <v>743</v>
      </c>
      <c r="EM33" s="213">
        <v>0</v>
      </c>
      <c r="EN33" s="213">
        <v>0</v>
      </c>
      <c r="EO33" s="213">
        <v>0</v>
      </c>
      <c r="EP33" s="213" t="s">
        <v>249</v>
      </c>
      <c r="ES33" s="213" t="s">
        <v>748</v>
      </c>
      <c r="ET33" s="213" t="s">
        <v>743</v>
      </c>
      <c r="EU33" s="213">
        <v>0</v>
      </c>
      <c r="EV33" s="213">
        <v>0</v>
      </c>
      <c r="EW33" s="213">
        <v>0</v>
      </c>
      <c r="EX33" s="213" t="s">
        <v>249</v>
      </c>
      <c r="EY33" s="213">
        <v>69.900000000000006</v>
      </c>
      <c r="EZ33" s="213">
        <v>52</v>
      </c>
      <c r="FA33" s="213" t="s">
        <v>749</v>
      </c>
      <c r="FB33" s="213" t="s">
        <v>743</v>
      </c>
      <c r="FC33" s="213">
        <v>0</v>
      </c>
      <c r="FD33" s="213">
        <v>0</v>
      </c>
      <c r="FE33" s="213">
        <v>0</v>
      </c>
      <c r="FF33" s="213" t="s">
        <v>249</v>
      </c>
      <c r="FI33" s="213" t="s">
        <v>750</v>
      </c>
      <c r="FJ33" s="213" t="s">
        <v>743</v>
      </c>
      <c r="FK33" s="213">
        <v>0</v>
      </c>
      <c r="FL33" s="213">
        <v>0</v>
      </c>
      <c r="FM33" s="213">
        <v>0</v>
      </c>
      <c r="FN33" s="213" t="s">
        <v>249</v>
      </c>
      <c r="FO33" s="213">
        <v>73.400000000000006</v>
      </c>
      <c r="FP33" s="213">
        <v>162.30000000000001</v>
      </c>
      <c r="FQ33" s="213" t="s">
        <v>751</v>
      </c>
      <c r="FR33" s="213" t="s">
        <v>743</v>
      </c>
      <c r="FS33" s="213">
        <v>0</v>
      </c>
      <c r="FT33" s="213">
        <v>0</v>
      </c>
      <c r="FU33" s="213">
        <v>0</v>
      </c>
      <c r="FV33" s="213" t="s">
        <v>249</v>
      </c>
      <c r="FY33" s="213">
        <v>18.100000000000001</v>
      </c>
      <c r="FZ33" s="213">
        <v>-8.3000000000000007</v>
      </c>
      <c r="GF33" s="213" t="s">
        <v>752</v>
      </c>
    </row>
    <row r="34" spans="1:188" s="213" customFormat="1" x14ac:dyDescent="0.15">
      <c r="A34" s="213" t="s">
        <v>654</v>
      </c>
      <c r="B34" s="213">
        <v>4</v>
      </c>
      <c r="C34" s="213" t="s">
        <v>943</v>
      </c>
      <c r="D34" s="213">
        <v>614344758</v>
      </c>
      <c r="E34" s="213">
        <v>92303</v>
      </c>
      <c r="F34" s="213" t="s">
        <v>795</v>
      </c>
      <c r="G34" s="213">
        <v>839032</v>
      </c>
      <c r="H34" s="213">
        <v>681294</v>
      </c>
      <c r="I34" s="213">
        <v>6.8</v>
      </c>
      <c r="J34" s="213" t="s">
        <v>944</v>
      </c>
      <c r="K34" s="213" t="s">
        <v>727</v>
      </c>
      <c r="L34" s="213" t="s">
        <v>797</v>
      </c>
      <c r="M34" s="213" t="s">
        <v>728</v>
      </c>
      <c r="N34" s="213" t="s">
        <v>728</v>
      </c>
      <c r="O34" s="213" t="s">
        <v>729</v>
      </c>
      <c r="P34" s="213" t="s">
        <v>249</v>
      </c>
      <c r="Q34" s="213">
        <v>24.3</v>
      </c>
      <c r="R34" s="213">
        <v>154</v>
      </c>
      <c r="S34" s="213" t="s">
        <v>249</v>
      </c>
      <c r="T34" s="213">
        <v>-9999</v>
      </c>
      <c r="U34" s="213">
        <v>212</v>
      </c>
      <c r="V34" s="213">
        <v>458</v>
      </c>
      <c r="W34" s="213">
        <v>206</v>
      </c>
      <c r="X34" s="213" t="s">
        <v>710</v>
      </c>
      <c r="Y34" s="213">
        <v>0</v>
      </c>
      <c r="Z34" s="213">
        <v>40</v>
      </c>
      <c r="AA34" s="213" t="s">
        <v>730</v>
      </c>
      <c r="AB34" s="213" t="s">
        <v>731</v>
      </c>
      <c r="AC34" s="213" t="s">
        <v>729</v>
      </c>
      <c r="AD34" s="213" t="s">
        <v>249</v>
      </c>
      <c r="AE34" s="213">
        <v>26.1</v>
      </c>
      <c r="AF34" s="213">
        <v>116</v>
      </c>
      <c r="AG34" s="213" t="s">
        <v>249</v>
      </c>
      <c r="AH34" s="213">
        <v>-9999</v>
      </c>
      <c r="AI34" s="213">
        <v>212</v>
      </c>
      <c r="AJ34" s="213">
        <v>505</v>
      </c>
      <c r="AK34" s="213">
        <v>209</v>
      </c>
      <c r="AL34" s="213" t="s">
        <v>710</v>
      </c>
      <c r="AM34" s="213">
        <v>0</v>
      </c>
      <c r="AN34" s="213">
        <v>40</v>
      </c>
      <c r="AO34" s="213" t="s">
        <v>733</v>
      </c>
      <c r="AP34" s="213" t="s">
        <v>734</v>
      </c>
      <c r="AQ34" s="213">
        <v>1</v>
      </c>
      <c r="AR34" s="213" t="s">
        <v>798</v>
      </c>
      <c r="AS34" s="213">
        <v>24.1</v>
      </c>
      <c r="AT34" s="213">
        <v>400</v>
      </c>
      <c r="AU34" s="213" t="s">
        <v>710</v>
      </c>
      <c r="AV34" s="213">
        <v>-9999</v>
      </c>
      <c r="AW34" s="213">
        <v>289</v>
      </c>
      <c r="AX34" s="213">
        <v>709</v>
      </c>
      <c r="AY34" s="213">
        <v>285</v>
      </c>
      <c r="AZ34" s="213" t="s">
        <v>710</v>
      </c>
      <c r="BA34" s="213">
        <v>0</v>
      </c>
      <c r="BB34" s="213">
        <v>40</v>
      </c>
      <c r="BC34" s="213" t="s">
        <v>736</v>
      </c>
      <c r="BD34" s="213" t="s">
        <v>734</v>
      </c>
      <c r="BE34" s="213">
        <v>2</v>
      </c>
      <c r="BF34" s="213" t="s">
        <v>798</v>
      </c>
      <c r="BG34" s="213">
        <v>24.2</v>
      </c>
      <c r="BH34" s="213">
        <v>198</v>
      </c>
      <c r="BI34" s="213" t="s">
        <v>710</v>
      </c>
      <c r="BJ34" s="213">
        <v>-9999</v>
      </c>
      <c r="BK34" s="213">
        <v>142</v>
      </c>
      <c r="BL34" s="213">
        <v>433</v>
      </c>
      <c r="BM34" s="213">
        <v>138</v>
      </c>
      <c r="BN34" s="213" t="s">
        <v>710</v>
      </c>
      <c r="BO34" s="213">
        <v>0</v>
      </c>
      <c r="BP34" s="213">
        <v>40</v>
      </c>
      <c r="BQ34" s="213" t="s">
        <v>737</v>
      </c>
      <c r="BR34" s="213" t="s">
        <v>734</v>
      </c>
      <c r="BS34" s="213">
        <v>3</v>
      </c>
      <c r="BT34" s="213" t="s">
        <v>799</v>
      </c>
      <c r="BU34" s="213">
        <v>0</v>
      </c>
      <c r="BV34" s="213">
        <v>32</v>
      </c>
      <c r="BW34" s="213" t="s">
        <v>249</v>
      </c>
      <c r="BX34" s="213">
        <v>-9999</v>
      </c>
      <c r="BY34" s="213">
        <v>167</v>
      </c>
      <c r="BZ34" s="213">
        <v>410</v>
      </c>
      <c r="CA34" s="213">
        <v>167</v>
      </c>
      <c r="CB34" s="213" t="s">
        <v>710</v>
      </c>
      <c r="CC34" s="213">
        <v>0</v>
      </c>
      <c r="CD34" s="213">
        <v>40</v>
      </c>
      <c r="CE34" s="213" t="s">
        <v>738</v>
      </c>
      <c r="CF34" s="213" t="s">
        <v>734</v>
      </c>
      <c r="CG34" s="213">
        <v>4</v>
      </c>
      <c r="CH34" s="213" t="s">
        <v>798</v>
      </c>
      <c r="CI34" s="213">
        <v>22.3</v>
      </c>
      <c r="CJ34" s="213">
        <v>412</v>
      </c>
      <c r="CK34" s="213" t="s">
        <v>710</v>
      </c>
      <c r="CL34" s="213">
        <v>-9999</v>
      </c>
      <c r="CM34" s="213">
        <v>142</v>
      </c>
      <c r="CN34" s="213">
        <v>375</v>
      </c>
      <c r="CO34" s="213">
        <v>139</v>
      </c>
      <c r="CP34" s="213" t="s">
        <v>710</v>
      </c>
      <c r="CQ34" s="213">
        <v>0</v>
      </c>
      <c r="CR34" s="213">
        <v>40</v>
      </c>
      <c r="CS34" s="213" t="s">
        <v>739</v>
      </c>
      <c r="CT34" s="213" t="s">
        <v>740</v>
      </c>
      <c r="CU34" s="213">
        <v>123</v>
      </c>
      <c r="CV34" s="213">
        <v>122</v>
      </c>
      <c r="CW34" s="213">
        <v>122</v>
      </c>
      <c r="CX34" s="213" t="s">
        <v>710</v>
      </c>
      <c r="CY34" s="213" t="s">
        <v>741</v>
      </c>
      <c r="CZ34" s="213" t="s">
        <v>740</v>
      </c>
      <c r="DA34" s="213">
        <v>120</v>
      </c>
      <c r="DB34" s="213">
        <v>120</v>
      </c>
      <c r="DC34" s="213">
        <v>120</v>
      </c>
      <c r="DD34" s="213" t="s">
        <v>710</v>
      </c>
      <c r="DE34" s="213" t="s">
        <v>742</v>
      </c>
      <c r="DF34" s="213" t="s">
        <v>743</v>
      </c>
      <c r="DG34" s="213">
        <v>0</v>
      </c>
      <c r="DH34" s="213">
        <v>0</v>
      </c>
      <c r="DI34" s="213">
        <v>0</v>
      </c>
      <c r="DJ34" s="213" t="s">
        <v>249</v>
      </c>
      <c r="DK34" s="213">
        <v>69.400000000000006</v>
      </c>
      <c r="DL34" s="213">
        <v>54.6</v>
      </c>
      <c r="DM34" s="213" t="s">
        <v>744</v>
      </c>
      <c r="DN34" s="213" t="s">
        <v>743</v>
      </c>
      <c r="DO34" s="213">
        <v>0</v>
      </c>
      <c r="DP34" s="213">
        <v>0</v>
      </c>
      <c r="DQ34" s="213">
        <v>0</v>
      </c>
      <c r="DR34" s="213" t="s">
        <v>249</v>
      </c>
      <c r="DU34" s="213" t="s">
        <v>745</v>
      </c>
      <c r="DV34" s="213" t="s">
        <v>743</v>
      </c>
      <c r="DW34" s="213">
        <v>0</v>
      </c>
      <c r="DX34" s="213">
        <v>0</v>
      </c>
      <c r="DY34" s="213">
        <v>0</v>
      </c>
      <c r="DZ34" s="213" t="s">
        <v>249</v>
      </c>
      <c r="EC34" s="213" t="s">
        <v>746</v>
      </c>
      <c r="ED34" s="213" t="s">
        <v>743</v>
      </c>
      <c r="EE34" s="213">
        <v>0</v>
      </c>
      <c r="EF34" s="213">
        <v>0</v>
      </c>
      <c r="EG34" s="213">
        <v>0</v>
      </c>
      <c r="EH34" s="213" t="s">
        <v>249</v>
      </c>
      <c r="EK34" s="213" t="s">
        <v>747</v>
      </c>
      <c r="EL34" s="213" t="s">
        <v>743</v>
      </c>
      <c r="EM34" s="213">
        <v>0</v>
      </c>
      <c r="EN34" s="213">
        <v>0</v>
      </c>
      <c r="EO34" s="213">
        <v>0</v>
      </c>
      <c r="EP34" s="213" t="s">
        <v>249</v>
      </c>
      <c r="ES34" s="213" t="s">
        <v>748</v>
      </c>
      <c r="ET34" s="213" t="s">
        <v>743</v>
      </c>
      <c r="EU34" s="213">
        <v>0</v>
      </c>
      <c r="EV34" s="213">
        <v>0</v>
      </c>
      <c r="EW34" s="213">
        <v>0</v>
      </c>
      <c r="EX34" s="213" t="s">
        <v>249</v>
      </c>
      <c r="EY34" s="213">
        <v>70</v>
      </c>
      <c r="EZ34" s="213">
        <v>53.9</v>
      </c>
      <c r="FA34" s="213" t="s">
        <v>749</v>
      </c>
      <c r="FB34" s="213" t="s">
        <v>743</v>
      </c>
      <c r="FC34" s="213">
        <v>0</v>
      </c>
      <c r="FD34" s="213">
        <v>0</v>
      </c>
      <c r="FE34" s="213">
        <v>0</v>
      </c>
      <c r="FF34" s="213" t="s">
        <v>249</v>
      </c>
      <c r="FI34" s="213" t="s">
        <v>750</v>
      </c>
      <c r="FJ34" s="213" t="s">
        <v>743</v>
      </c>
      <c r="FK34" s="213">
        <v>0</v>
      </c>
      <c r="FL34" s="213">
        <v>0</v>
      </c>
      <c r="FM34" s="213">
        <v>0</v>
      </c>
      <c r="FN34" s="213" t="s">
        <v>249</v>
      </c>
      <c r="FO34" s="213">
        <v>73.599999999999994</v>
      </c>
      <c r="FP34" s="213">
        <v>148.80000000000001</v>
      </c>
      <c r="FQ34" s="213" t="s">
        <v>751</v>
      </c>
      <c r="FR34" s="213" t="s">
        <v>743</v>
      </c>
      <c r="FS34" s="213">
        <v>0</v>
      </c>
      <c r="FT34" s="213">
        <v>0</v>
      </c>
      <c r="FU34" s="213">
        <v>0</v>
      </c>
      <c r="FV34" s="213" t="s">
        <v>249</v>
      </c>
      <c r="FY34" s="213">
        <v>18</v>
      </c>
      <c r="FZ34" s="213">
        <v>-9</v>
      </c>
      <c r="GF34" s="213" t="s">
        <v>752</v>
      </c>
    </row>
    <row r="35" spans="1:188" s="213" customFormat="1" x14ac:dyDescent="0.15">
      <c r="A35" s="213" t="s">
        <v>654</v>
      </c>
      <c r="B35" s="213">
        <v>4</v>
      </c>
      <c r="C35" s="213" t="s">
        <v>945</v>
      </c>
      <c r="D35" s="213">
        <v>614345044</v>
      </c>
      <c r="E35" s="213">
        <v>92303</v>
      </c>
      <c r="F35" s="213" t="s">
        <v>795</v>
      </c>
      <c r="G35" s="213">
        <v>839032</v>
      </c>
      <c r="H35" s="213">
        <v>210058622</v>
      </c>
      <c r="I35" s="213">
        <v>6.8</v>
      </c>
      <c r="J35" s="213" t="s">
        <v>946</v>
      </c>
      <c r="K35" s="213" t="s">
        <v>727</v>
      </c>
      <c r="L35" s="213" t="s">
        <v>797</v>
      </c>
      <c r="M35" s="213" t="s">
        <v>728</v>
      </c>
      <c r="N35" s="213" t="s">
        <v>728</v>
      </c>
      <c r="O35" s="213" t="s">
        <v>729</v>
      </c>
      <c r="P35" s="213" t="s">
        <v>249</v>
      </c>
      <c r="Q35" s="213">
        <v>25.3</v>
      </c>
      <c r="R35" s="213">
        <v>170</v>
      </c>
      <c r="S35" s="213" t="s">
        <v>249</v>
      </c>
      <c r="T35" s="213">
        <v>-9999</v>
      </c>
      <c r="U35" s="213">
        <v>166</v>
      </c>
      <c r="V35" s="213">
        <v>360</v>
      </c>
      <c r="W35" s="213">
        <v>161</v>
      </c>
      <c r="X35" s="213" t="s">
        <v>710</v>
      </c>
      <c r="Y35" s="213">
        <v>0</v>
      </c>
      <c r="Z35" s="213">
        <v>40</v>
      </c>
      <c r="AA35" s="213" t="s">
        <v>730</v>
      </c>
      <c r="AB35" s="213" t="s">
        <v>731</v>
      </c>
      <c r="AC35" s="213" t="s">
        <v>729</v>
      </c>
      <c r="AD35" s="213" t="s">
        <v>249</v>
      </c>
      <c r="AE35" s="213">
        <v>26</v>
      </c>
      <c r="AF35" s="213">
        <v>125</v>
      </c>
      <c r="AG35" s="213" t="s">
        <v>249</v>
      </c>
      <c r="AH35" s="213">
        <v>-9999</v>
      </c>
      <c r="AI35" s="213">
        <v>202</v>
      </c>
      <c r="AJ35" s="213">
        <v>481</v>
      </c>
      <c r="AK35" s="213">
        <v>201</v>
      </c>
      <c r="AL35" s="213" t="s">
        <v>710</v>
      </c>
      <c r="AM35" s="213">
        <v>0</v>
      </c>
      <c r="AN35" s="213">
        <v>40</v>
      </c>
      <c r="AO35" s="213" t="s">
        <v>733</v>
      </c>
      <c r="AP35" s="213" t="s">
        <v>734</v>
      </c>
      <c r="AQ35" s="213">
        <v>1</v>
      </c>
      <c r="AR35" s="213" t="s">
        <v>798</v>
      </c>
      <c r="AS35" s="213">
        <v>23.6</v>
      </c>
      <c r="AT35" s="213">
        <v>449</v>
      </c>
      <c r="AU35" s="213" t="s">
        <v>710</v>
      </c>
      <c r="AV35" s="213">
        <v>-9999</v>
      </c>
      <c r="AW35" s="213">
        <v>251</v>
      </c>
      <c r="AX35" s="213">
        <v>618</v>
      </c>
      <c r="AY35" s="213">
        <v>249</v>
      </c>
      <c r="AZ35" s="213" t="s">
        <v>710</v>
      </c>
      <c r="BA35" s="213">
        <v>0</v>
      </c>
      <c r="BB35" s="213">
        <v>40</v>
      </c>
      <c r="BC35" s="213" t="s">
        <v>736</v>
      </c>
      <c r="BD35" s="213" t="s">
        <v>734</v>
      </c>
      <c r="BE35" s="213">
        <v>2</v>
      </c>
      <c r="BF35" s="213" t="s">
        <v>798</v>
      </c>
      <c r="BG35" s="213">
        <v>24.8</v>
      </c>
      <c r="BH35" s="213">
        <v>188</v>
      </c>
      <c r="BI35" s="213" t="s">
        <v>710</v>
      </c>
      <c r="BJ35" s="213">
        <v>-9999</v>
      </c>
      <c r="BK35" s="213">
        <v>118</v>
      </c>
      <c r="BL35" s="213">
        <v>361</v>
      </c>
      <c r="BM35" s="213">
        <v>117</v>
      </c>
      <c r="BN35" s="213" t="s">
        <v>710</v>
      </c>
      <c r="BO35" s="213">
        <v>0</v>
      </c>
      <c r="BP35" s="213">
        <v>40</v>
      </c>
      <c r="BQ35" s="213" t="s">
        <v>737</v>
      </c>
      <c r="BR35" s="213" t="s">
        <v>734</v>
      </c>
      <c r="BS35" s="213">
        <v>3</v>
      </c>
      <c r="BT35" s="213" t="s">
        <v>799</v>
      </c>
      <c r="BU35" s="213">
        <v>0</v>
      </c>
      <c r="BV35" s="213">
        <v>33</v>
      </c>
      <c r="BW35" s="213" t="s">
        <v>249</v>
      </c>
      <c r="BX35" s="213">
        <v>-9999</v>
      </c>
      <c r="BY35" s="213">
        <v>164</v>
      </c>
      <c r="BZ35" s="213">
        <v>393</v>
      </c>
      <c r="CA35" s="213">
        <v>164</v>
      </c>
      <c r="CB35" s="213" t="s">
        <v>710</v>
      </c>
      <c r="CC35" s="213">
        <v>0</v>
      </c>
      <c r="CD35" s="213">
        <v>40</v>
      </c>
      <c r="CE35" s="213" t="s">
        <v>738</v>
      </c>
      <c r="CF35" s="213" t="s">
        <v>734</v>
      </c>
      <c r="CG35" s="213">
        <v>4</v>
      </c>
      <c r="CH35" s="213" t="s">
        <v>798</v>
      </c>
      <c r="CI35" s="213">
        <v>22.5</v>
      </c>
      <c r="CJ35" s="213">
        <v>418</v>
      </c>
      <c r="CK35" s="213" t="s">
        <v>710</v>
      </c>
      <c r="CL35" s="213">
        <v>-9999</v>
      </c>
      <c r="CM35" s="213">
        <v>154</v>
      </c>
      <c r="CN35" s="213">
        <v>406</v>
      </c>
      <c r="CO35" s="213">
        <v>153</v>
      </c>
      <c r="CP35" s="213" t="s">
        <v>710</v>
      </c>
      <c r="CQ35" s="213">
        <v>0</v>
      </c>
      <c r="CR35" s="213">
        <v>40</v>
      </c>
      <c r="CS35" s="213" t="s">
        <v>739</v>
      </c>
      <c r="CT35" s="213" t="s">
        <v>740</v>
      </c>
      <c r="CU35" s="213">
        <v>117</v>
      </c>
      <c r="CV35" s="213">
        <v>116</v>
      </c>
      <c r="CW35" s="213">
        <v>116</v>
      </c>
      <c r="CX35" s="213" t="s">
        <v>710</v>
      </c>
      <c r="CY35" s="213" t="s">
        <v>741</v>
      </c>
      <c r="CZ35" s="213" t="s">
        <v>740</v>
      </c>
      <c r="DA35" s="213">
        <v>96</v>
      </c>
      <c r="DB35" s="213">
        <v>95</v>
      </c>
      <c r="DC35" s="213">
        <v>95</v>
      </c>
      <c r="DD35" s="213" t="s">
        <v>710</v>
      </c>
      <c r="DE35" s="213" t="s">
        <v>742</v>
      </c>
      <c r="DF35" s="213" t="s">
        <v>743</v>
      </c>
      <c r="DG35" s="213">
        <v>0</v>
      </c>
      <c r="DH35" s="213">
        <v>0</v>
      </c>
      <c r="DI35" s="213">
        <v>0</v>
      </c>
      <c r="DJ35" s="213" t="s">
        <v>249</v>
      </c>
      <c r="DK35" s="213">
        <v>69.3</v>
      </c>
      <c r="DL35" s="213">
        <v>45.6</v>
      </c>
      <c r="DM35" s="213" t="s">
        <v>744</v>
      </c>
      <c r="DN35" s="213" t="s">
        <v>743</v>
      </c>
      <c r="DO35" s="213">
        <v>0</v>
      </c>
      <c r="DP35" s="213">
        <v>0</v>
      </c>
      <c r="DQ35" s="213">
        <v>0</v>
      </c>
      <c r="DR35" s="213" t="s">
        <v>249</v>
      </c>
      <c r="DU35" s="213" t="s">
        <v>745</v>
      </c>
      <c r="DV35" s="213" t="s">
        <v>743</v>
      </c>
      <c r="DW35" s="213">
        <v>0</v>
      </c>
      <c r="DX35" s="213">
        <v>0</v>
      </c>
      <c r="DY35" s="213">
        <v>0</v>
      </c>
      <c r="DZ35" s="213" t="s">
        <v>249</v>
      </c>
      <c r="EC35" s="213" t="s">
        <v>746</v>
      </c>
      <c r="ED35" s="213" t="s">
        <v>743</v>
      </c>
      <c r="EE35" s="213">
        <v>0</v>
      </c>
      <c r="EF35" s="213">
        <v>0</v>
      </c>
      <c r="EG35" s="213">
        <v>0</v>
      </c>
      <c r="EH35" s="213" t="s">
        <v>249</v>
      </c>
      <c r="EK35" s="213" t="s">
        <v>747</v>
      </c>
      <c r="EL35" s="213" t="s">
        <v>743</v>
      </c>
      <c r="EM35" s="213">
        <v>0</v>
      </c>
      <c r="EN35" s="213">
        <v>0</v>
      </c>
      <c r="EO35" s="213">
        <v>0</v>
      </c>
      <c r="EP35" s="213" t="s">
        <v>249</v>
      </c>
      <c r="ES35" s="213" t="s">
        <v>748</v>
      </c>
      <c r="ET35" s="213" t="s">
        <v>743</v>
      </c>
      <c r="EU35" s="213">
        <v>0</v>
      </c>
      <c r="EV35" s="213">
        <v>0</v>
      </c>
      <c r="EW35" s="213">
        <v>0</v>
      </c>
      <c r="EX35" s="213" t="s">
        <v>249</v>
      </c>
      <c r="EY35" s="213">
        <v>70.099999999999994</v>
      </c>
      <c r="EZ35" s="213">
        <v>45.5</v>
      </c>
      <c r="FA35" s="213" t="s">
        <v>749</v>
      </c>
      <c r="FB35" s="213" t="s">
        <v>743</v>
      </c>
      <c r="FC35" s="213">
        <v>0</v>
      </c>
      <c r="FD35" s="213">
        <v>0</v>
      </c>
      <c r="FE35" s="213">
        <v>0</v>
      </c>
      <c r="FF35" s="213" t="s">
        <v>249</v>
      </c>
      <c r="FI35" s="213" t="s">
        <v>750</v>
      </c>
      <c r="FJ35" s="213" t="s">
        <v>743</v>
      </c>
      <c r="FK35" s="213">
        <v>0</v>
      </c>
      <c r="FL35" s="213">
        <v>0</v>
      </c>
      <c r="FM35" s="213">
        <v>0</v>
      </c>
      <c r="FN35" s="213" t="s">
        <v>249</v>
      </c>
      <c r="FO35" s="213">
        <v>73.5</v>
      </c>
      <c r="FP35" s="213">
        <v>177.5</v>
      </c>
      <c r="FQ35" s="213" t="s">
        <v>751</v>
      </c>
      <c r="FR35" s="213" t="s">
        <v>743</v>
      </c>
      <c r="FS35" s="213">
        <v>0</v>
      </c>
      <c r="FT35" s="213">
        <v>0</v>
      </c>
      <c r="FU35" s="213">
        <v>0</v>
      </c>
      <c r="FV35" s="213" t="s">
        <v>249</v>
      </c>
      <c r="FY35" s="213">
        <v>18.7</v>
      </c>
      <c r="FZ35" s="213">
        <v>-11.6</v>
      </c>
      <c r="GF35" s="213" t="s">
        <v>752</v>
      </c>
    </row>
    <row r="36" spans="1:188" s="213" customFormat="1" x14ac:dyDescent="0.15">
      <c r="A36" s="213" t="s">
        <v>654</v>
      </c>
      <c r="B36" s="213">
        <v>4</v>
      </c>
      <c r="C36" s="213" t="s">
        <v>947</v>
      </c>
      <c r="D36" s="213">
        <v>614345292</v>
      </c>
      <c r="E36" s="213">
        <v>92303</v>
      </c>
      <c r="F36" s="213" t="s">
        <v>795</v>
      </c>
      <c r="G36" s="213">
        <v>839032</v>
      </c>
      <c r="H36" s="213">
        <v>656159</v>
      </c>
      <c r="I36" s="213">
        <v>6.8</v>
      </c>
      <c r="J36" s="213" t="s">
        <v>948</v>
      </c>
      <c r="K36" s="213" t="s">
        <v>727</v>
      </c>
      <c r="L36" s="213" t="s">
        <v>797</v>
      </c>
      <c r="M36" s="213" t="s">
        <v>728</v>
      </c>
      <c r="N36" s="213" t="s">
        <v>728</v>
      </c>
      <c r="O36" s="213" t="s">
        <v>729</v>
      </c>
      <c r="P36" s="213" t="s">
        <v>249</v>
      </c>
      <c r="Q36" s="213">
        <v>23.4</v>
      </c>
      <c r="R36" s="213">
        <v>150</v>
      </c>
      <c r="S36" s="213" t="s">
        <v>249</v>
      </c>
      <c r="T36" s="213">
        <v>-9999</v>
      </c>
      <c r="U36" s="213">
        <v>189</v>
      </c>
      <c r="V36" s="213">
        <v>409</v>
      </c>
      <c r="W36" s="213">
        <v>184</v>
      </c>
      <c r="X36" s="213" t="s">
        <v>710</v>
      </c>
      <c r="Y36" s="213">
        <v>0</v>
      </c>
      <c r="Z36" s="213">
        <v>40</v>
      </c>
      <c r="AA36" s="213" t="s">
        <v>730</v>
      </c>
      <c r="AB36" s="213" t="s">
        <v>731</v>
      </c>
      <c r="AC36" s="213" t="s">
        <v>729</v>
      </c>
      <c r="AD36" s="213" t="s">
        <v>249</v>
      </c>
      <c r="AE36" s="213">
        <v>26.1</v>
      </c>
      <c r="AF36" s="213">
        <v>127</v>
      </c>
      <c r="AG36" s="213" t="s">
        <v>249</v>
      </c>
      <c r="AH36" s="213">
        <v>-9999</v>
      </c>
      <c r="AI36" s="213">
        <v>211</v>
      </c>
      <c r="AJ36" s="213">
        <v>501</v>
      </c>
      <c r="AK36" s="213">
        <v>207</v>
      </c>
      <c r="AL36" s="213" t="s">
        <v>710</v>
      </c>
      <c r="AM36" s="213">
        <v>0</v>
      </c>
      <c r="AN36" s="213">
        <v>40</v>
      </c>
      <c r="AO36" s="213" t="s">
        <v>733</v>
      </c>
      <c r="AP36" s="213" t="s">
        <v>734</v>
      </c>
      <c r="AQ36" s="213">
        <v>1</v>
      </c>
      <c r="AR36" s="213" t="s">
        <v>798</v>
      </c>
      <c r="AS36" s="213">
        <v>23.5</v>
      </c>
      <c r="AT36" s="213">
        <v>439</v>
      </c>
      <c r="AU36" s="213" t="s">
        <v>710</v>
      </c>
      <c r="AV36" s="213">
        <v>-9999</v>
      </c>
      <c r="AW36" s="213">
        <v>267</v>
      </c>
      <c r="AX36" s="213">
        <v>663</v>
      </c>
      <c r="AY36" s="213">
        <v>263</v>
      </c>
      <c r="AZ36" s="213" t="s">
        <v>710</v>
      </c>
      <c r="BA36" s="213">
        <v>0</v>
      </c>
      <c r="BB36" s="213">
        <v>40</v>
      </c>
      <c r="BC36" s="213" t="s">
        <v>736</v>
      </c>
      <c r="BD36" s="213" t="s">
        <v>734</v>
      </c>
      <c r="BE36" s="213">
        <v>2</v>
      </c>
      <c r="BF36" s="213" t="s">
        <v>798</v>
      </c>
      <c r="BG36" s="213">
        <v>24.5</v>
      </c>
      <c r="BH36" s="213">
        <v>191</v>
      </c>
      <c r="BI36" s="213" t="s">
        <v>710</v>
      </c>
      <c r="BJ36" s="213">
        <v>-9999</v>
      </c>
      <c r="BK36" s="213">
        <v>113</v>
      </c>
      <c r="BL36" s="213">
        <v>340</v>
      </c>
      <c r="BM36" s="213">
        <v>110</v>
      </c>
      <c r="BN36" s="213" t="s">
        <v>710</v>
      </c>
      <c r="BO36" s="213">
        <v>0</v>
      </c>
      <c r="BP36" s="213">
        <v>40</v>
      </c>
      <c r="BQ36" s="213" t="s">
        <v>737</v>
      </c>
      <c r="BR36" s="213" t="s">
        <v>734</v>
      </c>
      <c r="BS36" s="213">
        <v>3</v>
      </c>
      <c r="BT36" s="213" t="s">
        <v>799</v>
      </c>
      <c r="BU36" s="213">
        <v>0</v>
      </c>
      <c r="BV36" s="213">
        <v>29</v>
      </c>
      <c r="BW36" s="213" t="s">
        <v>249</v>
      </c>
      <c r="BX36" s="213">
        <v>-9999</v>
      </c>
      <c r="BY36" s="213">
        <v>170</v>
      </c>
      <c r="BZ36" s="213">
        <v>399</v>
      </c>
      <c r="CA36" s="213">
        <v>169</v>
      </c>
      <c r="CB36" s="213" t="s">
        <v>710</v>
      </c>
      <c r="CC36" s="213">
        <v>0</v>
      </c>
      <c r="CD36" s="213">
        <v>40</v>
      </c>
      <c r="CE36" s="213" t="s">
        <v>738</v>
      </c>
      <c r="CF36" s="213" t="s">
        <v>734</v>
      </c>
      <c r="CG36" s="213">
        <v>4</v>
      </c>
      <c r="CH36" s="213" t="s">
        <v>798</v>
      </c>
      <c r="CI36" s="213">
        <v>22.4</v>
      </c>
      <c r="CJ36" s="213">
        <v>425</v>
      </c>
      <c r="CK36" s="213" t="s">
        <v>710</v>
      </c>
      <c r="CL36" s="213">
        <v>-9999</v>
      </c>
      <c r="CM36" s="213">
        <v>134</v>
      </c>
      <c r="CN36" s="213">
        <v>350</v>
      </c>
      <c r="CO36" s="213">
        <v>131</v>
      </c>
      <c r="CP36" s="213" t="s">
        <v>710</v>
      </c>
      <c r="CQ36" s="213">
        <v>0</v>
      </c>
      <c r="CR36" s="213">
        <v>40</v>
      </c>
      <c r="CS36" s="213" t="s">
        <v>739</v>
      </c>
      <c r="CT36" s="213" t="s">
        <v>740</v>
      </c>
      <c r="CU36" s="213">
        <v>108</v>
      </c>
      <c r="CV36" s="213">
        <v>108</v>
      </c>
      <c r="CW36" s="213">
        <v>107</v>
      </c>
      <c r="CX36" s="213" t="s">
        <v>710</v>
      </c>
      <c r="CY36" s="213" t="s">
        <v>741</v>
      </c>
      <c r="CZ36" s="213" t="s">
        <v>740</v>
      </c>
      <c r="DA36" s="213">
        <v>119</v>
      </c>
      <c r="DB36" s="213">
        <v>119</v>
      </c>
      <c r="DC36" s="213">
        <v>119</v>
      </c>
      <c r="DD36" s="213" t="s">
        <v>710</v>
      </c>
      <c r="DE36" s="213" t="s">
        <v>742</v>
      </c>
      <c r="DF36" s="213" t="s">
        <v>743</v>
      </c>
      <c r="DG36" s="213">
        <v>0</v>
      </c>
      <c r="DH36" s="213">
        <v>0</v>
      </c>
      <c r="DI36" s="213">
        <v>0</v>
      </c>
      <c r="DJ36" s="213" t="s">
        <v>249</v>
      </c>
      <c r="DK36" s="213">
        <v>69.3</v>
      </c>
      <c r="DL36" s="213">
        <v>53.3</v>
      </c>
      <c r="DM36" s="213" t="s">
        <v>744</v>
      </c>
      <c r="DN36" s="213" t="s">
        <v>743</v>
      </c>
      <c r="DO36" s="213">
        <v>0</v>
      </c>
      <c r="DP36" s="213">
        <v>0</v>
      </c>
      <c r="DQ36" s="213">
        <v>0</v>
      </c>
      <c r="DR36" s="213" t="s">
        <v>249</v>
      </c>
      <c r="DU36" s="213" t="s">
        <v>745</v>
      </c>
      <c r="DV36" s="213" t="s">
        <v>743</v>
      </c>
      <c r="DW36" s="213">
        <v>0</v>
      </c>
      <c r="DX36" s="213">
        <v>0</v>
      </c>
      <c r="DY36" s="213">
        <v>0</v>
      </c>
      <c r="DZ36" s="213" t="s">
        <v>249</v>
      </c>
      <c r="EC36" s="213" t="s">
        <v>746</v>
      </c>
      <c r="ED36" s="213" t="s">
        <v>743</v>
      </c>
      <c r="EE36" s="213">
        <v>0</v>
      </c>
      <c r="EF36" s="213">
        <v>0</v>
      </c>
      <c r="EG36" s="213">
        <v>0</v>
      </c>
      <c r="EH36" s="213" t="s">
        <v>249</v>
      </c>
      <c r="EK36" s="213" t="s">
        <v>747</v>
      </c>
      <c r="EL36" s="213" t="s">
        <v>743</v>
      </c>
      <c r="EM36" s="213">
        <v>0</v>
      </c>
      <c r="EN36" s="213">
        <v>0</v>
      </c>
      <c r="EO36" s="213">
        <v>0</v>
      </c>
      <c r="EP36" s="213" t="s">
        <v>249</v>
      </c>
      <c r="ES36" s="213" t="s">
        <v>748</v>
      </c>
      <c r="ET36" s="213" t="s">
        <v>743</v>
      </c>
      <c r="EU36" s="213">
        <v>0</v>
      </c>
      <c r="EV36" s="213">
        <v>0</v>
      </c>
      <c r="EW36" s="213">
        <v>0</v>
      </c>
      <c r="EX36" s="213" t="s">
        <v>249</v>
      </c>
      <c r="EY36" s="213">
        <v>70</v>
      </c>
      <c r="EZ36" s="213">
        <v>48.4</v>
      </c>
      <c r="FA36" s="213" t="s">
        <v>749</v>
      </c>
      <c r="FB36" s="213" t="s">
        <v>743</v>
      </c>
      <c r="FC36" s="213">
        <v>0</v>
      </c>
      <c r="FD36" s="213">
        <v>0</v>
      </c>
      <c r="FE36" s="213">
        <v>0</v>
      </c>
      <c r="FF36" s="213" t="s">
        <v>249</v>
      </c>
      <c r="FI36" s="213" t="s">
        <v>750</v>
      </c>
      <c r="FJ36" s="213" t="s">
        <v>743</v>
      </c>
      <c r="FK36" s="213">
        <v>0</v>
      </c>
      <c r="FL36" s="213">
        <v>0</v>
      </c>
      <c r="FM36" s="213">
        <v>0</v>
      </c>
      <c r="FN36" s="213" t="s">
        <v>249</v>
      </c>
      <c r="FO36" s="213">
        <v>73.5</v>
      </c>
      <c r="FP36" s="213">
        <v>158.4</v>
      </c>
      <c r="FQ36" s="213" t="s">
        <v>751</v>
      </c>
      <c r="FR36" s="213" t="s">
        <v>743</v>
      </c>
      <c r="FS36" s="213">
        <v>0</v>
      </c>
      <c r="FT36" s="213">
        <v>0</v>
      </c>
      <c r="FU36" s="213">
        <v>0</v>
      </c>
      <c r="FV36" s="213" t="s">
        <v>249</v>
      </c>
      <c r="FY36" s="213">
        <v>16.600000000000001</v>
      </c>
      <c r="FZ36" s="213">
        <v>-8.4</v>
      </c>
      <c r="GF36" s="213" t="s">
        <v>752</v>
      </c>
    </row>
    <row r="37" spans="1:188" s="213" customFormat="1" x14ac:dyDescent="0.15">
      <c r="A37" s="213" t="s">
        <v>654</v>
      </c>
      <c r="B37" s="213">
        <v>4</v>
      </c>
      <c r="C37" s="213" t="s">
        <v>949</v>
      </c>
      <c r="D37" s="213">
        <v>614344398</v>
      </c>
      <c r="E37" s="213">
        <v>92303</v>
      </c>
      <c r="F37" s="213" t="s">
        <v>795</v>
      </c>
      <c r="G37" s="213">
        <v>839032</v>
      </c>
      <c r="H37" s="213">
        <v>652304</v>
      </c>
      <c r="I37" s="213">
        <v>6.8</v>
      </c>
      <c r="J37" s="213" t="s">
        <v>950</v>
      </c>
      <c r="K37" s="213" t="s">
        <v>727</v>
      </c>
      <c r="L37" s="213" t="s">
        <v>797</v>
      </c>
      <c r="M37" s="213" t="s">
        <v>728</v>
      </c>
      <c r="N37" s="213" t="s">
        <v>728</v>
      </c>
      <c r="O37" s="213" t="s">
        <v>729</v>
      </c>
      <c r="P37" s="213" t="s">
        <v>249</v>
      </c>
      <c r="Q37" s="213">
        <v>23.6</v>
      </c>
      <c r="R37" s="213">
        <v>155</v>
      </c>
      <c r="S37" s="213" t="s">
        <v>249</v>
      </c>
      <c r="T37" s="213">
        <v>-9999</v>
      </c>
      <c r="U37" s="213">
        <v>221</v>
      </c>
      <c r="V37" s="213">
        <v>484</v>
      </c>
      <c r="W37" s="213">
        <v>214</v>
      </c>
      <c r="X37" s="213" t="s">
        <v>710</v>
      </c>
      <c r="Y37" s="213">
        <v>0</v>
      </c>
      <c r="Z37" s="213">
        <v>40</v>
      </c>
      <c r="AA37" s="213" t="s">
        <v>730</v>
      </c>
      <c r="AB37" s="213" t="s">
        <v>731</v>
      </c>
      <c r="AC37" s="213" t="s">
        <v>729</v>
      </c>
      <c r="AD37" s="213" t="s">
        <v>249</v>
      </c>
      <c r="AE37" s="213">
        <v>25.4</v>
      </c>
      <c r="AF37" s="213">
        <v>136</v>
      </c>
      <c r="AG37" s="213" t="s">
        <v>249</v>
      </c>
      <c r="AH37" s="213">
        <v>-9999</v>
      </c>
      <c r="AI37" s="213">
        <v>203</v>
      </c>
      <c r="AJ37" s="213">
        <v>484</v>
      </c>
      <c r="AK37" s="213">
        <v>200</v>
      </c>
      <c r="AL37" s="213" t="s">
        <v>710</v>
      </c>
      <c r="AM37" s="213">
        <v>0</v>
      </c>
      <c r="AN37" s="213">
        <v>40</v>
      </c>
      <c r="AO37" s="213" t="s">
        <v>733</v>
      </c>
      <c r="AP37" s="213" t="s">
        <v>734</v>
      </c>
      <c r="AQ37" s="213">
        <v>1</v>
      </c>
      <c r="AR37" s="213" t="s">
        <v>798</v>
      </c>
      <c r="AS37" s="213">
        <v>23.1</v>
      </c>
      <c r="AT37" s="213">
        <v>423</v>
      </c>
      <c r="AU37" s="213" t="s">
        <v>710</v>
      </c>
      <c r="AV37" s="213">
        <v>-9999</v>
      </c>
      <c r="AW37" s="213">
        <v>263</v>
      </c>
      <c r="AX37" s="213">
        <v>652</v>
      </c>
      <c r="AY37" s="213">
        <v>259</v>
      </c>
      <c r="AZ37" s="213" t="s">
        <v>710</v>
      </c>
      <c r="BA37" s="213">
        <v>0</v>
      </c>
      <c r="BB37" s="213">
        <v>40</v>
      </c>
      <c r="BC37" s="213" t="s">
        <v>736</v>
      </c>
      <c r="BD37" s="213" t="s">
        <v>734</v>
      </c>
      <c r="BE37" s="213">
        <v>2</v>
      </c>
      <c r="BF37" s="213" t="s">
        <v>798</v>
      </c>
      <c r="BG37" s="213">
        <v>24</v>
      </c>
      <c r="BH37" s="213">
        <v>203</v>
      </c>
      <c r="BI37" s="213" t="s">
        <v>710</v>
      </c>
      <c r="BJ37" s="213">
        <v>-9999</v>
      </c>
      <c r="BK37" s="213">
        <v>119</v>
      </c>
      <c r="BL37" s="213">
        <v>372</v>
      </c>
      <c r="BM37" s="213">
        <v>117</v>
      </c>
      <c r="BN37" s="213" t="s">
        <v>710</v>
      </c>
      <c r="BO37" s="213">
        <v>0</v>
      </c>
      <c r="BP37" s="213">
        <v>40</v>
      </c>
      <c r="BQ37" s="213" t="s">
        <v>737</v>
      </c>
      <c r="BR37" s="213" t="s">
        <v>734</v>
      </c>
      <c r="BS37" s="213">
        <v>3</v>
      </c>
      <c r="BT37" s="213" t="s">
        <v>798</v>
      </c>
      <c r="BU37" s="213">
        <v>40</v>
      </c>
      <c r="BV37" s="213">
        <v>40</v>
      </c>
      <c r="BW37" s="213" t="s">
        <v>710</v>
      </c>
      <c r="BX37" s="213">
        <v>-9999</v>
      </c>
      <c r="BY37" s="213">
        <v>188</v>
      </c>
      <c r="BZ37" s="213">
        <v>448</v>
      </c>
      <c r="CA37" s="213">
        <v>188</v>
      </c>
      <c r="CB37" s="213" t="s">
        <v>710</v>
      </c>
      <c r="CC37" s="213">
        <v>0</v>
      </c>
      <c r="CD37" s="213">
        <v>40</v>
      </c>
      <c r="CE37" s="213" t="s">
        <v>738</v>
      </c>
      <c r="CF37" s="213" t="s">
        <v>734</v>
      </c>
      <c r="CG37" s="213">
        <v>4</v>
      </c>
      <c r="CH37" s="213" t="s">
        <v>798</v>
      </c>
      <c r="CI37" s="213">
        <v>21.7</v>
      </c>
      <c r="CJ37" s="213">
        <v>512</v>
      </c>
      <c r="CK37" s="213" t="s">
        <v>710</v>
      </c>
      <c r="CL37" s="213">
        <v>-9999</v>
      </c>
      <c r="CM37" s="213">
        <v>129</v>
      </c>
      <c r="CN37" s="213">
        <v>338</v>
      </c>
      <c r="CO37" s="213">
        <v>127</v>
      </c>
      <c r="CP37" s="213" t="s">
        <v>710</v>
      </c>
      <c r="CQ37" s="213">
        <v>0</v>
      </c>
      <c r="CR37" s="213">
        <v>40</v>
      </c>
      <c r="CS37" s="213" t="s">
        <v>739</v>
      </c>
      <c r="CT37" s="213" t="s">
        <v>740</v>
      </c>
      <c r="CU37" s="213">
        <v>115</v>
      </c>
      <c r="CV37" s="213">
        <v>115</v>
      </c>
      <c r="CW37" s="213">
        <v>114</v>
      </c>
      <c r="CX37" s="213" t="s">
        <v>710</v>
      </c>
      <c r="CY37" s="213" t="s">
        <v>741</v>
      </c>
      <c r="CZ37" s="213" t="s">
        <v>740</v>
      </c>
      <c r="DA37" s="213">
        <v>123</v>
      </c>
      <c r="DB37" s="213">
        <v>122</v>
      </c>
      <c r="DC37" s="213">
        <v>122</v>
      </c>
      <c r="DD37" s="213" t="s">
        <v>710</v>
      </c>
      <c r="DE37" s="213" t="s">
        <v>742</v>
      </c>
      <c r="DF37" s="213" t="s">
        <v>743</v>
      </c>
      <c r="DG37" s="213">
        <v>0</v>
      </c>
      <c r="DH37" s="213">
        <v>0</v>
      </c>
      <c r="DI37" s="213">
        <v>0</v>
      </c>
      <c r="DJ37" s="213" t="s">
        <v>249</v>
      </c>
      <c r="DK37" s="213">
        <v>69.5</v>
      </c>
      <c r="DL37" s="213">
        <v>49.2</v>
      </c>
      <c r="DM37" s="213" t="s">
        <v>744</v>
      </c>
      <c r="DN37" s="213" t="s">
        <v>743</v>
      </c>
      <c r="DO37" s="213">
        <v>0</v>
      </c>
      <c r="DP37" s="213">
        <v>0</v>
      </c>
      <c r="DQ37" s="213">
        <v>0</v>
      </c>
      <c r="DR37" s="213" t="s">
        <v>249</v>
      </c>
      <c r="DU37" s="213" t="s">
        <v>745</v>
      </c>
      <c r="DV37" s="213" t="s">
        <v>743</v>
      </c>
      <c r="DW37" s="213">
        <v>0</v>
      </c>
      <c r="DX37" s="213">
        <v>0</v>
      </c>
      <c r="DY37" s="213">
        <v>0</v>
      </c>
      <c r="DZ37" s="213" t="s">
        <v>249</v>
      </c>
      <c r="EC37" s="213" t="s">
        <v>746</v>
      </c>
      <c r="ED37" s="213" t="s">
        <v>743</v>
      </c>
      <c r="EE37" s="213">
        <v>0</v>
      </c>
      <c r="EF37" s="213">
        <v>0</v>
      </c>
      <c r="EG37" s="213">
        <v>0</v>
      </c>
      <c r="EH37" s="213" t="s">
        <v>249</v>
      </c>
      <c r="EK37" s="213" t="s">
        <v>747</v>
      </c>
      <c r="EL37" s="213" t="s">
        <v>743</v>
      </c>
      <c r="EM37" s="213">
        <v>0</v>
      </c>
      <c r="EN37" s="213">
        <v>0</v>
      </c>
      <c r="EO37" s="213">
        <v>0</v>
      </c>
      <c r="EP37" s="213" t="s">
        <v>249</v>
      </c>
      <c r="ES37" s="213" t="s">
        <v>748</v>
      </c>
      <c r="ET37" s="213" t="s">
        <v>743</v>
      </c>
      <c r="EU37" s="213">
        <v>0</v>
      </c>
      <c r="EV37" s="213">
        <v>0</v>
      </c>
      <c r="EW37" s="213">
        <v>0</v>
      </c>
      <c r="EX37" s="213" t="s">
        <v>249</v>
      </c>
      <c r="EY37" s="213">
        <v>69.900000000000006</v>
      </c>
      <c r="EZ37" s="213">
        <v>38</v>
      </c>
      <c r="FA37" s="213" t="s">
        <v>749</v>
      </c>
      <c r="FB37" s="213" t="s">
        <v>743</v>
      </c>
      <c r="FC37" s="213">
        <v>0</v>
      </c>
      <c r="FD37" s="213">
        <v>0</v>
      </c>
      <c r="FE37" s="213">
        <v>0</v>
      </c>
      <c r="FF37" s="213" t="s">
        <v>249</v>
      </c>
      <c r="FI37" s="213" t="s">
        <v>750</v>
      </c>
      <c r="FJ37" s="213" t="s">
        <v>743</v>
      </c>
      <c r="FK37" s="213">
        <v>0</v>
      </c>
      <c r="FL37" s="213">
        <v>0</v>
      </c>
      <c r="FM37" s="213">
        <v>0</v>
      </c>
      <c r="FN37" s="213" t="s">
        <v>249</v>
      </c>
      <c r="FO37" s="213">
        <v>73.5</v>
      </c>
      <c r="FP37" s="213">
        <v>111.3</v>
      </c>
      <c r="FQ37" s="213" t="s">
        <v>751</v>
      </c>
      <c r="FR37" s="213" t="s">
        <v>743</v>
      </c>
      <c r="FS37" s="213">
        <v>0</v>
      </c>
      <c r="FT37" s="213">
        <v>0</v>
      </c>
      <c r="FU37" s="213">
        <v>0</v>
      </c>
      <c r="FV37" s="213" t="s">
        <v>249</v>
      </c>
      <c r="FY37" s="213">
        <v>18</v>
      </c>
      <c r="FZ37" s="213">
        <v>-10.8</v>
      </c>
      <c r="GF37" s="213" t="s">
        <v>752</v>
      </c>
    </row>
    <row r="38" spans="1:188" s="213" customFormat="1" x14ac:dyDescent="0.15">
      <c r="A38" s="213" t="s">
        <v>654</v>
      </c>
      <c r="B38" s="213">
        <v>4</v>
      </c>
      <c r="C38" s="213" t="s">
        <v>951</v>
      </c>
      <c r="D38" s="213">
        <v>614344525</v>
      </c>
      <c r="E38" s="213">
        <v>92303</v>
      </c>
      <c r="F38" s="213" t="s">
        <v>795</v>
      </c>
      <c r="G38" s="213">
        <v>839032</v>
      </c>
      <c r="H38" s="213">
        <v>653259</v>
      </c>
      <c r="I38" s="213">
        <v>6.8</v>
      </c>
      <c r="J38" s="213" t="s">
        <v>952</v>
      </c>
      <c r="K38" s="213" t="s">
        <v>727</v>
      </c>
      <c r="L38" s="213" t="s">
        <v>797</v>
      </c>
      <c r="M38" s="213" t="s">
        <v>728</v>
      </c>
      <c r="N38" s="213" t="s">
        <v>728</v>
      </c>
      <c r="O38" s="213" t="s">
        <v>729</v>
      </c>
      <c r="P38" s="213" t="s">
        <v>249</v>
      </c>
      <c r="Q38" s="213">
        <v>24</v>
      </c>
      <c r="R38" s="213">
        <v>165</v>
      </c>
      <c r="S38" s="213" t="s">
        <v>249</v>
      </c>
      <c r="T38" s="213">
        <v>-9999</v>
      </c>
      <c r="U38" s="213">
        <v>237</v>
      </c>
      <c r="V38" s="213">
        <v>509</v>
      </c>
      <c r="W38" s="213">
        <v>229</v>
      </c>
      <c r="X38" s="213" t="s">
        <v>710</v>
      </c>
      <c r="Y38" s="213">
        <v>0</v>
      </c>
      <c r="Z38" s="213">
        <v>40</v>
      </c>
      <c r="AA38" s="213" t="s">
        <v>730</v>
      </c>
      <c r="AB38" s="213" t="s">
        <v>731</v>
      </c>
      <c r="AC38" s="213" t="s">
        <v>729</v>
      </c>
      <c r="AD38" s="213" t="s">
        <v>249</v>
      </c>
      <c r="AE38" s="213">
        <v>25</v>
      </c>
      <c r="AF38" s="213">
        <v>130</v>
      </c>
      <c r="AG38" s="213" t="s">
        <v>249</v>
      </c>
      <c r="AH38" s="213">
        <v>-9999</v>
      </c>
      <c r="AI38" s="213">
        <v>209</v>
      </c>
      <c r="AJ38" s="213">
        <v>493</v>
      </c>
      <c r="AK38" s="213">
        <v>205</v>
      </c>
      <c r="AL38" s="213" t="s">
        <v>710</v>
      </c>
      <c r="AM38" s="213">
        <v>0</v>
      </c>
      <c r="AN38" s="213">
        <v>40</v>
      </c>
      <c r="AO38" s="213" t="s">
        <v>733</v>
      </c>
      <c r="AP38" s="213" t="s">
        <v>734</v>
      </c>
      <c r="AQ38" s="213">
        <v>1</v>
      </c>
      <c r="AR38" s="213" t="s">
        <v>798</v>
      </c>
      <c r="AS38" s="213">
        <v>22.5</v>
      </c>
      <c r="AT38" s="213">
        <v>455</v>
      </c>
      <c r="AU38" s="213" t="s">
        <v>710</v>
      </c>
      <c r="AV38" s="213">
        <v>-9999</v>
      </c>
      <c r="AW38" s="213">
        <v>252</v>
      </c>
      <c r="AX38" s="213">
        <v>621</v>
      </c>
      <c r="AY38" s="213">
        <v>248</v>
      </c>
      <c r="AZ38" s="213" t="s">
        <v>710</v>
      </c>
      <c r="BA38" s="213">
        <v>0</v>
      </c>
      <c r="BB38" s="213">
        <v>40</v>
      </c>
      <c r="BC38" s="213" t="s">
        <v>736</v>
      </c>
      <c r="BD38" s="213" t="s">
        <v>734</v>
      </c>
      <c r="BE38" s="213">
        <v>2</v>
      </c>
      <c r="BF38" s="213" t="s">
        <v>798</v>
      </c>
      <c r="BG38" s="213">
        <v>23.9</v>
      </c>
      <c r="BH38" s="213">
        <v>185</v>
      </c>
      <c r="BI38" s="213" t="s">
        <v>710</v>
      </c>
      <c r="BJ38" s="213">
        <v>-9999</v>
      </c>
      <c r="BK38" s="213">
        <v>125</v>
      </c>
      <c r="BL38" s="213">
        <v>374</v>
      </c>
      <c r="BM38" s="213">
        <v>123</v>
      </c>
      <c r="BN38" s="213" t="s">
        <v>710</v>
      </c>
      <c r="BO38" s="213">
        <v>0</v>
      </c>
      <c r="BP38" s="213">
        <v>40</v>
      </c>
      <c r="BQ38" s="213" t="s">
        <v>737</v>
      </c>
      <c r="BR38" s="213" t="s">
        <v>734</v>
      </c>
      <c r="BS38" s="213">
        <v>3</v>
      </c>
      <c r="BT38" s="213" t="s">
        <v>799</v>
      </c>
      <c r="BU38" s="213">
        <v>0</v>
      </c>
      <c r="BV38" s="213">
        <v>39</v>
      </c>
      <c r="BW38" s="213" t="s">
        <v>249</v>
      </c>
      <c r="BX38" s="213">
        <v>-9999</v>
      </c>
      <c r="BY38" s="213">
        <v>187</v>
      </c>
      <c r="BZ38" s="213">
        <v>450</v>
      </c>
      <c r="CA38" s="213">
        <v>187</v>
      </c>
      <c r="CB38" s="213" t="s">
        <v>710</v>
      </c>
      <c r="CC38" s="213">
        <v>0</v>
      </c>
      <c r="CD38" s="213">
        <v>40</v>
      </c>
      <c r="CE38" s="213" t="s">
        <v>738</v>
      </c>
      <c r="CF38" s="213" t="s">
        <v>734</v>
      </c>
      <c r="CG38" s="213">
        <v>4</v>
      </c>
      <c r="CH38" s="213" t="s">
        <v>798</v>
      </c>
      <c r="CI38" s="213">
        <v>21.3</v>
      </c>
      <c r="CJ38" s="213">
        <v>433</v>
      </c>
      <c r="CK38" s="213" t="s">
        <v>710</v>
      </c>
      <c r="CL38" s="213">
        <v>-9999</v>
      </c>
      <c r="CM38" s="213">
        <v>158</v>
      </c>
      <c r="CN38" s="213">
        <v>412</v>
      </c>
      <c r="CO38" s="213">
        <v>156</v>
      </c>
      <c r="CP38" s="213" t="s">
        <v>710</v>
      </c>
      <c r="CQ38" s="213">
        <v>0</v>
      </c>
      <c r="CR38" s="213">
        <v>40</v>
      </c>
      <c r="CS38" s="213" t="s">
        <v>739</v>
      </c>
      <c r="CT38" s="213" t="s">
        <v>740</v>
      </c>
      <c r="CU38" s="213">
        <v>129</v>
      </c>
      <c r="CV38" s="213">
        <v>129</v>
      </c>
      <c r="CW38" s="213">
        <v>128</v>
      </c>
      <c r="CX38" s="213" t="s">
        <v>710</v>
      </c>
      <c r="CY38" s="213" t="s">
        <v>741</v>
      </c>
      <c r="CZ38" s="213" t="s">
        <v>740</v>
      </c>
      <c r="DA38" s="213">
        <v>123</v>
      </c>
      <c r="DB38" s="213">
        <v>123</v>
      </c>
      <c r="DC38" s="213">
        <v>123</v>
      </c>
      <c r="DD38" s="213" t="s">
        <v>710</v>
      </c>
      <c r="DE38" s="213" t="s">
        <v>742</v>
      </c>
      <c r="DF38" s="213" t="s">
        <v>743</v>
      </c>
      <c r="DG38" s="213">
        <v>0</v>
      </c>
      <c r="DH38" s="213">
        <v>0</v>
      </c>
      <c r="DI38" s="213">
        <v>0</v>
      </c>
      <c r="DJ38" s="213" t="s">
        <v>249</v>
      </c>
      <c r="DK38" s="213">
        <v>69.3</v>
      </c>
      <c r="DL38" s="213">
        <v>51.5</v>
      </c>
      <c r="DM38" s="213" t="s">
        <v>744</v>
      </c>
      <c r="DN38" s="213" t="s">
        <v>743</v>
      </c>
      <c r="DO38" s="213">
        <v>0</v>
      </c>
      <c r="DP38" s="213">
        <v>0</v>
      </c>
      <c r="DQ38" s="213">
        <v>0</v>
      </c>
      <c r="DR38" s="213" t="s">
        <v>249</v>
      </c>
      <c r="DU38" s="213" t="s">
        <v>745</v>
      </c>
      <c r="DV38" s="213" t="s">
        <v>743</v>
      </c>
      <c r="DW38" s="213">
        <v>0</v>
      </c>
      <c r="DX38" s="213">
        <v>0</v>
      </c>
      <c r="DY38" s="213">
        <v>0</v>
      </c>
      <c r="DZ38" s="213" t="s">
        <v>249</v>
      </c>
      <c r="EC38" s="213" t="s">
        <v>746</v>
      </c>
      <c r="ED38" s="213" t="s">
        <v>743</v>
      </c>
      <c r="EE38" s="213">
        <v>0</v>
      </c>
      <c r="EF38" s="213">
        <v>0</v>
      </c>
      <c r="EG38" s="213">
        <v>0</v>
      </c>
      <c r="EH38" s="213" t="s">
        <v>249</v>
      </c>
      <c r="EK38" s="213" t="s">
        <v>747</v>
      </c>
      <c r="EL38" s="213" t="s">
        <v>743</v>
      </c>
      <c r="EM38" s="213">
        <v>0</v>
      </c>
      <c r="EN38" s="213">
        <v>0</v>
      </c>
      <c r="EO38" s="213">
        <v>0</v>
      </c>
      <c r="EP38" s="213" t="s">
        <v>249</v>
      </c>
      <c r="ES38" s="213" t="s">
        <v>748</v>
      </c>
      <c r="ET38" s="213" t="s">
        <v>743</v>
      </c>
      <c r="EU38" s="213">
        <v>0</v>
      </c>
      <c r="EV38" s="213">
        <v>0</v>
      </c>
      <c r="EW38" s="213">
        <v>0</v>
      </c>
      <c r="EX38" s="213" t="s">
        <v>249</v>
      </c>
      <c r="EY38" s="213">
        <v>70</v>
      </c>
      <c r="EZ38" s="213">
        <v>53.9</v>
      </c>
      <c r="FA38" s="213" t="s">
        <v>749</v>
      </c>
      <c r="FB38" s="213" t="s">
        <v>743</v>
      </c>
      <c r="FC38" s="213">
        <v>0</v>
      </c>
      <c r="FD38" s="213">
        <v>0</v>
      </c>
      <c r="FE38" s="213">
        <v>0</v>
      </c>
      <c r="FF38" s="213" t="s">
        <v>249</v>
      </c>
      <c r="FI38" s="213" t="s">
        <v>750</v>
      </c>
      <c r="FJ38" s="213" t="s">
        <v>743</v>
      </c>
      <c r="FK38" s="213">
        <v>0</v>
      </c>
      <c r="FL38" s="213">
        <v>0</v>
      </c>
      <c r="FM38" s="213">
        <v>0</v>
      </c>
      <c r="FN38" s="213" t="s">
        <v>249</v>
      </c>
      <c r="FO38" s="213">
        <v>73.599999999999994</v>
      </c>
      <c r="FP38" s="213">
        <v>183.9</v>
      </c>
      <c r="FQ38" s="213" t="s">
        <v>751</v>
      </c>
      <c r="FR38" s="213" t="s">
        <v>743</v>
      </c>
      <c r="FS38" s="213">
        <v>0</v>
      </c>
      <c r="FT38" s="213">
        <v>0</v>
      </c>
      <c r="FU38" s="213">
        <v>0</v>
      </c>
      <c r="FV38" s="213" t="s">
        <v>249</v>
      </c>
      <c r="FY38" s="213">
        <v>17.600000000000001</v>
      </c>
      <c r="FZ38" s="213">
        <v>-7</v>
      </c>
      <c r="GF38" s="213" t="s">
        <v>752</v>
      </c>
    </row>
    <row r="39" spans="1:188" s="213" customFormat="1" x14ac:dyDescent="0.15">
      <c r="A39" s="213" t="s">
        <v>654</v>
      </c>
      <c r="B39" s="213">
        <v>4</v>
      </c>
      <c r="C39" s="213" t="s">
        <v>953</v>
      </c>
      <c r="D39" s="213">
        <v>614344867</v>
      </c>
      <c r="E39" s="213">
        <v>92303</v>
      </c>
      <c r="F39" s="213" t="s">
        <v>795</v>
      </c>
      <c r="G39" s="213">
        <v>839032</v>
      </c>
      <c r="H39" s="213">
        <v>627453</v>
      </c>
      <c r="I39" s="213">
        <v>6.8</v>
      </c>
      <c r="J39" s="213" t="s">
        <v>954</v>
      </c>
      <c r="K39" s="213" t="s">
        <v>727</v>
      </c>
      <c r="L39" s="213" t="s">
        <v>797</v>
      </c>
      <c r="M39" s="213" t="s">
        <v>728</v>
      </c>
      <c r="N39" s="213" t="s">
        <v>728</v>
      </c>
      <c r="O39" s="213" t="s">
        <v>729</v>
      </c>
      <c r="P39" s="213" t="s">
        <v>249</v>
      </c>
      <c r="Q39" s="213">
        <v>24.1</v>
      </c>
      <c r="R39" s="213">
        <v>142</v>
      </c>
      <c r="S39" s="213" t="s">
        <v>249</v>
      </c>
      <c r="T39" s="213">
        <v>-9999</v>
      </c>
      <c r="U39" s="213">
        <v>249</v>
      </c>
      <c r="V39" s="213">
        <v>520</v>
      </c>
      <c r="W39" s="213">
        <v>247</v>
      </c>
      <c r="X39" s="213" t="s">
        <v>710</v>
      </c>
      <c r="Y39" s="213">
        <v>0</v>
      </c>
      <c r="Z39" s="213">
        <v>40</v>
      </c>
      <c r="AA39" s="213" t="s">
        <v>730</v>
      </c>
      <c r="AB39" s="213" t="s">
        <v>731</v>
      </c>
      <c r="AC39" s="213" t="s">
        <v>729</v>
      </c>
      <c r="AD39" s="213" t="s">
        <v>249</v>
      </c>
      <c r="AE39" s="213">
        <v>26.6</v>
      </c>
      <c r="AF39" s="213">
        <v>116</v>
      </c>
      <c r="AG39" s="213" t="s">
        <v>249</v>
      </c>
      <c r="AH39" s="213">
        <v>-9999</v>
      </c>
      <c r="AI39" s="213">
        <v>200</v>
      </c>
      <c r="AJ39" s="213">
        <v>473</v>
      </c>
      <c r="AK39" s="213">
        <v>199</v>
      </c>
      <c r="AL39" s="213" t="s">
        <v>710</v>
      </c>
      <c r="AM39" s="213">
        <v>0</v>
      </c>
      <c r="AN39" s="213">
        <v>40</v>
      </c>
      <c r="AO39" s="213" t="s">
        <v>733</v>
      </c>
      <c r="AP39" s="213" t="s">
        <v>734</v>
      </c>
      <c r="AQ39" s="213">
        <v>1</v>
      </c>
      <c r="AR39" s="213" t="s">
        <v>798</v>
      </c>
      <c r="AS39" s="213">
        <v>23.6</v>
      </c>
      <c r="AT39" s="213">
        <v>426</v>
      </c>
      <c r="AU39" s="213" t="s">
        <v>710</v>
      </c>
      <c r="AV39" s="213">
        <v>-9999</v>
      </c>
      <c r="AW39" s="213">
        <v>261</v>
      </c>
      <c r="AX39" s="213">
        <v>637</v>
      </c>
      <c r="AY39" s="213">
        <v>258</v>
      </c>
      <c r="AZ39" s="213" t="s">
        <v>710</v>
      </c>
      <c r="BA39" s="213">
        <v>0</v>
      </c>
      <c r="BB39" s="213">
        <v>40</v>
      </c>
      <c r="BC39" s="213" t="s">
        <v>736</v>
      </c>
      <c r="BD39" s="213" t="s">
        <v>734</v>
      </c>
      <c r="BE39" s="213">
        <v>2</v>
      </c>
      <c r="BF39" s="213" t="s">
        <v>798</v>
      </c>
      <c r="BG39" s="213">
        <v>24.6</v>
      </c>
      <c r="BH39" s="213">
        <v>185</v>
      </c>
      <c r="BI39" s="213" t="s">
        <v>710</v>
      </c>
      <c r="BJ39" s="213">
        <v>-9999</v>
      </c>
      <c r="BK39" s="213">
        <v>99</v>
      </c>
      <c r="BL39" s="213">
        <v>298</v>
      </c>
      <c r="BM39" s="213">
        <v>98</v>
      </c>
      <c r="BN39" s="213" t="s">
        <v>710</v>
      </c>
      <c r="BO39" s="213">
        <v>0</v>
      </c>
      <c r="BP39" s="213">
        <v>40</v>
      </c>
      <c r="BQ39" s="213" t="s">
        <v>737</v>
      </c>
      <c r="BR39" s="213" t="s">
        <v>734</v>
      </c>
      <c r="BS39" s="213">
        <v>3</v>
      </c>
      <c r="BT39" s="213" t="s">
        <v>799</v>
      </c>
      <c r="BU39" s="213">
        <v>0</v>
      </c>
      <c r="BV39" s="213">
        <v>35</v>
      </c>
      <c r="BW39" s="213" t="s">
        <v>249</v>
      </c>
      <c r="BX39" s="213">
        <v>-9999</v>
      </c>
      <c r="BY39" s="213">
        <v>172</v>
      </c>
      <c r="BZ39" s="213">
        <v>395</v>
      </c>
      <c r="CA39" s="213">
        <v>171</v>
      </c>
      <c r="CB39" s="213" t="s">
        <v>710</v>
      </c>
      <c r="CC39" s="213">
        <v>0</v>
      </c>
      <c r="CD39" s="213">
        <v>40</v>
      </c>
      <c r="CE39" s="213" t="s">
        <v>738</v>
      </c>
      <c r="CF39" s="213" t="s">
        <v>734</v>
      </c>
      <c r="CG39" s="213">
        <v>4</v>
      </c>
      <c r="CH39" s="213" t="s">
        <v>798</v>
      </c>
      <c r="CI39" s="213">
        <v>22.3</v>
      </c>
      <c r="CJ39" s="213">
        <v>416</v>
      </c>
      <c r="CK39" s="213" t="s">
        <v>710</v>
      </c>
      <c r="CL39" s="213">
        <v>-9999</v>
      </c>
      <c r="CM39" s="213">
        <v>126</v>
      </c>
      <c r="CN39" s="213">
        <v>328</v>
      </c>
      <c r="CO39" s="213">
        <v>125</v>
      </c>
      <c r="CP39" s="213" t="s">
        <v>710</v>
      </c>
      <c r="CQ39" s="213">
        <v>0</v>
      </c>
      <c r="CR39" s="213">
        <v>40</v>
      </c>
      <c r="CS39" s="213" t="s">
        <v>739</v>
      </c>
      <c r="CT39" s="213" t="s">
        <v>740</v>
      </c>
      <c r="CU39" s="213">
        <v>107</v>
      </c>
      <c r="CV39" s="213">
        <v>106</v>
      </c>
      <c r="CW39" s="213">
        <v>107</v>
      </c>
      <c r="CX39" s="213" t="s">
        <v>710</v>
      </c>
      <c r="CY39" s="213" t="s">
        <v>741</v>
      </c>
      <c r="CZ39" s="213" t="s">
        <v>740</v>
      </c>
      <c r="DA39" s="213">
        <v>110</v>
      </c>
      <c r="DB39" s="213">
        <v>109</v>
      </c>
      <c r="DC39" s="213">
        <v>109</v>
      </c>
      <c r="DD39" s="213" t="s">
        <v>710</v>
      </c>
      <c r="DE39" s="213" t="s">
        <v>742</v>
      </c>
      <c r="DF39" s="213" t="s">
        <v>743</v>
      </c>
      <c r="DG39" s="213">
        <v>0</v>
      </c>
      <c r="DH39" s="213">
        <v>0</v>
      </c>
      <c r="DI39" s="213">
        <v>0</v>
      </c>
      <c r="DJ39" s="213" t="s">
        <v>249</v>
      </c>
      <c r="DK39" s="213">
        <v>69.3</v>
      </c>
      <c r="DL39" s="213">
        <v>52.2</v>
      </c>
      <c r="DM39" s="213" t="s">
        <v>744</v>
      </c>
      <c r="DN39" s="213" t="s">
        <v>743</v>
      </c>
      <c r="DO39" s="213">
        <v>0</v>
      </c>
      <c r="DP39" s="213">
        <v>0</v>
      </c>
      <c r="DQ39" s="213">
        <v>0</v>
      </c>
      <c r="DR39" s="213" t="s">
        <v>249</v>
      </c>
      <c r="DU39" s="213" t="s">
        <v>745</v>
      </c>
      <c r="DV39" s="213" t="s">
        <v>743</v>
      </c>
      <c r="DW39" s="213">
        <v>0</v>
      </c>
      <c r="DX39" s="213">
        <v>0</v>
      </c>
      <c r="DY39" s="213">
        <v>0</v>
      </c>
      <c r="DZ39" s="213" t="s">
        <v>249</v>
      </c>
      <c r="EC39" s="213" t="s">
        <v>746</v>
      </c>
      <c r="ED39" s="213" t="s">
        <v>743</v>
      </c>
      <c r="EE39" s="213">
        <v>0</v>
      </c>
      <c r="EF39" s="213">
        <v>0</v>
      </c>
      <c r="EG39" s="213">
        <v>0</v>
      </c>
      <c r="EH39" s="213" t="s">
        <v>249</v>
      </c>
      <c r="EK39" s="213" t="s">
        <v>747</v>
      </c>
      <c r="EL39" s="213" t="s">
        <v>743</v>
      </c>
      <c r="EM39" s="213">
        <v>0</v>
      </c>
      <c r="EN39" s="213">
        <v>0</v>
      </c>
      <c r="EO39" s="213">
        <v>0</v>
      </c>
      <c r="EP39" s="213" t="s">
        <v>249</v>
      </c>
      <c r="ES39" s="213" t="s">
        <v>748</v>
      </c>
      <c r="ET39" s="213" t="s">
        <v>743</v>
      </c>
      <c r="EU39" s="213">
        <v>0</v>
      </c>
      <c r="EV39" s="213">
        <v>0</v>
      </c>
      <c r="EW39" s="213">
        <v>0</v>
      </c>
      <c r="EX39" s="213" t="s">
        <v>249</v>
      </c>
      <c r="EY39" s="213">
        <v>69.900000000000006</v>
      </c>
      <c r="EZ39" s="213">
        <v>37.5</v>
      </c>
      <c r="FA39" s="213" t="s">
        <v>749</v>
      </c>
      <c r="FB39" s="213" t="s">
        <v>743</v>
      </c>
      <c r="FC39" s="213">
        <v>0</v>
      </c>
      <c r="FD39" s="213">
        <v>0</v>
      </c>
      <c r="FE39" s="213">
        <v>0</v>
      </c>
      <c r="FF39" s="213" t="s">
        <v>249</v>
      </c>
      <c r="FI39" s="213" t="s">
        <v>750</v>
      </c>
      <c r="FJ39" s="213" t="s">
        <v>743</v>
      </c>
      <c r="FK39" s="213">
        <v>0</v>
      </c>
      <c r="FL39" s="213">
        <v>0</v>
      </c>
      <c r="FM39" s="213">
        <v>0</v>
      </c>
      <c r="FN39" s="213" t="s">
        <v>249</v>
      </c>
      <c r="FO39" s="213">
        <v>73.400000000000006</v>
      </c>
      <c r="FP39" s="213">
        <v>136.9</v>
      </c>
      <c r="FQ39" s="213" t="s">
        <v>751</v>
      </c>
      <c r="FR39" s="213" t="s">
        <v>743</v>
      </c>
      <c r="FS39" s="213">
        <v>0</v>
      </c>
      <c r="FT39" s="213">
        <v>0</v>
      </c>
      <c r="FU39" s="213">
        <v>0</v>
      </c>
      <c r="FV39" s="213" t="s">
        <v>249</v>
      </c>
      <c r="FY39" s="213">
        <v>18.100000000000001</v>
      </c>
      <c r="FZ39" s="213">
        <v>-8.1</v>
      </c>
      <c r="GF39" s="213" t="s">
        <v>752</v>
      </c>
    </row>
    <row r="40" spans="1:188" s="213" customFormat="1" x14ac:dyDescent="0.15">
      <c r="A40" s="213" t="s">
        <v>654</v>
      </c>
      <c r="B40" s="213">
        <v>4</v>
      </c>
      <c r="C40" s="213" t="s">
        <v>955</v>
      </c>
      <c r="D40" s="213">
        <v>614344227</v>
      </c>
      <c r="E40" s="213">
        <v>92303</v>
      </c>
      <c r="F40" s="213" t="s">
        <v>795</v>
      </c>
      <c r="G40" s="213">
        <v>839032</v>
      </c>
      <c r="H40" s="213">
        <v>676886</v>
      </c>
      <c r="I40" s="213">
        <v>6.8</v>
      </c>
      <c r="J40" s="213" t="s">
        <v>956</v>
      </c>
      <c r="K40" s="213" t="s">
        <v>727</v>
      </c>
      <c r="L40" s="213" t="s">
        <v>797</v>
      </c>
      <c r="M40" s="213" t="s">
        <v>728</v>
      </c>
      <c r="N40" s="213" t="s">
        <v>728</v>
      </c>
      <c r="O40" s="213" t="s">
        <v>729</v>
      </c>
      <c r="P40" s="213" t="s">
        <v>249</v>
      </c>
      <c r="Q40" s="213">
        <v>25.2</v>
      </c>
      <c r="R40" s="213">
        <v>148</v>
      </c>
      <c r="S40" s="213" t="s">
        <v>249</v>
      </c>
      <c r="T40" s="213">
        <v>-9999</v>
      </c>
      <c r="U40" s="213">
        <v>206</v>
      </c>
      <c r="V40" s="213">
        <v>448</v>
      </c>
      <c r="W40" s="213">
        <v>202</v>
      </c>
      <c r="X40" s="213" t="s">
        <v>710</v>
      </c>
      <c r="Y40" s="213">
        <v>0</v>
      </c>
      <c r="Z40" s="213">
        <v>40</v>
      </c>
      <c r="AA40" s="213" t="s">
        <v>730</v>
      </c>
      <c r="AB40" s="213" t="s">
        <v>731</v>
      </c>
      <c r="AC40" s="213" t="s">
        <v>729</v>
      </c>
      <c r="AD40" s="213" t="s">
        <v>249</v>
      </c>
      <c r="AE40" s="213">
        <v>25.9</v>
      </c>
      <c r="AF40" s="213">
        <v>115</v>
      </c>
      <c r="AG40" s="213" t="s">
        <v>249</v>
      </c>
      <c r="AH40" s="213">
        <v>-9999</v>
      </c>
      <c r="AI40" s="213">
        <v>186</v>
      </c>
      <c r="AJ40" s="213">
        <v>437</v>
      </c>
      <c r="AK40" s="213">
        <v>184</v>
      </c>
      <c r="AL40" s="213" t="s">
        <v>710</v>
      </c>
      <c r="AM40" s="213">
        <v>0</v>
      </c>
      <c r="AN40" s="213">
        <v>40</v>
      </c>
      <c r="AO40" s="213" t="s">
        <v>733</v>
      </c>
      <c r="AP40" s="213" t="s">
        <v>734</v>
      </c>
      <c r="AQ40" s="213">
        <v>1</v>
      </c>
      <c r="AR40" s="213" t="s">
        <v>798</v>
      </c>
      <c r="AS40" s="213">
        <v>23.2</v>
      </c>
      <c r="AT40" s="213">
        <v>420</v>
      </c>
      <c r="AU40" s="213" t="s">
        <v>710</v>
      </c>
      <c r="AV40" s="213">
        <v>-9999</v>
      </c>
      <c r="AW40" s="213">
        <v>238</v>
      </c>
      <c r="AX40" s="213">
        <v>590</v>
      </c>
      <c r="AY40" s="213">
        <v>237</v>
      </c>
      <c r="AZ40" s="213" t="s">
        <v>710</v>
      </c>
      <c r="BA40" s="213">
        <v>0</v>
      </c>
      <c r="BB40" s="213">
        <v>40</v>
      </c>
      <c r="BC40" s="213" t="s">
        <v>736</v>
      </c>
      <c r="BD40" s="213" t="s">
        <v>734</v>
      </c>
      <c r="BE40" s="213">
        <v>2</v>
      </c>
      <c r="BF40" s="213" t="s">
        <v>798</v>
      </c>
      <c r="BG40" s="213">
        <v>24.2</v>
      </c>
      <c r="BH40" s="213">
        <v>186</v>
      </c>
      <c r="BI40" s="213" t="s">
        <v>710</v>
      </c>
      <c r="BJ40" s="213">
        <v>-9999</v>
      </c>
      <c r="BK40" s="213">
        <v>92</v>
      </c>
      <c r="BL40" s="213">
        <v>278</v>
      </c>
      <c r="BM40" s="213">
        <v>91</v>
      </c>
      <c r="BN40" s="213" t="s">
        <v>710</v>
      </c>
      <c r="BO40" s="213">
        <v>0</v>
      </c>
      <c r="BP40" s="213">
        <v>40</v>
      </c>
      <c r="BQ40" s="213" t="s">
        <v>737</v>
      </c>
      <c r="BR40" s="213" t="s">
        <v>734</v>
      </c>
      <c r="BS40" s="213">
        <v>3</v>
      </c>
      <c r="BT40" s="213" t="s">
        <v>799</v>
      </c>
      <c r="BU40" s="213">
        <v>0</v>
      </c>
      <c r="BV40" s="213">
        <v>34</v>
      </c>
      <c r="BW40" s="213" t="s">
        <v>249</v>
      </c>
      <c r="BX40" s="213">
        <v>-9999</v>
      </c>
      <c r="BY40" s="213">
        <v>157</v>
      </c>
      <c r="BZ40" s="213">
        <v>375</v>
      </c>
      <c r="CA40" s="213">
        <v>157</v>
      </c>
      <c r="CB40" s="213" t="s">
        <v>710</v>
      </c>
      <c r="CC40" s="213">
        <v>0</v>
      </c>
      <c r="CD40" s="213">
        <v>40</v>
      </c>
      <c r="CE40" s="213" t="s">
        <v>738</v>
      </c>
      <c r="CF40" s="213" t="s">
        <v>734</v>
      </c>
      <c r="CG40" s="213">
        <v>4</v>
      </c>
      <c r="CH40" s="213" t="s">
        <v>798</v>
      </c>
      <c r="CI40" s="213">
        <v>22</v>
      </c>
      <c r="CJ40" s="213">
        <v>409</v>
      </c>
      <c r="CK40" s="213" t="s">
        <v>710</v>
      </c>
      <c r="CL40" s="213">
        <v>-9999</v>
      </c>
      <c r="CM40" s="213">
        <v>132</v>
      </c>
      <c r="CN40" s="213">
        <v>343</v>
      </c>
      <c r="CO40" s="213">
        <v>130</v>
      </c>
      <c r="CP40" s="213" t="s">
        <v>710</v>
      </c>
      <c r="CQ40" s="213">
        <v>0</v>
      </c>
      <c r="CR40" s="213">
        <v>40</v>
      </c>
      <c r="CS40" s="213" t="s">
        <v>739</v>
      </c>
      <c r="CT40" s="213" t="s">
        <v>740</v>
      </c>
      <c r="CU40" s="213">
        <v>103</v>
      </c>
      <c r="CV40" s="213">
        <v>102</v>
      </c>
      <c r="CW40" s="213">
        <v>102</v>
      </c>
      <c r="CX40" s="213" t="s">
        <v>710</v>
      </c>
      <c r="CY40" s="213" t="s">
        <v>741</v>
      </c>
      <c r="CZ40" s="213" t="s">
        <v>740</v>
      </c>
      <c r="DA40" s="213">
        <v>99</v>
      </c>
      <c r="DB40" s="213">
        <v>99</v>
      </c>
      <c r="DC40" s="213">
        <v>99</v>
      </c>
      <c r="DD40" s="213" t="s">
        <v>710</v>
      </c>
      <c r="DE40" s="213" t="s">
        <v>742</v>
      </c>
      <c r="DF40" s="213" t="s">
        <v>743</v>
      </c>
      <c r="DG40" s="213">
        <v>0</v>
      </c>
      <c r="DH40" s="213">
        <v>0</v>
      </c>
      <c r="DI40" s="213">
        <v>0</v>
      </c>
      <c r="DJ40" s="213" t="s">
        <v>249</v>
      </c>
      <c r="DK40" s="213">
        <v>69.400000000000006</v>
      </c>
      <c r="DL40" s="213">
        <v>51.1</v>
      </c>
      <c r="DM40" s="213" t="s">
        <v>744</v>
      </c>
      <c r="DN40" s="213" t="s">
        <v>743</v>
      </c>
      <c r="DO40" s="213">
        <v>0</v>
      </c>
      <c r="DP40" s="213">
        <v>0</v>
      </c>
      <c r="DQ40" s="213">
        <v>0</v>
      </c>
      <c r="DR40" s="213" t="s">
        <v>249</v>
      </c>
      <c r="DU40" s="213" t="s">
        <v>745</v>
      </c>
      <c r="DV40" s="213" t="s">
        <v>743</v>
      </c>
      <c r="DW40" s="213">
        <v>0</v>
      </c>
      <c r="DX40" s="213">
        <v>0</v>
      </c>
      <c r="DY40" s="213">
        <v>0</v>
      </c>
      <c r="DZ40" s="213" t="s">
        <v>249</v>
      </c>
      <c r="EC40" s="213" t="s">
        <v>746</v>
      </c>
      <c r="ED40" s="213" t="s">
        <v>743</v>
      </c>
      <c r="EE40" s="213">
        <v>0</v>
      </c>
      <c r="EF40" s="213">
        <v>0</v>
      </c>
      <c r="EG40" s="213">
        <v>0</v>
      </c>
      <c r="EH40" s="213" t="s">
        <v>249</v>
      </c>
      <c r="EK40" s="213" t="s">
        <v>747</v>
      </c>
      <c r="EL40" s="213" t="s">
        <v>743</v>
      </c>
      <c r="EM40" s="213">
        <v>0</v>
      </c>
      <c r="EN40" s="213">
        <v>0</v>
      </c>
      <c r="EO40" s="213">
        <v>0</v>
      </c>
      <c r="EP40" s="213" t="s">
        <v>249</v>
      </c>
      <c r="ES40" s="213" t="s">
        <v>748</v>
      </c>
      <c r="ET40" s="213" t="s">
        <v>743</v>
      </c>
      <c r="EU40" s="213">
        <v>0</v>
      </c>
      <c r="EV40" s="213">
        <v>0</v>
      </c>
      <c r="EW40" s="213">
        <v>0</v>
      </c>
      <c r="EX40" s="213" t="s">
        <v>249</v>
      </c>
      <c r="EY40" s="213">
        <v>70</v>
      </c>
      <c r="EZ40" s="213">
        <v>42.4</v>
      </c>
      <c r="FA40" s="213" t="s">
        <v>749</v>
      </c>
      <c r="FB40" s="213" t="s">
        <v>743</v>
      </c>
      <c r="FC40" s="213">
        <v>0</v>
      </c>
      <c r="FD40" s="213">
        <v>0</v>
      </c>
      <c r="FE40" s="213">
        <v>0</v>
      </c>
      <c r="FF40" s="213" t="s">
        <v>249</v>
      </c>
      <c r="FI40" s="213" t="s">
        <v>750</v>
      </c>
      <c r="FJ40" s="213" t="s">
        <v>743</v>
      </c>
      <c r="FK40" s="213">
        <v>0</v>
      </c>
      <c r="FL40" s="213">
        <v>0</v>
      </c>
      <c r="FM40" s="213">
        <v>0</v>
      </c>
      <c r="FN40" s="213" t="s">
        <v>249</v>
      </c>
      <c r="FO40" s="213">
        <v>73.599999999999994</v>
      </c>
      <c r="FP40" s="213">
        <v>152.5</v>
      </c>
      <c r="FQ40" s="213" t="s">
        <v>751</v>
      </c>
      <c r="FR40" s="213" t="s">
        <v>743</v>
      </c>
      <c r="FS40" s="213">
        <v>0</v>
      </c>
      <c r="FT40" s="213">
        <v>0</v>
      </c>
      <c r="FU40" s="213">
        <v>0</v>
      </c>
      <c r="FV40" s="213" t="s">
        <v>249</v>
      </c>
      <c r="FY40" s="213">
        <v>16.5</v>
      </c>
      <c r="FZ40" s="213">
        <v>-8.6</v>
      </c>
      <c r="GF40" s="213" t="s">
        <v>752</v>
      </c>
    </row>
    <row r="41" spans="1:188" s="213" customFormat="1" x14ac:dyDescent="0.15">
      <c r="A41" s="213" t="s">
        <v>654</v>
      </c>
      <c r="B41" s="213">
        <v>4</v>
      </c>
      <c r="C41" s="213" t="s">
        <v>957</v>
      </c>
      <c r="D41" s="213">
        <v>614343985</v>
      </c>
      <c r="E41" s="213">
        <v>92303</v>
      </c>
      <c r="F41" s="213" t="s">
        <v>795</v>
      </c>
      <c r="G41" s="213">
        <v>839032</v>
      </c>
      <c r="H41" s="213">
        <v>210024182</v>
      </c>
      <c r="I41" s="213">
        <v>6.8</v>
      </c>
      <c r="J41" s="213" t="s">
        <v>958</v>
      </c>
      <c r="K41" s="213" t="s">
        <v>727</v>
      </c>
      <c r="L41" s="213" t="s">
        <v>797</v>
      </c>
      <c r="M41" s="213" t="s">
        <v>728</v>
      </c>
      <c r="N41" s="213" t="s">
        <v>728</v>
      </c>
      <c r="O41" s="213" t="s">
        <v>729</v>
      </c>
      <c r="P41" s="213" t="s">
        <v>249</v>
      </c>
      <c r="Q41" s="213">
        <v>24.7</v>
      </c>
      <c r="R41" s="213">
        <v>160</v>
      </c>
      <c r="S41" s="213" t="s">
        <v>249</v>
      </c>
      <c r="T41" s="213">
        <v>-9999</v>
      </c>
      <c r="U41" s="213">
        <v>177</v>
      </c>
      <c r="V41" s="213">
        <v>383</v>
      </c>
      <c r="W41" s="213">
        <v>174</v>
      </c>
      <c r="X41" s="213" t="s">
        <v>710</v>
      </c>
      <c r="Y41" s="213">
        <v>0</v>
      </c>
      <c r="Z41" s="213">
        <v>40</v>
      </c>
      <c r="AA41" s="213" t="s">
        <v>730</v>
      </c>
      <c r="AB41" s="213" t="s">
        <v>731</v>
      </c>
      <c r="AC41" s="213" t="s">
        <v>729</v>
      </c>
      <c r="AD41" s="213" t="s">
        <v>249</v>
      </c>
      <c r="AE41" s="213">
        <v>26.3</v>
      </c>
      <c r="AF41" s="213">
        <v>131</v>
      </c>
      <c r="AG41" s="213" t="s">
        <v>249</v>
      </c>
      <c r="AH41" s="213">
        <v>-9999</v>
      </c>
      <c r="AI41" s="213">
        <v>178</v>
      </c>
      <c r="AJ41" s="213">
        <v>420</v>
      </c>
      <c r="AK41" s="213">
        <v>175</v>
      </c>
      <c r="AL41" s="213" t="s">
        <v>710</v>
      </c>
      <c r="AM41" s="213">
        <v>0</v>
      </c>
      <c r="AN41" s="213">
        <v>40</v>
      </c>
      <c r="AO41" s="213" t="s">
        <v>733</v>
      </c>
      <c r="AP41" s="213" t="s">
        <v>734</v>
      </c>
      <c r="AQ41" s="213">
        <v>1</v>
      </c>
      <c r="AR41" s="213" t="s">
        <v>798</v>
      </c>
      <c r="AS41" s="213">
        <v>23.5</v>
      </c>
      <c r="AT41" s="213">
        <v>462</v>
      </c>
      <c r="AU41" s="213" t="s">
        <v>710</v>
      </c>
      <c r="AV41" s="213">
        <v>-9999</v>
      </c>
      <c r="AW41" s="213">
        <v>206</v>
      </c>
      <c r="AX41" s="213">
        <v>508</v>
      </c>
      <c r="AY41" s="213">
        <v>202</v>
      </c>
      <c r="AZ41" s="213" t="s">
        <v>710</v>
      </c>
      <c r="BA41" s="213">
        <v>0</v>
      </c>
      <c r="BB41" s="213">
        <v>40</v>
      </c>
      <c r="BC41" s="213" t="s">
        <v>736</v>
      </c>
      <c r="BD41" s="213" t="s">
        <v>734</v>
      </c>
      <c r="BE41" s="213">
        <v>2</v>
      </c>
      <c r="BF41" s="213" t="s">
        <v>798</v>
      </c>
      <c r="BG41" s="213">
        <v>25</v>
      </c>
      <c r="BH41" s="213">
        <v>183</v>
      </c>
      <c r="BI41" s="213" t="s">
        <v>710</v>
      </c>
      <c r="BJ41" s="213">
        <v>-9999</v>
      </c>
      <c r="BK41" s="213">
        <v>104</v>
      </c>
      <c r="BL41" s="213">
        <v>313</v>
      </c>
      <c r="BM41" s="213">
        <v>102</v>
      </c>
      <c r="BN41" s="213" t="s">
        <v>710</v>
      </c>
      <c r="BO41" s="213">
        <v>0</v>
      </c>
      <c r="BP41" s="213">
        <v>40</v>
      </c>
      <c r="BQ41" s="213" t="s">
        <v>737</v>
      </c>
      <c r="BR41" s="213" t="s">
        <v>734</v>
      </c>
      <c r="BS41" s="213">
        <v>3</v>
      </c>
      <c r="BT41" s="213" t="s">
        <v>799</v>
      </c>
      <c r="BU41" s="213">
        <v>0</v>
      </c>
      <c r="BV41" s="213">
        <v>40</v>
      </c>
      <c r="BW41" s="213" t="s">
        <v>249</v>
      </c>
      <c r="BX41" s="213">
        <v>-9999</v>
      </c>
      <c r="BY41" s="213">
        <v>157</v>
      </c>
      <c r="BZ41" s="213">
        <v>375</v>
      </c>
      <c r="CA41" s="213">
        <v>157</v>
      </c>
      <c r="CB41" s="213" t="s">
        <v>710</v>
      </c>
      <c r="CC41" s="213">
        <v>0</v>
      </c>
      <c r="CD41" s="213">
        <v>40</v>
      </c>
      <c r="CE41" s="213" t="s">
        <v>738</v>
      </c>
      <c r="CF41" s="213" t="s">
        <v>734</v>
      </c>
      <c r="CG41" s="213">
        <v>4</v>
      </c>
      <c r="CH41" s="213" t="s">
        <v>798</v>
      </c>
      <c r="CI41" s="213">
        <v>22.4</v>
      </c>
      <c r="CJ41" s="213">
        <v>429</v>
      </c>
      <c r="CK41" s="213" t="s">
        <v>710</v>
      </c>
      <c r="CL41" s="213">
        <v>-9999</v>
      </c>
      <c r="CM41" s="213">
        <v>133</v>
      </c>
      <c r="CN41" s="213">
        <v>341</v>
      </c>
      <c r="CO41" s="213">
        <v>131</v>
      </c>
      <c r="CP41" s="213" t="s">
        <v>710</v>
      </c>
      <c r="CQ41" s="213">
        <v>0</v>
      </c>
      <c r="CR41" s="213">
        <v>40</v>
      </c>
      <c r="CS41" s="213" t="s">
        <v>739</v>
      </c>
      <c r="CT41" s="213" t="s">
        <v>740</v>
      </c>
      <c r="CU41" s="213">
        <v>108</v>
      </c>
      <c r="CV41" s="213">
        <v>107</v>
      </c>
      <c r="CW41" s="213">
        <v>107</v>
      </c>
      <c r="CX41" s="213" t="s">
        <v>710</v>
      </c>
      <c r="CY41" s="213" t="s">
        <v>741</v>
      </c>
      <c r="CZ41" s="213" t="s">
        <v>740</v>
      </c>
      <c r="DA41" s="213">
        <v>93</v>
      </c>
      <c r="DB41" s="213">
        <v>93</v>
      </c>
      <c r="DC41" s="213">
        <v>93</v>
      </c>
      <c r="DD41" s="213" t="s">
        <v>710</v>
      </c>
      <c r="DE41" s="213" t="s">
        <v>742</v>
      </c>
      <c r="DF41" s="213" t="s">
        <v>743</v>
      </c>
      <c r="DG41" s="213">
        <v>0</v>
      </c>
      <c r="DH41" s="213">
        <v>0</v>
      </c>
      <c r="DI41" s="213">
        <v>0</v>
      </c>
      <c r="DJ41" s="213" t="s">
        <v>249</v>
      </c>
      <c r="DK41" s="213">
        <v>69.400000000000006</v>
      </c>
      <c r="DL41" s="213">
        <v>37.700000000000003</v>
      </c>
      <c r="DM41" s="213" t="s">
        <v>744</v>
      </c>
      <c r="DN41" s="213" t="s">
        <v>743</v>
      </c>
      <c r="DO41" s="213">
        <v>0</v>
      </c>
      <c r="DP41" s="213">
        <v>0</v>
      </c>
      <c r="DQ41" s="213">
        <v>0</v>
      </c>
      <c r="DR41" s="213" t="s">
        <v>249</v>
      </c>
      <c r="DU41" s="213" t="s">
        <v>745</v>
      </c>
      <c r="DV41" s="213" t="s">
        <v>743</v>
      </c>
      <c r="DW41" s="213">
        <v>0</v>
      </c>
      <c r="DX41" s="213">
        <v>0</v>
      </c>
      <c r="DY41" s="213">
        <v>0</v>
      </c>
      <c r="DZ41" s="213" t="s">
        <v>249</v>
      </c>
      <c r="EC41" s="213" t="s">
        <v>746</v>
      </c>
      <c r="ED41" s="213" t="s">
        <v>743</v>
      </c>
      <c r="EE41" s="213">
        <v>0</v>
      </c>
      <c r="EF41" s="213">
        <v>0</v>
      </c>
      <c r="EG41" s="213">
        <v>0</v>
      </c>
      <c r="EH41" s="213" t="s">
        <v>249</v>
      </c>
      <c r="EK41" s="213" t="s">
        <v>747</v>
      </c>
      <c r="EL41" s="213" t="s">
        <v>743</v>
      </c>
      <c r="EM41" s="213">
        <v>0</v>
      </c>
      <c r="EN41" s="213">
        <v>0</v>
      </c>
      <c r="EO41" s="213">
        <v>0</v>
      </c>
      <c r="EP41" s="213" t="s">
        <v>249</v>
      </c>
      <c r="ES41" s="213" t="s">
        <v>748</v>
      </c>
      <c r="ET41" s="213" t="s">
        <v>743</v>
      </c>
      <c r="EU41" s="213">
        <v>0</v>
      </c>
      <c r="EV41" s="213">
        <v>0</v>
      </c>
      <c r="EW41" s="213">
        <v>0</v>
      </c>
      <c r="EX41" s="213" t="s">
        <v>249</v>
      </c>
      <c r="EY41" s="213">
        <v>70</v>
      </c>
      <c r="EZ41" s="213">
        <v>39.299999999999997</v>
      </c>
      <c r="FA41" s="213" t="s">
        <v>749</v>
      </c>
      <c r="FB41" s="213" t="s">
        <v>743</v>
      </c>
      <c r="FC41" s="213">
        <v>0</v>
      </c>
      <c r="FD41" s="213">
        <v>0</v>
      </c>
      <c r="FE41" s="213">
        <v>0</v>
      </c>
      <c r="FF41" s="213" t="s">
        <v>249</v>
      </c>
      <c r="FI41" s="213" t="s">
        <v>750</v>
      </c>
      <c r="FJ41" s="213" t="s">
        <v>743</v>
      </c>
      <c r="FK41" s="213">
        <v>0</v>
      </c>
      <c r="FL41" s="213">
        <v>0</v>
      </c>
      <c r="FM41" s="213">
        <v>0</v>
      </c>
      <c r="FN41" s="213" t="s">
        <v>249</v>
      </c>
      <c r="FO41" s="213">
        <v>73.599999999999994</v>
      </c>
      <c r="FP41" s="213">
        <v>145.5</v>
      </c>
      <c r="FQ41" s="213" t="s">
        <v>751</v>
      </c>
      <c r="FR41" s="213" t="s">
        <v>743</v>
      </c>
      <c r="FS41" s="213">
        <v>0</v>
      </c>
      <c r="FT41" s="213">
        <v>0</v>
      </c>
      <c r="FU41" s="213">
        <v>0</v>
      </c>
      <c r="FV41" s="213" t="s">
        <v>249</v>
      </c>
      <c r="FY41" s="213">
        <v>20</v>
      </c>
      <c r="FZ41" s="213">
        <v>-9.5</v>
      </c>
      <c r="GF41" s="213" t="s">
        <v>752</v>
      </c>
    </row>
    <row r="42" spans="1:188" s="213" customFormat="1" x14ac:dyDescent="0.15">
      <c r="A42" s="213" t="s">
        <v>654</v>
      </c>
      <c r="B42" s="213">
        <v>4</v>
      </c>
      <c r="C42" s="213" t="s">
        <v>961</v>
      </c>
      <c r="D42" s="213">
        <v>614348326</v>
      </c>
      <c r="E42" s="213">
        <v>92303</v>
      </c>
      <c r="F42" s="213" t="s">
        <v>795</v>
      </c>
      <c r="G42" s="213">
        <v>839032</v>
      </c>
      <c r="H42" s="213">
        <v>210019897</v>
      </c>
      <c r="I42" s="213">
        <v>6.8</v>
      </c>
      <c r="J42" s="213" t="s">
        <v>962</v>
      </c>
      <c r="K42" s="213" t="s">
        <v>727</v>
      </c>
      <c r="L42" s="213" t="s">
        <v>797</v>
      </c>
      <c r="M42" s="213" t="s">
        <v>728</v>
      </c>
      <c r="N42" s="213" t="s">
        <v>728</v>
      </c>
      <c r="O42" s="213" t="s">
        <v>729</v>
      </c>
      <c r="P42" s="213" t="s">
        <v>249</v>
      </c>
      <c r="Q42" s="213">
        <v>24.5</v>
      </c>
      <c r="R42" s="213">
        <v>152</v>
      </c>
      <c r="S42" s="213" t="s">
        <v>249</v>
      </c>
      <c r="T42" s="213">
        <v>-9999</v>
      </c>
      <c r="U42" s="213">
        <v>188</v>
      </c>
      <c r="V42" s="213">
        <v>407</v>
      </c>
      <c r="W42" s="213">
        <v>179</v>
      </c>
      <c r="X42" s="213" t="s">
        <v>710</v>
      </c>
      <c r="Y42" s="213">
        <v>0</v>
      </c>
      <c r="Z42" s="213">
        <v>40</v>
      </c>
      <c r="AA42" s="213" t="s">
        <v>730</v>
      </c>
      <c r="AB42" s="213" t="s">
        <v>731</v>
      </c>
      <c r="AC42" s="213" t="s">
        <v>729</v>
      </c>
      <c r="AD42" s="213" t="s">
        <v>249</v>
      </c>
      <c r="AE42" s="213">
        <v>25.6</v>
      </c>
      <c r="AF42" s="213">
        <v>124</v>
      </c>
      <c r="AG42" s="213" t="s">
        <v>249</v>
      </c>
      <c r="AH42" s="213">
        <v>-9999</v>
      </c>
      <c r="AI42" s="213">
        <v>171</v>
      </c>
      <c r="AJ42" s="213">
        <v>405</v>
      </c>
      <c r="AK42" s="213">
        <v>166</v>
      </c>
      <c r="AL42" s="213" t="s">
        <v>710</v>
      </c>
      <c r="AM42" s="213">
        <v>0</v>
      </c>
      <c r="AN42" s="213">
        <v>40</v>
      </c>
      <c r="AO42" s="213" t="s">
        <v>733</v>
      </c>
      <c r="AP42" s="213" t="s">
        <v>734</v>
      </c>
      <c r="AQ42" s="213">
        <v>1</v>
      </c>
      <c r="AR42" s="213" t="s">
        <v>798</v>
      </c>
      <c r="AS42" s="213">
        <v>23.4</v>
      </c>
      <c r="AT42" s="213">
        <v>431</v>
      </c>
      <c r="AU42" s="213" t="s">
        <v>710</v>
      </c>
      <c r="AV42" s="213">
        <v>-9999</v>
      </c>
      <c r="AW42" s="213">
        <v>224</v>
      </c>
      <c r="AX42" s="213">
        <v>551</v>
      </c>
      <c r="AY42" s="213">
        <v>220</v>
      </c>
      <c r="AZ42" s="213" t="s">
        <v>710</v>
      </c>
      <c r="BA42" s="213">
        <v>0</v>
      </c>
      <c r="BB42" s="213">
        <v>40</v>
      </c>
      <c r="BC42" s="213" t="s">
        <v>736</v>
      </c>
      <c r="BD42" s="213" t="s">
        <v>734</v>
      </c>
      <c r="BE42" s="213">
        <v>2</v>
      </c>
      <c r="BF42" s="213" t="s">
        <v>798</v>
      </c>
      <c r="BG42" s="213">
        <v>24.4</v>
      </c>
      <c r="BH42" s="213">
        <v>178</v>
      </c>
      <c r="BI42" s="213" t="s">
        <v>710</v>
      </c>
      <c r="BJ42" s="213">
        <v>-9999</v>
      </c>
      <c r="BK42" s="213">
        <v>108</v>
      </c>
      <c r="BL42" s="213">
        <v>331</v>
      </c>
      <c r="BM42" s="213">
        <v>105</v>
      </c>
      <c r="BN42" s="213" t="s">
        <v>710</v>
      </c>
      <c r="BO42" s="213">
        <v>0</v>
      </c>
      <c r="BP42" s="213">
        <v>40</v>
      </c>
      <c r="BQ42" s="213" t="s">
        <v>737</v>
      </c>
      <c r="BR42" s="213" t="s">
        <v>734</v>
      </c>
      <c r="BS42" s="213">
        <v>3</v>
      </c>
      <c r="BT42" s="213" t="s">
        <v>799</v>
      </c>
      <c r="BU42" s="213">
        <v>0</v>
      </c>
      <c r="BV42" s="213">
        <v>33</v>
      </c>
      <c r="BW42" s="213" t="s">
        <v>249</v>
      </c>
      <c r="BX42" s="213">
        <v>-9999</v>
      </c>
      <c r="BY42" s="213">
        <v>176</v>
      </c>
      <c r="BZ42" s="213">
        <v>417</v>
      </c>
      <c r="CA42" s="213">
        <v>175</v>
      </c>
      <c r="CB42" s="213" t="s">
        <v>710</v>
      </c>
      <c r="CC42" s="213">
        <v>0</v>
      </c>
      <c r="CD42" s="213">
        <v>40</v>
      </c>
      <c r="CE42" s="213" t="s">
        <v>738</v>
      </c>
      <c r="CF42" s="213" t="s">
        <v>734</v>
      </c>
      <c r="CG42" s="213">
        <v>4</v>
      </c>
      <c r="CH42" s="213" t="s">
        <v>798</v>
      </c>
      <c r="CI42" s="213">
        <v>21.7</v>
      </c>
      <c r="CJ42" s="213">
        <v>400</v>
      </c>
      <c r="CK42" s="213" t="s">
        <v>710</v>
      </c>
      <c r="CL42" s="213">
        <v>-9999</v>
      </c>
      <c r="CM42" s="213">
        <v>143</v>
      </c>
      <c r="CN42" s="213">
        <v>368</v>
      </c>
      <c r="CO42" s="213">
        <v>139</v>
      </c>
      <c r="CP42" s="213" t="s">
        <v>710</v>
      </c>
      <c r="CQ42" s="213">
        <v>0</v>
      </c>
      <c r="CR42" s="213">
        <v>40</v>
      </c>
      <c r="CS42" s="213" t="s">
        <v>739</v>
      </c>
      <c r="CT42" s="213" t="s">
        <v>740</v>
      </c>
      <c r="CU42" s="213">
        <v>112</v>
      </c>
      <c r="CV42" s="213">
        <v>112</v>
      </c>
      <c r="CW42" s="213">
        <v>111</v>
      </c>
      <c r="CX42" s="213" t="s">
        <v>710</v>
      </c>
      <c r="CY42" s="213" t="s">
        <v>741</v>
      </c>
      <c r="CZ42" s="213" t="s">
        <v>740</v>
      </c>
      <c r="DA42" s="213">
        <v>110</v>
      </c>
      <c r="DB42" s="213">
        <v>110</v>
      </c>
      <c r="DC42" s="213">
        <v>109</v>
      </c>
      <c r="DD42" s="213" t="s">
        <v>710</v>
      </c>
      <c r="DE42" s="213" t="s">
        <v>742</v>
      </c>
      <c r="DF42" s="213" t="s">
        <v>743</v>
      </c>
      <c r="DG42" s="213">
        <v>0</v>
      </c>
      <c r="DH42" s="213">
        <v>0</v>
      </c>
      <c r="DI42" s="213">
        <v>0</v>
      </c>
      <c r="DJ42" s="213" t="s">
        <v>249</v>
      </c>
      <c r="DK42" s="213">
        <v>69.2</v>
      </c>
      <c r="DL42" s="213">
        <v>57.2</v>
      </c>
      <c r="DM42" s="213" t="s">
        <v>744</v>
      </c>
      <c r="DN42" s="213" t="s">
        <v>743</v>
      </c>
      <c r="DO42" s="213">
        <v>0</v>
      </c>
      <c r="DP42" s="213">
        <v>0</v>
      </c>
      <c r="DQ42" s="213">
        <v>0</v>
      </c>
      <c r="DR42" s="213" t="s">
        <v>249</v>
      </c>
      <c r="DU42" s="213" t="s">
        <v>745</v>
      </c>
      <c r="DV42" s="213" t="s">
        <v>743</v>
      </c>
      <c r="DW42" s="213">
        <v>0</v>
      </c>
      <c r="DX42" s="213">
        <v>0</v>
      </c>
      <c r="DY42" s="213">
        <v>0</v>
      </c>
      <c r="DZ42" s="213" t="s">
        <v>249</v>
      </c>
      <c r="EC42" s="213" t="s">
        <v>746</v>
      </c>
      <c r="ED42" s="213" t="s">
        <v>743</v>
      </c>
      <c r="EE42" s="213">
        <v>0</v>
      </c>
      <c r="EF42" s="213">
        <v>0</v>
      </c>
      <c r="EG42" s="213">
        <v>0</v>
      </c>
      <c r="EH42" s="213" t="s">
        <v>249</v>
      </c>
      <c r="EK42" s="213" t="s">
        <v>747</v>
      </c>
      <c r="EL42" s="213" t="s">
        <v>743</v>
      </c>
      <c r="EM42" s="213">
        <v>0</v>
      </c>
      <c r="EN42" s="213">
        <v>0</v>
      </c>
      <c r="EO42" s="213">
        <v>0</v>
      </c>
      <c r="EP42" s="213" t="s">
        <v>249</v>
      </c>
      <c r="ES42" s="213" t="s">
        <v>748</v>
      </c>
      <c r="ET42" s="213" t="s">
        <v>743</v>
      </c>
      <c r="EU42" s="213">
        <v>0</v>
      </c>
      <c r="EV42" s="213">
        <v>0</v>
      </c>
      <c r="EW42" s="213">
        <v>0</v>
      </c>
      <c r="EX42" s="213" t="s">
        <v>249</v>
      </c>
      <c r="EY42" s="213">
        <v>70</v>
      </c>
      <c r="EZ42" s="213">
        <v>64.099999999999994</v>
      </c>
      <c r="FA42" s="213" t="s">
        <v>749</v>
      </c>
      <c r="FB42" s="213" t="s">
        <v>743</v>
      </c>
      <c r="FC42" s="213">
        <v>0</v>
      </c>
      <c r="FD42" s="213">
        <v>0</v>
      </c>
      <c r="FE42" s="213">
        <v>0</v>
      </c>
      <c r="FF42" s="213" t="s">
        <v>249</v>
      </c>
      <c r="FI42" s="213" t="s">
        <v>750</v>
      </c>
      <c r="FJ42" s="213" t="s">
        <v>743</v>
      </c>
      <c r="FK42" s="213">
        <v>0</v>
      </c>
      <c r="FL42" s="213">
        <v>0</v>
      </c>
      <c r="FM42" s="213">
        <v>0</v>
      </c>
      <c r="FN42" s="213" t="s">
        <v>249</v>
      </c>
      <c r="FO42" s="213">
        <v>73.5</v>
      </c>
      <c r="FP42" s="213">
        <v>178.9</v>
      </c>
      <c r="FQ42" s="213" t="s">
        <v>751</v>
      </c>
      <c r="FR42" s="213" t="s">
        <v>743</v>
      </c>
      <c r="FS42" s="213">
        <v>0</v>
      </c>
      <c r="FT42" s="213">
        <v>0</v>
      </c>
      <c r="FU42" s="213">
        <v>0</v>
      </c>
      <c r="FV42" s="213" t="s">
        <v>249</v>
      </c>
      <c r="FY42" s="213">
        <v>30.3</v>
      </c>
      <c r="FZ42" s="213">
        <v>-18.100000000000001</v>
      </c>
      <c r="GF42" s="213" t="s">
        <v>752</v>
      </c>
    </row>
    <row r="43" spans="1:188" s="213" customFormat="1" x14ac:dyDescent="0.15">
      <c r="A43" s="213" t="s">
        <v>654</v>
      </c>
      <c r="B43" s="213">
        <v>4</v>
      </c>
      <c r="C43" s="213" t="s">
        <v>963</v>
      </c>
      <c r="D43" s="213">
        <v>614348666</v>
      </c>
      <c r="E43" s="213">
        <v>92303</v>
      </c>
      <c r="F43" s="213" t="s">
        <v>795</v>
      </c>
      <c r="G43" s="213">
        <v>839032</v>
      </c>
      <c r="H43" s="213">
        <v>730217</v>
      </c>
      <c r="I43" s="213">
        <v>6.8</v>
      </c>
      <c r="J43" s="213" t="s">
        <v>964</v>
      </c>
      <c r="K43" s="213" t="s">
        <v>727</v>
      </c>
      <c r="L43" s="213" t="s">
        <v>797</v>
      </c>
      <c r="M43" s="213" t="s">
        <v>728</v>
      </c>
      <c r="N43" s="213" t="s">
        <v>728</v>
      </c>
      <c r="O43" s="213" t="s">
        <v>729</v>
      </c>
      <c r="P43" s="213" t="s">
        <v>249</v>
      </c>
      <c r="Q43" s="213">
        <v>24.1</v>
      </c>
      <c r="R43" s="213">
        <v>170</v>
      </c>
      <c r="S43" s="213" t="s">
        <v>249</v>
      </c>
      <c r="T43" s="213">
        <v>-9999</v>
      </c>
      <c r="U43" s="213">
        <v>241</v>
      </c>
      <c r="V43" s="213">
        <v>512</v>
      </c>
      <c r="W43" s="213">
        <v>231</v>
      </c>
      <c r="X43" s="213" t="s">
        <v>710</v>
      </c>
      <c r="Y43" s="213">
        <v>0</v>
      </c>
      <c r="Z43" s="213">
        <v>40</v>
      </c>
      <c r="AA43" s="213" t="s">
        <v>730</v>
      </c>
      <c r="AB43" s="213" t="s">
        <v>731</v>
      </c>
      <c r="AC43" s="213" t="s">
        <v>729</v>
      </c>
      <c r="AD43" s="213" t="s">
        <v>249</v>
      </c>
      <c r="AE43" s="213">
        <v>25.9</v>
      </c>
      <c r="AF43" s="213">
        <v>131</v>
      </c>
      <c r="AG43" s="213" t="s">
        <v>249</v>
      </c>
      <c r="AH43" s="213">
        <v>-9999</v>
      </c>
      <c r="AI43" s="213">
        <v>209</v>
      </c>
      <c r="AJ43" s="213">
        <v>490</v>
      </c>
      <c r="AK43" s="213">
        <v>205</v>
      </c>
      <c r="AL43" s="213" t="s">
        <v>710</v>
      </c>
      <c r="AM43" s="213">
        <v>0</v>
      </c>
      <c r="AN43" s="213">
        <v>40</v>
      </c>
      <c r="AO43" s="213" t="s">
        <v>733</v>
      </c>
      <c r="AP43" s="213" t="s">
        <v>734</v>
      </c>
      <c r="AQ43" s="213">
        <v>1</v>
      </c>
      <c r="AR43" s="213" t="s">
        <v>798</v>
      </c>
      <c r="AS43" s="213">
        <v>23.1</v>
      </c>
      <c r="AT43" s="213">
        <v>444</v>
      </c>
      <c r="AU43" s="213" t="s">
        <v>710</v>
      </c>
      <c r="AV43" s="213">
        <v>-9999</v>
      </c>
      <c r="AW43" s="213">
        <v>278</v>
      </c>
      <c r="AX43" s="213">
        <v>676</v>
      </c>
      <c r="AY43" s="213">
        <v>274</v>
      </c>
      <c r="AZ43" s="213" t="s">
        <v>710</v>
      </c>
      <c r="BA43" s="213">
        <v>0</v>
      </c>
      <c r="BB43" s="213">
        <v>40</v>
      </c>
      <c r="BC43" s="213" t="s">
        <v>736</v>
      </c>
      <c r="BD43" s="213" t="s">
        <v>734</v>
      </c>
      <c r="BE43" s="213">
        <v>2</v>
      </c>
      <c r="BF43" s="213" t="s">
        <v>798</v>
      </c>
      <c r="BG43" s="213">
        <v>24.2</v>
      </c>
      <c r="BH43" s="213">
        <v>199</v>
      </c>
      <c r="BI43" s="213" t="s">
        <v>710</v>
      </c>
      <c r="BJ43" s="213">
        <v>-9999</v>
      </c>
      <c r="BK43" s="213">
        <v>98</v>
      </c>
      <c r="BL43" s="213">
        <v>328</v>
      </c>
      <c r="BM43" s="213">
        <v>96</v>
      </c>
      <c r="BN43" s="213" t="s">
        <v>710</v>
      </c>
      <c r="BO43" s="213">
        <v>0</v>
      </c>
      <c r="BP43" s="213">
        <v>40</v>
      </c>
      <c r="BQ43" s="213" t="s">
        <v>737</v>
      </c>
      <c r="BR43" s="213" t="s">
        <v>734</v>
      </c>
      <c r="BS43" s="213">
        <v>3</v>
      </c>
      <c r="BT43" s="213" t="s">
        <v>799</v>
      </c>
      <c r="BU43" s="213">
        <v>0</v>
      </c>
      <c r="BV43" s="213">
        <v>27</v>
      </c>
      <c r="BW43" s="213" t="s">
        <v>249</v>
      </c>
      <c r="BX43" s="213">
        <v>-9999</v>
      </c>
      <c r="BY43" s="213">
        <v>152</v>
      </c>
      <c r="BZ43" s="213">
        <v>356</v>
      </c>
      <c r="CA43" s="213">
        <v>152</v>
      </c>
      <c r="CB43" s="213" t="s">
        <v>710</v>
      </c>
      <c r="CC43" s="213">
        <v>0</v>
      </c>
      <c r="CD43" s="213">
        <v>40</v>
      </c>
      <c r="CE43" s="213" t="s">
        <v>738</v>
      </c>
      <c r="CF43" s="213" t="s">
        <v>734</v>
      </c>
      <c r="CG43" s="213">
        <v>4</v>
      </c>
      <c r="CH43" s="213" t="s">
        <v>798</v>
      </c>
      <c r="CI43" s="213">
        <v>21.9</v>
      </c>
      <c r="CJ43" s="213">
        <v>427</v>
      </c>
      <c r="CK43" s="213" t="s">
        <v>710</v>
      </c>
      <c r="CL43" s="213">
        <v>-9999</v>
      </c>
      <c r="CM43" s="213">
        <v>142</v>
      </c>
      <c r="CN43" s="213">
        <v>376</v>
      </c>
      <c r="CO43" s="213">
        <v>139</v>
      </c>
      <c r="CP43" s="213" t="s">
        <v>710</v>
      </c>
      <c r="CQ43" s="213">
        <v>0</v>
      </c>
      <c r="CR43" s="213">
        <v>40</v>
      </c>
      <c r="CS43" s="213" t="s">
        <v>739</v>
      </c>
      <c r="CT43" s="213" t="s">
        <v>740</v>
      </c>
      <c r="CU43" s="213">
        <v>116</v>
      </c>
      <c r="CV43" s="213">
        <v>115</v>
      </c>
      <c r="CW43" s="213">
        <v>115</v>
      </c>
      <c r="CX43" s="213" t="s">
        <v>710</v>
      </c>
      <c r="CY43" s="213" t="s">
        <v>741</v>
      </c>
      <c r="CZ43" s="213" t="s">
        <v>740</v>
      </c>
      <c r="DA43" s="213">
        <v>110</v>
      </c>
      <c r="DB43" s="213">
        <v>110</v>
      </c>
      <c r="DC43" s="213">
        <v>110</v>
      </c>
      <c r="DD43" s="213" t="s">
        <v>710</v>
      </c>
      <c r="DE43" s="213" t="s">
        <v>742</v>
      </c>
      <c r="DF43" s="213" t="s">
        <v>743</v>
      </c>
      <c r="DG43" s="213">
        <v>0</v>
      </c>
      <c r="DH43" s="213">
        <v>0</v>
      </c>
      <c r="DI43" s="213">
        <v>0</v>
      </c>
      <c r="DJ43" s="213" t="s">
        <v>249</v>
      </c>
      <c r="DK43" s="213">
        <v>69.3</v>
      </c>
      <c r="DL43" s="213">
        <v>50.8</v>
      </c>
      <c r="DM43" s="213" t="s">
        <v>744</v>
      </c>
      <c r="DN43" s="213" t="s">
        <v>743</v>
      </c>
      <c r="DO43" s="213">
        <v>0</v>
      </c>
      <c r="DP43" s="213">
        <v>0</v>
      </c>
      <c r="DQ43" s="213">
        <v>0</v>
      </c>
      <c r="DR43" s="213" t="s">
        <v>249</v>
      </c>
      <c r="DU43" s="213" t="s">
        <v>745</v>
      </c>
      <c r="DV43" s="213" t="s">
        <v>743</v>
      </c>
      <c r="DW43" s="213">
        <v>0</v>
      </c>
      <c r="DX43" s="213">
        <v>0</v>
      </c>
      <c r="DY43" s="213">
        <v>0</v>
      </c>
      <c r="DZ43" s="213" t="s">
        <v>249</v>
      </c>
      <c r="EC43" s="213" t="s">
        <v>746</v>
      </c>
      <c r="ED43" s="213" t="s">
        <v>743</v>
      </c>
      <c r="EE43" s="213">
        <v>0</v>
      </c>
      <c r="EF43" s="213">
        <v>0</v>
      </c>
      <c r="EG43" s="213">
        <v>0</v>
      </c>
      <c r="EH43" s="213" t="s">
        <v>249</v>
      </c>
      <c r="EK43" s="213" t="s">
        <v>747</v>
      </c>
      <c r="EL43" s="213" t="s">
        <v>743</v>
      </c>
      <c r="EM43" s="213">
        <v>0</v>
      </c>
      <c r="EN43" s="213">
        <v>0</v>
      </c>
      <c r="EO43" s="213">
        <v>0</v>
      </c>
      <c r="EP43" s="213" t="s">
        <v>249</v>
      </c>
      <c r="ES43" s="213" t="s">
        <v>748</v>
      </c>
      <c r="ET43" s="213" t="s">
        <v>743</v>
      </c>
      <c r="EU43" s="213">
        <v>0</v>
      </c>
      <c r="EV43" s="213">
        <v>0</v>
      </c>
      <c r="EW43" s="213">
        <v>0</v>
      </c>
      <c r="EX43" s="213" t="s">
        <v>249</v>
      </c>
      <c r="EY43" s="213">
        <v>70</v>
      </c>
      <c r="EZ43" s="213">
        <v>45.8</v>
      </c>
      <c r="FA43" s="213" t="s">
        <v>749</v>
      </c>
      <c r="FB43" s="213" t="s">
        <v>743</v>
      </c>
      <c r="FC43" s="213">
        <v>0</v>
      </c>
      <c r="FD43" s="213">
        <v>0</v>
      </c>
      <c r="FE43" s="213">
        <v>0</v>
      </c>
      <c r="FF43" s="213" t="s">
        <v>249</v>
      </c>
      <c r="FI43" s="213" t="s">
        <v>750</v>
      </c>
      <c r="FJ43" s="213" t="s">
        <v>743</v>
      </c>
      <c r="FK43" s="213">
        <v>0</v>
      </c>
      <c r="FL43" s="213">
        <v>0</v>
      </c>
      <c r="FM43" s="213">
        <v>0</v>
      </c>
      <c r="FN43" s="213" t="s">
        <v>249</v>
      </c>
      <c r="FO43" s="213">
        <v>73.5</v>
      </c>
      <c r="FP43" s="213">
        <v>172</v>
      </c>
      <c r="FQ43" s="213" t="s">
        <v>751</v>
      </c>
      <c r="FR43" s="213" t="s">
        <v>743</v>
      </c>
      <c r="FS43" s="213">
        <v>0</v>
      </c>
      <c r="FT43" s="213">
        <v>0</v>
      </c>
      <c r="FU43" s="213">
        <v>0</v>
      </c>
      <c r="FV43" s="213" t="s">
        <v>249</v>
      </c>
      <c r="FY43" s="213">
        <v>25.7</v>
      </c>
      <c r="FZ43" s="213">
        <v>-16.399999999999999</v>
      </c>
      <c r="GF43" s="213" t="s">
        <v>752</v>
      </c>
    </row>
    <row r="44" spans="1:188" s="446" customFormat="1" x14ac:dyDescent="0.15">
      <c r="A44" s="213" t="s">
        <v>654</v>
      </c>
      <c r="B44" s="213">
        <v>4</v>
      </c>
      <c r="C44" s="213" t="s">
        <v>1203</v>
      </c>
      <c r="D44" s="213">
        <v>614345588</v>
      </c>
      <c r="E44" s="213">
        <v>92303</v>
      </c>
      <c r="F44" s="213" t="s">
        <v>795</v>
      </c>
      <c r="G44" s="213">
        <v>839032</v>
      </c>
      <c r="H44" s="213">
        <v>690802</v>
      </c>
      <c r="I44" s="213">
        <v>6.8</v>
      </c>
      <c r="J44" s="213" t="s">
        <v>1055</v>
      </c>
      <c r="K44" s="213" t="s">
        <v>727</v>
      </c>
      <c r="L44" s="213" t="s">
        <v>797</v>
      </c>
      <c r="M44" s="213" t="s">
        <v>728</v>
      </c>
      <c r="N44" s="213" t="s">
        <v>728</v>
      </c>
      <c r="O44" s="213" t="s">
        <v>729</v>
      </c>
      <c r="P44" s="213" t="s">
        <v>249</v>
      </c>
      <c r="Q44" s="213">
        <v>23.5</v>
      </c>
      <c r="R44" s="213">
        <v>161</v>
      </c>
      <c r="S44" s="213" t="s">
        <v>249</v>
      </c>
      <c r="T44" s="213">
        <v>-9999</v>
      </c>
      <c r="U44" s="213">
        <v>240</v>
      </c>
      <c r="V44" s="213">
        <v>499</v>
      </c>
      <c r="W44" s="213">
        <v>234</v>
      </c>
      <c r="X44" s="213" t="s">
        <v>710</v>
      </c>
      <c r="Y44" s="213">
        <v>0</v>
      </c>
      <c r="Z44" s="213">
        <v>40</v>
      </c>
      <c r="AA44" s="213" t="s">
        <v>730</v>
      </c>
      <c r="AB44" s="213" t="s">
        <v>731</v>
      </c>
      <c r="AC44" s="213" t="s">
        <v>729</v>
      </c>
      <c r="AD44" s="213" t="s">
        <v>249</v>
      </c>
      <c r="AE44" s="213">
        <v>25.7</v>
      </c>
      <c r="AF44" s="213">
        <v>117</v>
      </c>
      <c r="AG44" s="213" t="s">
        <v>249</v>
      </c>
      <c r="AH44" s="213">
        <v>-9999</v>
      </c>
      <c r="AI44" s="213">
        <v>232</v>
      </c>
      <c r="AJ44" s="213">
        <v>540</v>
      </c>
      <c r="AK44" s="213">
        <v>229</v>
      </c>
      <c r="AL44" s="213" t="s">
        <v>710</v>
      </c>
      <c r="AM44" s="213">
        <v>0</v>
      </c>
      <c r="AN44" s="213">
        <v>40</v>
      </c>
      <c r="AO44" s="213" t="s">
        <v>733</v>
      </c>
      <c r="AP44" s="213" t="s">
        <v>734</v>
      </c>
      <c r="AQ44" s="213">
        <v>1</v>
      </c>
      <c r="AR44" s="213" t="s">
        <v>798</v>
      </c>
      <c r="AS44" s="213">
        <v>22.3</v>
      </c>
      <c r="AT44" s="213">
        <v>459</v>
      </c>
      <c r="AU44" s="213" t="s">
        <v>710</v>
      </c>
      <c r="AV44" s="213">
        <v>-9999</v>
      </c>
      <c r="AW44" s="213">
        <v>299</v>
      </c>
      <c r="AX44" s="213">
        <v>736</v>
      </c>
      <c r="AY44" s="213">
        <v>297</v>
      </c>
      <c r="AZ44" s="213" t="s">
        <v>710</v>
      </c>
      <c r="BA44" s="213">
        <v>0</v>
      </c>
      <c r="BB44" s="213">
        <v>40</v>
      </c>
      <c r="BC44" s="213" t="s">
        <v>736</v>
      </c>
      <c r="BD44" s="213" t="s">
        <v>734</v>
      </c>
      <c r="BE44" s="213">
        <v>2</v>
      </c>
      <c r="BF44" s="213" t="s">
        <v>798</v>
      </c>
      <c r="BG44" s="213">
        <v>23.5</v>
      </c>
      <c r="BH44" s="213">
        <v>194</v>
      </c>
      <c r="BI44" s="213" t="s">
        <v>710</v>
      </c>
      <c r="BJ44" s="213">
        <v>-9999</v>
      </c>
      <c r="BK44" s="213">
        <v>123</v>
      </c>
      <c r="BL44" s="213">
        <v>369</v>
      </c>
      <c r="BM44" s="213">
        <v>121</v>
      </c>
      <c r="BN44" s="213" t="s">
        <v>710</v>
      </c>
      <c r="BO44" s="213">
        <v>0</v>
      </c>
      <c r="BP44" s="213">
        <v>40</v>
      </c>
      <c r="BQ44" s="213" t="s">
        <v>737</v>
      </c>
      <c r="BR44" s="213" t="s">
        <v>734</v>
      </c>
      <c r="BS44" s="213">
        <v>3</v>
      </c>
      <c r="BT44" s="213" t="s">
        <v>799</v>
      </c>
      <c r="BU44" s="213">
        <v>0</v>
      </c>
      <c r="BV44" s="213">
        <v>37</v>
      </c>
      <c r="BW44" s="213" t="s">
        <v>249</v>
      </c>
      <c r="BX44" s="213">
        <v>-9999</v>
      </c>
      <c r="BY44" s="213">
        <v>189</v>
      </c>
      <c r="BZ44" s="213">
        <v>428</v>
      </c>
      <c r="CA44" s="213">
        <v>188</v>
      </c>
      <c r="CB44" s="213" t="s">
        <v>710</v>
      </c>
      <c r="CC44" s="213">
        <v>0</v>
      </c>
      <c r="CD44" s="213">
        <v>40</v>
      </c>
      <c r="CE44" s="213" t="s">
        <v>738</v>
      </c>
      <c r="CF44" s="213" t="s">
        <v>734</v>
      </c>
      <c r="CG44" s="213">
        <v>4</v>
      </c>
      <c r="CH44" s="213" t="s">
        <v>798</v>
      </c>
      <c r="CI44" s="213">
        <v>21.2</v>
      </c>
      <c r="CJ44" s="213">
        <v>431</v>
      </c>
      <c r="CK44" s="213" t="s">
        <v>710</v>
      </c>
      <c r="CL44" s="213">
        <v>-9999</v>
      </c>
      <c r="CM44" s="213">
        <v>160</v>
      </c>
      <c r="CN44" s="213">
        <v>419</v>
      </c>
      <c r="CO44" s="213">
        <v>157</v>
      </c>
      <c r="CP44" s="213" t="s">
        <v>710</v>
      </c>
      <c r="CQ44" s="213">
        <v>0</v>
      </c>
      <c r="CR44" s="213">
        <v>40</v>
      </c>
      <c r="CS44" s="213" t="s">
        <v>739</v>
      </c>
      <c r="CT44" s="213" t="s">
        <v>740</v>
      </c>
      <c r="CU44" s="213">
        <v>136</v>
      </c>
      <c r="CV44" s="213">
        <v>135</v>
      </c>
      <c r="CW44" s="213">
        <v>135</v>
      </c>
      <c r="CX44" s="213" t="s">
        <v>710</v>
      </c>
      <c r="CY44" s="213" t="s">
        <v>741</v>
      </c>
      <c r="CZ44" s="213" t="s">
        <v>740</v>
      </c>
      <c r="DA44" s="213">
        <v>129</v>
      </c>
      <c r="DB44" s="213">
        <v>128</v>
      </c>
      <c r="DC44" s="213">
        <v>128</v>
      </c>
      <c r="DD44" s="213" t="s">
        <v>710</v>
      </c>
      <c r="DE44" s="213" t="s">
        <v>742</v>
      </c>
      <c r="DF44" s="213" t="s">
        <v>743</v>
      </c>
      <c r="DG44" s="213">
        <v>0</v>
      </c>
      <c r="DH44" s="213">
        <v>0</v>
      </c>
      <c r="DI44" s="213">
        <v>0</v>
      </c>
      <c r="DJ44" s="213" t="s">
        <v>249</v>
      </c>
      <c r="DK44" s="213">
        <v>69.2</v>
      </c>
      <c r="DL44" s="213">
        <v>61.6</v>
      </c>
      <c r="DM44" s="213" t="s">
        <v>744</v>
      </c>
      <c r="DN44" s="213" t="s">
        <v>743</v>
      </c>
      <c r="DO44" s="213">
        <v>0</v>
      </c>
      <c r="DP44" s="213">
        <v>0</v>
      </c>
      <c r="DQ44" s="213">
        <v>0</v>
      </c>
      <c r="DR44" s="213" t="s">
        <v>249</v>
      </c>
      <c r="DS44" s="213"/>
      <c r="DT44" s="213"/>
      <c r="DU44" s="213" t="s">
        <v>745</v>
      </c>
      <c r="DV44" s="213" t="s">
        <v>743</v>
      </c>
      <c r="DW44" s="213">
        <v>0</v>
      </c>
      <c r="DX44" s="213">
        <v>0</v>
      </c>
      <c r="DY44" s="213">
        <v>0</v>
      </c>
      <c r="DZ44" s="213" t="s">
        <v>249</v>
      </c>
      <c r="EA44" s="213"/>
      <c r="EB44" s="213"/>
      <c r="EC44" s="213" t="s">
        <v>746</v>
      </c>
      <c r="ED44" s="213" t="s">
        <v>743</v>
      </c>
      <c r="EE44" s="213">
        <v>0</v>
      </c>
      <c r="EF44" s="213">
        <v>0</v>
      </c>
      <c r="EG44" s="213">
        <v>0</v>
      </c>
      <c r="EH44" s="213" t="s">
        <v>249</v>
      </c>
      <c r="EI44" s="213"/>
      <c r="EJ44" s="213"/>
      <c r="EK44" s="213" t="s">
        <v>747</v>
      </c>
      <c r="EL44" s="213" t="s">
        <v>743</v>
      </c>
      <c r="EM44" s="213">
        <v>0</v>
      </c>
      <c r="EN44" s="213">
        <v>0</v>
      </c>
      <c r="EO44" s="213">
        <v>0</v>
      </c>
      <c r="EP44" s="213" t="s">
        <v>249</v>
      </c>
      <c r="ES44" s="446" t="s">
        <v>748</v>
      </c>
      <c r="ET44" s="446" t="s">
        <v>743</v>
      </c>
      <c r="EU44" s="446">
        <v>0</v>
      </c>
      <c r="EV44" s="446">
        <v>0</v>
      </c>
      <c r="EW44" s="446">
        <v>0</v>
      </c>
      <c r="EX44" s="446" t="s">
        <v>249</v>
      </c>
      <c r="EY44" s="446">
        <v>69.900000000000006</v>
      </c>
      <c r="EZ44" s="446">
        <v>57.2</v>
      </c>
      <c r="FA44" s="446" t="s">
        <v>749</v>
      </c>
      <c r="FB44" s="446" t="s">
        <v>743</v>
      </c>
      <c r="FC44" s="446">
        <v>0</v>
      </c>
      <c r="FD44" s="446">
        <v>0</v>
      </c>
      <c r="FE44" s="446">
        <v>0</v>
      </c>
      <c r="FF44" s="446" t="s">
        <v>249</v>
      </c>
      <c r="FI44" s="446" t="s">
        <v>750</v>
      </c>
      <c r="FJ44" s="446" t="s">
        <v>743</v>
      </c>
      <c r="FK44" s="446">
        <v>0</v>
      </c>
      <c r="FL44" s="446">
        <v>0</v>
      </c>
      <c r="FM44" s="446">
        <v>0</v>
      </c>
      <c r="FN44" s="446" t="s">
        <v>249</v>
      </c>
      <c r="FO44" s="446">
        <v>73.5</v>
      </c>
      <c r="FP44" s="446">
        <v>190</v>
      </c>
      <c r="FQ44" s="446" t="s">
        <v>751</v>
      </c>
      <c r="FR44" s="446" t="s">
        <v>743</v>
      </c>
      <c r="FS44" s="446">
        <v>0</v>
      </c>
      <c r="FT44" s="446">
        <v>0</v>
      </c>
      <c r="FU44" s="446">
        <v>0</v>
      </c>
      <c r="FV44" s="446" t="s">
        <v>249</v>
      </c>
      <c r="FY44" s="446">
        <v>17.899999999999999</v>
      </c>
      <c r="FZ44" s="446">
        <v>-7.3</v>
      </c>
      <c r="GF44" s="446" t="s">
        <v>752</v>
      </c>
    </row>
    <row r="45" spans="1:188" s="213" customFormat="1" x14ac:dyDescent="0.15">
      <c r="A45" s="213" t="s">
        <v>654</v>
      </c>
      <c r="B45" s="213">
        <v>4</v>
      </c>
      <c r="C45" s="213" t="s">
        <v>967</v>
      </c>
      <c r="D45" s="213">
        <v>614346260</v>
      </c>
      <c r="E45" s="213">
        <v>92303</v>
      </c>
      <c r="F45" s="213" t="s">
        <v>795</v>
      </c>
      <c r="G45" s="213">
        <v>839032</v>
      </c>
      <c r="H45" s="213">
        <v>210026044</v>
      </c>
      <c r="I45" s="213">
        <v>6.8</v>
      </c>
      <c r="J45" s="213" t="s">
        <v>968</v>
      </c>
      <c r="K45" s="213" t="s">
        <v>727</v>
      </c>
      <c r="L45" s="213" t="s">
        <v>797</v>
      </c>
      <c r="M45" s="213" t="s">
        <v>728</v>
      </c>
      <c r="N45" s="213" t="s">
        <v>728</v>
      </c>
      <c r="O45" s="213" t="s">
        <v>729</v>
      </c>
      <c r="P45" s="213" t="s">
        <v>249</v>
      </c>
      <c r="Q45" s="213">
        <v>24.5</v>
      </c>
      <c r="R45" s="213">
        <v>166</v>
      </c>
      <c r="S45" s="213" t="s">
        <v>249</v>
      </c>
      <c r="T45" s="213">
        <v>-9999</v>
      </c>
      <c r="U45" s="213">
        <v>225</v>
      </c>
      <c r="V45" s="213">
        <v>495</v>
      </c>
      <c r="W45" s="213">
        <v>216</v>
      </c>
      <c r="X45" s="213" t="s">
        <v>710</v>
      </c>
      <c r="Y45" s="213">
        <v>0</v>
      </c>
      <c r="Z45" s="213">
        <v>40</v>
      </c>
      <c r="AA45" s="213" t="s">
        <v>730</v>
      </c>
      <c r="AB45" s="213" t="s">
        <v>731</v>
      </c>
      <c r="AC45" s="213" t="s">
        <v>729</v>
      </c>
      <c r="AD45" s="213" t="s">
        <v>249</v>
      </c>
      <c r="AE45" s="213">
        <v>26.5</v>
      </c>
      <c r="AF45" s="213">
        <v>130</v>
      </c>
      <c r="AG45" s="213" t="s">
        <v>249</v>
      </c>
      <c r="AH45" s="213">
        <v>-9999</v>
      </c>
      <c r="AI45" s="213">
        <v>176</v>
      </c>
      <c r="AJ45" s="213">
        <v>423</v>
      </c>
      <c r="AK45" s="213">
        <v>173</v>
      </c>
      <c r="AL45" s="213" t="s">
        <v>710</v>
      </c>
      <c r="AM45" s="213">
        <v>0</v>
      </c>
      <c r="AN45" s="213">
        <v>40</v>
      </c>
      <c r="AO45" s="213" t="s">
        <v>733</v>
      </c>
      <c r="AP45" s="213" t="s">
        <v>734</v>
      </c>
      <c r="AQ45" s="213">
        <v>1</v>
      </c>
      <c r="AR45" s="213" t="s">
        <v>798</v>
      </c>
      <c r="AS45" s="213">
        <v>24</v>
      </c>
      <c r="AT45" s="213">
        <v>435</v>
      </c>
      <c r="AU45" s="213" t="s">
        <v>710</v>
      </c>
      <c r="AV45" s="213">
        <v>-9999</v>
      </c>
      <c r="AW45" s="213">
        <v>270</v>
      </c>
      <c r="AX45" s="213">
        <v>670</v>
      </c>
      <c r="AY45" s="213">
        <v>267</v>
      </c>
      <c r="AZ45" s="213" t="s">
        <v>710</v>
      </c>
      <c r="BA45" s="213">
        <v>0</v>
      </c>
      <c r="BB45" s="213">
        <v>40</v>
      </c>
      <c r="BC45" s="213" t="s">
        <v>736</v>
      </c>
      <c r="BD45" s="213" t="s">
        <v>734</v>
      </c>
      <c r="BE45" s="213">
        <v>2</v>
      </c>
      <c r="BF45" s="213" t="s">
        <v>798</v>
      </c>
      <c r="BG45" s="213">
        <v>25.1</v>
      </c>
      <c r="BH45" s="213">
        <v>182</v>
      </c>
      <c r="BI45" s="213" t="s">
        <v>710</v>
      </c>
      <c r="BJ45" s="213">
        <v>-9999</v>
      </c>
      <c r="BK45" s="213">
        <v>89</v>
      </c>
      <c r="BL45" s="213">
        <v>273</v>
      </c>
      <c r="BM45" s="213">
        <v>87</v>
      </c>
      <c r="BN45" s="213" t="s">
        <v>710</v>
      </c>
      <c r="BO45" s="213">
        <v>0</v>
      </c>
      <c r="BP45" s="213">
        <v>40</v>
      </c>
      <c r="BQ45" s="213" t="s">
        <v>737</v>
      </c>
      <c r="BR45" s="213" t="s">
        <v>734</v>
      </c>
      <c r="BS45" s="213">
        <v>3</v>
      </c>
      <c r="BT45" s="213" t="s">
        <v>799</v>
      </c>
      <c r="BU45" s="213">
        <v>0</v>
      </c>
      <c r="BV45" s="213">
        <v>38</v>
      </c>
      <c r="BW45" s="213" t="s">
        <v>249</v>
      </c>
      <c r="BX45" s="213">
        <v>-9999</v>
      </c>
      <c r="BY45" s="213">
        <v>183</v>
      </c>
      <c r="BZ45" s="213">
        <v>443</v>
      </c>
      <c r="CA45" s="213">
        <v>182</v>
      </c>
      <c r="CB45" s="213" t="s">
        <v>710</v>
      </c>
      <c r="CC45" s="213">
        <v>0</v>
      </c>
      <c r="CD45" s="213">
        <v>40</v>
      </c>
      <c r="CE45" s="213" t="s">
        <v>738</v>
      </c>
      <c r="CF45" s="213" t="s">
        <v>734</v>
      </c>
      <c r="CG45" s="213">
        <v>4</v>
      </c>
      <c r="CH45" s="213" t="s">
        <v>798</v>
      </c>
      <c r="CI45" s="213">
        <v>22.5</v>
      </c>
      <c r="CJ45" s="213">
        <v>452</v>
      </c>
      <c r="CK45" s="213" t="s">
        <v>710</v>
      </c>
      <c r="CL45" s="213">
        <v>-9999</v>
      </c>
      <c r="CM45" s="213">
        <v>94</v>
      </c>
      <c r="CN45" s="213">
        <v>250</v>
      </c>
      <c r="CO45" s="213">
        <v>92</v>
      </c>
      <c r="CP45" s="213" t="s">
        <v>710</v>
      </c>
      <c r="CQ45" s="213">
        <v>0</v>
      </c>
      <c r="CR45" s="213">
        <v>40</v>
      </c>
      <c r="CS45" s="213" t="s">
        <v>739</v>
      </c>
      <c r="CT45" s="213" t="s">
        <v>740</v>
      </c>
      <c r="CU45" s="213">
        <v>78</v>
      </c>
      <c r="CV45" s="213">
        <v>77</v>
      </c>
      <c r="CW45" s="213">
        <v>77</v>
      </c>
      <c r="CX45" s="213" t="s">
        <v>710</v>
      </c>
      <c r="CY45" s="213" t="s">
        <v>741</v>
      </c>
      <c r="CZ45" s="213" t="s">
        <v>740</v>
      </c>
      <c r="DA45" s="213">
        <v>112</v>
      </c>
      <c r="DB45" s="213">
        <v>112</v>
      </c>
      <c r="DC45" s="213">
        <v>112</v>
      </c>
      <c r="DD45" s="213" t="s">
        <v>710</v>
      </c>
      <c r="DE45" s="213" t="s">
        <v>742</v>
      </c>
      <c r="DF45" s="213" t="s">
        <v>743</v>
      </c>
      <c r="DG45" s="213">
        <v>0</v>
      </c>
      <c r="DH45" s="213">
        <v>0</v>
      </c>
      <c r="DI45" s="213">
        <v>0</v>
      </c>
      <c r="DJ45" s="213" t="s">
        <v>249</v>
      </c>
      <c r="DK45" s="213">
        <v>69.400000000000006</v>
      </c>
      <c r="DL45" s="213">
        <v>46.3</v>
      </c>
      <c r="DM45" s="213" t="s">
        <v>744</v>
      </c>
      <c r="DN45" s="213" t="s">
        <v>743</v>
      </c>
      <c r="DO45" s="213">
        <v>0</v>
      </c>
      <c r="DP45" s="213">
        <v>0</v>
      </c>
      <c r="DQ45" s="213">
        <v>0</v>
      </c>
      <c r="DR45" s="213" t="s">
        <v>249</v>
      </c>
      <c r="DU45" s="213" t="s">
        <v>745</v>
      </c>
      <c r="DV45" s="213" t="s">
        <v>743</v>
      </c>
      <c r="DW45" s="213">
        <v>0</v>
      </c>
      <c r="DX45" s="213">
        <v>0</v>
      </c>
      <c r="DY45" s="213">
        <v>0</v>
      </c>
      <c r="DZ45" s="213" t="s">
        <v>249</v>
      </c>
      <c r="EC45" s="213" t="s">
        <v>746</v>
      </c>
      <c r="ED45" s="213" t="s">
        <v>743</v>
      </c>
      <c r="EE45" s="213">
        <v>0</v>
      </c>
      <c r="EF45" s="213">
        <v>0</v>
      </c>
      <c r="EG45" s="213">
        <v>0</v>
      </c>
      <c r="EH45" s="213" t="s">
        <v>249</v>
      </c>
      <c r="EK45" s="213" t="s">
        <v>747</v>
      </c>
      <c r="EL45" s="213" t="s">
        <v>743</v>
      </c>
      <c r="EM45" s="213">
        <v>0</v>
      </c>
      <c r="EN45" s="213">
        <v>0</v>
      </c>
      <c r="EO45" s="213">
        <v>0</v>
      </c>
      <c r="EP45" s="213" t="s">
        <v>249</v>
      </c>
      <c r="ES45" s="213" t="s">
        <v>748</v>
      </c>
      <c r="ET45" s="213" t="s">
        <v>743</v>
      </c>
      <c r="EU45" s="213">
        <v>0</v>
      </c>
      <c r="EV45" s="213">
        <v>0</v>
      </c>
      <c r="EW45" s="213">
        <v>0</v>
      </c>
      <c r="EX45" s="213" t="s">
        <v>249</v>
      </c>
      <c r="EY45" s="213">
        <v>70.099999999999994</v>
      </c>
      <c r="EZ45" s="213">
        <v>35.200000000000003</v>
      </c>
      <c r="FA45" s="213" t="s">
        <v>749</v>
      </c>
      <c r="FB45" s="213" t="s">
        <v>743</v>
      </c>
      <c r="FC45" s="213">
        <v>0</v>
      </c>
      <c r="FD45" s="213">
        <v>0</v>
      </c>
      <c r="FE45" s="213">
        <v>0</v>
      </c>
      <c r="FF45" s="213" t="s">
        <v>249</v>
      </c>
      <c r="FI45" s="213" t="s">
        <v>750</v>
      </c>
      <c r="FJ45" s="213" t="s">
        <v>743</v>
      </c>
      <c r="FK45" s="213">
        <v>0</v>
      </c>
      <c r="FL45" s="213">
        <v>0</v>
      </c>
      <c r="FM45" s="213">
        <v>0</v>
      </c>
      <c r="FN45" s="213" t="s">
        <v>249</v>
      </c>
      <c r="FO45" s="213">
        <v>73.5</v>
      </c>
      <c r="FP45" s="213">
        <v>115.3</v>
      </c>
      <c r="FQ45" s="213" t="s">
        <v>751</v>
      </c>
      <c r="FR45" s="213" t="s">
        <v>743</v>
      </c>
      <c r="FS45" s="213">
        <v>0</v>
      </c>
      <c r="FT45" s="213">
        <v>0</v>
      </c>
      <c r="FU45" s="213">
        <v>0</v>
      </c>
      <c r="FV45" s="213" t="s">
        <v>249</v>
      </c>
      <c r="FY45" s="213">
        <v>19</v>
      </c>
      <c r="FZ45" s="213">
        <v>-6.8</v>
      </c>
      <c r="GF45" s="213" t="s">
        <v>752</v>
      </c>
    </row>
    <row r="46" spans="1:188" s="213" customFormat="1" x14ac:dyDescent="0.15">
      <c r="A46" s="213" t="s">
        <v>654</v>
      </c>
      <c r="B46" s="213">
        <v>4</v>
      </c>
      <c r="C46" s="213" t="s">
        <v>969</v>
      </c>
      <c r="D46" s="213">
        <v>614345727</v>
      </c>
      <c r="E46" s="213">
        <v>92303</v>
      </c>
      <c r="F46" s="213" t="s">
        <v>795</v>
      </c>
      <c r="G46" s="213">
        <v>839032</v>
      </c>
      <c r="H46" s="213">
        <v>638845</v>
      </c>
      <c r="I46" s="213">
        <v>6.8</v>
      </c>
      <c r="J46" s="213" t="s">
        <v>970</v>
      </c>
      <c r="K46" s="213" t="s">
        <v>727</v>
      </c>
      <c r="L46" s="213" t="s">
        <v>797</v>
      </c>
      <c r="M46" s="213" t="s">
        <v>728</v>
      </c>
      <c r="N46" s="213" t="s">
        <v>728</v>
      </c>
      <c r="O46" s="213" t="s">
        <v>729</v>
      </c>
      <c r="P46" s="213" t="s">
        <v>249</v>
      </c>
      <c r="Q46" s="213">
        <v>25.1</v>
      </c>
      <c r="R46" s="213">
        <v>157</v>
      </c>
      <c r="S46" s="213" t="s">
        <v>249</v>
      </c>
      <c r="T46" s="213">
        <v>-9999</v>
      </c>
      <c r="U46" s="213">
        <v>225</v>
      </c>
      <c r="V46" s="213">
        <v>488</v>
      </c>
      <c r="W46" s="213">
        <v>217</v>
      </c>
      <c r="X46" s="213" t="s">
        <v>710</v>
      </c>
      <c r="Y46" s="213">
        <v>0</v>
      </c>
      <c r="Z46" s="213">
        <v>40</v>
      </c>
      <c r="AA46" s="213" t="s">
        <v>730</v>
      </c>
      <c r="AB46" s="213" t="s">
        <v>731</v>
      </c>
      <c r="AC46" s="213" t="s">
        <v>729</v>
      </c>
      <c r="AD46" s="213" t="s">
        <v>249</v>
      </c>
      <c r="AE46" s="213">
        <v>26.1</v>
      </c>
      <c r="AF46" s="213">
        <v>127</v>
      </c>
      <c r="AG46" s="213" t="s">
        <v>249</v>
      </c>
      <c r="AH46" s="213">
        <v>-9999</v>
      </c>
      <c r="AI46" s="213">
        <v>204</v>
      </c>
      <c r="AJ46" s="213">
        <v>487</v>
      </c>
      <c r="AK46" s="213">
        <v>202</v>
      </c>
      <c r="AL46" s="213" t="s">
        <v>710</v>
      </c>
      <c r="AM46" s="213">
        <v>0</v>
      </c>
      <c r="AN46" s="213">
        <v>40</v>
      </c>
      <c r="AO46" s="213" t="s">
        <v>733</v>
      </c>
      <c r="AP46" s="213" t="s">
        <v>734</v>
      </c>
      <c r="AQ46" s="213">
        <v>1</v>
      </c>
      <c r="AR46" s="213" t="s">
        <v>798</v>
      </c>
      <c r="AS46" s="213">
        <v>23.8</v>
      </c>
      <c r="AT46" s="213">
        <v>427</v>
      </c>
      <c r="AU46" s="213" t="s">
        <v>710</v>
      </c>
      <c r="AV46" s="213">
        <v>-9999</v>
      </c>
      <c r="AW46" s="213">
        <v>278</v>
      </c>
      <c r="AX46" s="213">
        <v>694</v>
      </c>
      <c r="AY46" s="213">
        <v>275</v>
      </c>
      <c r="AZ46" s="213" t="s">
        <v>710</v>
      </c>
      <c r="BA46" s="213">
        <v>0</v>
      </c>
      <c r="BB46" s="213">
        <v>40</v>
      </c>
      <c r="BC46" s="213" t="s">
        <v>736</v>
      </c>
      <c r="BD46" s="213" t="s">
        <v>734</v>
      </c>
      <c r="BE46" s="213">
        <v>2</v>
      </c>
      <c r="BF46" s="213" t="s">
        <v>798</v>
      </c>
      <c r="BG46" s="213">
        <v>24.8</v>
      </c>
      <c r="BH46" s="213">
        <v>187</v>
      </c>
      <c r="BI46" s="213" t="s">
        <v>710</v>
      </c>
      <c r="BJ46" s="213">
        <v>-9999</v>
      </c>
      <c r="BK46" s="213">
        <v>108</v>
      </c>
      <c r="BL46" s="213">
        <v>329</v>
      </c>
      <c r="BM46" s="213">
        <v>106</v>
      </c>
      <c r="BN46" s="213" t="s">
        <v>710</v>
      </c>
      <c r="BO46" s="213">
        <v>0</v>
      </c>
      <c r="BP46" s="213">
        <v>40</v>
      </c>
      <c r="BQ46" s="213" t="s">
        <v>737</v>
      </c>
      <c r="BR46" s="213" t="s">
        <v>734</v>
      </c>
      <c r="BS46" s="213">
        <v>3</v>
      </c>
      <c r="BT46" s="213" t="s">
        <v>799</v>
      </c>
      <c r="BU46" s="213">
        <v>0</v>
      </c>
      <c r="BV46" s="213">
        <v>36</v>
      </c>
      <c r="BW46" s="213" t="s">
        <v>249</v>
      </c>
      <c r="BX46" s="213">
        <v>-9999</v>
      </c>
      <c r="BY46" s="213">
        <v>180</v>
      </c>
      <c r="BZ46" s="213">
        <v>440</v>
      </c>
      <c r="CA46" s="213">
        <v>180</v>
      </c>
      <c r="CB46" s="213" t="s">
        <v>710</v>
      </c>
      <c r="CC46" s="213">
        <v>0</v>
      </c>
      <c r="CD46" s="213">
        <v>40</v>
      </c>
      <c r="CE46" s="213" t="s">
        <v>738</v>
      </c>
      <c r="CF46" s="213" t="s">
        <v>734</v>
      </c>
      <c r="CG46" s="213">
        <v>4</v>
      </c>
      <c r="CH46" s="213" t="s">
        <v>798</v>
      </c>
      <c r="CI46" s="213">
        <v>22.4</v>
      </c>
      <c r="CJ46" s="213">
        <v>429</v>
      </c>
      <c r="CK46" s="213" t="s">
        <v>710</v>
      </c>
      <c r="CL46" s="213">
        <v>-9999</v>
      </c>
      <c r="CM46" s="213">
        <v>149</v>
      </c>
      <c r="CN46" s="213">
        <v>389</v>
      </c>
      <c r="CO46" s="213">
        <v>146</v>
      </c>
      <c r="CP46" s="213" t="s">
        <v>710</v>
      </c>
      <c r="CQ46" s="213">
        <v>0</v>
      </c>
      <c r="CR46" s="213">
        <v>40</v>
      </c>
      <c r="CS46" s="213" t="s">
        <v>739</v>
      </c>
      <c r="CT46" s="213" t="s">
        <v>740</v>
      </c>
      <c r="CU46" s="213">
        <v>111</v>
      </c>
      <c r="CV46" s="213">
        <v>111</v>
      </c>
      <c r="CW46" s="213">
        <v>110</v>
      </c>
      <c r="CX46" s="213" t="s">
        <v>710</v>
      </c>
      <c r="CY46" s="213" t="s">
        <v>741</v>
      </c>
      <c r="CZ46" s="213" t="s">
        <v>740</v>
      </c>
      <c r="DA46" s="213">
        <v>108</v>
      </c>
      <c r="DB46" s="213">
        <v>108</v>
      </c>
      <c r="DC46" s="213">
        <v>107</v>
      </c>
      <c r="DD46" s="213" t="s">
        <v>710</v>
      </c>
      <c r="DE46" s="213" t="s">
        <v>742</v>
      </c>
      <c r="DF46" s="213" t="s">
        <v>743</v>
      </c>
      <c r="DG46" s="213">
        <v>0</v>
      </c>
      <c r="DH46" s="213">
        <v>0</v>
      </c>
      <c r="DI46" s="213">
        <v>0</v>
      </c>
      <c r="DJ46" s="213" t="s">
        <v>249</v>
      </c>
      <c r="DK46" s="213">
        <v>69.400000000000006</v>
      </c>
      <c r="DL46" s="213">
        <v>53.9</v>
      </c>
      <c r="DM46" s="213" t="s">
        <v>744</v>
      </c>
      <c r="DN46" s="213" t="s">
        <v>743</v>
      </c>
      <c r="DO46" s="213">
        <v>0</v>
      </c>
      <c r="DP46" s="213">
        <v>0</v>
      </c>
      <c r="DQ46" s="213">
        <v>0</v>
      </c>
      <c r="DR46" s="213" t="s">
        <v>249</v>
      </c>
      <c r="DU46" s="213" t="s">
        <v>745</v>
      </c>
      <c r="DV46" s="213" t="s">
        <v>743</v>
      </c>
      <c r="DW46" s="213">
        <v>0</v>
      </c>
      <c r="DX46" s="213">
        <v>0</v>
      </c>
      <c r="DY46" s="213">
        <v>0</v>
      </c>
      <c r="DZ46" s="213" t="s">
        <v>249</v>
      </c>
      <c r="EC46" s="213" t="s">
        <v>746</v>
      </c>
      <c r="ED46" s="213" t="s">
        <v>743</v>
      </c>
      <c r="EE46" s="213">
        <v>0</v>
      </c>
      <c r="EF46" s="213">
        <v>0</v>
      </c>
      <c r="EG46" s="213">
        <v>0</v>
      </c>
      <c r="EH46" s="213" t="s">
        <v>249</v>
      </c>
      <c r="EK46" s="213" t="s">
        <v>747</v>
      </c>
      <c r="EL46" s="213" t="s">
        <v>743</v>
      </c>
      <c r="EM46" s="213">
        <v>0</v>
      </c>
      <c r="EN46" s="213">
        <v>0</v>
      </c>
      <c r="EO46" s="213">
        <v>0</v>
      </c>
      <c r="EP46" s="213" t="s">
        <v>249</v>
      </c>
      <c r="ES46" s="213" t="s">
        <v>748</v>
      </c>
      <c r="ET46" s="213" t="s">
        <v>743</v>
      </c>
      <c r="EU46" s="213">
        <v>0</v>
      </c>
      <c r="EV46" s="213">
        <v>0</v>
      </c>
      <c r="EW46" s="213">
        <v>0</v>
      </c>
      <c r="EX46" s="213" t="s">
        <v>249</v>
      </c>
      <c r="EY46" s="213">
        <v>70</v>
      </c>
      <c r="EZ46" s="213">
        <v>46.9</v>
      </c>
      <c r="FA46" s="213" t="s">
        <v>749</v>
      </c>
      <c r="FB46" s="213" t="s">
        <v>743</v>
      </c>
      <c r="FC46" s="213">
        <v>0</v>
      </c>
      <c r="FD46" s="213">
        <v>0</v>
      </c>
      <c r="FE46" s="213">
        <v>0</v>
      </c>
      <c r="FF46" s="213" t="s">
        <v>249</v>
      </c>
      <c r="FI46" s="213" t="s">
        <v>750</v>
      </c>
      <c r="FJ46" s="213" t="s">
        <v>743</v>
      </c>
      <c r="FK46" s="213">
        <v>0</v>
      </c>
      <c r="FL46" s="213">
        <v>0</v>
      </c>
      <c r="FM46" s="213">
        <v>0</v>
      </c>
      <c r="FN46" s="213" t="s">
        <v>249</v>
      </c>
      <c r="FO46" s="213">
        <v>73.5</v>
      </c>
      <c r="FP46" s="213">
        <v>181.4</v>
      </c>
      <c r="FQ46" s="213" t="s">
        <v>751</v>
      </c>
      <c r="FR46" s="213" t="s">
        <v>743</v>
      </c>
      <c r="FS46" s="213">
        <v>0</v>
      </c>
      <c r="FT46" s="213">
        <v>0</v>
      </c>
      <c r="FU46" s="213">
        <v>0</v>
      </c>
      <c r="FV46" s="213" t="s">
        <v>249</v>
      </c>
      <c r="FY46" s="213">
        <v>19.399999999999999</v>
      </c>
      <c r="FZ46" s="213">
        <v>-7.9</v>
      </c>
      <c r="GF46" s="213" t="s">
        <v>752</v>
      </c>
    </row>
    <row r="47" spans="1:188" s="446" customFormat="1" x14ac:dyDescent="0.15">
      <c r="A47" s="213" t="s">
        <v>654</v>
      </c>
      <c r="B47" s="213">
        <v>4</v>
      </c>
      <c r="C47" s="213" t="s">
        <v>1204</v>
      </c>
      <c r="D47" s="213">
        <v>614348455</v>
      </c>
      <c r="E47" s="213">
        <v>92303</v>
      </c>
      <c r="F47" s="213" t="s">
        <v>795</v>
      </c>
      <c r="G47" s="213">
        <v>839032</v>
      </c>
      <c r="H47" s="213">
        <v>210035802</v>
      </c>
      <c r="I47" s="213">
        <v>6.8</v>
      </c>
      <c r="J47" s="213" t="s">
        <v>971</v>
      </c>
      <c r="K47" s="213" t="s">
        <v>727</v>
      </c>
      <c r="L47" s="213" t="s">
        <v>797</v>
      </c>
      <c r="M47" s="213" t="s">
        <v>728</v>
      </c>
      <c r="N47" s="213" t="s">
        <v>728</v>
      </c>
      <c r="O47" s="213" t="s">
        <v>729</v>
      </c>
      <c r="P47" s="213" t="s">
        <v>249</v>
      </c>
      <c r="Q47" s="213">
        <v>24.4</v>
      </c>
      <c r="R47" s="213">
        <v>166</v>
      </c>
      <c r="S47" s="213" t="s">
        <v>249</v>
      </c>
      <c r="T47" s="213">
        <v>-9999</v>
      </c>
      <c r="U47" s="213">
        <v>229</v>
      </c>
      <c r="V47" s="213">
        <v>484</v>
      </c>
      <c r="W47" s="213">
        <v>221</v>
      </c>
      <c r="X47" s="213" t="s">
        <v>710</v>
      </c>
      <c r="Y47" s="213">
        <v>0</v>
      </c>
      <c r="Z47" s="213">
        <v>40</v>
      </c>
      <c r="AA47" s="213" t="s">
        <v>730</v>
      </c>
      <c r="AB47" s="213" t="s">
        <v>731</v>
      </c>
      <c r="AC47" s="213" t="s">
        <v>729</v>
      </c>
      <c r="AD47" s="213" t="s">
        <v>249</v>
      </c>
      <c r="AE47" s="213">
        <v>25.5</v>
      </c>
      <c r="AF47" s="213">
        <v>126</v>
      </c>
      <c r="AG47" s="213" t="s">
        <v>249</v>
      </c>
      <c r="AH47" s="213">
        <v>-9999</v>
      </c>
      <c r="AI47" s="213">
        <v>190</v>
      </c>
      <c r="AJ47" s="213">
        <v>449</v>
      </c>
      <c r="AK47" s="213">
        <v>188</v>
      </c>
      <c r="AL47" s="213" t="s">
        <v>710</v>
      </c>
      <c r="AM47" s="213">
        <v>0</v>
      </c>
      <c r="AN47" s="213">
        <v>40</v>
      </c>
      <c r="AO47" s="213" t="s">
        <v>733</v>
      </c>
      <c r="AP47" s="213" t="s">
        <v>734</v>
      </c>
      <c r="AQ47" s="213">
        <v>1</v>
      </c>
      <c r="AR47" s="213" t="s">
        <v>798</v>
      </c>
      <c r="AS47" s="213">
        <v>23.1</v>
      </c>
      <c r="AT47" s="213">
        <v>444</v>
      </c>
      <c r="AU47" s="213" t="s">
        <v>710</v>
      </c>
      <c r="AV47" s="213">
        <v>-9999</v>
      </c>
      <c r="AW47" s="213">
        <v>241</v>
      </c>
      <c r="AX47" s="213">
        <v>588</v>
      </c>
      <c r="AY47" s="213">
        <v>238</v>
      </c>
      <c r="AZ47" s="213" t="s">
        <v>710</v>
      </c>
      <c r="BA47" s="213">
        <v>0</v>
      </c>
      <c r="BB47" s="213">
        <v>40</v>
      </c>
      <c r="BC47" s="213" t="s">
        <v>736</v>
      </c>
      <c r="BD47" s="213" t="s">
        <v>734</v>
      </c>
      <c r="BE47" s="213">
        <v>2</v>
      </c>
      <c r="BF47" s="213" t="s">
        <v>798</v>
      </c>
      <c r="BG47" s="213">
        <v>24.2</v>
      </c>
      <c r="BH47" s="213">
        <v>190</v>
      </c>
      <c r="BI47" s="213" t="s">
        <v>710</v>
      </c>
      <c r="BJ47" s="213">
        <v>-9999</v>
      </c>
      <c r="BK47" s="213">
        <v>106</v>
      </c>
      <c r="BL47" s="213">
        <v>333</v>
      </c>
      <c r="BM47" s="213">
        <v>104</v>
      </c>
      <c r="BN47" s="213" t="s">
        <v>710</v>
      </c>
      <c r="BO47" s="213">
        <v>0</v>
      </c>
      <c r="BP47" s="213">
        <v>40</v>
      </c>
      <c r="BQ47" s="213" t="s">
        <v>737</v>
      </c>
      <c r="BR47" s="213" t="s">
        <v>734</v>
      </c>
      <c r="BS47" s="213">
        <v>3</v>
      </c>
      <c r="BT47" s="213" t="s">
        <v>798</v>
      </c>
      <c r="BU47" s="213">
        <v>35</v>
      </c>
      <c r="BV47" s="213">
        <v>47</v>
      </c>
      <c r="BW47" s="213" t="s">
        <v>710</v>
      </c>
      <c r="BX47" s="213">
        <v>-9999</v>
      </c>
      <c r="BY47" s="213">
        <v>168</v>
      </c>
      <c r="BZ47" s="213">
        <v>407</v>
      </c>
      <c r="CA47" s="213">
        <v>168</v>
      </c>
      <c r="CB47" s="213" t="s">
        <v>710</v>
      </c>
      <c r="CC47" s="213">
        <v>0</v>
      </c>
      <c r="CD47" s="213">
        <v>40</v>
      </c>
      <c r="CE47" s="213" t="s">
        <v>738</v>
      </c>
      <c r="CF47" s="213" t="s">
        <v>734</v>
      </c>
      <c r="CG47" s="213">
        <v>4</v>
      </c>
      <c r="CH47" s="213" t="s">
        <v>798</v>
      </c>
      <c r="CI47" s="213">
        <v>21.9</v>
      </c>
      <c r="CJ47" s="213">
        <v>435</v>
      </c>
      <c r="CK47" s="213" t="s">
        <v>710</v>
      </c>
      <c r="CL47" s="213">
        <v>-9999</v>
      </c>
      <c r="CM47" s="213">
        <v>137</v>
      </c>
      <c r="CN47" s="213">
        <v>358</v>
      </c>
      <c r="CO47" s="213">
        <v>135</v>
      </c>
      <c r="CP47" s="213" t="s">
        <v>710</v>
      </c>
      <c r="CQ47" s="213">
        <v>0</v>
      </c>
      <c r="CR47" s="213">
        <v>40</v>
      </c>
      <c r="CS47" s="213" t="s">
        <v>739</v>
      </c>
      <c r="CT47" s="213" t="s">
        <v>740</v>
      </c>
      <c r="CU47" s="213">
        <v>110</v>
      </c>
      <c r="CV47" s="213">
        <v>110</v>
      </c>
      <c r="CW47" s="213">
        <v>110</v>
      </c>
      <c r="CX47" s="213" t="s">
        <v>710</v>
      </c>
      <c r="CY47" s="213" t="s">
        <v>741</v>
      </c>
      <c r="CZ47" s="213" t="s">
        <v>740</v>
      </c>
      <c r="DA47" s="213">
        <v>109</v>
      </c>
      <c r="DB47" s="213">
        <v>108</v>
      </c>
      <c r="DC47" s="213">
        <v>108</v>
      </c>
      <c r="DD47" s="213" t="s">
        <v>710</v>
      </c>
      <c r="DE47" s="213" t="s">
        <v>742</v>
      </c>
      <c r="DF47" s="213" t="s">
        <v>743</v>
      </c>
      <c r="DG47" s="213">
        <v>0</v>
      </c>
      <c r="DH47" s="213">
        <v>0</v>
      </c>
      <c r="DI47" s="213">
        <v>0</v>
      </c>
      <c r="DJ47" s="213" t="s">
        <v>249</v>
      </c>
      <c r="DK47" s="213">
        <v>69.3</v>
      </c>
      <c r="DL47" s="213">
        <v>49.7</v>
      </c>
      <c r="DM47" s="213" t="s">
        <v>744</v>
      </c>
      <c r="DN47" s="213" t="s">
        <v>743</v>
      </c>
      <c r="DO47" s="213">
        <v>0</v>
      </c>
      <c r="DP47" s="213">
        <v>0</v>
      </c>
      <c r="DQ47" s="213">
        <v>0</v>
      </c>
      <c r="DR47" s="213" t="s">
        <v>249</v>
      </c>
      <c r="DS47" s="213"/>
      <c r="DT47" s="213"/>
      <c r="DU47" s="213" t="s">
        <v>745</v>
      </c>
      <c r="DV47" s="213" t="s">
        <v>743</v>
      </c>
      <c r="DW47" s="213">
        <v>0</v>
      </c>
      <c r="DX47" s="213">
        <v>0</v>
      </c>
      <c r="DY47" s="213">
        <v>0</v>
      </c>
      <c r="DZ47" s="213" t="s">
        <v>249</v>
      </c>
      <c r="EA47" s="213"/>
      <c r="EB47" s="213"/>
      <c r="EC47" s="213" t="s">
        <v>746</v>
      </c>
      <c r="ED47" s="213" t="s">
        <v>743</v>
      </c>
      <c r="EE47" s="213">
        <v>0</v>
      </c>
      <c r="EF47" s="213">
        <v>0</v>
      </c>
      <c r="EG47" s="213">
        <v>0</v>
      </c>
      <c r="EH47" s="213" t="s">
        <v>249</v>
      </c>
      <c r="EI47" s="213"/>
      <c r="EJ47" s="213"/>
      <c r="EK47" s="213" t="s">
        <v>747</v>
      </c>
      <c r="EL47" s="213" t="s">
        <v>743</v>
      </c>
      <c r="EM47" s="213">
        <v>0</v>
      </c>
      <c r="EN47" s="213">
        <v>0</v>
      </c>
      <c r="EO47" s="213">
        <v>0</v>
      </c>
      <c r="EP47" s="213" t="s">
        <v>249</v>
      </c>
      <c r="ES47" s="446" t="s">
        <v>748</v>
      </c>
      <c r="ET47" s="446" t="s">
        <v>743</v>
      </c>
      <c r="EU47" s="446">
        <v>0</v>
      </c>
      <c r="EV47" s="446">
        <v>0</v>
      </c>
      <c r="EW47" s="446">
        <v>0</v>
      </c>
      <c r="EX47" s="446" t="s">
        <v>249</v>
      </c>
      <c r="EY47" s="446">
        <v>70</v>
      </c>
      <c r="EZ47" s="446">
        <v>49.5</v>
      </c>
      <c r="FA47" s="446" t="s">
        <v>749</v>
      </c>
      <c r="FB47" s="446" t="s">
        <v>743</v>
      </c>
      <c r="FC47" s="446">
        <v>0</v>
      </c>
      <c r="FD47" s="446">
        <v>0</v>
      </c>
      <c r="FE47" s="446">
        <v>0</v>
      </c>
      <c r="FF47" s="446" t="s">
        <v>249</v>
      </c>
      <c r="FI47" s="446" t="s">
        <v>750</v>
      </c>
      <c r="FJ47" s="446" t="s">
        <v>743</v>
      </c>
      <c r="FK47" s="446">
        <v>0</v>
      </c>
      <c r="FL47" s="446">
        <v>0</v>
      </c>
      <c r="FM47" s="446">
        <v>0</v>
      </c>
      <c r="FN47" s="446" t="s">
        <v>249</v>
      </c>
      <c r="FO47" s="446">
        <v>73.5</v>
      </c>
      <c r="FP47" s="446">
        <v>158.9</v>
      </c>
      <c r="FQ47" s="446" t="s">
        <v>751</v>
      </c>
      <c r="FR47" s="446" t="s">
        <v>743</v>
      </c>
      <c r="FS47" s="446">
        <v>0</v>
      </c>
      <c r="FT47" s="446">
        <v>0</v>
      </c>
      <c r="FU47" s="446">
        <v>0</v>
      </c>
      <c r="FV47" s="446" t="s">
        <v>249</v>
      </c>
      <c r="FY47" s="446">
        <v>28.4</v>
      </c>
      <c r="FZ47" s="446">
        <v>-19</v>
      </c>
      <c r="GF47" s="446" t="s">
        <v>752</v>
      </c>
    </row>
    <row r="48" spans="1:188" s="213" customFormat="1" x14ac:dyDescent="0.15">
      <c r="A48" s="213" t="s">
        <v>654</v>
      </c>
      <c r="B48" s="213">
        <v>4</v>
      </c>
      <c r="C48" s="213" t="s">
        <v>972</v>
      </c>
      <c r="D48" s="213">
        <v>614347939</v>
      </c>
      <c r="E48" s="213">
        <v>92303</v>
      </c>
      <c r="F48" s="213" t="s">
        <v>795</v>
      </c>
      <c r="G48" s="213">
        <v>839032</v>
      </c>
      <c r="H48" s="213">
        <v>880236</v>
      </c>
      <c r="I48" s="213">
        <v>6.8</v>
      </c>
      <c r="J48" s="213" t="s">
        <v>973</v>
      </c>
      <c r="K48" s="213" t="s">
        <v>727</v>
      </c>
      <c r="L48" s="213" t="s">
        <v>797</v>
      </c>
      <c r="M48" s="213" t="s">
        <v>728</v>
      </c>
      <c r="N48" s="213" t="s">
        <v>728</v>
      </c>
      <c r="O48" s="213" t="s">
        <v>729</v>
      </c>
      <c r="P48" s="213" t="s">
        <v>249</v>
      </c>
      <c r="Q48" s="213">
        <v>23.7</v>
      </c>
      <c r="R48" s="213">
        <v>162</v>
      </c>
      <c r="S48" s="213" t="s">
        <v>249</v>
      </c>
      <c r="T48" s="213">
        <v>-9999</v>
      </c>
      <c r="U48" s="213">
        <v>188</v>
      </c>
      <c r="V48" s="213">
        <v>411</v>
      </c>
      <c r="W48" s="213">
        <v>180</v>
      </c>
      <c r="X48" s="213" t="s">
        <v>710</v>
      </c>
      <c r="Y48" s="213">
        <v>0</v>
      </c>
      <c r="Z48" s="213">
        <v>40</v>
      </c>
      <c r="AA48" s="213" t="s">
        <v>730</v>
      </c>
      <c r="AB48" s="213" t="s">
        <v>731</v>
      </c>
      <c r="AC48" s="213" t="s">
        <v>729</v>
      </c>
      <c r="AD48" s="213" t="s">
        <v>249</v>
      </c>
      <c r="AE48" s="213">
        <v>26.1</v>
      </c>
      <c r="AF48" s="213">
        <v>127</v>
      </c>
      <c r="AG48" s="213" t="s">
        <v>249</v>
      </c>
      <c r="AH48" s="213">
        <v>-9999</v>
      </c>
      <c r="AI48" s="213">
        <v>190</v>
      </c>
      <c r="AJ48" s="213">
        <v>448</v>
      </c>
      <c r="AK48" s="213">
        <v>186</v>
      </c>
      <c r="AL48" s="213" t="s">
        <v>710</v>
      </c>
      <c r="AM48" s="213">
        <v>0</v>
      </c>
      <c r="AN48" s="213">
        <v>40</v>
      </c>
      <c r="AO48" s="213" t="s">
        <v>733</v>
      </c>
      <c r="AP48" s="213" t="s">
        <v>734</v>
      </c>
      <c r="AQ48" s="213">
        <v>1</v>
      </c>
      <c r="AR48" s="213" t="s">
        <v>798</v>
      </c>
      <c r="AS48" s="213">
        <v>23.9</v>
      </c>
      <c r="AT48" s="213">
        <v>424</v>
      </c>
      <c r="AU48" s="213" t="s">
        <v>710</v>
      </c>
      <c r="AV48" s="213">
        <v>-9999</v>
      </c>
      <c r="AW48" s="213">
        <v>239</v>
      </c>
      <c r="AX48" s="213">
        <v>593</v>
      </c>
      <c r="AY48" s="213">
        <v>235</v>
      </c>
      <c r="AZ48" s="213" t="s">
        <v>710</v>
      </c>
      <c r="BA48" s="213">
        <v>0</v>
      </c>
      <c r="BB48" s="213">
        <v>40</v>
      </c>
      <c r="BC48" s="213" t="s">
        <v>736</v>
      </c>
      <c r="BD48" s="213" t="s">
        <v>734</v>
      </c>
      <c r="BE48" s="213">
        <v>2</v>
      </c>
      <c r="BF48" s="213" t="s">
        <v>798</v>
      </c>
      <c r="BG48" s="213">
        <v>24.9</v>
      </c>
      <c r="BH48" s="213">
        <v>184</v>
      </c>
      <c r="BI48" s="213" t="s">
        <v>710</v>
      </c>
      <c r="BJ48" s="213">
        <v>-9999</v>
      </c>
      <c r="BK48" s="213">
        <v>109</v>
      </c>
      <c r="BL48" s="213">
        <v>331</v>
      </c>
      <c r="BM48" s="213">
        <v>107</v>
      </c>
      <c r="BN48" s="213" t="s">
        <v>710</v>
      </c>
      <c r="BO48" s="213">
        <v>0</v>
      </c>
      <c r="BP48" s="213">
        <v>40</v>
      </c>
      <c r="BQ48" s="213" t="s">
        <v>737</v>
      </c>
      <c r="BR48" s="213" t="s">
        <v>734</v>
      </c>
      <c r="BS48" s="213">
        <v>3</v>
      </c>
      <c r="BT48" s="213" t="s">
        <v>799</v>
      </c>
      <c r="BU48" s="213">
        <v>0</v>
      </c>
      <c r="BV48" s="213">
        <v>30</v>
      </c>
      <c r="BW48" s="213" t="s">
        <v>249</v>
      </c>
      <c r="BX48" s="213">
        <v>-9999</v>
      </c>
      <c r="BY48" s="213">
        <v>160</v>
      </c>
      <c r="BZ48" s="213">
        <v>382</v>
      </c>
      <c r="CA48" s="213">
        <v>159</v>
      </c>
      <c r="CB48" s="213" t="s">
        <v>710</v>
      </c>
      <c r="CC48" s="213">
        <v>0</v>
      </c>
      <c r="CD48" s="213">
        <v>40</v>
      </c>
      <c r="CE48" s="213" t="s">
        <v>738</v>
      </c>
      <c r="CF48" s="213" t="s">
        <v>734</v>
      </c>
      <c r="CG48" s="213">
        <v>4</v>
      </c>
      <c r="CH48" s="213" t="s">
        <v>798</v>
      </c>
      <c r="CI48" s="213">
        <v>22.7</v>
      </c>
      <c r="CJ48" s="213">
        <v>396</v>
      </c>
      <c r="CK48" s="213" t="s">
        <v>710</v>
      </c>
      <c r="CL48" s="213">
        <v>-9999</v>
      </c>
      <c r="CM48" s="213">
        <v>139</v>
      </c>
      <c r="CN48" s="213">
        <v>361</v>
      </c>
      <c r="CO48" s="213">
        <v>136</v>
      </c>
      <c r="CP48" s="213" t="s">
        <v>710</v>
      </c>
      <c r="CQ48" s="213">
        <v>0</v>
      </c>
      <c r="CR48" s="213">
        <v>40</v>
      </c>
      <c r="CS48" s="213" t="s">
        <v>739</v>
      </c>
      <c r="CT48" s="213" t="s">
        <v>740</v>
      </c>
      <c r="CU48" s="213">
        <v>116</v>
      </c>
      <c r="CV48" s="213">
        <v>116</v>
      </c>
      <c r="CW48" s="213">
        <v>115</v>
      </c>
      <c r="CX48" s="213" t="s">
        <v>710</v>
      </c>
      <c r="CY48" s="213" t="s">
        <v>741</v>
      </c>
      <c r="CZ48" s="213" t="s">
        <v>740</v>
      </c>
      <c r="DA48" s="213">
        <v>109</v>
      </c>
      <c r="DB48" s="213">
        <v>108</v>
      </c>
      <c r="DC48" s="213">
        <v>108</v>
      </c>
      <c r="DD48" s="213" t="s">
        <v>710</v>
      </c>
      <c r="DE48" s="213" t="s">
        <v>742</v>
      </c>
      <c r="DF48" s="213" t="s">
        <v>743</v>
      </c>
      <c r="DG48" s="213">
        <v>0</v>
      </c>
      <c r="DH48" s="213">
        <v>0</v>
      </c>
      <c r="DI48" s="213">
        <v>0</v>
      </c>
      <c r="DJ48" s="213" t="s">
        <v>249</v>
      </c>
      <c r="DK48" s="213">
        <v>69.400000000000006</v>
      </c>
      <c r="DL48" s="213">
        <v>41</v>
      </c>
      <c r="DM48" s="213" t="s">
        <v>744</v>
      </c>
      <c r="DN48" s="213" t="s">
        <v>743</v>
      </c>
      <c r="DO48" s="213">
        <v>0</v>
      </c>
      <c r="DP48" s="213">
        <v>0</v>
      </c>
      <c r="DQ48" s="213">
        <v>0</v>
      </c>
      <c r="DR48" s="213" t="s">
        <v>249</v>
      </c>
      <c r="DU48" s="213" t="s">
        <v>745</v>
      </c>
      <c r="DV48" s="213" t="s">
        <v>743</v>
      </c>
      <c r="DW48" s="213">
        <v>0</v>
      </c>
      <c r="DX48" s="213">
        <v>0</v>
      </c>
      <c r="DY48" s="213">
        <v>0</v>
      </c>
      <c r="DZ48" s="213" t="s">
        <v>249</v>
      </c>
      <c r="EC48" s="213" t="s">
        <v>746</v>
      </c>
      <c r="ED48" s="213" t="s">
        <v>743</v>
      </c>
      <c r="EE48" s="213">
        <v>0</v>
      </c>
      <c r="EF48" s="213">
        <v>0</v>
      </c>
      <c r="EG48" s="213">
        <v>0</v>
      </c>
      <c r="EH48" s="213" t="s">
        <v>249</v>
      </c>
      <c r="EK48" s="213" t="s">
        <v>747</v>
      </c>
      <c r="EL48" s="213" t="s">
        <v>743</v>
      </c>
      <c r="EM48" s="213">
        <v>0</v>
      </c>
      <c r="EN48" s="213">
        <v>0</v>
      </c>
      <c r="EO48" s="213">
        <v>0</v>
      </c>
      <c r="EP48" s="213" t="s">
        <v>249</v>
      </c>
      <c r="ES48" s="213" t="s">
        <v>748</v>
      </c>
      <c r="ET48" s="213" t="s">
        <v>743</v>
      </c>
      <c r="EU48" s="213">
        <v>0</v>
      </c>
      <c r="EV48" s="213">
        <v>0</v>
      </c>
      <c r="EW48" s="213">
        <v>0</v>
      </c>
      <c r="EX48" s="213" t="s">
        <v>249</v>
      </c>
      <c r="EY48" s="213">
        <v>70</v>
      </c>
      <c r="EZ48" s="213">
        <v>33.6</v>
      </c>
      <c r="FA48" s="213" t="s">
        <v>749</v>
      </c>
      <c r="FB48" s="213" t="s">
        <v>743</v>
      </c>
      <c r="FC48" s="213">
        <v>0</v>
      </c>
      <c r="FD48" s="213">
        <v>0</v>
      </c>
      <c r="FE48" s="213">
        <v>0</v>
      </c>
      <c r="FF48" s="213" t="s">
        <v>249</v>
      </c>
      <c r="FI48" s="213" t="s">
        <v>750</v>
      </c>
      <c r="FJ48" s="213" t="s">
        <v>743</v>
      </c>
      <c r="FK48" s="213">
        <v>0</v>
      </c>
      <c r="FL48" s="213">
        <v>0</v>
      </c>
      <c r="FM48" s="213">
        <v>0</v>
      </c>
      <c r="FN48" s="213" t="s">
        <v>249</v>
      </c>
      <c r="FO48" s="213">
        <v>73.599999999999994</v>
      </c>
      <c r="FP48" s="213">
        <v>137.1</v>
      </c>
      <c r="FQ48" s="213" t="s">
        <v>751</v>
      </c>
      <c r="FR48" s="213" t="s">
        <v>743</v>
      </c>
      <c r="FS48" s="213">
        <v>0</v>
      </c>
      <c r="FT48" s="213">
        <v>0</v>
      </c>
      <c r="FU48" s="213">
        <v>0</v>
      </c>
      <c r="FV48" s="213" t="s">
        <v>249</v>
      </c>
      <c r="FY48" s="213">
        <v>26.7</v>
      </c>
      <c r="FZ48" s="213">
        <v>-17.100000000000001</v>
      </c>
      <c r="GF48" s="213" t="s">
        <v>752</v>
      </c>
    </row>
    <row r="49" spans="1:188" s="213" customFormat="1" x14ac:dyDescent="0.15">
      <c r="A49" s="213" t="s">
        <v>654</v>
      </c>
      <c r="B49" s="213">
        <v>4</v>
      </c>
      <c r="C49" s="213" t="s">
        <v>974</v>
      </c>
      <c r="D49" s="213">
        <v>614346409</v>
      </c>
      <c r="E49" s="213">
        <v>92303</v>
      </c>
      <c r="F49" s="213" t="s">
        <v>795</v>
      </c>
      <c r="G49" s="213">
        <v>839032</v>
      </c>
      <c r="H49" s="213">
        <v>210016126</v>
      </c>
      <c r="I49" s="213">
        <v>6.8</v>
      </c>
      <c r="J49" s="213" t="s">
        <v>975</v>
      </c>
      <c r="K49" s="213" t="s">
        <v>727</v>
      </c>
      <c r="L49" s="213" t="s">
        <v>797</v>
      </c>
      <c r="M49" s="213" t="s">
        <v>728</v>
      </c>
      <c r="N49" s="213" t="s">
        <v>728</v>
      </c>
      <c r="O49" s="213" t="s">
        <v>729</v>
      </c>
      <c r="P49" s="213" t="s">
        <v>249</v>
      </c>
      <c r="Q49" s="213">
        <v>24.5</v>
      </c>
      <c r="R49" s="213">
        <v>159</v>
      </c>
      <c r="S49" s="213" t="s">
        <v>249</v>
      </c>
      <c r="T49" s="213">
        <v>-9999</v>
      </c>
      <c r="U49" s="213">
        <v>240</v>
      </c>
      <c r="V49" s="213">
        <v>513</v>
      </c>
      <c r="W49" s="213">
        <v>237</v>
      </c>
      <c r="X49" s="213" t="s">
        <v>710</v>
      </c>
      <c r="Y49" s="213">
        <v>0</v>
      </c>
      <c r="Z49" s="213">
        <v>40</v>
      </c>
      <c r="AA49" s="213" t="s">
        <v>730</v>
      </c>
      <c r="AB49" s="213" t="s">
        <v>731</v>
      </c>
      <c r="AC49" s="213" t="s">
        <v>729</v>
      </c>
      <c r="AD49" s="213" t="s">
        <v>249</v>
      </c>
      <c r="AE49" s="213">
        <v>25.8</v>
      </c>
      <c r="AF49" s="213">
        <v>131</v>
      </c>
      <c r="AG49" s="213" t="s">
        <v>249</v>
      </c>
      <c r="AH49" s="213">
        <v>-9999</v>
      </c>
      <c r="AI49" s="213">
        <v>205</v>
      </c>
      <c r="AJ49" s="213">
        <v>485</v>
      </c>
      <c r="AK49" s="213">
        <v>203</v>
      </c>
      <c r="AL49" s="213" t="s">
        <v>710</v>
      </c>
      <c r="AM49" s="213">
        <v>0</v>
      </c>
      <c r="AN49" s="213">
        <v>40</v>
      </c>
      <c r="AO49" s="213" t="s">
        <v>733</v>
      </c>
      <c r="AP49" s="213" t="s">
        <v>734</v>
      </c>
      <c r="AQ49" s="213">
        <v>1</v>
      </c>
      <c r="AR49" s="213" t="s">
        <v>798</v>
      </c>
      <c r="AS49" s="213">
        <v>23.3</v>
      </c>
      <c r="AT49" s="213">
        <v>462</v>
      </c>
      <c r="AU49" s="213" t="s">
        <v>710</v>
      </c>
      <c r="AV49" s="213">
        <v>-9999</v>
      </c>
      <c r="AW49" s="213">
        <v>291</v>
      </c>
      <c r="AX49" s="213">
        <v>727</v>
      </c>
      <c r="AY49" s="213">
        <v>291</v>
      </c>
      <c r="AZ49" s="213" t="s">
        <v>710</v>
      </c>
      <c r="BA49" s="213">
        <v>0</v>
      </c>
      <c r="BB49" s="213">
        <v>40</v>
      </c>
      <c r="BC49" s="213" t="s">
        <v>736</v>
      </c>
      <c r="BD49" s="213" t="s">
        <v>734</v>
      </c>
      <c r="BE49" s="213">
        <v>2</v>
      </c>
      <c r="BF49" s="213" t="s">
        <v>798</v>
      </c>
      <c r="BG49" s="213">
        <v>24.3</v>
      </c>
      <c r="BH49" s="213">
        <v>198</v>
      </c>
      <c r="BI49" s="213" t="s">
        <v>710</v>
      </c>
      <c r="BJ49" s="213">
        <v>-9999</v>
      </c>
      <c r="BK49" s="213">
        <v>113</v>
      </c>
      <c r="BL49" s="213">
        <v>341</v>
      </c>
      <c r="BM49" s="213">
        <v>112</v>
      </c>
      <c r="BN49" s="213" t="s">
        <v>710</v>
      </c>
      <c r="BO49" s="213">
        <v>0</v>
      </c>
      <c r="BP49" s="213">
        <v>40</v>
      </c>
      <c r="BQ49" s="213" t="s">
        <v>737</v>
      </c>
      <c r="BR49" s="213" t="s">
        <v>734</v>
      </c>
      <c r="BS49" s="213">
        <v>3</v>
      </c>
      <c r="BT49" s="213" t="s">
        <v>799</v>
      </c>
      <c r="BU49" s="213">
        <v>0</v>
      </c>
      <c r="BV49" s="213">
        <v>36</v>
      </c>
      <c r="BW49" s="213" t="s">
        <v>249</v>
      </c>
      <c r="BX49" s="213">
        <v>-9999</v>
      </c>
      <c r="BY49" s="213">
        <v>181</v>
      </c>
      <c r="BZ49" s="213">
        <v>429</v>
      </c>
      <c r="CA49" s="213">
        <v>180</v>
      </c>
      <c r="CB49" s="213" t="s">
        <v>710</v>
      </c>
      <c r="CC49" s="213">
        <v>0</v>
      </c>
      <c r="CD49" s="213">
        <v>40</v>
      </c>
      <c r="CE49" s="213" t="s">
        <v>738</v>
      </c>
      <c r="CF49" s="213" t="s">
        <v>734</v>
      </c>
      <c r="CG49" s="213">
        <v>4</v>
      </c>
      <c r="CH49" s="213" t="s">
        <v>798</v>
      </c>
      <c r="CI49" s="213">
        <v>21.9</v>
      </c>
      <c r="CJ49" s="213">
        <v>451</v>
      </c>
      <c r="CK49" s="213" t="s">
        <v>710</v>
      </c>
      <c r="CL49" s="213">
        <v>-9999</v>
      </c>
      <c r="CM49" s="213">
        <v>148</v>
      </c>
      <c r="CN49" s="213">
        <v>384</v>
      </c>
      <c r="CO49" s="213">
        <v>146</v>
      </c>
      <c r="CP49" s="213" t="s">
        <v>710</v>
      </c>
      <c r="CQ49" s="213">
        <v>0</v>
      </c>
      <c r="CR49" s="213">
        <v>40</v>
      </c>
      <c r="CS49" s="213" t="s">
        <v>739</v>
      </c>
      <c r="CT49" s="213" t="s">
        <v>740</v>
      </c>
      <c r="CU49" s="213">
        <v>119</v>
      </c>
      <c r="CV49" s="213">
        <v>119</v>
      </c>
      <c r="CW49" s="213">
        <v>119</v>
      </c>
      <c r="CX49" s="213" t="s">
        <v>710</v>
      </c>
      <c r="CY49" s="213" t="s">
        <v>741</v>
      </c>
      <c r="CZ49" s="213" t="s">
        <v>740</v>
      </c>
      <c r="DA49" s="213">
        <v>111</v>
      </c>
      <c r="DB49" s="213">
        <v>111</v>
      </c>
      <c r="DC49" s="213">
        <v>111</v>
      </c>
      <c r="DD49" s="213" t="s">
        <v>710</v>
      </c>
      <c r="DE49" s="213" t="s">
        <v>742</v>
      </c>
      <c r="DF49" s="213" t="s">
        <v>743</v>
      </c>
      <c r="DG49" s="213">
        <v>0</v>
      </c>
      <c r="DH49" s="213">
        <v>0</v>
      </c>
      <c r="DI49" s="213">
        <v>0</v>
      </c>
      <c r="DJ49" s="213" t="s">
        <v>249</v>
      </c>
      <c r="DK49" s="213">
        <v>69.5</v>
      </c>
      <c r="DL49" s="213">
        <v>59.4</v>
      </c>
      <c r="DM49" s="213" t="s">
        <v>744</v>
      </c>
      <c r="DN49" s="213" t="s">
        <v>743</v>
      </c>
      <c r="DO49" s="213">
        <v>0</v>
      </c>
      <c r="DP49" s="213">
        <v>0</v>
      </c>
      <c r="DQ49" s="213">
        <v>0</v>
      </c>
      <c r="DR49" s="213" t="s">
        <v>249</v>
      </c>
      <c r="DU49" s="213" t="s">
        <v>745</v>
      </c>
      <c r="DV49" s="213" t="s">
        <v>743</v>
      </c>
      <c r="DW49" s="213">
        <v>0</v>
      </c>
      <c r="DX49" s="213">
        <v>0</v>
      </c>
      <c r="DY49" s="213">
        <v>0</v>
      </c>
      <c r="DZ49" s="213" t="s">
        <v>249</v>
      </c>
      <c r="EC49" s="213" t="s">
        <v>746</v>
      </c>
      <c r="ED49" s="213" t="s">
        <v>743</v>
      </c>
      <c r="EE49" s="213">
        <v>0</v>
      </c>
      <c r="EF49" s="213">
        <v>0</v>
      </c>
      <c r="EG49" s="213">
        <v>0</v>
      </c>
      <c r="EH49" s="213" t="s">
        <v>249</v>
      </c>
      <c r="EK49" s="213" t="s">
        <v>747</v>
      </c>
      <c r="EL49" s="213" t="s">
        <v>743</v>
      </c>
      <c r="EM49" s="213">
        <v>0</v>
      </c>
      <c r="EN49" s="213">
        <v>0</v>
      </c>
      <c r="EO49" s="213">
        <v>0</v>
      </c>
      <c r="EP49" s="213" t="s">
        <v>249</v>
      </c>
      <c r="ES49" s="213" t="s">
        <v>748</v>
      </c>
      <c r="ET49" s="213" t="s">
        <v>743</v>
      </c>
      <c r="EU49" s="213">
        <v>0</v>
      </c>
      <c r="EV49" s="213">
        <v>0</v>
      </c>
      <c r="EW49" s="213">
        <v>0</v>
      </c>
      <c r="EX49" s="213" t="s">
        <v>249</v>
      </c>
      <c r="EY49" s="213">
        <v>70.099999999999994</v>
      </c>
      <c r="EZ49" s="213">
        <v>48.8</v>
      </c>
      <c r="FA49" s="213" t="s">
        <v>749</v>
      </c>
      <c r="FB49" s="213" t="s">
        <v>743</v>
      </c>
      <c r="FC49" s="213">
        <v>0</v>
      </c>
      <c r="FD49" s="213">
        <v>0</v>
      </c>
      <c r="FE49" s="213">
        <v>0</v>
      </c>
      <c r="FF49" s="213" t="s">
        <v>249</v>
      </c>
      <c r="FI49" s="213" t="s">
        <v>750</v>
      </c>
      <c r="FJ49" s="213" t="s">
        <v>743</v>
      </c>
      <c r="FK49" s="213">
        <v>0</v>
      </c>
      <c r="FL49" s="213">
        <v>0</v>
      </c>
      <c r="FM49" s="213">
        <v>0</v>
      </c>
      <c r="FN49" s="213" t="s">
        <v>249</v>
      </c>
      <c r="FO49" s="213">
        <v>73.599999999999994</v>
      </c>
      <c r="FP49" s="213">
        <v>176.1</v>
      </c>
      <c r="FQ49" s="213" t="s">
        <v>751</v>
      </c>
      <c r="FR49" s="213" t="s">
        <v>743</v>
      </c>
      <c r="FS49" s="213">
        <v>0</v>
      </c>
      <c r="FT49" s="213">
        <v>0</v>
      </c>
      <c r="FU49" s="213">
        <v>0</v>
      </c>
      <c r="FV49" s="213" t="s">
        <v>249</v>
      </c>
      <c r="FY49" s="213">
        <v>17.399999999999999</v>
      </c>
      <c r="FZ49" s="213">
        <v>-7.1</v>
      </c>
      <c r="GF49" s="213" t="s">
        <v>752</v>
      </c>
    </row>
    <row r="50" spans="1:188" s="213" customFormat="1" x14ac:dyDescent="0.15">
      <c r="A50" s="213" t="s">
        <v>654</v>
      </c>
      <c r="B50" s="213">
        <v>4</v>
      </c>
      <c r="C50" s="213" t="s">
        <v>1019</v>
      </c>
      <c r="D50" s="213">
        <v>614350058</v>
      </c>
      <c r="E50" s="213">
        <v>92303</v>
      </c>
      <c r="F50" s="213" t="s">
        <v>795</v>
      </c>
      <c r="G50" s="213">
        <v>839032</v>
      </c>
      <c r="H50" s="213">
        <v>210018949</v>
      </c>
      <c r="I50" s="213">
        <v>6.8</v>
      </c>
      <c r="J50" s="213" t="s">
        <v>1020</v>
      </c>
      <c r="K50" s="213" t="s">
        <v>727</v>
      </c>
      <c r="L50" s="213" t="s">
        <v>797</v>
      </c>
      <c r="M50" s="213" t="s">
        <v>728</v>
      </c>
      <c r="N50" s="213" t="s">
        <v>728</v>
      </c>
      <c r="O50" s="213" t="s">
        <v>729</v>
      </c>
      <c r="P50" s="213" t="s">
        <v>249</v>
      </c>
      <c r="Q50" s="213">
        <v>24.6</v>
      </c>
      <c r="R50" s="213">
        <v>168</v>
      </c>
      <c r="S50" s="213" t="s">
        <v>249</v>
      </c>
      <c r="T50" s="213">
        <v>-9999</v>
      </c>
      <c r="U50" s="213">
        <v>183</v>
      </c>
      <c r="V50" s="213">
        <v>394</v>
      </c>
      <c r="W50" s="213">
        <v>178</v>
      </c>
      <c r="X50" s="213" t="s">
        <v>710</v>
      </c>
      <c r="Y50" s="213">
        <v>0</v>
      </c>
      <c r="Z50" s="213">
        <v>40</v>
      </c>
      <c r="AA50" s="213" t="s">
        <v>730</v>
      </c>
      <c r="AB50" s="213" t="s">
        <v>731</v>
      </c>
      <c r="AC50" s="213" t="s">
        <v>729</v>
      </c>
      <c r="AD50" s="213" t="s">
        <v>249</v>
      </c>
      <c r="AE50" s="213">
        <v>25.3</v>
      </c>
      <c r="AF50" s="213">
        <v>121</v>
      </c>
      <c r="AG50" s="213" t="s">
        <v>249</v>
      </c>
      <c r="AH50" s="213">
        <v>-9999</v>
      </c>
      <c r="AI50" s="213">
        <v>196</v>
      </c>
      <c r="AJ50" s="213">
        <v>467</v>
      </c>
      <c r="AK50" s="213">
        <v>194</v>
      </c>
      <c r="AL50" s="213" t="s">
        <v>710</v>
      </c>
      <c r="AM50" s="213">
        <v>0</v>
      </c>
      <c r="AN50" s="213">
        <v>40</v>
      </c>
      <c r="AO50" s="213" t="s">
        <v>733</v>
      </c>
      <c r="AP50" s="213" t="s">
        <v>734</v>
      </c>
      <c r="AQ50" s="213">
        <v>1</v>
      </c>
      <c r="AR50" s="213" t="s">
        <v>798</v>
      </c>
      <c r="AS50" s="213">
        <v>22.6</v>
      </c>
      <c r="AT50" s="213">
        <v>432</v>
      </c>
      <c r="AU50" s="213" t="s">
        <v>710</v>
      </c>
      <c r="AV50" s="213">
        <v>-9999</v>
      </c>
      <c r="AW50" s="213">
        <v>263</v>
      </c>
      <c r="AX50" s="213">
        <v>646</v>
      </c>
      <c r="AY50" s="213">
        <v>259</v>
      </c>
      <c r="AZ50" s="213" t="s">
        <v>710</v>
      </c>
      <c r="BA50" s="213">
        <v>0</v>
      </c>
      <c r="BB50" s="213">
        <v>40</v>
      </c>
      <c r="BC50" s="213" t="s">
        <v>736</v>
      </c>
      <c r="BD50" s="213" t="s">
        <v>734</v>
      </c>
      <c r="BE50" s="213">
        <v>2</v>
      </c>
      <c r="BF50" s="213" t="s">
        <v>798</v>
      </c>
      <c r="BG50" s="213">
        <v>23.5</v>
      </c>
      <c r="BH50" s="213">
        <v>196</v>
      </c>
      <c r="BI50" s="213" t="s">
        <v>710</v>
      </c>
      <c r="BJ50" s="213">
        <v>-9999</v>
      </c>
      <c r="BK50" s="213">
        <v>105</v>
      </c>
      <c r="BL50" s="213">
        <v>323</v>
      </c>
      <c r="BM50" s="213">
        <v>103</v>
      </c>
      <c r="BN50" s="213" t="s">
        <v>710</v>
      </c>
      <c r="BO50" s="213">
        <v>0</v>
      </c>
      <c r="BP50" s="213">
        <v>40</v>
      </c>
      <c r="BQ50" s="213" t="s">
        <v>737</v>
      </c>
      <c r="BR50" s="213" t="s">
        <v>734</v>
      </c>
      <c r="BS50" s="213">
        <v>3</v>
      </c>
      <c r="BT50" s="213" t="s">
        <v>799</v>
      </c>
      <c r="BU50" s="213">
        <v>0</v>
      </c>
      <c r="BV50" s="213">
        <v>39</v>
      </c>
      <c r="BW50" s="213" t="s">
        <v>249</v>
      </c>
      <c r="BX50" s="213">
        <v>-9999</v>
      </c>
      <c r="BY50" s="213">
        <v>146</v>
      </c>
      <c r="BZ50" s="213">
        <v>331</v>
      </c>
      <c r="CA50" s="213">
        <v>145</v>
      </c>
      <c r="CB50" s="213" t="s">
        <v>710</v>
      </c>
      <c r="CC50" s="213">
        <v>0</v>
      </c>
      <c r="CD50" s="213">
        <v>40</v>
      </c>
      <c r="CE50" s="213" t="s">
        <v>738</v>
      </c>
      <c r="CF50" s="213" t="s">
        <v>734</v>
      </c>
      <c r="CG50" s="213">
        <v>4</v>
      </c>
      <c r="CH50" s="213" t="s">
        <v>798</v>
      </c>
      <c r="CI50" s="213">
        <v>21.2</v>
      </c>
      <c r="CJ50" s="213">
        <v>423</v>
      </c>
      <c r="CK50" s="213" t="s">
        <v>710</v>
      </c>
      <c r="CL50" s="213">
        <v>-9999</v>
      </c>
      <c r="CM50" s="213">
        <v>140</v>
      </c>
      <c r="CN50" s="213">
        <v>362</v>
      </c>
      <c r="CO50" s="213">
        <v>137</v>
      </c>
      <c r="CP50" s="213" t="s">
        <v>710</v>
      </c>
      <c r="CQ50" s="213">
        <v>0</v>
      </c>
      <c r="CR50" s="213">
        <v>40</v>
      </c>
      <c r="CS50" s="213" t="s">
        <v>739</v>
      </c>
      <c r="CT50" s="213" t="s">
        <v>740</v>
      </c>
      <c r="CU50" s="213">
        <v>113</v>
      </c>
      <c r="CV50" s="213">
        <v>113</v>
      </c>
      <c r="CW50" s="213">
        <v>112</v>
      </c>
      <c r="CX50" s="213" t="s">
        <v>710</v>
      </c>
      <c r="CY50" s="213" t="s">
        <v>741</v>
      </c>
      <c r="CZ50" s="213" t="s">
        <v>740</v>
      </c>
      <c r="DA50" s="213">
        <v>97</v>
      </c>
      <c r="DB50" s="213">
        <v>96</v>
      </c>
      <c r="DC50" s="213">
        <v>96</v>
      </c>
      <c r="DD50" s="213" t="s">
        <v>710</v>
      </c>
      <c r="DE50" s="213" t="s">
        <v>742</v>
      </c>
      <c r="DF50" s="213" t="s">
        <v>743</v>
      </c>
      <c r="DG50" s="213">
        <v>0</v>
      </c>
      <c r="DH50" s="213">
        <v>0</v>
      </c>
      <c r="DI50" s="213">
        <v>0</v>
      </c>
      <c r="DJ50" s="213" t="s">
        <v>249</v>
      </c>
      <c r="DK50" s="213">
        <v>69.400000000000006</v>
      </c>
      <c r="DL50" s="213">
        <v>59.3</v>
      </c>
      <c r="DM50" s="213" t="s">
        <v>744</v>
      </c>
      <c r="DN50" s="213" t="s">
        <v>743</v>
      </c>
      <c r="DO50" s="213">
        <v>0</v>
      </c>
      <c r="DP50" s="213">
        <v>0</v>
      </c>
      <c r="DQ50" s="213">
        <v>0</v>
      </c>
      <c r="DR50" s="213" t="s">
        <v>249</v>
      </c>
      <c r="DU50" s="213" t="s">
        <v>745</v>
      </c>
      <c r="DV50" s="213" t="s">
        <v>743</v>
      </c>
      <c r="DW50" s="213">
        <v>0</v>
      </c>
      <c r="DX50" s="213">
        <v>0</v>
      </c>
      <c r="DY50" s="213">
        <v>0</v>
      </c>
      <c r="DZ50" s="213" t="s">
        <v>249</v>
      </c>
      <c r="EC50" s="213" t="s">
        <v>746</v>
      </c>
      <c r="ED50" s="213" t="s">
        <v>743</v>
      </c>
      <c r="EE50" s="213">
        <v>0</v>
      </c>
      <c r="EF50" s="213">
        <v>0</v>
      </c>
      <c r="EG50" s="213">
        <v>0</v>
      </c>
      <c r="EH50" s="213" t="s">
        <v>249</v>
      </c>
      <c r="EK50" s="213" t="s">
        <v>747</v>
      </c>
      <c r="EL50" s="213" t="s">
        <v>743</v>
      </c>
      <c r="EM50" s="213">
        <v>0</v>
      </c>
      <c r="EN50" s="213">
        <v>0</v>
      </c>
      <c r="EO50" s="213">
        <v>0</v>
      </c>
      <c r="EP50" s="213" t="s">
        <v>249</v>
      </c>
      <c r="ES50" s="213" t="s">
        <v>748</v>
      </c>
      <c r="ET50" s="213" t="s">
        <v>743</v>
      </c>
      <c r="EU50" s="213">
        <v>0</v>
      </c>
      <c r="EV50" s="213">
        <v>0</v>
      </c>
      <c r="EW50" s="213">
        <v>0</v>
      </c>
      <c r="EX50" s="213" t="s">
        <v>249</v>
      </c>
      <c r="EY50" s="213">
        <v>70</v>
      </c>
      <c r="EZ50" s="213">
        <v>53.8</v>
      </c>
      <c r="FA50" s="213" t="s">
        <v>749</v>
      </c>
      <c r="FB50" s="213" t="s">
        <v>743</v>
      </c>
      <c r="FC50" s="213">
        <v>0</v>
      </c>
      <c r="FD50" s="213">
        <v>0</v>
      </c>
      <c r="FE50" s="213">
        <v>0</v>
      </c>
      <c r="FF50" s="213" t="s">
        <v>249</v>
      </c>
      <c r="FI50" s="213" t="s">
        <v>750</v>
      </c>
      <c r="FJ50" s="213" t="s">
        <v>743</v>
      </c>
      <c r="FK50" s="213">
        <v>0</v>
      </c>
      <c r="FL50" s="213">
        <v>0</v>
      </c>
      <c r="FM50" s="213">
        <v>0</v>
      </c>
      <c r="FN50" s="213" t="s">
        <v>249</v>
      </c>
      <c r="FO50" s="213">
        <v>73.599999999999994</v>
      </c>
      <c r="FP50" s="213">
        <v>163.9</v>
      </c>
      <c r="FQ50" s="213" t="s">
        <v>751</v>
      </c>
      <c r="FR50" s="213" t="s">
        <v>743</v>
      </c>
      <c r="FS50" s="213">
        <v>0</v>
      </c>
      <c r="FT50" s="213">
        <v>0</v>
      </c>
      <c r="FU50" s="213">
        <v>0</v>
      </c>
      <c r="FV50" s="213" t="s">
        <v>249</v>
      </c>
      <c r="FY50" s="213">
        <v>26.2</v>
      </c>
      <c r="FZ50" s="213">
        <v>-13.5</v>
      </c>
      <c r="GF50" s="213" t="s">
        <v>752</v>
      </c>
    </row>
    <row r="51" spans="1:188" s="213" customFormat="1" x14ac:dyDescent="0.15">
      <c r="A51" s="213" t="s">
        <v>654</v>
      </c>
      <c r="B51" s="213">
        <v>4</v>
      </c>
      <c r="C51" s="213" t="s">
        <v>1021</v>
      </c>
      <c r="D51" s="213">
        <v>614350324</v>
      </c>
      <c r="E51" s="213">
        <v>92303</v>
      </c>
      <c r="F51" s="213" t="s">
        <v>795</v>
      </c>
      <c r="G51" s="213">
        <v>839032</v>
      </c>
      <c r="H51" s="213">
        <v>210019897</v>
      </c>
      <c r="I51" s="213">
        <v>6.8</v>
      </c>
      <c r="J51" s="213" t="s">
        <v>1022</v>
      </c>
      <c r="K51" s="213" t="s">
        <v>727</v>
      </c>
      <c r="L51" s="213" t="s">
        <v>797</v>
      </c>
      <c r="M51" s="213" t="s">
        <v>728</v>
      </c>
      <c r="N51" s="213" t="s">
        <v>728</v>
      </c>
      <c r="O51" s="213" t="s">
        <v>729</v>
      </c>
      <c r="P51" s="213" t="s">
        <v>249</v>
      </c>
      <c r="Q51" s="213">
        <v>24.2</v>
      </c>
      <c r="R51" s="213">
        <v>155</v>
      </c>
      <c r="S51" s="213" t="s">
        <v>249</v>
      </c>
      <c r="T51" s="213">
        <v>-9999</v>
      </c>
      <c r="U51" s="213">
        <v>208</v>
      </c>
      <c r="V51" s="213">
        <v>461</v>
      </c>
      <c r="W51" s="213">
        <v>201</v>
      </c>
      <c r="X51" s="213" t="s">
        <v>710</v>
      </c>
      <c r="Y51" s="213">
        <v>0</v>
      </c>
      <c r="Z51" s="213">
        <v>40</v>
      </c>
      <c r="AA51" s="213" t="s">
        <v>730</v>
      </c>
      <c r="AB51" s="213" t="s">
        <v>731</v>
      </c>
      <c r="AC51" s="213" t="s">
        <v>729</v>
      </c>
      <c r="AD51" s="213" t="s">
        <v>249</v>
      </c>
      <c r="AE51" s="213">
        <v>27.1</v>
      </c>
      <c r="AF51" s="213">
        <v>125</v>
      </c>
      <c r="AG51" s="213" t="s">
        <v>249</v>
      </c>
      <c r="AH51" s="213">
        <v>-9999</v>
      </c>
      <c r="AI51" s="213">
        <v>193</v>
      </c>
      <c r="AJ51" s="213">
        <v>456</v>
      </c>
      <c r="AK51" s="213">
        <v>189</v>
      </c>
      <c r="AL51" s="213" t="s">
        <v>710</v>
      </c>
      <c r="AM51" s="213">
        <v>0</v>
      </c>
      <c r="AN51" s="213">
        <v>40</v>
      </c>
      <c r="AO51" s="213" t="s">
        <v>733</v>
      </c>
      <c r="AP51" s="213" t="s">
        <v>734</v>
      </c>
      <c r="AQ51" s="213">
        <v>1</v>
      </c>
      <c r="AR51" s="213" t="s">
        <v>798</v>
      </c>
      <c r="AS51" s="213">
        <v>24.2</v>
      </c>
      <c r="AT51" s="213">
        <v>433</v>
      </c>
      <c r="AU51" s="213" t="s">
        <v>710</v>
      </c>
      <c r="AV51" s="213">
        <v>-9999</v>
      </c>
      <c r="AW51" s="213">
        <v>244</v>
      </c>
      <c r="AX51" s="213">
        <v>608</v>
      </c>
      <c r="AY51" s="213">
        <v>240</v>
      </c>
      <c r="AZ51" s="213" t="s">
        <v>710</v>
      </c>
      <c r="BA51" s="213">
        <v>0</v>
      </c>
      <c r="BB51" s="213">
        <v>40</v>
      </c>
      <c r="BC51" s="213" t="s">
        <v>736</v>
      </c>
      <c r="BD51" s="213" t="s">
        <v>734</v>
      </c>
      <c r="BE51" s="213">
        <v>2</v>
      </c>
      <c r="BF51" s="213" t="s">
        <v>798</v>
      </c>
      <c r="BG51" s="213">
        <v>25.2</v>
      </c>
      <c r="BH51" s="213">
        <v>180</v>
      </c>
      <c r="BI51" s="213" t="s">
        <v>710</v>
      </c>
      <c r="BJ51" s="213">
        <v>-9999</v>
      </c>
      <c r="BK51" s="213">
        <v>116</v>
      </c>
      <c r="BL51" s="213">
        <v>350</v>
      </c>
      <c r="BM51" s="213">
        <v>114</v>
      </c>
      <c r="BN51" s="213" t="s">
        <v>710</v>
      </c>
      <c r="BO51" s="213">
        <v>0</v>
      </c>
      <c r="BP51" s="213">
        <v>40</v>
      </c>
      <c r="BQ51" s="213" t="s">
        <v>737</v>
      </c>
      <c r="BR51" s="213" t="s">
        <v>734</v>
      </c>
      <c r="BS51" s="213">
        <v>3</v>
      </c>
      <c r="BT51" s="213" t="s">
        <v>799</v>
      </c>
      <c r="BU51" s="213">
        <v>0</v>
      </c>
      <c r="BV51" s="213">
        <v>36</v>
      </c>
      <c r="BW51" s="213" t="s">
        <v>249</v>
      </c>
      <c r="BX51" s="213">
        <v>-9999</v>
      </c>
      <c r="BY51" s="213">
        <v>186</v>
      </c>
      <c r="BZ51" s="213">
        <v>448</v>
      </c>
      <c r="CA51" s="213">
        <v>185</v>
      </c>
      <c r="CB51" s="213" t="s">
        <v>710</v>
      </c>
      <c r="CC51" s="213">
        <v>0</v>
      </c>
      <c r="CD51" s="213">
        <v>40</v>
      </c>
      <c r="CE51" s="213" t="s">
        <v>738</v>
      </c>
      <c r="CF51" s="213" t="s">
        <v>734</v>
      </c>
      <c r="CG51" s="213">
        <v>4</v>
      </c>
      <c r="CH51" s="213" t="s">
        <v>798</v>
      </c>
      <c r="CI51" s="213">
        <v>22.7</v>
      </c>
      <c r="CJ51" s="213">
        <v>413</v>
      </c>
      <c r="CK51" s="213" t="s">
        <v>710</v>
      </c>
      <c r="CL51" s="213">
        <v>-9999</v>
      </c>
      <c r="CM51" s="213">
        <v>152</v>
      </c>
      <c r="CN51" s="213">
        <v>395</v>
      </c>
      <c r="CO51" s="213">
        <v>148</v>
      </c>
      <c r="CP51" s="213" t="s">
        <v>710</v>
      </c>
      <c r="CQ51" s="213">
        <v>0</v>
      </c>
      <c r="CR51" s="213">
        <v>40</v>
      </c>
      <c r="CS51" s="213" t="s">
        <v>739</v>
      </c>
      <c r="CT51" s="213" t="s">
        <v>740</v>
      </c>
      <c r="CU51" s="213">
        <v>123</v>
      </c>
      <c r="CV51" s="213">
        <v>122</v>
      </c>
      <c r="CW51" s="213">
        <v>122</v>
      </c>
      <c r="CX51" s="213" t="s">
        <v>710</v>
      </c>
      <c r="CY51" s="213" t="s">
        <v>741</v>
      </c>
      <c r="CZ51" s="213" t="s">
        <v>740</v>
      </c>
      <c r="DA51" s="213">
        <v>116</v>
      </c>
      <c r="DB51" s="213">
        <v>116</v>
      </c>
      <c r="DC51" s="213">
        <v>116</v>
      </c>
      <c r="DD51" s="213" t="s">
        <v>710</v>
      </c>
      <c r="DE51" s="213" t="s">
        <v>742</v>
      </c>
      <c r="DF51" s="213" t="s">
        <v>743</v>
      </c>
      <c r="DG51" s="213">
        <v>0</v>
      </c>
      <c r="DH51" s="213">
        <v>0</v>
      </c>
      <c r="DI51" s="213">
        <v>0</v>
      </c>
      <c r="DJ51" s="213" t="s">
        <v>249</v>
      </c>
      <c r="DK51" s="213">
        <v>69.400000000000006</v>
      </c>
      <c r="DL51" s="213">
        <v>45.2</v>
      </c>
      <c r="DM51" s="213" t="s">
        <v>744</v>
      </c>
      <c r="DN51" s="213" t="s">
        <v>743</v>
      </c>
      <c r="DO51" s="213">
        <v>0</v>
      </c>
      <c r="DP51" s="213">
        <v>0</v>
      </c>
      <c r="DQ51" s="213">
        <v>0</v>
      </c>
      <c r="DR51" s="213" t="s">
        <v>249</v>
      </c>
      <c r="DU51" s="213" t="s">
        <v>745</v>
      </c>
      <c r="DV51" s="213" t="s">
        <v>743</v>
      </c>
      <c r="DW51" s="213">
        <v>0</v>
      </c>
      <c r="DX51" s="213">
        <v>0</v>
      </c>
      <c r="DY51" s="213">
        <v>0</v>
      </c>
      <c r="DZ51" s="213" t="s">
        <v>249</v>
      </c>
      <c r="EC51" s="213" t="s">
        <v>746</v>
      </c>
      <c r="ED51" s="213" t="s">
        <v>743</v>
      </c>
      <c r="EE51" s="213">
        <v>0</v>
      </c>
      <c r="EF51" s="213">
        <v>0</v>
      </c>
      <c r="EG51" s="213">
        <v>0</v>
      </c>
      <c r="EH51" s="213" t="s">
        <v>249</v>
      </c>
      <c r="EK51" s="213" t="s">
        <v>747</v>
      </c>
      <c r="EL51" s="213" t="s">
        <v>743</v>
      </c>
      <c r="EM51" s="213">
        <v>0</v>
      </c>
      <c r="EN51" s="213">
        <v>0</v>
      </c>
      <c r="EO51" s="213">
        <v>0</v>
      </c>
      <c r="EP51" s="213" t="s">
        <v>249</v>
      </c>
      <c r="ES51" s="213" t="s">
        <v>748</v>
      </c>
      <c r="ET51" s="213" t="s">
        <v>743</v>
      </c>
      <c r="EU51" s="213">
        <v>0</v>
      </c>
      <c r="EV51" s="213">
        <v>0</v>
      </c>
      <c r="EW51" s="213">
        <v>0</v>
      </c>
      <c r="EX51" s="213" t="s">
        <v>249</v>
      </c>
      <c r="EY51" s="213">
        <v>70.099999999999994</v>
      </c>
      <c r="EZ51" s="213">
        <v>41.6</v>
      </c>
      <c r="FA51" s="213" t="s">
        <v>749</v>
      </c>
      <c r="FB51" s="213" t="s">
        <v>743</v>
      </c>
      <c r="FC51" s="213">
        <v>0</v>
      </c>
      <c r="FD51" s="213">
        <v>0</v>
      </c>
      <c r="FE51" s="213">
        <v>0</v>
      </c>
      <c r="FF51" s="213" t="s">
        <v>249</v>
      </c>
      <c r="FI51" s="213" t="s">
        <v>750</v>
      </c>
      <c r="FJ51" s="213" t="s">
        <v>743</v>
      </c>
      <c r="FK51" s="213">
        <v>0</v>
      </c>
      <c r="FL51" s="213">
        <v>0</v>
      </c>
      <c r="FM51" s="213">
        <v>0</v>
      </c>
      <c r="FN51" s="213" t="s">
        <v>249</v>
      </c>
      <c r="FO51" s="213">
        <v>73.599999999999994</v>
      </c>
      <c r="FP51" s="213">
        <v>171.4</v>
      </c>
      <c r="FQ51" s="213" t="s">
        <v>751</v>
      </c>
      <c r="FR51" s="213" t="s">
        <v>743</v>
      </c>
      <c r="FS51" s="213">
        <v>0</v>
      </c>
      <c r="FT51" s="213">
        <v>0</v>
      </c>
      <c r="FU51" s="213">
        <v>0</v>
      </c>
      <c r="FV51" s="213" t="s">
        <v>249</v>
      </c>
      <c r="FY51" s="213">
        <v>24.4</v>
      </c>
      <c r="FZ51" s="213">
        <v>-13.5</v>
      </c>
      <c r="GF51" s="213" t="s">
        <v>752</v>
      </c>
    </row>
    <row r="52" spans="1:188" s="283" customFormat="1" x14ac:dyDescent="0.15">
      <c r="A52" s="213" t="s">
        <v>654</v>
      </c>
      <c r="B52" s="213">
        <v>4</v>
      </c>
      <c r="C52" s="213" t="s">
        <v>1205</v>
      </c>
      <c r="D52" s="213">
        <v>614349478</v>
      </c>
      <c r="E52" s="213">
        <v>92303</v>
      </c>
      <c r="F52" s="213" t="s">
        <v>795</v>
      </c>
      <c r="G52" s="213">
        <v>839032</v>
      </c>
      <c r="H52" s="213">
        <v>730217</v>
      </c>
      <c r="I52" s="213">
        <v>6.8</v>
      </c>
      <c r="J52" s="213" t="s">
        <v>1023</v>
      </c>
      <c r="K52" s="213" t="s">
        <v>1193</v>
      </c>
      <c r="L52" s="213" t="s">
        <v>1196</v>
      </c>
      <c r="M52" s="213" t="s">
        <v>728</v>
      </c>
      <c r="N52" s="213" t="s">
        <v>728</v>
      </c>
      <c r="O52" s="213" t="s">
        <v>729</v>
      </c>
      <c r="P52" s="213" t="s">
        <v>249</v>
      </c>
      <c r="Q52" s="213">
        <v>23.3</v>
      </c>
      <c r="R52" s="213">
        <v>157</v>
      </c>
      <c r="S52" s="213" t="s">
        <v>249</v>
      </c>
      <c r="T52" s="213">
        <v>-9999</v>
      </c>
      <c r="U52" s="213">
        <v>226</v>
      </c>
      <c r="V52" s="213">
        <v>470</v>
      </c>
      <c r="W52" s="213">
        <v>220</v>
      </c>
      <c r="X52" s="213" t="s">
        <v>710</v>
      </c>
      <c r="Y52" s="213">
        <v>0</v>
      </c>
      <c r="Z52" s="213">
        <v>40</v>
      </c>
      <c r="AA52" s="213" t="s">
        <v>730</v>
      </c>
      <c r="AB52" s="213" t="s">
        <v>731</v>
      </c>
      <c r="AC52" s="213" t="s">
        <v>729</v>
      </c>
      <c r="AD52" s="213" t="s">
        <v>249</v>
      </c>
      <c r="AE52" s="213">
        <v>26.8</v>
      </c>
      <c r="AF52" s="213">
        <v>118</v>
      </c>
      <c r="AG52" s="213" t="s">
        <v>249</v>
      </c>
      <c r="AH52" s="213">
        <v>-9999</v>
      </c>
      <c r="AI52" s="213">
        <v>196</v>
      </c>
      <c r="AJ52" s="213">
        <v>462</v>
      </c>
      <c r="AK52" s="213">
        <v>194</v>
      </c>
      <c r="AL52" s="213" t="s">
        <v>710</v>
      </c>
      <c r="AM52" s="213">
        <v>0</v>
      </c>
      <c r="AN52" s="213">
        <v>40</v>
      </c>
      <c r="AO52" s="213" t="s">
        <v>733</v>
      </c>
      <c r="AP52" s="213" t="s">
        <v>734</v>
      </c>
      <c r="AQ52" s="213">
        <v>1</v>
      </c>
      <c r="AR52" s="213" t="s">
        <v>798</v>
      </c>
      <c r="AS52" s="213">
        <v>24.4</v>
      </c>
      <c r="AT52" s="213">
        <v>412</v>
      </c>
      <c r="AU52" s="213" t="s">
        <v>710</v>
      </c>
      <c r="AV52" s="213">
        <v>-9999</v>
      </c>
      <c r="AW52" s="213">
        <v>257</v>
      </c>
      <c r="AX52" s="213">
        <v>629</v>
      </c>
      <c r="AY52" s="213">
        <v>256</v>
      </c>
      <c r="AZ52" s="213" t="s">
        <v>710</v>
      </c>
      <c r="BA52" s="213">
        <v>0</v>
      </c>
      <c r="BB52" s="213">
        <v>40</v>
      </c>
      <c r="BC52" s="213" t="s">
        <v>736</v>
      </c>
      <c r="BD52" s="213" t="s">
        <v>734</v>
      </c>
      <c r="BE52" s="213">
        <v>2</v>
      </c>
      <c r="BF52" s="213" t="s">
        <v>798</v>
      </c>
      <c r="BG52" s="213">
        <v>25.3</v>
      </c>
      <c r="BH52" s="213">
        <v>190</v>
      </c>
      <c r="BI52" s="213" t="s">
        <v>710</v>
      </c>
      <c r="BJ52" s="213">
        <v>-9999</v>
      </c>
      <c r="BK52" s="213">
        <v>94</v>
      </c>
      <c r="BL52" s="213">
        <v>316</v>
      </c>
      <c r="BM52" s="213">
        <v>92</v>
      </c>
      <c r="BN52" s="213" t="s">
        <v>710</v>
      </c>
      <c r="BO52" s="213">
        <v>0</v>
      </c>
      <c r="BP52" s="213">
        <v>40</v>
      </c>
      <c r="BQ52" s="213" t="s">
        <v>737</v>
      </c>
      <c r="BR52" s="213" t="s">
        <v>734</v>
      </c>
      <c r="BS52" s="213">
        <v>3</v>
      </c>
      <c r="BT52" s="213" t="s">
        <v>799</v>
      </c>
      <c r="BU52" s="213">
        <v>0</v>
      </c>
      <c r="BV52" s="213">
        <v>17</v>
      </c>
      <c r="BW52" s="213" t="s">
        <v>249</v>
      </c>
      <c r="BX52" s="213">
        <v>-9999</v>
      </c>
      <c r="BY52" s="213">
        <v>148</v>
      </c>
      <c r="BZ52" s="213">
        <v>332</v>
      </c>
      <c r="CA52" s="213">
        <v>147</v>
      </c>
      <c r="CB52" s="213" t="s">
        <v>710</v>
      </c>
      <c r="CC52" s="213">
        <v>0</v>
      </c>
      <c r="CD52" s="213">
        <v>40</v>
      </c>
      <c r="CE52" s="213" t="s">
        <v>738</v>
      </c>
      <c r="CF52" s="213" t="s">
        <v>734</v>
      </c>
      <c r="CG52" s="213">
        <v>4</v>
      </c>
      <c r="CH52" s="213" t="s">
        <v>798</v>
      </c>
      <c r="CI52" s="213">
        <v>23.3</v>
      </c>
      <c r="CJ52" s="213">
        <v>379</v>
      </c>
      <c r="CK52" s="213" t="s">
        <v>710</v>
      </c>
      <c r="CL52" s="213">
        <v>-9999</v>
      </c>
      <c r="CM52" s="213">
        <v>142</v>
      </c>
      <c r="CN52" s="213">
        <v>375</v>
      </c>
      <c r="CO52" s="213">
        <v>140</v>
      </c>
      <c r="CP52" s="213" t="s">
        <v>710</v>
      </c>
      <c r="CQ52" s="213">
        <v>0</v>
      </c>
      <c r="CR52" s="213">
        <v>40</v>
      </c>
      <c r="CS52" s="213" t="s">
        <v>739</v>
      </c>
      <c r="CT52" s="213" t="s">
        <v>740</v>
      </c>
      <c r="CU52" s="213">
        <v>121</v>
      </c>
      <c r="CV52" s="213">
        <v>121</v>
      </c>
      <c r="CW52" s="213">
        <v>121</v>
      </c>
      <c r="CX52" s="213" t="s">
        <v>710</v>
      </c>
      <c r="CY52" s="213" t="s">
        <v>741</v>
      </c>
      <c r="CZ52" s="213" t="s">
        <v>740</v>
      </c>
      <c r="DA52" s="213">
        <v>107</v>
      </c>
      <c r="DB52" s="213">
        <v>106</v>
      </c>
      <c r="DC52" s="213">
        <v>106</v>
      </c>
      <c r="DD52" s="213" t="s">
        <v>710</v>
      </c>
      <c r="DE52" s="213" t="s">
        <v>742</v>
      </c>
      <c r="DF52" s="213" t="s">
        <v>743</v>
      </c>
      <c r="DG52" s="213">
        <v>0</v>
      </c>
      <c r="DH52" s="213">
        <v>0</v>
      </c>
      <c r="DI52" s="213">
        <v>0</v>
      </c>
      <c r="DJ52" s="213" t="s">
        <v>249</v>
      </c>
      <c r="DK52" s="213">
        <v>69.3</v>
      </c>
      <c r="DL52" s="213">
        <v>48.6</v>
      </c>
      <c r="DM52" s="213" t="s">
        <v>744</v>
      </c>
      <c r="DN52" s="213" t="s">
        <v>743</v>
      </c>
      <c r="DO52" s="213">
        <v>0</v>
      </c>
      <c r="DP52" s="213">
        <v>0</v>
      </c>
      <c r="DQ52" s="213">
        <v>0</v>
      </c>
      <c r="DR52" s="213" t="s">
        <v>249</v>
      </c>
      <c r="DS52" s="213"/>
      <c r="DT52" s="213"/>
      <c r="DU52" s="213" t="s">
        <v>745</v>
      </c>
      <c r="DV52" s="213" t="s">
        <v>743</v>
      </c>
      <c r="DW52" s="213">
        <v>0</v>
      </c>
      <c r="DX52" s="213">
        <v>0</v>
      </c>
      <c r="DY52" s="213">
        <v>0</v>
      </c>
      <c r="DZ52" s="213" t="s">
        <v>249</v>
      </c>
      <c r="EA52" s="213"/>
      <c r="EB52" s="213"/>
      <c r="EC52" s="213" t="s">
        <v>746</v>
      </c>
      <c r="ED52" s="213" t="s">
        <v>743</v>
      </c>
      <c r="EE52" s="213">
        <v>0</v>
      </c>
      <c r="EF52" s="213">
        <v>0</v>
      </c>
      <c r="EG52" s="213">
        <v>0</v>
      </c>
      <c r="EH52" s="213" t="s">
        <v>249</v>
      </c>
      <c r="EI52" s="213"/>
      <c r="EJ52" s="213"/>
      <c r="EK52" s="213" t="s">
        <v>747</v>
      </c>
      <c r="EL52" s="213" t="s">
        <v>743</v>
      </c>
      <c r="EM52" s="213">
        <v>0</v>
      </c>
      <c r="EN52" s="213">
        <v>0</v>
      </c>
      <c r="EO52" s="213">
        <v>0</v>
      </c>
      <c r="EP52" s="213" t="s">
        <v>249</v>
      </c>
      <c r="ES52" s="283" t="s">
        <v>748</v>
      </c>
      <c r="ET52" s="283" t="s">
        <v>743</v>
      </c>
      <c r="EU52" s="283">
        <v>0</v>
      </c>
      <c r="EV52" s="283">
        <v>0</v>
      </c>
      <c r="EW52" s="283">
        <v>0</v>
      </c>
      <c r="EX52" s="283" t="s">
        <v>249</v>
      </c>
      <c r="EY52" s="283">
        <v>70</v>
      </c>
      <c r="EZ52" s="283">
        <v>43.6</v>
      </c>
      <c r="FA52" s="283" t="s">
        <v>749</v>
      </c>
      <c r="FB52" s="283" t="s">
        <v>743</v>
      </c>
      <c r="FC52" s="283">
        <v>0</v>
      </c>
      <c r="FD52" s="283">
        <v>0</v>
      </c>
      <c r="FE52" s="283">
        <v>0</v>
      </c>
      <c r="FF52" s="283" t="s">
        <v>249</v>
      </c>
      <c r="FI52" s="283" t="s">
        <v>750</v>
      </c>
      <c r="FJ52" s="283" t="s">
        <v>743</v>
      </c>
      <c r="FK52" s="283">
        <v>0</v>
      </c>
      <c r="FL52" s="283">
        <v>0</v>
      </c>
      <c r="FM52" s="283">
        <v>0</v>
      </c>
      <c r="FN52" s="283" t="s">
        <v>249</v>
      </c>
      <c r="FO52" s="283">
        <v>73.599999999999994</v>
      </c>
      <c r="FP52" s="283">
        <v>165.5</v>
      </c>
      <c r="FQ52" s="283" t="s">
        <v>751</v>
      </c>
      <c r="FR52" s="283" t="s">
        <v>743</v>
      </c>
      <c r="FS52" s="283">
        <v>0</v>
      </c>
      <c r="FT52" s="283">
        <v>0</v>
      </c>
      <c r="FU52" s="283">
        <v>0</v>
      </c>
      <c r="FV52" s="283" t="s">
        <v>249</v>
      </c>
      <c r="FY52" s="283">
        <v>26</v>
      </c>
      <c r="FZ52" s="283">
        <v>-16.899999999999999</v>
      </c>
      <c r="GA52" s="283" t="s">
        <v>1206</v>
      </c>
      <c r="GF52" s="283" t="s">
        <v>752</v>
      </c>
    </row>
    <row r="53" spans="1:188" s="213" customFormat="1" x14ac:dyDescent="0.15">
      <c r="A53" s="213" t="s">
        <v>654</v>
      </c>
      <c r="B53" s="213">
        <v>4</v>
      </c>
      <c r="C53" s="213" t="s">
        <v>1024</v>
      </c>
      <c r="D53" s="213">
        <v>614349732</v>
      </c>
      <c r="E53" s="213">
        <v>92303</v>
      </c>
      <c r="F53" s="213" t="s">
        <v>795</v>
      </c>
      <c r="G53" s="213">
        <v>839032</v>
      </c>
      <c r="H53" s="213">
        <v>690802</v>
      </c>
      <c r="I53" s="213">
        <v>6.8</v>
      </c>
      <c r="J53" s="213" t="s">
        <v>1025</v>
      </c>
      <c r="K53" s="213" t="s">
        <v>727</v>
      </c>
      <c r="L53" s="213" t="s">
        <v>797</v>
      </c>
      <c r="M53" s="213" t="s">
        <v>728</v>
      </c>
      <c r="N53" s="213" t="s">
        <v>728</v>
      </c>
      <c r="O53" s="213" t="s">
        <v>729</v>
      </c>
      <c r="P53" s="213" t="s">
        <v>249</v>
      </c>
      <c r="Q53" s="213">
        <v>26.2</v>
      </c>
      <c r="R53" s="213">
        <v>139</v>
      </c>
      <c r="S53" s="213" t="s">
        <v>249</v>
      </c>
      <c r="T53" s="213">
        <v>-9999</v>
      </c>
      <c r="U53" s="213">
        <v>230</v>
      </c>
      <c r="V53" s="213">
        <v>483</v>
      </c>
      <c r="W53" s="213">
        <v>226</v>
      </c>
      <c r="X53" s="213" t="s">
        <v>710</v>
      </c>
      <c r="Y53" s="213">
        <v>0</v>
      </c>
      <c r="Z53" s="213">
        <v>40</v>
      </c>
      <c r="AA53" s="213" t="s">
        <v>730</v>
      </c>
      <c r="AB53" s="213" t="s">
        <v>731</v>
      </c>
      <c r="AC53" s="213" t="s">
        <v>729</v>
      </c>
      <c r="AD53" s="213" t="s">
        <v>249</v>
      </c>
      <c r="AE53" s="213">
        <v>27.1</v>
      </c>
      <c r="AF53" s="213">
        <v>114</v>
      </c>
      <c r="AG53" s="213" t="s">
        <v>249</v>
      </c>
      <c r="AH53" s="213">
        <v>-9999</v>
      </c>
      <c r="AI53" s="213">
        <v>215</v>
      </c>
      <c r="AJ53" s="213">
        <v>507</v>
      </c>
      <c r="AK53" s="213">
        <v>213</v>
      </c>
      <c r="AL53" s="213" t="s">
        <v>710</v>
      </c>
      <c r="AM53" s="213">
        <v>0</v>
      </c>
      <c r="AN53" s="213">
        <v>40</v>
      </c>
      <c r="AO53" s="213" t="s">
        <v>733</v>
      </c>
      <c r="AP53" s="213" t="s">
        <v>734</v>
      </c>
      <c r="AQ53" s="213">
        <v>1</v>
      </c>
      <c r="AR53" s="213" t="s">
        <v>798</v>
      </c>
      <c r="AS53" s="213">
        <v>24.4</v>
      </c>
      <c r="AT53" s="213">
        <v>407</v>
      </c>
      <c r="AU53" s="213" t="s">
        <v>710</v>
      </c>
      <c r="AV53" s="213">
        <v>-9999</v>
      </c>
      <c r="AW53" s="213">
        <v>285</v>
      </c>
      <c r="AX53" s="213">
        <v>699</v>
      </c>
      <c r="AY53" s="213">
        <v>284</v>
      </c>
      <c r="AZ53" s="213" t="s">
        <v>710</v>
      </c>
      <c r="BA53" s="213">
        <v>0</v>
      </c>
      <c r="BB53" s="213">
        <v>40</v>
      </c>
      <c r="BC53" s="213" t="s">
        <v>736</v>
      </c>
      <c r="BD53" s="213" t="s">
        <v>734</v>
      </c>
      <c r="BE53" s="213">
        <v>2</v>
      </c>
      <c r="BF53" s="213" t="s">
        <v>798</v>
      </c>
      <c r="BG53" s="213">
        <v>25.9</v>
      </c>
      <c r="BH53" s="213">
        <v>167</v>
      </c>
      <c r="BI53" s="213" t="s">
        <v>710</v>
      </c>
      <c r="BJ53" s="213">
        <v>-9999</v>
      </c>
      <c r="BK53" s="213">
        <v>119</v>
      </c>
      <c r="BL53" s="213">
        <v>358</v>
      </c>
      <c r="BM53" s="213">
        <v>118</v>
      </c>
      <c r="BN53" s="213" t="s">
        <v>710</v>
      </c>
      <c r="BO53" s="213">
        <v>0</v>
      </c>
      <c r="BP53" s="213">
        <v>40</v>
      </c>
      <c r="BQ53" s="213" t="s">
        <v>737</v>
      </c>
      <c r="BR53" s="213" t="s">
        <v>734</v>
      </c>
      <c r="BS53" s="213">
        <v>3</v>
      </c>
      <c r="BT53" s="213" t="s">
        <v>799</v>
      </c>
      <c r="BU53" s="213">
        <v>0</v>
      </c>
      <c r="BV53" s="213">
        <v>30</v>
      </c>
      <c r="BW53" s="213" t="s">
        <v>249</v>
      </c>
      <c r="BX53" s="213">
        <v>-9999</v>
      </c>
      <c r="BY53" s="213">
        <v>180</v>
      </c>
      <c r="BZ53" s="213">
        <v>407</v>
      </c>
      <c r="CA53" s="213">
        <v>179</v>
      </c>
      <c r="CB53" s="213" t="s">
        <v>710</v>
      </c>
      <c r="CC53" s="213">
        <v>0</v>
      </c>
      <c r="CD53" s="213">
        <v>40</v>
      </c>
      <c r="CE53" s="213" t="s">
        <v>738</v>
      </c>
      <c r="CF53" s="213" t="s">
        <v>734</v>
      </c>
      <c r="CG53" s="213">
        <v>4</v>
      </c>
      <c r="CH53" s="213" t="s">
        <v>798</v>
      </c>
      <c r="CI53" s="213">
        <v>23.4</v>
      </c>
      <c r="CJ53" s="213">
        <v>368</v>
      </c>
      <c r="CK53" s="213" t="s">
        <v>710</v>
      </c>
      <c r="CL53" s="213">
        <v>-9999</v>
      </c>
      <c r="CM53" s="213">
        <v>145</v>
      </c>
      <c r="CN53" s="213">
        <v>383</v>
      </c>
      <c r="CO53" s="213">
        <v>143</v>
      </c>
      <c r="CP53" s="213" t="s">
        <v>710</v>
      </c>
      <c r="CQ53" s="213">
        <v>0</v>
      </c>
      <c r="CR53" s="213">
        <v>40</v>
      </c>
      <c r="CS53" s="213" t="s">
        <v>739</v>
      </c>
      <c r="CT53" s="213" t="s">
        <v>740</v>
      </c>
      <c r="CU53" s="213">
        <v>121</v>
      </c>
      <c r="CV53" s="213">
        <v>121</v>
      </c>
      <c r="CW53" s="213">
        <v>121</v>
      </c>
      <c r="CX53" s="213" t="s">
        <v>710</v>
      </c>
      <c r="CY53" s="213" t="s">
        <v>741</v>
      </c>
      <c r="CZ53" s="213" t="s">
        <v>740</v>
      </c>
      <c r="DA53" s="213">
        <v>115</v>
      </c>
      <c r="DB53" s="213">
        <v>115</v>
      </c>
      <c r="DC53" s="213">
        <v>115</v>
      </c>
      <c r="DD53" s="213" t="s">
        <v>710</v>
      </c>
      <c r="DE53" s="213" t="s">
        <v>742</v>
      </c>
      <c r="DF53" s="213" t="s">
        <v>743</v>
      </c>
      <c r="DG53" s="213">
        <v>0</v>
      </c>
      <c r="DH53" s="213">
        <v>0</v>
      </c>
      <c r="DI53" s="213">
        <v>0</v>
      </c>
      <c r="DJ53" s="213" t="s">
        <v>249</v>
      </c>
      <c r="DK53" s="213">
        <v>69.099999999999994</v>
      </c>
      <c r="DL53" s="213">
        <v>53.4</v>
      </c>
      <c r="DM53" s="213" t="s">
        <v>744</v>
      </c>
      <c r="DN53" s="213" t="s">
        <v>743</v>
      </c>
      <c r="DO53" s="213">
        <v>0</v>
      </c>
      <c r="DP53" s="213">
        <v>0</v>
      </c>
      <c r="DQ53" s="213">
        <v>0</v>
      </c>
      <c r="DR53" s="213" t="s">
        <v>249</v>
      </c>
      <c r="DU53" s="213" t="s">
        <v>745</v>
      </c>
      <c r="DV53" s="213" t="s">
        <v>743</v>
      </c>
      <c r="DW53" s="213">
        <v>0</v>
      </c>
      <c r="DX53" s="213">
        <v>0</v>
      </c>
      <c r="DY53" s="213">
        <v>0</v>
      </c>
      <c r="DZ53" s="213" t="s">
        <v>249</v>
      </c>
      <c r="EC53" s="213" t="s">
        <v>746</v>
      </c>
      <c r="ED53" s="213" t="s">
        <v>743</v>
      </c>
      <c r="EE53" s="213">
        <v>0</v>
      </c>
      <c r="EF53" s="213">
        <v>0</v>
      </c>
      <c r="EG53" s="213">
        <v>0</v>
      </c>
      <c r="EH53" s="213" t="s">
        <v>249</v>
      </c>
      <c r="EK53" s="213" t="s">
        <v>747</v>
      </c>
      <c r="EL53" s="213" t="s">
        <v>743</v>
      </c>
      <c r="EM53" s="213">
        <v>0</v>
      </c>
      <c r="EN53" s="213">
        <v>0</v>
      </c>
      <c r="EO53" s="213">
        <v>0</v>
      </c>
      <c r="EP53" s="213" t="s">
        <v>249</v>
      </c>
      <c r="ES53" s="213" t="s">
        <v>748</v>
      </c>
      <c r="ET53" s="213" t="s">
        <v>743</v>
      </c>
      <c r="EU53" s="213">
        <v>0</v>
      </c>
      <c r="EV53" s="213">
        <v>0</v>
      </c>
      <c r="EW53" s="213">
        <v>0</v>
      </c>
      <c r="EX53" s="213" t="s">
        <v>249</v>
      </c>
      <c r="EY53" s="213">
        <v>69.8</v>
      </c>
      <c r="EZ53" s="213">
        <v>43.2</v>
      </c>
      <c r="FA53" s="213" t="s">
        <v>749</v>
      </c>
      <c r="FB53" s="213" t="s">
        <v>743</v>
      </c>
      <c r="FC53" s="213">
        <v>0</v>
      </c>
      <c r="FD53" s="213">
        <v>0</v>
      </c>
      <c r="FE53" s="213">
        <v>0</v>
      </c>
      <c r="FF53" s="213" t="s">
        <v>249</v>
      </c>
      <c r="FI53" s="213" t="s">
        <v>750</v>
      </c>
      <c r="FJ53" s="213" t="s">
        <v>743</v>
      </c>
      <c r="FK53" s="213">
        <v>0</v>
      </c>
      <c r="FL53" s="213">
        <v>0</v>
      </c>
      <c r="FM53" s="213">
        <v>0</v>
      </c>
      <c r="FN53" s="213" t="s">
        <v>249</v>
      </c>
      <c r="FO53" s="213">
        <v>73.400000000000006</v>
      </c>
      <c r="FP53" s="213">
        <v>159.30000000000001</v>
      </c>
      <c r="FQ53" s="213" t="s">
        <v>751</v>
      </c>
      <c r="FR53" s="213" t="s">
        <v>743</v>
      </c>
      <c r="FS53" s="213">
        <v>0</v>
      </c>
      <c r="FT53" s="213">
        <v>0</v>
      </c>
      <c r="FU53" s="213">
        <v>0</v>
      </c>
      <c r="FV53" s="213" t="s">
        <v>249</v>
      </c>
      <c r="FY53" s="213">
        <v>24</v>
      </c>
      <c r="FZ53" s="213">
        <v>-13.1</v>
      </c>
      <c r="GF53" s="213" t="s">
        <v>752</v>
      </c>
    </row>
    <row r="54" spans="1:188" s="213" customFormat="1" x14ac:dyDescent="0.15">
      <c r="A54" s="213" t="s">
        <v>654</v>
      </c>
      <c r="B54" s="213">
        <v>4</v>
      </c>
      <c r="C54" s="213" t="s">
        <v>1026</v>
      </c>
      <c r="D54" s="213">
        <v>614349303</v>
      </c>
      <c r="E54" s="213">
        <v>92303</v>
      </c>
      <c r="F54" s="213" t="s">
        <v>795</v>
      </c>
      <c r="G54" s="213">
        <v>839032</v>
      </c>
      <c r="H54" s="213">
        <v>210026044</v>
      </c>
      <c r="I54" s="213">
        <v>6.8</v>
      </c>
      <c r="J54" s="213" t="s">
        <v>1027</v>
      </c>
      <c r="K54" s="213" t="s">
        <v>727</v>
      </c>
      <c r="L54" s="213" t="s">
        <v>797</v>
      </c>
      <c r="M54" s="213" t="s">
        <v>728</v>
      </c>
      <c r="N54" s="213" t="s">
        <v>728</v>
      </c>
      <c r="O54" s="213" t="s">
        <v>729</v>
      </c>
      <c r="P54" s="213" t="s">
        <v>249</v>
      </c>
      <c r="Q54" s="213">
        <v>23.7</v>
      </c>
      <c r="R54" s="213">
        <v>160</v>
      </c>
      <c r="S54" s="213" t="s">
        <v>249</v>
      </c>
      <c r="T54" s="213">
        <v>-9999</v>
      </c>
      <c r="U54" s="213">
        <v>201</v>
      </c>
      <c r="V54" s="213">
        <v>439</v>
      </c>
      <c r="W54" s="213">
        <v>189</v>
      </c>
      <c r="X54" s="213" t="s">
        <v>710</v>
      </c>
      <c r="Y54" s="213">
        <v>0</v>
      </c>
      <c r="Z54" s="213">
        <v>40</v>
      </c>
      <c r="AA54" s="213" t="s">
        <v>730</v>
      </c>
      <c r="AB54" s="213" t="s">
        <v>731</v>
      </c>
      <c r="AC54" s="213" t="s">
        <v>729</v>
      </c>
      <c r="AD54" s="213" t="s">
        <v>249</v>
      </c>
      <c r="AE54" s="213">
        <v>26.6</v>
      </c>
      <c r="AF54" s="213">
        <v>125</v>
      </c>
      <c r="AG54" s="213" t="s">
        <v>249</v>
      </c>
      <c r="AH54" s="213">
        <v>-9999</v>
      </c>
      <c r="AI54" s="213">
        <v>153</v>
      </c>
      <c r="AJ54" s="213">
        <v>365</v>
      </c>
      <c r="AK54" s="213">
        <v>149</v>
      </c>
      <c r="AL54" s="213" t="s">
        <v>710</v>
      </c>
      <c r="AM54" s="213">
        <v>0</v>
      </c>
      <c r="AN54" s="213">
        <v>40</v>
      </c>
      <c r="AO54" s="213" t="s">
        <v>733</v>
      </c>
      <c r="AP54" s="213" t="s">
        <v>734</v>
      </c>
      <c r="AQ54" s="213">
        <v>1</v>
      </c>
      <c r="AR54" s="213" t="s">
        <v>798</v>
      </c>
      <c r="AS54" s="213">
        <v>24.9</v>
      </c>
      <c r="AT54" s="213">
        <v>396</v>
      </c>
      <c r="AU54" s="213" t="s">
        <v>710</v>
      </c>
      <c r="AV54" s="213">
        <v>-9999</v>
      </c>
      <c r="AW54" s="213">
        <v>241</v>
      </c>
      <c r="AX54" s="213">
        <v>594</v>
      </c>
      <c r="AY54" s="213">
        <v>236</v>
      </c>
      <c r="AZ54" s="213" t="s">
        <v>710</v>
      </c>
      <c r="BA54" s="213">
        <v>0</v>
      </c>
      <c r="BB54" s="213">
        <v>40</v>
      </c>
      <c r="BC54" s="213" t="s">
        <v>736</v>
      </c>
      <c r="BD54" s="213" t="s">
        <v>734</v>
      </c>
      <c r="BE54" s="213">
        <v>2</v>
      </c>
      <c r="BF54" s="213" t="s">
        <v>798</v>
      </c>
      <c r="BG54" s="213">
        <v>25.7</v>
      </c>
      <c r="BH54" s="213">
        <v>175</v>
      </c>
      <c r="BI54" s="213" t="s">
        <v>710</v>
      </c>
      <c r="BJ54" s="213">
        <v>-9999</v>
      </c>
      <c r="BK54" s="213">
        <v>80</v>
      </c>
      <c r="BL54" s="213">
        <v>245</v>
      </c>
      <c r="BM54" s="213">
        <v>78</v>
      </c>
      <c r="BN54" s="213" t="s">
        <v>710</v>
      </c>
      <c r="BO54" s="213">
        <v>0</v>
      </c>
      <c r="BP54" s="213">
        <v>40</v>
      </c>
      <c r="BQ54" s="213" t="s">
        <v>737</v>
      </c>
      <c r="BR54" s="213" t="s">
        <v>734</v>
      </c>
      <c r="BS54" s="213">
        <v>3</v>
      </c>
      <c r="BT54" s="213" t="s">
        <v>799</v>
      </c>
      <c r="BU54" s="213">
        <v>0</v>
      </c>
      <c r="BV54" s="213">
        <v>36</v>
      </c>
      <c r="BW54" s="213" t="s">
        <v>249</v>
      </c>
      <c r="BX54" s="213">
        <v>-9999</v>
      </c>
      <c r="BY54" s="213">
        <v>171</v>
      </c>
      <c r="BZ54" s="213">
        <v>399</v>
      </c>
      <c r="CA54" s="213">
        <v>169</v>
      </c>
      <c r="CB54" s="213" t="s">
        <v>710</v>
      </c>
      <c r="CC54" s="213">
        <v>0</v>
      </c>
      <c r="CD54" s="213">
        <v>40</v>
      </c>
      <c r="CE54" s="213" t="s">
        <v>738</v>
      </c>
      <c r="CF54" s="213" t="s">
        <v>734</v>
      </c>
      <c r="CG54" s="213">
        <v>4</v>
      </c>
      <c r="CH54" s="213" t="s">
        <v>798</v>
      </c>
      <c r="CI54" s="213">
        <v>23</v>
      </c>
      <c r="CJ54" s="213">
        <v>415</v>
      </c>
      <c r="CK54" s="213" t="s">
        <v>710</v>
      </c>
      <c r="CL54" s="213">
        <v>-9999</v>
      </c>
      <c r="CM54" s="213">
        <v>84</v>
      </c>
      <c r="CN54" s="213">
        <v>221</v>
      </c>
      <c r="CO54" s="213">
        <v>81</v>
      </c>
      <c r="CP54" s="213" t="s">
        <v>710</v>
      </c>
      <c r="CQ54" s="213">
        <v>0</v>
      </c>
      <c r="CR54" s="213">
        <v>40</v>
      </c>
      <c r="CS54" s="213" t="s">
        <v>739</v>
      </c>
      <c r="CT54" s="213" t="s">
        <v>740</v>
      </c>
      <c r="CU54" s="213">
        <v>72</v>
      </c>
      <c r="CV54" s="213">
        <v>72</v>
      </c>
      <c r="CW54" s="213">
        <v>71</v>
      </c>
      <c r="CX54" s="213" t="s">
        <v>710</v>
      </c>
      <c r="CY54" s="213" t="s">
        <v>741</v>
      </c>
      <c r="CZ54" s="213" t="s">
        <v>740</v>
      </c>
      <c r="DA54" s="213">
        <v>110</v>
      </c>
      <c r="DB54" s="213">
        <v>110</v>
      </c>
      <c r="DC54" s="213">
        <v>110</v>
      </c>
      <c r="DD54" s="213" t="s">
        <v>710</v>
      </c>
      <c r="DE54" s="213" t="s">
        <v>742</v>
      </c>
      <c r="DF54" s="213" t="s">
        <v>743</v>
      </c>
      <c r="DG54" s="213">
        <v>0</v>
      </c>
      <c r="DH54" s="213">
        <v>0</v>
      </c>
      <c r="DI54" s="213">
        <v>0</v>
      </c>
      <c r="DJ54" s="213" t="s">
        <v>249</v>
      </c>
      <c r="DK54" s="213">
        <v>69.3</v>
      </c>
      <c r="DL54" s="213">
        <v>45.7</v>
      </c>
      <c r="DM54" s="213" t="s">
        <v>744</v>
      </c>
      <c r="DN54" s="213" t="s">
        <v>743</v>
      </c>
      <c r="DO54" s="213">
        <v>0</v>
      </c>
      <c r="DP54" s="213">
        <v>0</v>
      </c>
      <c r="DQ54" s="213">
        <v>0</v>
      </c>
      <c r="DR54" s="213" t="s">
        <v>249</v>
      </c>
      <c r="DU54" s="213" t="s">
        <v>745</v>
      </c>
      <c r="DV54" s="213" t="s">
        <v>743</v>
      </c>
      <c r="DW54" s="213">
        <v>0</v>
      </c>
      <c r="DX54" s="213">
        <v>0</v>
      </c>
      <c r="DY54" s="213">
        <v>0</v>
      </c>
      <c r="DZ54" s="213" t="s">
        <v>249</v>
      </c>
      <c r="EC54" s="213" t="s">
        <v>746</v>
      </c>
      <c r="ED54" s="213" t="s">
        <v>743</v>
      </c>
      <c r="EE54" s="213">
        <v>0</v>
      </c>
      <c r="EF54" s="213">
        <v>0</v>
      </c>
      <c r="EG54" s="213">
        <v>0</v>
      </c>
      <c r="EH54" s="213" t="s">
        <v>249</v>
      </c>
      <c r="EK54" s="213" t="s">
        <v>747</v>
      </c>
      <c r="EL54" s="213" t="s">
        <v>743</v>
      </c>
      <c r="EM54" s="213">
        <v>0</v>
      </c>
      <c r="EN54" s="213">
        <v>0</v>
      </c>
      <c r="EO54" s="213">
        <v>0</v>
      </c>
      <c r="EP54" s="213" t="s">
        <v>249</v>
      </c>
      <c r="ES54" s="213" t="s">
        <v>748</v>
      </c>
      <c r="ET54" s="213" t="s">
        <v>743</v>
      </c>
      <c r="EU54" s="213">
        <v>0</v>
      </c>
      <c r="EV54" s="213">
        <v>0</v>
      </c>
      <c r="EW54" s="213">
        <v>0</v>
      </c>
      <c r="EX54" s="213" t="s">
        <v>249</v>
      </c>
      <c r="EY54" s="213">
        <v>69.900000000000006</v>
      </c>
      <c r="EZ54" s="213">
        <v>31.8</v>
      </c>
      <c r="FA54" s="213" t="s">
        <v>749</v>
      </c>
      <c r="FB54" s="213" t="s">
        <v>743</v>
      </c>
      <c r="FC54" s="213">
        <v>0</v>
      </c>
      <c r="FD54" s="213">
        <v>0</v>
      </c>
      <c r="FE54" s="213">
        <v>0</v>
      </c>
      <c r="FF54" s="213" t="s">
        <v>249</v>
      </c>
      <c r="FI54" s="213" t="s">
        <v>750</v>
      </c>
      <c r="FJ54" s="213" t="s">
        <v>743</v>
      </c>
      <c r="FK54" s="213">
        <v>0</v>
      </c>
      <c r="FL54" s="213">
        <v>0</v>
      </c>
      <c r="FM54" s="213">
        <v>0</v>
      </c>
      <c r="FN54" s="213" t="s">
        <v>249</v>
      </c>
      <c r="FO54" s="213">
        <v>73.400000000000006</v>
      </c>
      <c r="FP54" s="213">
        <v>107.1</v>
      </c>
      <c r="FQ54" s="213" t="s">
        <v>751</v>
      </c>
      <c r="FR54" s="213" t="s">
        <v>743</v>
      </c>
      <c r="FS54" s="213">
        <v>0</v>
      </c>
      <c r="FT54" s="213">
        <v>0</v>
      </c>
      <c r="FU54" s="213">
        <v>0</v>
      </c>
      <c r="FV54" s="213" t="s">
        <v>249</v>
      </c>
      <c r="FY54" s="213">
        <v>24.7</v>
      </c>
      <c r="FZ54" s="213">
        <v>-13.5</v>
      </c>
      <c r="GF54" s="213" t="s">
        <v>752</v>
      </c>
    </row>
    <row r="55" spans="1:188" s="213" customFormat="1" x14ac:dyDescent="0.15">
      <c r="A55" s="213" t="s">
        <v>654</v>
      </c>
      <c r="B55" s="213">
        <v>4</v>
      </c>
      <c r="C55" s="213" t="s">
        <v>1028</v>
      </c>
      <c r="D55" s="213">
        <v>614350191</v>
      </c>
      <c r="E55" s="213">
        <v>92303</v>
      </c>
      <c r="F55" s="213" t="s">
        <v>795</v>
      </c>
      <c r="G55" s="213">
        <v>839032</v>
      </c>
      <c r="H55" s="213">
        <v>638845</v>
      </c>
      <c r="I55" s="213">
        <v>6.8</v>
      </c>
      <c r="J55" s="213" t="s">
        <v>1029</v>
      </c>
      <c r="K55" s="213" t="s">
        <v>727</v>
      </c>
      <c r="L55" s="213" t="s">
        <v>797</v>
      </c>
      <c r="M55" s="213" t="s">
        <v>728</v>
      </c>
      <c r="N55" s="213" t="s">
        <v>728</v>
      </c>
      <c r="O55" s="213" t="s">
        <v>729</v>
      </c>
      <c r="P55" s="213" t="s">
        <v>249</v>
      </c>
      <c r="Q55" s="213">
        <v>24.4</v>
      </c>
      <c r="R55" s="213">
        <v>159</v>
      </c>
      <c r="S55" s="213" t="s">
        <v>249</v>
      </c>
      <c r="T55" s="213">
        <v>-9999</v>
      </c>
      <c r="U55" s="213">
        <v>213</v>
      </c>
      <c r="V55" s="213">
        <v>459</v>
      </c>
      <c r="W55" s="213">
        <v>206</v>
      </c>
      <c r="X55" s="213" t="s">
        <v>710</v>
      </c>
      <c r="Y55" s="213">
        <v>0</v>
      </c>
      <c r="Z55" s="213">
        <v>40</v>
      </c>
      <c r="AA55" s="213" t="s">
        <v>730</v>
      </c>
      <c r="AB55" s="213" t="s">
        <v>731</v>
      </c>
      <c r="AC55" s="213" t="s">
        <v>729</v>
      </c>
      <c r="AD55" s="213" t="s">
        <v>249</v>
      </c>
      <c r="AE55" s="213">
        <v>26.9</v>
      </c>
      <c r="AF55" s="213">
        <v>122</v>
      </c>
      <c r="AG55" s="213" t="s">
        <v>249</v>
      </c>
      <c r="AH55" s="213">
        <v>-9999</v>
      </c>
      <c r="AI55" s="213">
        <v>200</v>
      </c>
      <c r="AJ55" s="213">
        <v>478</v>
      </c>
      <c r="AK55" s="213">
        <v>198</v>
      </c>
      <c r="AL55" s="213" t="s">
        <v>710</v>
      </c>
      <c r="AM55" s="213">
        <v>0</v>
      </c>
      <c r="AN55" s="213">
        <v>40</v>
      </c>
      <c r="AO55" s="213" t="s">
        <v>733</v>
      </c>
      <c r="AP55" s="213" t="s">
        <v>734</v>
      </c>
      <c r="AQ55" s="213">
        <v>1</v>
      </c>
      <c r="AR55" s="213" t="s">
        <v>798</v>
      </c>
      <c r="AS55" s="213">
        <v>24.8</v>
      </c>
      <c r="AT55" s="213">
        <v>414</v>
      </c>
      <c r="AU55" s="213" t="s">
        <v>710</v>
      </c>
      <c r="AV55" s="213">
        <v>-9999</v>
      </c>
      <c r="AW55" s="213">
        <v>267</v>
      </c>
      <c r="AX55" s="213">
        <v>666</v>
      </c>
      <c r="AY55" s="213">
        <v>263</v>
      </c>
      <c r="AZ55" s="213" t="s">
        <v>710</v>
      </c>
      <c r="BA55" s="213">
        <v>0</v>
      </c>
      <c r="BB55" s="213">
        <v>40</v>
      </c>
      <c r="BC55" s="213" t="s">
        <v>736</v>
      </c>
      <c r="BD55" s="213" t="s">
        <v>734</v>
      </c>
      <c r="BE55" s="213">
        <v>2</v>
      </c>
      <c r="BF55" s="213" t="s">
        <v>798</v>
      </c>
      <c r="BG55" s="213">
        <v>25.9</v>
      </c>
      <c r="BH55" s="213">
        <v>177</v>
      </c>
      <c r="BI55" s="213" t="s">
        <v>710</v>
      </c>
      <c r="BJ55" s="213">
        <v>-9999</v>
      </c>
      <c r="BK55" s="213">
        <v>106</v>
      </c>
      <c r="BL55" s="213">
        <v>324</v>
      </c>
      <c r="BM55" s="213">
        <v>105</v>
      </c>
      <c r="BN55" s="213" t="s">
        <v>710</v>
      </c>
      <c r="BO55" s="213">
        <v>0</v>
      </c>
      <c r="BP55" s="213">
        <v>40</v>
      </c>
      <c r="BQ55" s="213" t="s">
        <v>737</v>
      </c>
      <c r="BR55" s="213" t="s">
        <v>734</v>
      </c>
      <c r="BS55" s="213">
        <v>3</v>
      </c>
      <c r="BT55" s="213" t="s">
        <v>799</v>
      </c>
      <c r="BU55" s="213">
        <v>0</v>
      </c>
      <c r="BV55" s="213">
        <v>32</v>
      </c>
      <c r="BW55" s="213" t="s">
        <v>249</v>
      </c>
      <c r="BX55" s="213">
        <v>-9999</v>
      </c>
      <c r="BY55" s="213">
        <v>177</v>
      </c>
      <c r="BZ55" s="213">
        <v>426</v>
      </c>
      <c r="CA55" s="213">
        <v>177</v>
      </c>
      <c r="CB55" s="213" t="s">
        <v>710</v>
      </c>
      <c r="CC55" s="213">
        <v>0</v>
      </c>
      <c r="CD55" s="213">
        <v>40</v>
      </c>
      <c r="CE55" s="213" t="s">
        <v>738</v>
      </c>
      <c r="CF55" s="213" t="s">
        <v>734</v>
      </c>
      <c r="CG55" s="213">
        <v>4</v>
      </c>
      <c r="CH55" s="213" t="s">
        <v>798</v>
      </c>
      <c r="CI55" s="213">
        <v>23.6</v>
      </c>
      <c r="CJ55" s="213">
        <v>407</v>
      </c>
      <c r="CK55" s="213" t="s">
        <v>710</v>
      </c>
      <c r="CL55" s="213">
        <v>-9999</v>
      </c>
      <c r="CM55" s="213">
        <v>145</v>
      </c>
      <c r="CN55" s="213">
        <v>381</v>
      </c>
      <c r="CO55" s="213">
        <v>142</v>
      </c>
      <c r="CP55" s="213" t="s">
        <v>710</v>
      </c>
      <c r="CQ55" s="213">
        <v>0</v>
      </c>
      <c r="CR55" s="213">
        <v>40</v>
      </c>
      <c r="CS55" s="213" t="s">
        <v>739</v>
      </c>
      <c r="CT55" s="213" t="s">
        <v>740</v>
      </c>
      <c r="CU55" s="213">
        <v>120</v>
      </c>
      <c r="CV55" s="213">
        <v>120</v>
      </c>
      <c r="CW55" s="213">
        <v>120</v>
      </c>
      <c r="CX55" s="213" t="s">
        <v>710</v>
      </c>
      <c r="CY55" s="213" t="s">
        <v>741</v>
      </c>
      <c r="CZ55" s="213" t="s">
        <v>740</v>
      </c>
      <c r="DA55" s="213">
        <v>115</v>
      </c>
      <c r="DB55" s="213">
        <v>115</v>
      </c>
      <c r="DC55" s="213">
        <v>115</v>
      </c>
      <c r="DD55" s="213" t="s">
        <v>710</v>
      </c>
      <c r="DE55" s="213" t="s">
        <v>742</v>
      </c>
      <c r="DF55" s="213" t="s">
        <v>743</v>
      </c>
      <c r="DG55" s="213">
        <v>0</v>
      </c>
      <c r="DH55" s="213">
        <v>0</v>
      </c>
      <c r="DI55" s="213">
        <v>0</v>
      </c>
      <c r="DJ55" s="213" t="s">
        <v>249</v>
      </c>
      <c r="DK55" s="213">
        <v>69.400000000000006</v>
      </c>
      <c r="DL55" s="213">
        <v>53.5</v>
      </c>
      <c r="DM55" s="213" t="s">
        <v>744</v>
      </c>
      <c r="DN55" s="213" t="s">
        <v>743</v>
      </c>
      <c r="DO55" s="213">
        <v>0</v>
      </c>
      <c r="DP55" s="213">
        <v>0</v>
      </c>
      <c r="DQ55" s="213">
        <v>0</v>
      </c>
      <c r="DR55" s="213" t="s">
        <v>249</v>
      </c>
      <c r="DU55" s="213" t="s">
        <v>745</v>
      </c>
      <c r="DV55" s="213" t="s">
        <v>743</v>
      </c>
      <c r="DW55" s="213">
        <v>0</v>
      </c>
      <c r="DX55" s="213">
        <v>0</v>
      </c>
      <c r="DY55" s="213">
        <v>0</v>
      </c>
      <c r="DZ55" s="213" t="s">
        <v>249</v>
      </c>
      <c r="EC55" s="213" t="s">
        <v>746</v>
      </c>
      <c r="ED55" s="213" t="s">
        <v>743</v>
      </c>
      <c r="EE55" s="213">
        <v>0</v>
      </c>
      <c r="EF55" s="213">
        <v>0</v>
      </c>
      <c r="EG55" s="213">
        <v>0</v>
      </c>
      <c r="EH55" s="213" t="s">
        <v>249</v>
      </c>
      <c r="EK55" s="213" t="s">
        <v>747</v>
      </c>
      <c r="EL55" s="213" t="s">
        <v>743</v>
      </c>
      <c r="EM55" s="213">
        <v>0</v>
      </c>
      <c r="EN55" s="213">
        <v>0</v>
      </c>
      <c r="EO55" s="213">
        <v>0</v>
      </c>
      <c r="EP55" s="213" t="s">
        <v>249</v>
      </c>
      <c r="ES55" s="213" t="s">
        <v>748</v>
      </c>
      <c r="ET55" s="213" t="s">
        <v>743</v>
      </c>
      <c r="EU55" s="213">
        <v>0</v>
      </c>
      <c r="EV55" s="213">
        <v>0</v>
      </c>
      <c r="EW55" s="213">
        <v>0</v>
      </c>
      <c r="EX55" s="213" t="s">
        <v>249</v>
      </c>
      <c r="EY55" s="213">
        <v>69.900000000000006</v>
      </c>
      <c r="EZ55" s="213">
        <v>44.2</v>
      </c>
      <c r="FA55" s="213" t="s">
        <v>749</v>
      </c>
      <c r="FB55" s="213" t="s">
        <v>743</v>
      </c>
      <c r="FC55" s="213">
        <v>0</v>
      </c>
      <c r="FD55" s="213">
        <v>0</v>
      </c>
      <c r="FE55" s="213">
        <v>0</v>
      </c>
      <c r="FF55" s="213" t="s">
        <v>249</v>
      </c>
      <c r="FI55" s="213" t="s">
        <v>750</v>
      </c>
      <c r="FJ55" s="213" t="s">
        <v>743</v>
      </c>
      <c r="FK55" s="213">
        <v>0</v>
      </c>
      <c r="FL55" s="213">
        <v>0</v>
      </c>
      <c r="FM55" s="213">
        <v>0</v>
      </c>
      <c r="FN55" s="213" t="s">
        <v>249</v>
      </c>
      <c r="FO55" s="213">
        <v>73.5</v>
      </c>
      <c r="FP55" s="213">
        <v>174.6</v>
      </c>
      <c r="FQ55" s="213" t="s">
        <v>751</v>
      </c>
      <c r="FR55" s="213" t="s">
        <v>743</v>
      </c>
      <c r="FS55" s="213">
        <v>0</v>
      </c>
      <c r="FT55" s="213">
        <v>0</v>
      </c>
      <c r="FU55" s="213">
        <v>0</v>
      </c>
      <c r="FV55" s="213" t="s">
        <v>249</v>
      </c>
      <c r="FY55" s="213">
        <v>30.1</v>
      </c>
      <c r="FZ55" s="213">
        <v>-23.6</v>
      </c>
      <c r="GF55" s="213" t="s">
        <v>752</v>
      </c>
    </row>
    <row r="56" spans="1:188" s="213" customFormat="1" x14ac:dyDescent="0.15">
      <c r="A56" s="213" t="s">
        <v>654</v>
      </c>
      <c r="B56" s="213">
        <v>4</v>
      </c>
      <c r="C56" s="213" t="s">
        <v>1030</v>
      </c>
      <c r="D56" s="213">
        <v>614349857</v>
      </c>
      <c r="E56" s="213">
        <v>92303</v>
      </c>
      <c r="F56" s="213" t="s">
        <v>795</v>
      </c>
      <c r="G56" s="213">
        <v>839032</v>
      </c>
      <c r="H56" s="213">
        <v>210035802</v>
      </c>
      <c r="I56" s="213">
        <v>6.8</v>
      </c>
      <c r="J56" s="213" t="s">
        <v>1031</v>
      </c>
      <c r="K56" s="213" t="s">
        <v>727</v>
      </c>
      <c r="L56" s="213" t="s">
        <v>797</v>
      </c>
      <c r="M56" s="213" t="s">
        <v>728</v>
      </c>
      <c r="N56" s="213" t="s">
        <v>728</v>
      </c>
      <c r="O56" s="213" t="s">
        <v>729</v>
      </c>
      <c r="P56" s="213" t="s">
        <v>249</v>
      </c>
      <c r="Q56" s="213">
        <v>24</v>
      </c>
      <c r="R56" s="213">
        <v>170</v>
      </c>
      <c r="S56" s="213" t="s">
        <v>249</v>
      </c>
      <c r="T56" s="213">
        <v>-9999</v>
      </c>
      <c r="U56" s="213">
        <v>232</v>
      </c>
      <c r="V56" s="213">
        <v>496</v>
      </c>
      <c r="W56" s="213">
        <v>223</v>
      </c>
      <c r="X56" s="213" t="s">
        <v>710</v>
      </c>
      <c r="Y56" s="213">
        <v>0</v>
      </c>
      <c r="Z56" s="213">
        <v>40</v>
      </c>
      <c r="AA56" s="213" t="s">
        <v>730</v>
      </c>
      <c r="AB56" s="213" t="s">
        <v>731</v>
      </c>
      <c r="AC56" s="213" t="s">
        <v>729</v>
      </c>
      <c r="AD56" s="213" t="s">
        <v>249</v>
      </c>
      <c r="AE56" s="213">
        <v>26</v>
      </c>
      <c r="AF56" s="213">
        <v>131</v>
      </c>
      <c r="AG56" s="213" t="s">
        <v>249</v>
      </c>
      <c r="AH56" s="213">
        <v>-9999</v>
      </c>
      <c r="AI56" s="213">
        <v>185</v>
      </c>
      <c r="AJ56" s="213">
        <v>435</v>
      </c>
      <c r="AK56" s="213">
        <v>181</v>
      </c>
      <c r="AL56" s="213" t="s">
        <v>710</v>
      </c>
      <c r="AM56" s="213">
        <v>0</v>
      </c>
      <c r="AN56" s="213">
        <v>40</v>
      </c>
      <c r="AO56" s="213" t="s">
        <v>733</v>
      </c>
      <c r="AP56" s="213" t="s">
        <v>734</v>
      </c>
      <c r="AQ56" s="213">
        <v>1</v>
      </c>
      <c r="AR56" s="213" t="s">
        <v>798</v>
      </c>
      <c r="AS56" s="213">
        <v>23.3</v>
      </c>
      <c r="AT56" s="213">
        <v>448</v>
      </c>
      <c r="AU56" s="213" t="s">
        <v>710</v>
      </c>
      <c r="AV56" s="213">
        <v>-9999</v>
      </c>
      <c r="AW56" s="213">
        <v>238</v>
      </c>
      <c r="AX56" s="213">
        <v>588</v>
      </c>
      <c r="AY56" s="213">
        <v>235</v>
      </c>
      <c r="AZ56" s="213" t="s">
        <v>710</v>
      </c>
      <c r="BA56" s="213">
        <v>0</v>
      </c>
      <c r="BB56" s="213">
        <v>40</v>
      </c>
      <c r="BC56" s="213" t="s">
        <v>736</v>
      </c>
      <c r="BD56" s="213" t="s">
        <v>734</v>
      </c>
      <c r="BE56" s="213">
        <v>2</v>
      </c>
      <c r="BF56" s="213" t="s">
        <v>798</v>
      </c>
      <c r="BG56" s="213">
        <v>24.4</v>
      </c>
      <c r="BH56" s="213">
        <v>192</v>
      </c>
      <c r="BI56" s="213" t="s">
        <v>710</v>
      </c>
      <c r="BJ56" s="213">
        <v>-9999</v>
      </c>
      <c r="BK56" s="213">
        <v>108</v>
      </c>
      <c r="BL56" s="213">
        <v>330</v>
      </c>
      <c r="BM56" s="213">
        <v>106</v>
      </c>
      <c r="BN56" s="213" t="s">
        <v>710</v>
      </c>
      <c r="BO56" s="213">
        <v>0</v>
      </c>
      <c r="BP56" s="213">
        <v>40</v>
      </c>
      <c r="BQ56" s="213" t="s">
        <v>737</v>
      </c>
      <c r="BR56" s="213" t="s">
        <v>734</v>
      </c>
      <c r="BS56" s="213">
        <v>3</v>
      </c>
      <c r="BT56" s="213" t="s">
        <v>798</v>
      </c>
      <c r="BU56" s="213">
        <v>35.200000000000003</v>
      </c>
      <c r="BV56" s="213">
        <v>49</v>
      </c>
      <c r="BW56" s="213" t="s">
        <v>710</v>
      </c>
      <c r="BX56" s="213">
        <v>-9999</v>
      </c>
      <c r="BY56" s="213">
        <v>173</v>
      </c>
      <c r="BZ56" s="213">
        <v>408</v>
      </c>
      <c r="CA56" s="213">
        <v>172</v>
      </c>
      <c r="CB56" s="213" t="s">
        <v>710</v>
      </c>
      <c r="CC56" s="213">
        <v>0</v>
      </c>
      <c r="CD56" s="213">
        <v>40</v>
      </c>
      <c r="CE56" s="213" t="s">
        <v>738</v>
      </c>
      <c r="CF56" s="213" t="s">
        <v>734</v>
      </c>
      <c r="CG56" s="213">
        <v>4</v>
      </c>
      <c r="CH56" s="213" t="s">
        <v>798</v>
      </c>
      <c r="CI56" s="213">
        <v>22.2</v>
      </c>
      <c r="CJ56" s="213">
        <v>406</v>
      </c>
      <c r="CK56" s="213" t="s">
        <v>710</v>
      </c>
      <c r="CL56" s="213">
        <v>-9999</v>
      </c>
      <c r="CM56" s="213">
        <v>137</v>
      </c>
      <c r="CN56" s="213">
        <v>356</v>
      </c>
      <c r="CO56" s="213">
        <v>134</v>
      </c>
      <c r="CP56" s="213" t="s">
        <v>710</v>
      </c>
      <c r="CQ56" s="213">
        <v>0</v>
      </c>
      <c r="CR56" s="213">
        <v>40</v>
      </c>
      <c r="CS56" s="213" t="s">
        <v>739</v>
      </c>
      <c r="CT56" s="213" t="s">
        <v>740</v>
      </c>
      <c r="CU56" s="213">
        <v>102</v>
      </c>
      <c r="CV56" s="213">
        <v>102</v>
      </c>
      <c r="CW56" s="213">
        <v>102</v>
      </c>
      <c r="CX56" s="213" t="s">
        <v>710</v>
      </c>
      <c r="CY56" s="213" t="s">
        <v>741</v>
      </c>
      <c r="CZ56" s="213" t="s">
        <v>740</v>
      </c>
      <c r="DA56" s="213">
        <v>106</v>
      </c>
      <c r="DB56" s="213">
        <v>106</v>
      </c>
      <c r="DC56" s="213">
        <v>106</v>
      </c>
      <c r="DD56" s="213" t="s">
        <v>710</v>
      </c>
      <c r="DE56" s="213" t="s">
        <v>742</v>
      </c>
      <c r="DF56" s="213" t="s">
        <v>743</v>
      </c>
      <c r="DG56" s="213">
        <v>0</v>
      </c>
      <c r="DH56" s="213">
        <v>0</v>
      </c>
      <c r="DI56" s="213">
        <v>0</v>
      </c>
      <c r="DJ56" s="213" t="s">
        <v>249</v>
      </c>
      <c r="DK56" s="213">
        <v>69.400000000000006</v>
      </c>
      <c r="DL56" s="213">
        <v>50.5</v>
      </c>
      <c r="DM56" s="213" t="s">
        <v>744</v>
      </c>
      <c r="DN56" s="213" t="s">
        <v>743</v>
      </c>
      <c r="DO56" s="213">
        <v>0</v>
      </c>
      <c r="DP56" s="213">
        <v>0</v>
      </c>
      <c r="DQ56" s="213">
        <v>0</v>
      </c>
      <c r="DR56" s="213" t="s">
        <v>249</v>
      </c>
      <c r="DU56" s="213" t="s">
        <v>745</v>
      </c>
      <c r="DV56" s="213" t="s">
        <v>743</v>
      </c>
      <c r="DW56" s="213">
        <v>0</v>
      </c>
      <c r="DX56" s="213">
        <v>0</v>
      </c>
      <c r="DY56" s="213">
        <v>0</v>
      </c>
      <c r="DZ56" s="213" t="s">
        <v>249</v>
      </c>
      <c r="EC56" s="213" t="s">
        <v>746</v>
      </c>
      <c r="ED56" s="213" t="s">
        <v>743</v>
      </c>
      <c r="EE56" s="213">
        <v>0</v>
      </c>
      <c r="EF56" s="213">
        <v>0</v>
      </c>
      <c r="EG56" s="213">
        <v>0</v>
      </c>
      <c r="EH56" s="213" t="s">
        <v>249</v>
      </c>
      <c r="EK56" s="213" t="s">
        <v>747</v>
      </c>
      <c r="EL56" s="213" t="s">
        <v>743</v>
      </c>
      <c r="EM56" s="213">
        <v>0</v>
      </c>
      <c r="EN56" s="213">
        <v>0</v>
      </c>
      <c r="EO56" s="213">
        <v>0</v>
      </c>
      <c r="EP56" s="213" t="s">
        <v>249</v>
      </c>
      <c r="ES56" s="213" t="s">
        <v>748</v>
      </c>
      <c r="ET56" s="213" t="s">
        <v>743</v>
      </c>
      <c r="EU56" s="213">
        <v>0</v>
      </c>
      <c r="EV56" s="213">
        <v>0</v>
      </c>
      <c r="EW56" s="213">
        <v>0</v>
      </c>
      <c r="EX56" s="213" t="s">
        <v>249</v>
      </c>
      <c r="EY56" s="213">
        <v>70.099999999999994</v>
      </c>
      <c r="EZ56" s="213">
        <v>48.8</v>
      </c>
      <c r="FA56" s="213" t="s">
        <v>749</v>
      </c>
      <c r="FB56" s="213" t="s">
        <v>743</v>
      </c>
      <c r="FC56" s="213">
        <v>0</v>
      </c>
      <c r="FD56" s="213">
        <v>0</v>
      </c>
      <c r="FE56" s="213">
        <v>0</v>
      </c>
      <c r="FF56" s="213" t="s">
        <v>249</v>
      </c>
      <c r="FI56" s="213" t="s">
        <v>750</v>
      </c>
      <c r="FJ56" s="213" t="s">
        <v>743</v>
      </c>
      <c r="FK56" s="213">
        <v>0</v>
      </c>
      <c r="FL56" s="213">
        <v>0</v>
      </c>
      <c r="FM56" s="213">
        <v>0</v>
      </c>
      <c r="FN56" s="213" t="s">
        <v>249</v>
      </c>
      <c r="FO56" s="213">
        <v>73.599999999999994</v>
      </c>
      <c r="FP56" s="213">
        <v>156.80000000000001</v>
      </c>
      <c r="FQ56" s="213" t="s">
        <v>751</v>
      </c>
      <c r="FR56" s="213" t="s">
        <v>743</v>
      </c>
      <c r="FS56" s="213">
        <v>0</v>
      </c>
      <c r="FT56" s="213">
        <v>0</v>
      </c>
      <c r="FU56" s="213">
        <v>0</v>
      </c>
      <c r="FV56" s="213" t="s">
        <v>249</v>
      </c>
      <c r="FY56" s="213">
        <v>22.7</v>
      </c>
      <c r="FZ56" s="213">
        <v>-11.5</v>
      </c>
      <c r="GF56" s="213" t="s">
        <v>752</v>
      </c>
    </row>
    <row r="57" spans="1:188" s="213" customFormat="1" x14ac:dyDescent="0.15">
      <c r="A57" s="213" t="s">
        <v>654</v>
      </c>
      <c r="B57" s="213">
        <v>4</v>
      </c>
      <c r="C57" s="213" t="s">
        <v>1032</v>
      </c>
      <c r="D57" s="213">
        <v>614349093</v>
      </c>
      <c r="E57" s="213">
        <v>92303</v>
      </c>
      <c r="F57" s="213" t="s">
        <v>795</v>
      </c>
      <c r="G57" s="213">
        <v>839032</v>
      </c>
      <c r="H57" s="213">
        <v>880236</v>
      </c>
      <c r="I57" s="213">
        <v>6.8</v>
      </c>
      <c r="J57" s="213" t="s">
        <v>1033</v>
      </c>
      <c r="K57" s="213" t="s">
        <v>727</v>
      </c>
      <c r="L57" s="213" t="s">
        <v>797</v>
      </c>
      <c r="M57" s="213" t="s">
        <v>728</v>
      </c>
      <c r="N57" s="213" t="s">
        <v>728</v>
      </c>
      <c r="O57" s="213" t="s">
        <v>729</v>
      </c>
      <c r="P57" s="213" t="s">
        <v>249</v>
      </c>
      <c r="Q57" s="213">
        <v>23.1</v>
      </c>
      <c r="R57" s="213">
        <v>159</v>
      </c>
      <c r="S57" s="213" t="s">
        <v>249</v>
      </c>
      <c r="T57" s="213">
        <v>-9999</v>
      </c>
      <c r="U57" s="213">
        <v>174</v>
      </c>
      <c r="V57" s="213">
        <v>373</v>
      </c>
      <c r="W57" s="213">
        <v>164</v>
      </c>
      <c r="X57" s="213" t="s">
        <v>710</v>
      </c>
      <c r="Y57" s="213">
        <v>0</v>
      </c>
      <c r="Z57" s="213">
        <v>40</v>
      </c>
      <c r="AA57" s="213" t="s">
        <v>730</v>
      </c>
      <c r="AB57" s="213" t="s">
        <v>731</v>
      </c>
      <c r="AC57" s="213" t="s">
        <v>729</v>
      </c>
      <c r="AD57" s="213" t="s">
        <v>249</v>
      </c>
      <c r="AE57" s="213">
        <v>26.5</v>
      </c>
      <c r="AF57" s="213">
        <v>119</v>
      </c>
      <c r="AG57" s="213" t="s">
        <v>249</v>
      </c>
      <c r="AH57" s="213">
        <v>-9999</v>
      </c>
      <c r="AI57" s="213">
        <v>171</v>
      </c>
      <c r="AJ57" s="213">
        <v>410</v>
      </c>
      <c r="AK57" s="213">
        <v>167</v>
      </c>
      <c r="AL57" s="213" t="s">
        <v>710</v>
      </c>
      <c r="AM57" s="213">
        <v>0</v>
      </c>
      <c r="AN57" s="213">
        <v>40</v>
      </c>
      <c r="AO57" s="213" t="s">
        <v>733</v>
      </c>
      <c r="AP57" s="213" t="s">
        <v>734</v>
      </c>
      <c r="AQ57" s="213">
        <v>1</v>
      </c>
      <c r="AR57" s="213" t="s">
        <v>798</v>
      </c>
      <c r="AS57" s="213">
        <v>23.5</v>
      </c>
      <c r="AT57" s="213">
        <v>416</v>
      </c>
      <c r="AU57" s="213" t="s">
        <v>710</v>
      </c>
      <c r="AV57" s="213">
        <v>-9999</v>
      </c>
      <c r="AW57" s="213">
        <v>216</v>
      </c>
      <c r="AX57" s="213">
        <v>536</v>
      </c>
      <c r="AY57" s="213">
        <v>213</v>
      </c>
      <c r="AZ57" s="213" t="s">
        <v>710</v>
      </c>
      <c r="BA57" s="213">
        <v>0</v>
      </c>
      <c r="BB57" s="213">
        <v>40</v>
      </c>
      <c r="BC57" s="213" t="s">
        <v>736</v>
      </c>
      <c r="BD57" s="213" t="s">
        <v>734</v>
      </c>
      <c r="BE57" s="213">
        <v>2</v>
      </c>
      <c r="BF57" s="213" t="s">
        <v>798</v>
      </c>
      <c r="BG57" s="213">
        <v>24.6</v>
      </c>
      <c r="BH57" s="213">
        <v>179</v>
      </c>
      <c r="BI57" s="213" t="s">
        <v>710</v>
      </c>
      <c r="BJ57" s="213">
        <v>-9999</v>
      </c>
      <c r="BK57" s="213">
        <v>101</v>
      </c>
      <c r="BL57" s="213">
        <v>311</v>
      </c>
      <c r="BM57" s="213">
        <v>99</v>
      </c>
      <c r="BN57" s="213" t="s">
        <v>710</v>
      </c>
      <c r="BO57" s="213">
        <v>0</v>
      </c>
      <c r="BP57" s="213">
        <v>40</v>
      </c>
      <c r="BQ57" s="213" t="s">
        <v>737</v>
      </c>
      <c r="BR57" s="213" t="s">
        <v>734</v>
      </c>
      <c r="BS57" s="213">
        <v>3</v>
      </c>
      <c r="BT57" s="213" t="s">
        <v>799</v>
      </c>
      <c r="BU57" s="213">
        <v>0</v>
      </c>
      <c r="BV57" s="213">
        <v>30</v>
      </c>
      <c r="BW57" s="213" t="s">
        <v>249</v>
      </c>
      <c r="BX57" s="213">
        <v>-9999</v>
      </c>
      <c r="BY57" s="213">
        <v>154</v>
      </c>
      <c r="BZ57" s="213">
        <v>355</v>
      </c>
      <c r="CA57" s="213">
        <v>153</v>
      </c>
      <c r="CB57" s="213" t="s">
        <v>710</v>
      </c>
      <c r="CC57" s="213">
        <v>0</v>
      </c>
      <c r="CD57" s="213">
        <v>40</v>
      </c>
      <c r="CE57" s="213" t="s">
        <v>738</v>
      </c>
      <c r="CF57" s="213" t="s">
        <v>734</v>
      </c>
      <c r="CG57" s="213">
        <v>4</v>
      </c>
      <c r="CH57" s="213" t="s">
        <v>798</v>
      </c>
      <c r="CI57" s="213">
        <v>22.4</v>
      </c>
      <c r="CJ57" s="213">
        <v>364</v>
      </c>
      <c r="CK57" s="213" t="s">
        <v>710</v>
      </c>
      <c r="CL57" s="213">
        <v>-9999</v>
      </c>
      <c r="CM57" s="213">
        <v>129</v>
      </c>
      <c r="CN57" s="213">
        <v>339</v>
      </c>
      <c r="CO57" s="213">
        <v>127</v>
      </c>
      <c r="CP57" s="213" t="s">
        <v>710</v>
      </c>
      <c r="CQ57" s="213">
        <v>0</v>
      </c>
      <c r="CR57" s="213">
        <v>40</v>
      </c>
      <c r="CS57" s="213" t="s">
        <v>739</v>
      </c>
      <c r="CT57" s="213" t="s">
        <v>740</v>
      </c>
      <c r="CU57" s="213">
        <v>115</v>
      </c>
      <c r="CV57" s="213">
        <v>114</v>
      </c>
      <c r="CW57" s="213">
        <v>113</v>
      </c>
      <c r="CX57" s="213" t="s">
        <v>710</v>
      </c>
      <c r="CY57" s="213" t="s">
        <v>741</v>
      </c>
      <c r="CZ57" s="213" t="s">
        <v>740</v>
      </c>
      <c r="DA57" s="213">
        <v>111</v>
      </c>
      <c r="DB57" s="213">
        <v>110</v>
      </c>
      <c r="DC57" s="213">
        <v>110</v>
      </c>
      <c r="DD57" s="213" t="s">
        <v>710</v>
      </c>
      <c r="DE57" s="213" t="s">
        <v>742</v>
      </c>
      <c r="DF57" s="213" t="s">
        <v>743</v>
      </c>
      <c r="DG57" s="213">
        <v>0</v>
      </c>
      <c r="DH57" s="213">
        <v>0</v>
      </c>
      <c r="DI57" s="213">
        <v>0</v>
      </c>
      <c r="DJ57" s="213" t="s">
        <v>249</v>
      </c>
      <c r="DK57" s="213">
        <v>69.3</v>
      </c>
      <c r="DL57" s="213">
        <v>47.7</v>
      </c>
      <c r="DM57" s="213" t="s">
        <v>744</v>
      </c>
      <c r="DN57" s="213" t="s">
        <v>743</v>
      </c>
      <c r="DO57" s="213">
        <v>0</v>
      </c>
      <c r="DP57" s="213">
        <v>0</v>
      </c>
      <c r="DQ57" s="213">
        <v>0</v>
      </c>
      <c r="DR57" s="213" t="s">
        <v>249</v>
      </c>
      <c r="DU57" s="213" t="s">
        <v>745</v>
      </c>
      <c r="DV57" s="213" t="s">
        <v>743</v>
      </c>
      <c r="DW57" s="213">
        <v>0</v>
      </c>
      <c r="DX57" s="213">
        <v>0</v>
      </c>
      <c r="DY57" s="213">
        <v>0</v>
      </c>
      <c r="DZ57" s="213" t="s">
        <v>249</v>
      </c>
      <c r="EC57" s="213" t="s">
        <v>746</v>
      </c>
      <c r="ED57" s="213" t="s">
        <v>743</v>
      </c>
      <c r="EE57" s="213">
        <v>0</v>
      </c>
      <c r="EF57" s="213">
        <v>0</v>
      </c>
      <c r="EG57" s="213">
        <v>0</v>
      </c>
      <c r="EH57" s="213" t="s">
        <v>249</v>
      </c>
      <c r="EK57" s="213" t="s">
        <v>747</v>
      </c>
      <c r="EL57" s="213" t="s">
        <v>743</v>
      </c>
      <c r="EM57" s="213">
        <v>0</v>
      </c>
      <c r="EN57" s="213">
        <v>0</v>
      </c>
      <c r="EO57" s="213">
        <v>0</v>
      </c>
      <c r="EP57" s="213" t="s">
        <v>249</v>
      </c>
      <c r="ES57" s="213" t="s">
        <v>748</v>
      </c>
      <c r="ET57" s="213" t="s">
        <v>743</v>
      </c>
      <c r="EU57" s="213">
        <v>0</v>
      </c>
      <c r="EV57" s="213">
        <v>0</v>
      </c>
      <c r="EW57" s="213">
        <v>0</v>
      </c>
      <c r="EX57" s="213" t="s">
        <v>249</v>
      </c>
      <c r="EY57" s="213">
        <v>69.900000000000006</v>
      </c>
      <c r="EZ57" s="213">
        <v>40.1</v>
      </c>
      <c r="FA57" s="213" t="s">
        <v>749</v>
      </c>
      <c r="FB57" s="213" t="s">
        <v>743</v>
      </c>
      <c r="FC57" s="213">
        <v>0</v>
      </c>
      <c r="FD57" s="213">
        <v>0</v>
      </c>
      <c r="FE57" s="213">
        <v>0</v>
      </c>
      <c r="FF57" s="213" t="s">
        <v>249</v>
      </c>
      <c r="FI57" s="213" t="s">
        <v>750</v>
      </c>
      <c r="FJ57" s="213" t="s">
        <v>743</v>
      </c>
      <c r="FK57" s="213">
        <v>0</v>
      </c>
      <c r="FL57" s="213">
        <v>0</v>
      </c>
      <c r="FM57" s="213">
        <v>0</v>
      </c>
      <c r="FN57" s="213" t="s">
        <v>249</v>
      </c>
      <c r="FO57" s="213">
        <v>73.400000000000006</v>
      </c>
      <c r="FP57" s="213">
        <v>131.6</v>
      </c>
      <c r="FQ57" s="213" t="s">
        <v>751</v>
      </c>
      <c r="FR57" s="213" t="s">
        <v>743</v>
      </c>
      <c r="FS57" s="213">
        <v>0</v>
      </c>
      <c r="FT57" s="213">
        <v>0</v>
      </c>
      <c r="FU57" s="213">
        <v>0</v>
      </c>
      <c r="FV57" s="213" t="s">
        <v>249</v>
      </c>
      <c r="FY57" s="213">
        <v>31.3</v>
      </c>
      <c r="FZ57" s="213">
        <v>-15.6</v>
      </c>
      <c r="GF57" s="213" t="s">
        <v>752</v>
      </c>
    </row>
    <row r="58" spans="1:188" s="213" customFormat="1" x14ac:dyDescent="0.15">
      <c r="A58" s="213" t="s">
        <v>654</v>
      </c>
      <c r="B58" s="213">
        <v>4</v>
      </c>
      <c r="C58" s="213" t="s">
        <v>1054</v>
      </c>
      <c r="D58" s="213">
        <v>614384828</v>
      </c>
      <c r="E58" s="213">
        <v>92303</v>
      </c>
      <c r="F58" s="213" t="s">
        <v>795</v>
      </c>
      <c r="G58" s="213">
        <v>839032</v>
      </c>
      <c r="H58" s="213">
        <v>210018949</v>
      </c>
      <c r="I58" s="213">
        <v>6.8</v>
      </c>
      <c r="J58" s="213" t="s">
        <v>1055</v>
      </c>
      <c r="K58" s="213" t="s">
        <v>727</v>
      </c>
      <c r="L58" s="213" t="s">
        <v>797</v>
      </c>
      <c r="M58" s="213" t="s">
        <v>728</v>
      </c>
      <c r="N58" s="213" t="s">
        <v>728</v>
      </c>
      <c r="O58" s="213" t="s">
        <v>729</v>
      </c>
      <c r="P58" s="213" t="s">
        <v>249</v>
      </c>
      <c r="Q58" s="213">
        <v>24.9</v>
      </c>
      <c r="R58" s="213">
        <v>146</v>
      </c>
      <c r="S58" s="213" t="s">
        <v>249</v>
      </c>
      <c r="T58" s="213">
        <v>-9999</v>
      </c>
      <c r="U58" s="213">
        <v>199</v>
      </c>
      <c r="V58" s="213">
        <v>438</v>
      </c>
      <c r="W58" s="213">
        <v>195</v>
      </c>
      <c r="X58" s="213" t="s">
        <v>710</v>
      </c>
      <c r="Y58" s="213">
        <v>0</v>
      </c>
      <c r="Z58" s="213">
        <v>40</v>
      </c>
      <c r="AA58" s="213" t="s">
        <v>730</v>
      </c>
      <c r="AB58" s="213" t="s">
        <v>731</v>
      </c>
      <c r="AC58" s="213" t="s">
        <v>729</v>
      </c>
      <c r="AD58" s="213" t="s">
        <v>249</v>
      </c>
      <c r="AE58" s="213">
        <v>27.7</v>
      </c>
      <c r="AF58" s="213">
        <v>116</v>
      </c>
      <c r="AG58" s="213" t="s">
        <v>249</v>
      </c>
      <c r="AH58" s="213">
        <v>-9999</v>
      </c>
      <c r="AI58" s="213">
        <v>206</v>
      </c>
      <c r="AJ58" s="213">
        <v>487</v>
      </c>
      <c r="AK58" s="213">
        <v>203</v>
      </c>
      <c r="AL58" s="213" t="s">
        <v>710</v>
      </c>
      <c r="AM58" s="213">
        <v>0</v>
      </c>
      <c r="AN58" s="213">
        <v>40</v>
      </c>
      <c r="AO58" s="213" t="s">
        <v>733</v>
      </c>
      <c r="AP58" s="213" t="s">
        <v>734</v>
      </c>
      <c r="AQ58" s="213">
        <v>1</v>
      </c>
      <c r="AR58" s="213" t="s">
        <v>798</v>
      </c>
      <c r="AS58" s="213">
        <v>26</v>
      </c>
      <c r="AT58" s="213">
        <v>375</v>
      </c>
      <c r="AU58" s="213" t="s">
        <v>710</v>
      </c>
      <c r="AV58" s="213">
        <v>-9999</v>
      </c>
      <c r="AW58" s="213">
        <v>284</v>
      </c>
      <c r="AX58" s="213">
        <v>701</v>
      </c>
      <c r="AY58" s="213">
        <v>282</v>
      </c>
      <c r="AZ58" s="213" t="s">
        <v>710</v>
      </c>
      <c r="BA58" s="213">
        <v>0</v>
      </c>
      <c r="BB58" s="213">
        <v>40</v>
      </c>
      <c r="BC58" s="213" t="s">
        <v>736</v>
      </c>
      <c r="BD58" s="213" t="s">
        <v>734</v>
      </c>
      <c r="BE58" s="213">
        <v>2</v>
      </c>
      <c r="BF58" s="213" t="s">
        <v>798</v>
      </c>
      <c r="BG58" s="213">
        <v>26.9</v>
      </c>
      <c r="BH58" s="213">
        <v>168</v>
      </c>
      <c r="BI58" s="213" t="s">
        <v>710</v>
      </c>
      <c r="BJ58" s="213">
        <v>-9999</v>
      </c>
      <c r="BK58" s="213">
        <v>109</v>
      </c>
      <c r="BL58" s="213">
        <v>336</v>
      </c>
      <c r="BM58" s="213">
        <v>107</v>
      </c>
      <c r="BN58" s="213" t="s">
        <v>710</v>
      </c>
      <c r="BO58" s="213">
        <v>0</v>
      </c>
      <c r="BP58" s="213">
        <v>40</v>
      </c>
      <c r="BQ58" s="213" t="s">
        <v>737</v>
      </c>
      <c r="BR58" s="213" t="s">
        <v>734</v>
      </c>
      <c r="BS58" s="213">
        <v>3</v>
      </c>
      <c r="BT58" s="213" t="s">
        <v>799</v>
      </c>
      <c r="BU58" s="213">
        <v>0</v>
      </c>
      <c r="BV58" s="213">
        <v>24</v>
      </c>
      <c r="BW58" s="213" t="s">
        <v>249</v>
      </c>
      <c r="BX58" s="213">
        <v>-9999</v>
      </c>
      <c r="BY58" s="213">
        <v>149</v>
      </c>
      <c r="BZ58" s="213">
        <v>351</v>
      </c>
      <c r="CA58" s="213">
        <v>148</v>
      </c>
      <c r="CB58" s="213" t="s">
        <v>710</v>
      </c>
      <c r="CC58" s="213">
        <v>0</v>
      </c>
      <c r="CD58" s="213">
        <v>40</v>
      </c>
      <c r="CE58" s="213" t="s">
        <v>738</v>
      </c>
      <c r="CF58" s="213" t="s">
        <v>734</v>
      </c>
      <c r="CG58" s="213">
        <v>4</v>
      </c>
      <c r="CH58" s="213" t="s">
        <v>798</v>
      </c>
      <c r="CI58" s="213">
        <v>24.6</v>
      </c>
      <c r="CJ58" s="213">
        <v>373</v>
      </c>
      <c r="CK58" s="213" t="s">
        <v>710</v>
      </c>
      <c r="CL58" s="213">
        <v>-9999</v>
      </c>
      <c r="CM58" s="213">
        <v>134</v>
      </c>
      <c r="CN58" s="213">
        <v>351</v>
      </c>
      <c r="CO58" s="213">
        <v>132</v>
      </c>
      <c r="CP58" s="213" t="s">
        <v>710</v>
      </c>
      <c r="CQ58" s="213">
        <v>0</v>
      </c>
      <c r="CR58" s="213">
        <v>40</v>
      </c>
      <c r="CS58" s="213" t="s">
        <v>739</v>
      </c>
      <c r="CT58" s="213" t="s">
        <v>740</v>
      </c>
      <c r="CU58" s="213">
        <v>122</v>
      </c>
      <c r="CV58" s="213">
        <v>122</v>
      </c>
      <c r="CW58" s="213">
        <v>122</v>
      </c>
      <c r="CX58" s="213" t="s">
        <v>710</v>
      </c>
      <c r="CY58" s="213" t="s">
        <v>741</v>
      </c>
      <c r="CZ58" s="213" t="s">
        <v>740</v>
      </c>
      <c r="DA58" s="213">
        <v>106</v>
      </c>
      <c r="DB58" s="213">
        <v>106</v>
      </c>
      <c r="DC58" s="213">
        <v>106</v>
      </c>
      <c r="DD58" s="213" t="s">
        <v>710</v>
      </c>
      <c r="DE58" s="213" t="s">
        <v>742</v>
      </c>
      <c r="DF58" s="213" t="s">
        <v>743</v>
      </c>
      <c r="DG58" s="213">
        <v>0</v>
      </c>
      <c r="DH58" s="213">
        <v>0</v>
      </c>
      <c r="DI58" s="213">
        <v>0</v>
      </c>
      <c r="DJ58" s="213" t="s">
        <v>249</v>
      </c>
      <c r="DK58" s="213">
        <v>69.400000000000006</v>
      </c>
      <c r="DL58" s="213">
        <v>55.3</v>
      </c>
      <c r="DM58" s="213" t="s">
        <v>744</v>
      </c>
      <c r="DN58" s="213" t="s">
        <v>743</v>
      </c>
      <c r="DO58" s="213">
        <v>0</v>
      </c>
      <c r="DP58" s="213">
        <v>0</v>
      </c>
      <c r="DQ58" s="213">
        <v>0</v>
      </c>
      <c r="DR58" s="213" t="s">
        <v>249</v>
      </c>
      <c r="DU58" s="213" t="s">
        <v>745</v>
      </c>
      <c r="DV58" s="213" t="s">
        <v>743</v>
      </c>
      <c r="DW58" s="213">
        <v>0</v>
      </c>
      <c r="DX58" s="213">
        <v>0</v>
      </c>
      <c r="DY58" s="213">
        <v>0</v>
      </c>
      <c r="DZ58" s="213" t="s">
        <v>249</v>
      </c>
      <c r="EC58" s="213" t="s">
        <v>746</v>
      </c>
      <c r="ED58" s="213" t="s">
        <v>743</v>
      </c>
      <c r="EE58" s="213">
        <v>0</v>
      </c>
      <c r="EF58" s="213">
        <v>0</v>
      </c>
      <c r="EG58" s="213">
        <v>0</v>
      </c>
      <c r="EH58" s="213" t="s">
        <v>249</v>
      </c>
      <c r="EK58" s="213" t="s">
        <v>747</v>
      </c>
      <c r="EL58" s="213" t="s">
        <v>743</v>
      </c>
      <c r="EM58" s="213">
        <v>0</v>
      </c>
      <c r="EN58" s="213">
        <v>0</v>
      </c>
      <c r="EO58" s="213">
        <v>0</v>
      </c>
      <c r="EP58" s="213" t="s">
        <v>249</v>
      </c>
      <c r="ES58" s="213" t="s">
        <v>748</v>
      </c>
      <c r="ET58" s="213" t="s">
        <v>743</v>
      </c>
      <c r="EU58" s="213">
        <v>0</v>
      </c>
      <c r="EV58" s="213">
        <v>0</v>
      </c>
      <c r="EW58" s="213">
        <v>0</v>
      </c>
      <c r="EX58" s="213" t="s">
        <v>249</v>
      </c>
      <c r="EY58" s="213">
        <v>70.2</v>
      </c>
      <c r="EZ58" s="213">
        <v>47.6</v>
      </c>
      <c r="FA58" s="213" t="s">
        <v>749</v>
      </c>
      <c r="FB58" s="213" t="s">
        <v>743</v>
      </c>
      <c r="FC58" s="213">
        <v>0</v>
      </c>
      <c r="FD58" s="213">
        <v>0</v>
      </c>
      <c r="FE58" s="213">
        <v>0</v>
      </c>
      <c r="FF58" s="213" t="s">
        <v>249</v>
      </c>
      <c r="FI58" s="213" t="s">
        <v>750</v>
      </c>
      <c r="FJ58" s="213" t="s">
        <v>743</v>
      </c>
      <c r="FK58" s="213">
        <v>0</v>
      </c>
      <c r="FL58" s="213">
        <v>0</v>
      </c>
      <c r="FM58" s="213">
        <v>0</v>
      </c>
      <c r="FN58" s="213" t="s">
        <v>249</v>
      </c>
      <c r="FO58" s="213">
        <v>73.599999999999994</v>
      </c>
      <c r="FP58" s="213">
        <v>155.19999999999999</v>
      </c>
      <c r="FQ58" s="213" t="s">
        <v>751</v>
      </c>
      <c r="FR58" s="213" t="s">
        <v>743</v>
      </c>
      <c r="FS58" s="213">
        <v>0</v>
      </c>
      <c r="FT58" s="213">
        <v>0</v>
      </c>
      <c r="FU58" s="213">
        <v>0</v>
      </c>
      <c r="FV58" s="213" t="s">
        <v>249</v>
      </c>
      <c r="FY58" s="213">
        <v>17.600000000000001</v>
      </c>
      <c r="FZ58" s="213">
        <v>-7.7</v>
      </c>
      <c r="GF58" s="213" t="s">
        <v>752</v>
      </c>
    </row>
    <row r="59" spans="1:188" s="213" customFormat="1" x14ac:dyDescent="0.15">
      <c r="A59" s="213" t="s">
        <v>654</v>
      </c>
      <c r="B59" s="213">
        <v>4</v>
      </c>
      <c r="C59" s="213" t="s">
        <v>1056</v>
      </c>
      <c r="D59" s="213">
        <v>614384186</v>
      </c>
      <c r="E59" s="213">
        <v>92303</v>
      </c>
      <c r="F59" s="213" t="s">
        <v>795</v>
      </c>
      <c r="G59" s="213">
        <v>839032</v>
      </c>
      <c r="H59" s="213">
        <v>210019897</v>
      </c>
      <c r="I59" s="213">
        <v>6.8</v>
      </c>
      <c r="J59" s="213" t="s">
        <v>1057</v>
      </c>
      <c r="K59" s="213" t="s">
        <v>727</v>
      </c>
      <c r="L59" s="213" t="s">
        <v>797</v>
      </c>
      <c r="M59" s="213" t="s">
        <v>728</v>
      </c>
      <c r="N59" s="213" t="s">
        <v>728</v>
      </c>
      <c r="O59" s="213" t="s">
        <v>729</v>
      </c>
      <c r="P59" s="213" t="s">
        <v>249</v>
      </c>
      <c r="Q59" s="213">
        <v>25.2</v>
      </c>
      <c r="R59" s="213">
        <v>145</v>
      </c>
      <c r="S59" s="213" t="s">
        <v>249</v>
      </c>
      <c r="T59" s="213">
        <v>-9999</v>
      </c>
      <c r="U59" s="213">
        <v>197</v>
      </c>
      <c r="V59" s="213">
        <v>427</v>
      </c>
      <c r="W59" s="213">
        <v>189</v>
      </c>
      <c r="X59" s="213" t="s">
        <v>710</v>
      </c>
      <c r="Y59" s="213">
        <v>0</v>
      </c>
      <c r="Z59" s="213">
        <v>40</v>
      </c>
      <c r="AA59" s="213" t="s">
        <v>730</v>
      </c>
      <c r="AB59" s="213" t="s">
        <v>731</v>
      </c>
      <c r="AC59" s="213" t="s">
        <v>729</v>
      </c>
      <c r="AD59" s="213" t="s">
        <v>249</v>
      </c>
      <c r="AE59" s="213">
        <v>26.6</v>
      </c>
      <c r="AF59" s="213">
        <v>111</v>
      </c>
      <c r="AG59" s="213" t="s">
        <v>249</v>
      </c>
      <c r="AH59" s="213">
        <v>-9999</v>
      </c>
      <c r="AI59" s="213">
        <v>180</v>
      </c>
      <c r="AJ59" s="213">
        <v>427</v>
      </c>
      <c r="AK59" s="213">
        <v>176</v>
      </c>
      <c r="AL59" s="213" t="s">
        <v>710</v>
      </c>
      <c r="AM59" s="213">
        <v>0</v>
      </c>
      <c r="AN59" s="213">
        <v>40</v>
      </c>
      <c r="AO59" s="213" t="s">
        <v>733</v>
      </c>
      <c r="AP59" s="213" t="s">
        <v>734</v>
      </c>
      <c r="AQ59" s="213">
        <v>1</v>
      </c>
      <c r="AR59" s="213" t="s">
        <v>798</v>
      </c>
      <c r="AS59" s="213">
        <v>24.6</v>
      </c>
      <c r="AT59" s="213">
        <v>402</v>
      </c>
      <c r="AU59" s="213" t="s">
        <v>710</v>
      </c>
      <c r="AV59" s="213">
        <v>-9999</v>
      </c>
      <c r="AW59" s="213">
        <v>233</v>
      </c>
      <c r="AX59" s="213">
        <v>572</v>
      </c>
      <c r="AY59" s="213">
        <v>228</v>
      </c>
      <c r="AZ59" s="213" t="s">
        <v>710</v>
      </c>
      <c r="BA59" s="213">
        <v>0</v>
      </c>
      <c r="BB59" s="213">
        <v>40</v>
      </c>
      <c r="BC59" s="213" t="s">
        <v>736</v>
      </c>
      <c r="BD59" s="213" t="s">
        <v>734</v>
      </c>
      <c r="BE59" s="213">
        <v>2</v>
      </c>
      <c r="BF59" s="213" t="s">
        <v>798</v>
      </c>
      <c r="BG59" s="213">
        <v>25.8</v>
      </c>
      <c r="BH59" s="213">
        <v>166</v>
      </c>
      <c r="BI59" s="213" t="s">
        <v>710</v>
      </c>
      <c r="BJ59" s="213">
        <v>-9999</v>
      </c>
      <c r="BK59" s="213">
        <v>113</v>
      </c>
      <c r="BL59" s="213">
        <v>341</v>
      </c>
      <c r="BM59" s="213">
        <v>111</v>
      </c>
      <c r="BN59" s="213" t="s">
        <v>710</v>
      </c>
      <c r="BO59" s="213">
        <v>0</v>
      </c>
      <c r="BP59" s="213">
        <v>40</v>
      </c>
      <c r="BQ59" s="213" t="s">
        <v>737</v>
      </c>
      <c r="BR59" s="213" t="s">
        <v>734</v>
      </c>
      <c r="BS59" s="213">
        <v>3</v>
      </c>
      <c r="BT59" s="213" t="s">
        <v>799</v>
      </c>
      <c r="BU59" s="213">
        <v>0</v>
      </c>
      <c r="BV59" s="213">
        <v>33</v>
      </c>
      <c r="BW59" s="213" t="s">
        <v>249</v>
      </c>
      <c r="BX59" s="213">
        <v>-9999</v>
      </c>
      <c r="BY59" s="213">
        <v>178</v>
      </c>
      <c r="BZ59" s="213">
        <v>427</v>
      </c>
      <c r="CA59" s="213">
        <v>177</v>
      </c>
      <c r="CB59" s="213" t="s">
        <v>710</v>
      </c>
      <c r="CC59" s="213">
        <v>0</v>
      </c>
      <c r="CD59" s="213">
        <v>40</v>
      </c>
      <c r="CE59" s="213" t="s">
        <v>738</v>
      </c>
      <c r="CF59" s="213" t="s">
        <v>734</v>
      </c>
      <c r="CG59" s="213">
        <v>4</v>
      </c>
      <c r="CH59" s="213" t="s">
        <v>798</v>
      </c>
      <c r="CI59" s="213">
        <v>23</v>
      </c>
      <c r="CJ59" s="213">
        <v>395</v>
      </c>
      <c r="CK59" s="213" t="s">
        <v>710</v>
      </c>
      <c r="CL59" s="213">
        <v>-9999</v>
      </c>
      <c r="CM59" s="213">
        <v>149</v>
      </c>
      <c r="CN59" s="213">
        <v>385</v>
      </c>
      <c r="CO59" s="213">
        <v>145</v>
      </c>
      <c r="CP59" s="213" t="s">
        <v>710</v>
      </c>
      <c r="CQ59" s="213">
        <v>0</v>
      </c>
      <c r="CR59" s="213">
        <v>40</v>
      </c>
      <c r="CS59" s="213" t="s">
        <v>739</v>
      </c>
      <c r="CT59" s="213" t="s">
        <v>740</v>
      </c>
      <c r="CU59" s="213">
        <v>126</v>
      </c>
      <c r="CV59" s="213">
        <v>125</v>
      </c>
      <c r="CW59" s="213">
        <v>125</v>
      </c>
      <c r="CX59" s="213" t="s">
        <v>710</v>
      </c>
      <c r="CY59" s="213" t="s">
        <v>741</v>
      </c>
      <c r="CZ59" s="213" t="s">
        <v>740</v>
      </c>
      <c r="DA59" s="213">
        <v>114</v>
      </c>
      <c r="DB59" s="213">
        <v>114</v>
      </c>
      <c r="DC59" s="213">
        <v>114</v>
      </c>
      <c r="DD59" s="213" t="s">
        <v>710</v>
      </c>
      <c r="DE59" s="213" t="s">
        <v>742</v>
      </c>
      <c r="DF59" s="213" t="s">
        <v>743</v>
      </c>
      <c r="DG59" s="213">
        <v>0</v>
      </c>
      <c r="DH59" s="213">
        <v>0</v>
      </c>
      <c r="DI59" s="213">
        <v>0</v>
      </c>
      <c r="DJ59" s="213" t="s">
        <v>249</v>
      </c>
      <c r="DK59" s="213">
        <v>69.3</v>
      </c>
      <c r="DL59" s="213">
        <v>53.5</v>
      </c>
      <c r="DM59" s="213" t="s">
        <v>744</v>
      </c>
      <c r="DN59" s="213" t="s">
        <v>743</v>
      </c>
      <c r="DO59" s="213">
        <v>0</v>
      </c>
      <c r="DP59" s="213">
        <v>0</v>
      </c>
      <c r="DQ59" s="213">
        <v>0</v>
      </c>
      <c r="DR59" s="213" t="s">
        <v>249</v>
      </c>
      <c r="DU59" s="213" t="s">
        <v>745</v>
      </c>
      <c r="DV59" s="213" t="s">
        <v>743</v>
      </c>
      <c r="DW59" s="213">
        <v>0</v>
      </c>
      <c r="DX59" s="213">
        <v>0</v>
      </c>
      <c r="DY59" s="213">
        <v>0</v>
      </c>
      <c r="DZ59" s="213" t="s">
        <v>249</v>
      </c>
      <c r="EC59" s="213" t="s">
        <v>746</v>
      </c>
      <c r="ED59" s="213" t="s">
        <v>743</v>
      </c>
      <c r="EE59" s="213">
        <v>0</v>
      </c>
      <c r="EF59" s="213">
        <v>0</v>
      </c>
      <c r="EG59" s="213">
        <v>0</v>
      </c>
      <c r="EH59" s="213" t="s">
        <v>249</v>
      </c>
      <c r="EK59" s="213" t="s">
        <v>747</v>
      </c>
      <c r="EL59" s="213" t="s">
        <v>743</v>
      </c>
      <c r="EM59" s="213">
        <v>0</v>
      </c>
      <c r="EN59" s="213">
        <v>0</v>
      </c>
      <c r="EO59" s="213">
        <v>0</v>
      </c>
      <c r="EP59" s="213" t="s">
        <v>249</v>
      </c>
      <c r="ES59" s="213" t="s">
        <v>748</v>
      </c>
      <c r="ET59" s="213" t="s">
        <v>743</v>
      </c>
      <c r="EU59" s="213">
        <v>0</v>
      </c>
      <c r="EV59" s="213">
        <v>0</v>
      </c>
      <c r="EW59" s="213">
        <v>0</v>
      </c>
      <c r="EX59" s="213" t="s">
        <v>249</v>
      </c>
      <c r="EY59" s="213">
        <v>69.900000000000006</v>
      </c>
      <c r="EZ59" s="213">
        <v>49.2</v>
      </c>
      <c r="FA59" s="213" t="s">
        <v>749</v>
      </c>
      <c r="FB59" s="213" t="s">
        <v>743</v>
      </c>
      <c r="FC59" s="213">
        <v>0</v>
      </c>
      <c r="FD59" s="213">
        <v>0</v>
      </c>
      <c r="FE59" s="213">
        <v>0</v>
      </c>
      <c r="FF59" s="213" t="s">
        <v>249</v>
      </c>
      <c r="FI59" s="213" t="s">
        <v>750</v>
      </c>
      <c r="FJ59" s="213" t="s">
        <v>743</v>
      </c>
      <c r="FK59" s="213">
        <v>0</v>
      </c>
      <c r="FL59" s="213">
        <v>0</v>
      </c>
      <c r="FM59" s="213">
        <v>0</v>
      </c>
      <c r="FN59" s="213" t="s">
        <v>249</v>
      </c>
      <c r="FO59" s="213">
        <v>73.400000000000006</v>
      </c>
      <c r="FP59" s="213">
        <v>162.69999999999999</v>
      </c>
      <c r="FQ59" s="213" t="s">
        <v>751</v>
      </c>
      <c r="FR59" s="213" t="s">
        <v>743</v>
      </c>
      <c r="FS59" s="213">
        <v>0</v>
      </c>
      <c r="FT59" s="213">
        <v>0</v>
      </c>
      <c r="FU59" s="213">
        <v>0</v>
      </c>
      <c r="FV59" s="213" t="s">
        <v>249</v>
      </c>
      <c r="FY59" s="213">
        <v>18.8</v>
      </c>
      <c r="FZ59" s="213">
        <v>-8.8000000000000007</v>
      </c>
      <c r="GF59" s="213" t="s">
        <v>752</v>
      </c>
    </row>
    <row r="60" spans="1:188" s="213" customFormat="1" x14ac:dyDescent="0.15">
      <c r="A60" s="213" t="s">
        <v>654</v>
      </c>
      <c r="B60" s="213">
        <v>4</v>
      </c>
      <c r="C60" s="213" t="s">
        <v>1058</v>
      </c>
      <c r="D60" s="213">
        <v>614352594</v>
      </c>
      <c r="E60" s="213">
        <v>92303</v>
      </c>
      <c r="F60" s="213" t="s">
        <v>795</v>
      </c>
      <c r="G60" s="213">
        <v>839032</v>
      </c>
      <c r="H60" s="213">
        <v>730217</v>
      </c>
      <c r="I60" s="213">
        <v>6.8</v>
      </c>
      <c r="J60" s="213" t="s">
        <v>1059</v>
      </c>
      <c r="K60" s="213" t="s">
        <v>727</v>
      </c>
      <c r="L60" s="213" t="s">
        <v>797</v>
      </c>
      <c r="M60" s="213" t="s">
        <v>728</v>
      </c>
      <c r="N60" s="213" t="s">
        <v>728</v>
      </c>
      <c r="O60" s="213" t="s">
        <v>729</v>
      </c>
      <c r="P60" s="213" t="s">
        <v>249</v>
      </c>
      <c r="Q60" s="213">
        <v>24.6</v>
      </c>
      <c r="R60" s="213">
        <v>143</v>
      </c>
      <c r="S60" s="213" t="s">
        <v>249</v>
      </c>
      <c r="T60" s="213">
        <v>-9999</v>
      </c>
      <c r="U60" s="213">
        <v>248</v>
      </c>
      <c r="V60" s="213">
        <v>524</v>
      </c>
      <c r="W60" s="213">
        <v>243</v>
      </c>
      <c r="X60" s="213" t="s">
        <v>710</v>
      </c>
      <c r="Y60" s="213">
        <v>0</v>
      </c>
      <c r="Z60" s="213">
        <v>40</v>
      </c>
      <c r="AA60" s="213" t="s">
        <v>730</v>
      </c>
      <c r="AB60" s="213" t="s">
        <v>731</v>
      </c>
      <c r="AC60" s="213" t="s">
        <v>729</v>
      </c>
      <c r="AD60" s="213" t="s">
        <v>249</v>
      </c>
      <c r="AE60" s="213">
        <v>28</v>
      </c>
      <c r="AF60" s="213">
        <v>115</v>
      </c>
      <c r="AG60" s="213" t="s">
        <v>249</v>
      </c>
      <c r="AH60" s="213">
        <v>-9999</v>
      </c>
      <c r="AI60" s="213">
        <v>207</v>
      </c>
      <c r="AJ60" s="213">
        <v>488</v>
      </c>
      <c r="AK60" s="213">
        <v>204</v>
      </c>
      <c r="AL60" s="213" t="s">
        <v>710</v>
      </c>
      <c r="AM60" s="213">
        <v>0</v>
      </c>
      <c r="AN60" s="213">
        <v>40</v>
      </c>
      <c r="AO60" s="213" t="s">
        <v>733</v>
      </c>
      <c r="AP60" s="213" t="s">
        <v>734</v>
      </c>
      <c r="AQ60" s="213">
        <v>1</v>
      </c>
      <c r="AR60" s="213" t="s">
        <v>798</v>
      </c>
      <c r="AS60" s="213">
        <v>25.7</v>
      </c>
      <c r="AT60" s="213">
        <v>383</v>
      </c>
      <c r="AU60" s="213" t="s">
        <v>710</v>
      </c>
      <c r="AV60" s="213">
        <v>-9999</v>
      </c>
      <c r="AW60" s="213">
        <v>278</v>
      </c>
      <c r="AX60" s="213">
        <v>681</v>
      </c>
      <c r="AY60" s="213">
        <v>275</v>
      </c>
      <c r="AZ60" s="213" t="s">
        <v>710</v>
      </c>
      <c r="BA60" s="213">
        <v>0</v>
      </c>
      <c r="BB60" s="213">
        <v>40</v>
      </c>
      <c r="BC60" s="213" t="s">
        <v>736</v>
      </c>
      <c r="BD60" s="213" t="s">
        <v>734</v>
      </c>
      <c r="BE60" s="213">
        <v>2</v>
      </c>
      <c r="BF60" s="213" t="s">
        <v>798</v>
      </c>
      <c r="BG60" s="213">
        <v>26.7</v>
      </c>
      <c r="BH60" s="213">
        <v>173</v>
      </c>
      <c r="BI60" s="213" t="s">
        <v>710</v>
      </c>
      <c r="BJ60" s="213">
        <v>-9999</v>
      </c>
      <c r="BK60" s="213">
        <v>98</v>
      </c>
      <c r="BL60" s="213">
        <v>325</v>
      </c>
      <c r="BM60" s="213">
        <v>96</v>
      </c>
      <c r="BN60" s="213" t="s">
        <v>710</v>
      </c>
      <c r="BO60" s="213">
        <v>0</v>
      </c>
      <c r="BP60" s="213">
        <v>40</v>
      </c>
      <c r="BQ60" s="213" t="s">
        <v>737</v>
      </c>
      <c r="BR60" s="213" t="s">
        <v>734</v>
      </c>
      <c r="BS60" s="213">
        <v>3</v>
      </c>
      <c r="BT60" s="213" t="s">
        <v>799</v>
      </c>
      <c r="BU60" s="213">
        <v>0</v>
      </c>
      <c r="BV60" s="213">
        <v>18</v>
      </c>
      <c r="BW60" s="213" t="s">
        <v>249</v>
      </c>
      <c r="BX60" s="213">
        <v>-9999</v>
      </c>
      <c r="BY60" s="213">
        <v>157</v>
      </c>
      <c r="BZ60" s="213">
        <v>371</v>
      </c>
      <c r="CA60" s="213">
        <v>155</v>
      </c>
      <c r="CB60" s="213" t="s">
        <v>710</v>
      </c>
      <c r="CC60" s="213">
        <v>0</v>
      </c>
      <c r="CD60" s="213">
        <v>40</v>
      </c>
      <c r="CE60" s="213" t="s">
        <v>738</v>
      </c>
      <c r="CF60" s="213" t="s">
        <v>734</v>
      </c>
      <c r="CG60" s="213">
        <v>4</v>
      </c>
      <c r="CH60" s="213" t="s">
        <v>798</v>
      </c>
      <c r="CI60" s="213">
        <v>24.6</v>
      </c>
      <c r="CJ60" s="213">
        <v>375</v>
      </c>
      <c r="CK60" s="213" t="s">
        <v>710</v>
      </c>
      <c r="CL60" s="213">
        <v>-9999</v>
      </c>
      <c r="CM60" s="213">
        <v>145</v>
      </c>
      <c r="CN60" s="213">
        <v>382</v>
      </c>
      <c r="CO60" s="213">
        <v>142</v>
      </c>
      <c r="CP60" s="213" t="s">
        <v>710</v>
      </c>
      <c r="CQ60" s="213">
        <v>0</v>
      </c>
      <c r="CR60" s="213">
        <v>40</v>
      </c>
      <c r="CS60" s="213" t="s">
        <v>739</v>
      </c>
      <c r="CT60" s="213" t="s">
        <v>740</v>
      </c>
      <c r="CU60" s="213">
        <v>112</v>
      </c>
      <c r="CV60" s="213">
        <v>112</v>
      </c>
      <c r="CW60" s="213">
        <v>112</v>
      </c>
      <c r="CX60" s="213" t="s">
        <v>710</v>
      </c>
      <c r="CY60" s="213" t="s">
        <v>741</v>
      </c>
      <c r="CZ60" s="213" t="s">
        <v>740</v>
      </c>
      <c r="DA60" s="213">
        <v>100</v>
      </c>
      <c r="DB60" s="213">
        <v>99</v>
      </c>
      <c r="DC60" s="213">
        <v>99</v>
      </c>
      <c r="DD60" s="213" t="s">
        <v>710</v>
      </c>
      <c r="DE60" s="213" t="s">
        <v>742</v>
      </c>
      <c r="DF60" s="213" t="s">
        <v>743</v>
      </c>
      <c r="DG60" s="213">
        <v>0</v>
      </c>
      <c r="DH60" s="213">
        <v>0</v>
      </c>
      <c r="DI60" s="213">
        <v>0</v>
      </c>
      <c r="DJ60" s="213" t="s">
        <v>249</v>
      </c>
      <c r="DK60" s="213">
        <v>69.5</v>
      </c>
      <c r="DL60" s="213">
        <v>48.2</v>
      </c>
      <c r="DM60" s="213" t="s">
        <v>744</v>
      </c>
      <c r="DN60" s="213" t="s">
        <v>743</v>
      </c>
      <c r="DO60" s="213">
        <v>0</v>
      </c>
      <c r="DP60" s="213">
        <v>0</v>
      </c>
      <c r="DQ60" s="213">
        <v>0</v>
      </c>
      <c r="DR60" s="213" t="s">
        <v>249</v>
      </c>
      <c r="DU60" s="213" t="s">
        <v>745</v>
      </c>
      <c r="DV60" s="213" t="s">
        <v>743</v>
      </c>
      <c r="DW60" s="213">
        <v>0</v>
      </c>
      <c r="DX60" s="213">
        <v>0</v>
      </c>
      <c r="DY60" s="213">
        <v>0</v>
      </c>
      <c r="DZ60" s="213" t="s">
        <v>249</v>
      </c>
      <c r="EC60" s="213" t="s">
        <v>746</v>
      </c>
      <c r="ED60" s="213" t="s">
        <v>743</v>
      </c>
      <c r="EE60" s="213">
        <v>0</v>
      </c>
      <c r="EF60" s="213">
        <v>0</v>
      </c>
      <c r="EG60" s="213">
        <v>0</v>
      </c>
      <c r="EH60" s="213" t="s">
        <v>249</v>
      </c>
      <c r="EK60" s="213" t="s">
        <v>747</v>
      </c>
      <c r="EL60" s="213" t="s">
        <v>743</v>
      </c>
      <c r="EM60" s="213">
        <v>0</v>
      </c>
      <c r="EN60" s="213">
        <v>0</v>
      </c>
      <c r="EO60" s="213">
        <v>0</v>
      </c>
      <c r="EP60" s="213" t="s">
        <v>249</v>
      </c>
      <c r="ES60" s="213" t="s">
        <v>748</v>
      </c>
      <c r="ET60" s="213" t="s">
        <v>743</v>
      </c>
      <c r="EU60" s="213">
        <v>0</v>
      </c>
      <c r="EV60" s="213">
        <v>0</v>
      </c>
      <c r="EW60" s="213">
        <v>0</v>
      </c>
      <c r="EX60" s="213" t="s">
        <v>249</v>
      </c>
      <c r="EY60" s="213">
        <v>70</v>
      </c>
      <c r="EZ60" s="213">
        <v>34.799999999999997</v>
      </c>
      <c r="FA60" s="213" t="s">
        <v>749</v>
      </c>
      <c r="FB60" s="213" t="s">
        <v>743</v>
      </c>
      <c r="FC60" s="213">
        <v>0</v>
      </c>
      <c r="FD60" s="213">
        <v>0</v>
      </c>
      <c r="FE60" s="213">
        <v>0</v>
      </c>
      <c r="FF60" s="213" t="s">
        <v>249</v>
      </c>
      <c r="FI60" s="213" t="s">
        <v>750</v>
      </c>
      <c r="FJ60" s="213" t="s">
        <v>743</v>
      </c>
      <c r="FK60" s="213">
        <v>0</v>
      </c>
      <c r="FL60" s="213">
        <v>0</v>
      </c>
      <c r="FM60" s="213">
        <v>0</v>
      </c>
      <c r="FN60" s="213" t="s">
        <v>249</v>
      </c>
      <c r="FO60" s="213">
        <v>73.599999999999994</v>
      </c>
      <c r="FP60" s="213">
        <v>159.5</v>
      </c>
      <c r="FQ60" s="213" t="s">
        <v>751</v>
      </c>
      <c r="FR60" s="213" t="s">
        <v>743</v>
      </c>
      <c r="FS60" s="213">
        <v>0</v>
      </c>
      <c r="FT60" s="213">
        <v>0</v>
      </c>
      <c r="FU60" s="213">
        <v>0</v>
      </c>
      <c r="FV60" s="213" t="s">
        <v>249</v>
      </c>
      <c r="FY60" s="213">
        <v>21.8</v>
      </c>
      <c r="FZ60" s="213">
        <v>-12.5</v>
      </c>
      <c r="GF60" s="213" t="s">
        <v>752</v>
      </c>
    </row>
    <row r="61" spans="1:188" s="213" customFormat="1" x14ac:dyDescent="0.15">
      <c r="A61" s="213" t="s">
        <v>654</v>
      </c>
      <c r="B61" s="213">
        <v>4</v>
      </c>
      <c r="C61" s="213" t="s">
        <v>1207</v>
      </c>
      <c r="D61" s="213">
        <v>614382746</v>
      </c>
      <c r="E61" s="213">
        <v>92303</v>
      </c>
      <c r="F61" s="213" t="s">
        <v>795</v>
      </c>
      <c r="G61" s="213">
        <v>839032</v>
      </c>
      <c r="H61" s="213">
        <v>690802</v>
      </c>
      <c r="I61" s="213">
        <v>6.8</v>
      </c>
      <c r="J61" s="213" t="s">
        <v>1060</v>
      </c>
      <c r="K61" s="213" t="s">
        <v>727</v>
      </c>
      <c r="L61" s="213" t="s">
        <v>797</v>
      </c>
      <c r="M61" s="213" t="s">
        <v>728</v>
      </c>
      <c r="N61" s="213" t="s">
        <v>728</v>
      </c>
      <c r="O61" s="213" t="s">
        <v>729</v>
      </c>
      <c r="P61" s="213" t="s">
        <v>249</v>
      </c>
      <c r="Q61" s="213">
        <v>24.7</v>
      </c>
      <c r="R61" s="213">
        <v>155</v>
      </c>
      <c r="S61" s="213" t="s">
        <v>249</v>
      </c>
      <c r="T61" s="213">
        <v>-9999</v>
      </c>
      <c r="U61" s="213">
        <v>236</v>
      </c>
      <c r="V61" s="213">
        <v>499</v>
      </c>
      <c r="W61" s="213">
        <v>231</v>
      </c>
      <c r="X61" s="213" t="s">
        <v>710</v>
      </c>
      <c r="Y61" s="213">
        <v>0</v>
      </c>
      <c r="Z61" s="213">
        <v>40</v>
      </c>
      <c r="AA61" s="213" t="s">
        <v>730</v>
      </c>
      <c r="AB61" s="213" t="s">
        <v>731</v>
      </c>
      <c r="AC61" s="213" t="s">
        <v>729</v>
      </c>
      <c r="AD61" s="213" t="s">
        <v>249</v>
      </c>
      <c r="AE61" s="213">
        <v>26.4</v>
      </c>
      <c r="AF61" s="213">
        <v>123</v>
      </c>
      <c r="AG61" s="213" t="s">
        <v>249</v>
      </c>
      <c r="AH61" s="213">
        <v>-9999</v>
      </c>
      <c r="AI61" s="213">
        <v>224</v>
      </c>
      <c r="AJ61" s="213">
        <v>526</v>
      </c>
      <c r="AK61" s="213">
        <v>221</v>
      </c>
      <c r="AL61" s="213" t="s">
        <v>710</v>
      </c>
      <c r="AM61" s="213">
        <v>0</v>
      </c>
      <c r="AN61" s="213">
        <v>40</v>
      </c>
      <c r="AO61" s="213" t="s">
        <v>733</v>
      </c>
      <c r="AP61" s="213" t="s">
        <v>734</v>
      </c>
      <c r="AQ61" s="213">
        <v>1</v>
      </c>
      <c r="AR61" s="213" t="s">
        <v>798</v>
      </c>
      <c r="AS61" s="213">
        <v>23.5</v>
      </c>
      <c r="AT61" s="213">
        <v>439</v>
      </c>
      <c r="AU61" s="213" t="s">
        <v>710</v>
      </c>
      <c r="AV61" s="213">
        <v>-9999</v>
      </c>
      <c r="AW61" s="213">
        <v>292</v>
      </c>
      <c r="AX61" s="213">
        <v>716</v>
      </c>
      <c r="AY61" s="213">
        <v>288</v>
      </c>
      <c r="AZ61" s="213" t="s">
        <v>710</v>
      </c>
      <c r="BA61" s="213">
        <v>0</v>
      </c>
      <c r="BB61" s="213">
        <v>40</v>
      </c>
      <c r="BC61" s="213" t="s">
        <v>736</v>
      </c>
      <c r="BD61" s="213" t="s">
        <v>734</v>
      </c>
      <c r="BE61" s="213">
        <v>2</v>
      </c>
      <c r="BF61" s="213" t="s">
        <v>798</v>
      </c>
      <c r="BG61" s="213">
        <v>24.7</v>
      </c>
      <c r="BH61" s="213">
        <v>185</v>
      </c>
      <c r="BI61" s="213" t="s">
        <v>710</v>
      </c>
      <c r="BJ61" s="213">
        <v>-9999</v>
      </c>
      <c r="BK61" s="213">
        <v>118</v>
      </c>
      <c r="BL61" s="213">
        <v>353</v>
      </c>
      <c r="BM61" s="213">
        <v>116</v>
      </c>
      <c r="BN61" s="213" t="s">
        <v>710</v>
      </c>
      <c r="BO61" s="213">
        <v>0</v>
      </c>
      <c r="BP61" s="213">
        <v>40</v>
      </c>
      <c r="BQ61" s="213" t="s">
        <v>737</v>
      </c>
      <c r="BR61" s="213" t="s">
        <v>734</v>
      </c>
      <c r="BS61" s="213">
        <v>3</v>
      </c>
      <c r="BT61" s="213" t="s">
        <v>799</v>
      </c>
      <c r="BU61" s="213">
        <v>0</v>
      </c>
      <c r="BV61" s="213">
        <v>36</v>
      </c>
      <c r="BW61" s="213" t="s">
        <v>249</v>
      </c>
      <c r="BX61" s="213">
        <v>-9999</v>
      </c>
      <c r="BY61" s="213">
        <v>177</v>
      </c>
      <c r="BZ61" s="213">
        <v>412</v>
      </c>
      <c r="CA61" s="213">
        <v>176</v>
      </c>
      <c r="CB61" s="213" t="s">
        <v>710</v>
      </c>
      <c r="CC61" s="213">
        <v>0</v>
      </c>
      <c r="CD61" s="213">
        <v>40</v>
      </c>
      <c r="CE61" s="213" t="s">
        <v>738</v>
      </c>
      <c r="CF61" s="213" t="s">
        <v>734</v>
      </c>
      <c r="CG61" s="213">
        <v>4</v>
      </c>
      <c r="CH61" s="213" t="s">
        <v>798</v>
      </c>
      <c r="CI61" s="213">
        <v>22.4</v>
      </c>
      <c r="CJ61" s="213">
        <v>414</v>
      </c>
      <c r="CK61" s="213" t="s">
        <v>710</v>
      </c>
      <c r="CL61" s="213">
        <v>-9999</v>
      </c>
      <c r="CM61" s="213">
        <v>147</v>
      </c>
      <c r="CN61" s="213">
        <v>387</v>
      </c>
      <c r="CO61" s="213">
        <v>144</v>
      </c>
      <c r="CP61" s="213" t="s">
        <v>710</v>
      </c>
      <c r="CQ61" s="213">
        <v>0</v>
      </c>
      <c r="CR61" s="213">
        <v>40</v>
      </c>
      <c r="CS61" s="213" t="s">
        <v>739</v>
      </c>
      <c r="CT61" s="213" t="s">
        <v>740</v>
      </c>
      <c r="CU61" s="213">
        <v>121</v>
      </c>
      <c r="CV61" s="213">
        <v>121</v>
      </c>
      <c r="CW61" s="213">
        <v>120</v>
      </c>
      <c r="CX61" s="213" t="s">
        <v>710</v>
      </c>
      <c r="CY61" s="213" t="s">
        <v>741</v>
      </c>
      <c r="CZ61" s="213" t="s">
        <v>740</v>
      </c>
      <c r="DA61" s="213">
        <v>120</v>
      </c>
      <c r="DB61" s="213">
        <v>119</v>
      </c>
      <c r="DC61" s="213">
        <v>119</v>
      </c>
      <c r="DD61" s="213" t="s">
        <v>710</v>
      </c>
      <c r="DE61" s="213" t="s">
        <v>742</v>
      </c>
      <c r="DF61" s="213" t="s">
        <v>743</v>
      </c>
      <c r="DG61" s="213">
        <v>0</v>
      </c>
      <c r="DH61" s="213">
        <v>0</v>
      </c>
      <c r="DI61" s="213">
        <v>0</v>
      </c>
      <c r="DJ61" s="213" t="s">
        <v>249</v>
      </c>
      <c r="DK61" s="213">
        <v>69.2</v>
      </c>
      <c r="DL61" s="213">
        <v>59.3</v>
      </c>
      <c r="DM61" s="213" t="s">
        <v>744</v>
      </c>
      <c r="DN61" s="213" t="s">
        <v>743</v>
      </c>
      <c r="DO61" s="213">
        <v>0</v>
      </c>
      <c r="DP61" s="213">
        <v>0</v>
      </c>
      <c r="DQ61" s="213">
        <v>0</v>
      </c>
      <c r="DR61" s="213" t="s">
        <v>249</v>
      </c>
      <c r="DU61" s="213" t="s">
        <v>745</v>
      </c>
      <c r="DV61" s="213" t="s">
        <v>743</v>
      </c>
      <c r="DW61" s="213">
        <v>0</v>
      </c>
      <c r="DX61" s="213">
        <v>0</v>
      </c>
      <c r="DY61" s="213">
        <v>0</v>
      </c>
      <c r="DZ61" s="213" t="s">
        <v>249</v>
      </c>
      <c r="EC61" s="213" t="s">
        <v>746</v>
      </c>
      <c r="ED61" s="213" t="s">
        <v>743</v>
      </c>
      <c r="EE61" s="213">
        <v>0</v>
      </c>
      <c r="EF61" s="213">
        <v>0</v>
      </c>
      <c r="EG61" s="213">
        <v>0</v>
      </c>
      <c r="EH61" s="213" t="s">
        <v>249</v>
      </c>
      <c r="EK61" s="213" t="s">
        <v>747</v>
      </c>
      <c r="EL61" s="213" t="s">
        <v>743</v>
      </c>
      <c r="EM61" s="213">
        <v>0</v>
      </c>
      <c r="EN61" s="213">
        <v>0</v>
      </c>
      <c r="EO61" s="213">
        <v>0</v>
      </c>
      <c r="EP61" s="213" t="s">
        <v>249</v>
      </c>
      <c r="ES61" s="213" t="s">
        <v>748</v>
      </c>
      <c r="ET61" s="213" t="s">
        <v>743</v>
      </c>
      <c r="EU61" s="213">
        <v>0</v>
      </c>
      <c r="EV61" s="213">
        <v>0</v>
      </c>
      <c r="EW61" s="213">
        <v>0</v>
      </c>
      <c r="EX61" s="213" t="s">
        <v>249</v>
      </c>
      <c r="EY61" s="213">
        <v>69.900000000000006</v>
      </c>
      <c r="EZ61" s="213">
        <v>51.4</v>
      </c>
      <c r="FA61" s="213" t="s">
        <v>749</v>
      </c>
      <c r="FB61" s="213" t="s">
        <v>743</v>
      </c>
      <c r="FC61" s="213">
        <v>0</v>
      </c>
      <c r="FD61" s="213">
        <v>0</v>
      </c>
      <c r="FE61" s="213">
        <v>0</v>
      </c>
      <c r="FF61" s="213" t="s">
        <v>249</v>
      </c>
      <c r="FI61" s="213" t="s">
        <v>750</v>
      </c>
      <c r="FJ61" s="213" t="s">
        <v>743</v>
      </c>
      <c r="FK61" s="213">
        <v>0</v>
      </c>
      <c r="FL61" s="213">
        <v>0</v>
      </c>
      <c r="FM61" s="213">
        <v>0</v>
      </c>
      <c r="FN61" s="213" t="s">
        <v>249</v>
      </c>
      <c r="FO61" s="213">
        <v>73.400000000000006</v>
      </c>
      <c r="FP61" s="213">
        <v>181.1</v>
      </c>
      <c r="FQ61" s="213" t="s">
        <v>751</v>
      </c>
      <c r="FR61" s="213" t="s">
        <v>743</v>
      </c>
      <c r="FS61" s="213">
        <v>0</v>
      </c>
      <c r="FT61" s="213">
        <v>0</v>
      </c>
      <c r="FU61" s="213">
        <v>0</v>
      </c>
      <c r="FV61" s="213" t="s">
        <v>249</v>
      </c>
      <c r="FY61" s="213">
        <v>26.6</v>
      </c>
      <c r="FZ61" s="213">
        <v>-10.8</v>
      </c>
      <c r="GF61" s="213" t="s">
        <v>752</v>
      </c>
    </row>
    <row r="62" spans="1:188" s="213" customFormat="1" x14ac:dyDescent="0.15">
      <c r="A62" s="213" t="s">
        <v>654</v>
      </c>
      <c r="B62" s="213">
        <v>4</v>
      </c>
      <c r="C62" s="213" t="s">
        <v>1061</v>
      </c>
      <c r="D62" s="213">
        <v>614383177</v>
      </c>
      <c r="E62" s="213">
        <v>92303</v>
      </c>
      <c r="F62" s="213" t="s">
        <v>795</v>
      </c>
      <c r="G62" s="213">
        <v>839032</v>
      </c>
      <c r="H62" s="213">
        <v>210026044</v>
      </c>
      <c r="I62" s="213">
        <v>6.8</v>
      </c>
      <c r="J62" s="213" t="s">
        <v>1062</v>
      </c>
      <c r="K62" s="213" t="s">
        <v>727</v>
      </c>
      <c r="L62" s="213" t="s">
        <v>797</v>
      </c>
      <c r="M62" s="213" t="s">
        <v>728</v>
      </c>
      <c r="N62" s="213" t="s">
        <v>728</v>
      </c>
      <c r="O62" s="213" t="s">
        <v>729</v>
      </c>
      <c r="P62" s="213" t="s">
        <v>249</v>
      </c>
      <c r="Q62" s="213">
        <v>24.7</v>
      </c>
      <c r="R62" s="213">
        <v>166</v>
      </c>
      <c r="S62" s="213" t="s">
        <v>249</v>
      </c>
      <c r="T62" s="213">
        <v>-9999</v>
      </c>
      <c r="U62" s="213">
        <v>217</v>
      </c>
      <c r="V62" s="213">
        <v>477</v>
      </c>
      <c r="W62" s="213">
        <v>209</v>
      </c>
      <c r="X62" s="213" t="s">
        <v>710</v>
      </c>
      <c r="Y62" s="213">
        <v>0</v>
      </c>
      <c r="Z62" s="213">
        <v>40</v>
      </c>
      <c r="AA62" s="213" t="s">
        <v>730</v>
      </c>
      <c r="AB62" s="213" t="s">
        <v>731</v>
      </c>
      <c r="AC62" s="213" t="s">
        <v>729</v>
      </c>
      <c r="AD62" s="213" t="s">
        <v>249</v>
      </c>
      <c r="AE62" s="213">
        <v>27.7</v>
      </c>
      <c r="AF62" s="213">
        <v>131</v>
      </c>
      <c r="AG62" s="213" t="s">
        <v>249</v>
      </c>
      <c r="AH62" s="213">
        <v>-9999</v>
      </c>
      <c r="AI62" s="213">
        <v>167</v>
      </c>
      <c r="AJ62" s="213">
        <v>401</v>
      </c>
      <c r="AK62" s="213">
        <v>164</v>
      </c>
      <c r="AL62" s="213" t="s">
        <v>710</v>
      </c>
      <c r="AM62" s="213">
        <v>0</v>
      </c>
      <c r="AN62" s="213">
        <v>40</v>
      </c>
      <c r="AO62" s="213" t="s">
        <v>733</v>
      </c>
      <c r="AP62" s="213" t="s">
        <v>734</v>
      </c>
      <c r="AQ62" s="213">
        <v>1</v>
      </c>
      <c r="AR62" s="213" t="s">
        <v>798</v>
      </c>
      <c r="AS62" s="213">
        <v>26</v>
      </c>
      <c r="AT62" s="213">
        <v>392</v>
      </c>
      <c r="AU62" s="213" t="s">
        <v>710</v>
      </c>
      <c r="AV62" s="213">
        <v>-9999</v>
      </c>
      <c r="AW62" s="213">
        <v>259</v>
      </c>
      <c r="AX62" s="213">
        <v>644</v>
      </c>
      <c r="AY62" s="213">
        <v>256</v>
      </c>
      <c r="AZ62" s="213" t="s">
        <v>710</v>
      </c>
      <c r="BA62" s="213">
        <v>0</v>
      </c>
      <c r="BB62" s="213">
        <v>40</v>
      </c>
      <c r="BC62" s="213" t="s">
        <v>736</v>
      </c>
      <c r="BD62" s="213" t="s">
        <v>734</v>
      </c>
      <c r="BE62" s="213">
        <v>2</v>
      </c>
      <c r="BF62" s="213" t="s">
        <v>798</v>
      </c>
      <c r="BG62" s="213">
        <v>27.4</v>
      </c>
      <c r="BH62" s="213">
        <v>158</v>
      </c>
      <c r="BI62" s="213" t="s">
        <v>710</v>
      </c>
      <c r="BJ62" s="213">
        <v>-9999</v>
      </c>
      <c r="BK62" s="213">
        <v>87</v>
      </c>
      <c r="BL62" s="213">
        <v>266</v>
      </c>
      <c r="BM62" s="213">
        <v>85</v>
      </c>
      <c r="BN62" s="213" t="s">
        <v>710</v>
      </c>
      <c r="BO62" s="213">
        <v>0</v>
      </c>
      <c r="BP62" s="213">
        <v>40</v>
      </c>
      <c r="BQ62" s="213" t="s">
        <v>737</v>
      </c>
      <c r="BR62" s="213" t="s">
        <v>734</v>
      </c>
      <c r="BS62" s="213">
        <v>3</v>
      </c>
      <c r="BT62" s="213" t="s">
        <v>799</v>
      </c>
      <c r="BU62" s="213">
        <v>0</v>
      </c>
      <c r="BV62" s="213">
        <v>32</v>
      </c>
      <c r="BW62" s="213" t="s">
        <v>249</v>
      </c>
      <c r="BX62" s="213">
        <v>-9999</v>
      </c>
      <c r="BY62" s="213">
        <v>177</v>
      </c>
      <c r="BZ62" s="213">
        <v>428</v>
      </c>
      <c r="CA62" s="213">
        <v>176</v>
      </c>
      <c r="CB62" s="213" t="s">
        <v>710</v>
      </c>
      <c r="CC62" s="213">
        <v>0</v>
      </c>
      <c r="CD62" s="213">
        <v>40</v>
      </c>
      <c r="CE62" s="213" t="s">
        <v>738</v>
      </c>
      <c r="CF62" s="213" t="s">
        <v>734</v>
      </c>
      <c r="CG62" s="213">
        <v>4</v>
      </c>
      <c r="CH62" s="213" t="s">
        <v>798</v>
      </c>
      <c r="CI62" s="213">
        <v>24.8</v>
      </c>
      <c r="CJ62" s="213">
        <v>414</v>
      </c>
      <c r="CK62" s="213" t="s">
        <v>710</v>
      </c>
      <c r="CL62" s="213">
        <v>-9999</v>
      </c>
      <c r="CM62" s="213">
        <v>95</v>
      </c>
      <c r="CN62" s="213">
        <v>251</v>
      </c>
      <c r="CO62" s="213">
        <v>93</v>
      </c>
      <c r="CP62" s="213" t="s">
        <v>710</v>
      </c>
      <c r="CQ62" s="213">
        <v>0</v>
      </c>
      <c r="CR62" s="213">
        <v>40</v>
      </c>
      <c r="CS62" s="213" t="s">
        <v>739</v>
      </c>
      <c r="CT62" s="213" t="s">
        <v>740</v>
      </c>
      <c r="CU62" s="213">
        <v>72</v>
      </c>
      <c r="CV62" s="213">
        <v>71</v>
      </c>
      <c r="CW62" s="213">
        <v>71</v>
      </c>
      <c r="CX62" s="213" t="s">
        <v>710</v>
      </c>
      <c r="CY62" s="213" t="s">
        <v>741</v>
      </c>
      <c r="CZ62" s="213" t="s">
        <v>740</v>
      </c>
      <c r="DA62" s="213">
        <v>99</v>
      </c>
      <c r="DB62" s="213">
        <v>99</v>
      </c>
      <c r="DC62" s="213">
        <v>99</v>
      </c>
      <c r="DD62" s="213" t="s">
        <v>710</v>
      </c>
      <c r="DE62" s="213" t="s">
        <v>742</v>
      </c>
      <c r="DF62" s="213" t="s">
        <v>743</v>
      </c>
      <c r="DG62" s="213">
        <v>0</v>
      </c>
      <c r="DH62" s="213">
        <v>0</v>
      </c>
      <c r="DI62" s="213">
        <v>0</v>
      </c>
      <c r="DJ62" s="213" t="s">
        <v>249</v>
      </c>
      <c r="DK62" s="213">
        <v>69.400000000000006</v>
      </c>
      <c r="DL62" s="213">
        <v>44.8</v>
      </c>
      <c r="DM62" s="213" t="s">
        <v>744</v>
      </c>
      <c r="DN62" s="213" t="s">
        <v>743</v>
      </c>
      <c r="DO62" s="213">
        <v>0</v>
      </c>
      <c r="DP62" s="213">
        <v>0</v>
      </c>
      <c r="DQ62" s="213">
        <v>0</v>
      </c>
      <c r="DR62" s="213" t="s">
        <v>249</v>
      </c>
      <c r="DU62" s="213" t="s">
        <v>745</v>
      </c>
      <c r="DV62" s="213" t="s">
        <v>743</v>
      </c>
      <c r="DW62" s="213">
        <v>0</v>
      </c>
      <c r="DX62" s="213">
        <v>0</v>
      </c>
      <c r="DY62" s="213">
        <v>0</v>
      </c>
      <c r="DZ62" s="213" t="s">
        <v>249</v>
      </c>
      <c r="EC62" s="213" t="s">
        <v>746</v>
      </c>
      <c r="ED62" s="213" t="s">
        <v>743</v>
      </c>
      <c r="EE62" s="213">
        <v>0</v>
      </c>
      <c r="EF62" s="213">
        <v>0</v>
      </c>
      <c r="EG62" s="213">
        <v>0</v>
      </c>
      <c r="EH62" s="213" t="s">
        <v>249</v>
      </c>
      <c r="EK62" s="213" t="s">
        <v>747</v>
      </c>
      <c r="EL62" s="213" t="s">
        <v>743</v>
      </c>
      <c r="EM62" s="213">
        <v>0</v>
      </c>
      <c r="EN62" s="213">
        <v>0</v>
      </c>
      <c r="EO62" s="213">
        <v>0</v>
      </c>
      <c r="EP62" s="213" t="s">
        <v>249</v>
      </c>
      <c r="ES62" s="213" t="s">
        <v>748</v>
      </c>
      <c r="ET62" s="213" t="s">
        <v>743</v>
      </c>
      <c r="EU62" s="213">
        <v>0</v>
      </c>
      <c r="EV62" s="213">
        <v>0</v>
      </c>
      <c r="EW62" s="213">
        <v>0</v>
      </c>
      <c r="EX62" s="213" t="s">
        <v>249</v>
      </c>
      <c r="EY62" s="213">
        <v>70.099999999999994</v>
      </c>
      <c r="EZ62" s="213">
        <v>29.9</v>
      </c>
      <c r="FA62" s="213" t="s">
        <v>749</v>
      </c>
      <c r="FB62" s="213" t="s">
        <v>743</v>
      </c>
      <c r="FC62" s="213">
        <v>0</v>
      </c>
      <c r="FD62" s="213">
        <v>0</v>
      </c>
      <c r="FE62" s="213">
        <v>0</v>
      </c>
      <c r="FF62" s="213" t="s">
        <v>249</v>
      </c>
      <c r="FI62" s="213" t="s">
        <v>750</v>
      </c>
      <c r="FJ62" s="213" t="s">
        <v>743</v>
      </c>
      <c r="FK62" s="213">
        <v>0</v>
      </c>
      <c r="FL62" s="213">
        <v>0</v>
      </c>
      <c r="FM62" s="213">
        <v>0</v>
      </c>
      <c r="FN62" s="213" t="s">
        <v>249</v>
      </c>
      <c r="FO62" s="213">
        <v>73.5</v>
      </c>
      <c r="FP62" s="213">
        <v>110.9</v>
      </c>
      <c r="FQ62" s="213" t="s">
        <v>751</v>
      </c>
      <c r="FR62" s="213" t="s">
        <v>743</v>
      </c>
      <c r="FS62" s="213">
        <v>0</v>
      </c>
      <c r="FT62" s="213">
        <v>0</v>
      </c>
      <c r="FU62" s="213">
        <v>0</v>
      </c>
      <c r="FV62" s="213" t="s">
        <v>249</v>
      </c>
      <c r="FY62" s="213">
        <v>24.9</v>
      </c>
      <c r="FZ62" s="213">
        <v>-18.8</v>
      </c>
      <c r="GF62" s="213" t="s">
        <v>752</v>
      </c>
    </row>
    <row r="63" spans="1:188" s="213" customFormat="1" x14ac:dyDescent="0.15">
      <c r="A63" s="213" t="s">
        <v>654</v>
      </c>
      <c r="B63" s="213">
        <v>4</v>
      </c>
      <c r="C63" s="213" t="s">
        <v>1208</v>
      </c>
      <c r="D63" s="213">
        <v>614384577</v>
      </c>
      <c r="E63" s="213">
        <v>92303</v>
      </c>
      <c r="F63" s="213" t="s">
        <v>795</v>
      </c>
      <c r="G63" s="213">
        <v>839032</v>
      </c>
      <c r="H63" s="213">
        <v>638845</v>
      </c>
      <c r="I63" s="213">
        <v>6.8</v>
      </c>
      <c r="J63" s="213" t="s">
        <v>1063</v>
      </c>
      <c r="K63" s="213" t="s">
        <v>727</v>
      </c>
      <c r="L63" s="213" t="s">
        <v>797</v>
      </c>
      <c r="M63" s="213" t="s">
        <v>728</v>
      </c>
      <c r="N63" s="213" t="s">
        <v>728</v>
      </c>
      <c r="O63" s="213" t="s">
        <v>729</v>
      </c>
      <c r="P63" s="213" t="s">
        <v>249</v>
      </c>
      <c r="Q63" s="213">
        <v>25.1</v>
      </c>
      <c r="R63" s="213">
        <v>143</v>
      </c>
      <c r="S63" s="213" t="s">
        <v>249</v>
      </c>
      <c r="T63" s="213">
        <v>-9999</v>
      </c>
      <c r="U63" s="213">
        <v>221</v>
      </c>
      <c r="V63" s="213">
        <v>460</v>
      </c>
      <c r="W63" s="213">
        <v>213</v>
      </c>
      <c r="X63" s="213" t="s">
        <v>710</v>
      </c>
      <c r="Y63" s="213">
        <v>0</v>
      </c>
      <c r="Z63" s="213">
        <v>40</v>
      </c>
      <c r="AA63" s="213" t="s">
        <v>730</v>
      </c>
      <c r="AB63" s="213" t="s">
        <v>731</v>
      </c>
      <c r="AC63" s="213" t="s">
        <v>729</v>
      </c>
      <c r="AD63" s="213" t="s">
        <v>249</v>
      </c>
      <c r="AE63" s="213">
        <v>25.9</v>
      </c>
      <c r="AF63" s="213">
        <v>111</v>
      </c>
      <c r="AG63" s="213" t="s">
        <v>249</v>
      </c>
      <c r="AH63" s="213">
        <v>-9999</v>
      </c>
      <c r="AI63" s="213">
        <v>199</v>
      </c>
      <c r="AJ63" s="213">
        <v>475</v>
      </c>
      <c r="AK63" s="213">
        <v>197</v>
      </c>
      <c r="AL63" s="213" t="s">
        <v>710</v>
      </c>
      <c r="AM63" s="213">
        <v>0</v>
      </c>
      <c r="AN63" s="213">
        <v>40</v>
      </c>
      <c r="AO63" s="213" t="s">
        <v>733</v>
      </c>
      <c r="AP63" s="213" t="s">
        <v>734</v>
      </c>
      <c r="AQ63" s="213">
        <v>1</v>
      </c>
      <c r="AR63" s="213" t="s">
        <v>798</v>
      </c>
      <c r="AS63" s="213">
        <v>24</v>
      </c>
      <c r="AT63" s="213">
        <v>393</v>
      </c>
      <c r="AU63" s="213" t="s">
        <v>710</v>
      </c>
      <c r="AV63" s="213">
        <v>-9999</v>
      </c>
      <c r="AW63" s="213">
        <v>275</v>
      </c>
      <c r="AX63" s="213">
        <v>681</v>
      </c>
      <c r="AY63" s="213">
        <v>272</v>
      </c>
      <c r="AZ63" s="213" t="s">
        <v>710</v>
      </c>
      <c r="BA63" s="213">
        <v>0</v>
      </c>
      <c r="BB63" s="213">
        <v>40</v>
      </c>
      <c r="BC63" s="213" t="s">
        <v>736</v>
      </c>
      <c r="BD63" s="213" t="s">
        <v>734</v>
      </c>
      <c r="BE63" s="213">
        <v>2</v>
      </c>
      <c r="BF63" s="213" t="s">
        <v>798</v>
      </c>
      <c r="BG63" s="213">
        <v>24.8</v>
      </c>
      <c r="BH63" s="213">
        <v>172</v>
      </c>
      <c r="BI63" s="213" t="s">
        <v>710</v>
      </c>
      <c r="BJ63" s="213">
        <v>-9999</v>
      </c>
      <c r="BK63" s="213">
        <v>107</v>
      </c>
      <c r="BL63" s="213">
        <v>326</v>
      </c>
      <c r="BM63" s="213">
        <v>105</v>
      </c>
      <c r="BN63" s="213" t="s">
        <v>710</v>
      </c>
      <c r="BO63" s="213">
        <v>0</v>
      </c>
      <c r="BP63" s="213">
        <v>40</v>
      </c>
      <c r="BQ63" s="213" t="s">
        <v>737</v>
      </c>
      <c r="BR63" s="213" t="s">
        <v>734</v>
      </c>
      <c r="BS63" s="213">
        <v>3</v>
      </c>
      <c r="BT63" s="213" t="s">
        <v>799</v>
      </c>
      <c r="BU63" s="213">
        <v>0</v>
      </c>
      <c r="BV63" s="213">
        <v>31</v>
      </c>
      <c r="BW63" s="213" t="s">
        <v>249</v>
      </c>
      <c r="BX63" s="213">
        <v>-9999</v>
      </c>
      <c r="BY63" s="213">
        <v>177</v>
      </c>
      <c r="BZ63" s="213">
        <v>430</v>
      </c>
      <c r="CA63" s="213">
        <v>177</v>
      </c>
      <c r="CB63" s="213" t="s">
        <v>710</v>
      </c>
      <c r="CC63" s="213">
        <v>0</v>
      </c>
      <c r="CD63" s="213">
        <v>40</v>
      </c>
      <c r="CE63" s="213" t="s">
        <v>738</v>
      </c>
      <c r="CF63" s="213" t="s">
        <v>734</v>
      </c>
      <c r="CG63" s="213">
        <v>4</v>
      </c>
      <c r="CH63" s="213" t="s">
        <v>798</v>
      </c>
      <c r="CI63" s="213">
        <v>22.4</v>
      </c>
      <c r="CJ63" s="213">
        <v>407</v>
      </c>
      <c r="CK63" s="213" t="s">
        <v>710</v>
      </c>
      <c r="CL63" s="213">
        <v>-9999</v>
      </c>
      <c r="CM63" s="213">
        <v>149</v>
      </c>
      <c r="CN63" s="213">
        <v>393</v>
      </c>
      <c r="CO63" s="213">
        <v>147</v>
      </c>
      <c r="CP63" s="213" t="s">
        <v>710</v>
      </c>
      <c r="CQ63" s="213">
        <v>0</v>
      </c>
      <c r="CR63" s="213">
        <v>40</v>
      </c>
      <c r="CS63" s="213" t="s">
        <v>739</v>
      </c>
      <c r="CT63" s="213" t="s">
        <v>740</v>
      </c>
      <c r="CU63" s="213">
        <v>120</v>
      </c>
      <c r="CV63" s="213">
        <v>120</v>
      </c>
      <c r="CW63" s="213">
        <v>120</v>
      </c>
      <c r="CX63" s="213" t="s">
        <v>710</v>
      </c>
      <c r="CY63" s="213" t="s">
        <v>741</v>
      </c>
      <c r="CZ63" s="213" t="s">
        <v>740</v>
      </c>
      <c r="DA63" s="213">
        <v>117</v>
      </c>
      <c r="DB63" s="213">
        <v>117</v>
      </c>
      <c r="DC63" s="213">
        <v>116</v>
      </c>
      <c r="DD63" s="213" t="s">
        <v>710</v>
      </c>
      <c r="DE63" s="213" t="s">
        <v>742</v>
      </c>
      <c r="DF63" s="213" t="s">
        <v>743</v>
      </c>
      <c r="DG63" s="213">
        <v>0</v>
      </c>
      <c r="DH63" s="213">
        <v>0</v>
      </c>
      <c r="DI63" s="213">
        <v>0</v>
      </c>
      <c r="DJ63" s="213" t="s">
        <v>249</v>
      </c>
      <c r="DK63" s="213">
        <v>69.2</v>
      </c>
      <c r="DL63" s="213">
        <v>64.2</v>
      </c>
      <c r="DM63" s="213" t="s">
        <v>744</v>
      </c>
      <c r="DN63" s="213" t="s">
        <v>743</v>
      </c>
      <c r="DO63" s="213">
        <v>0</v>
      </c>
      <c r="DP63" s="213">
        <v>0</v>
      </c>
      <c r="DQ63" s="213">
        <v>0</v>
      </c>
      <c r="DR63" s="213" t="s">
        <v>249</v>
      </c>
      <c r="DU63" s="213" t="s">
        <v>745</v>
      </c>
      <c r="DV63" s="213" t="s">
        <v>743</v>
      </c>
      <c r="DW63" s="213">
        <v>0</v>
      </c>
      <c r="DX63" s="213">
        <v>0</v>
      </c>
      <c r="DY63" s="213">
        <v>0</v>
      </c>
      <c r="DZ63" s="213" t="s">
        <v>249</v>
      </c>
      <c r="EC63" s="213" t="s">
        <v>746</v>
      </c>
      <c r="ED63" s="213" t="s">
        <v>743</v>
      </c>
      <c r="EE63" s="213">
        <v>0</v>
      </c>
      <c r="EF63" s="213">
        <v>0</v>
      </c>
      <c r="EG63" s="213">
        <v>0</v>
      </c>
      <c r="EH63" s="213" t="s">
        <v>249</v>
      </c>
      <c r="EK63" s="213" t="s">
        <v>747</v>
      </c>
      <c r="EL63" s="213" t="s">
        <v>743</v>
      </c>
      <c r="EM63" s="213">
        <v>0</v>
      </c>
      <c r="EN63" s="213">
        <v>0</v>
      </c>
      <c r="EO63" s="213">
        <v>0</v>
      </c>
      <c r="EP63" s="213" t="s">
        <v>249</v>
      </c>
      <c r="ES63" s="213" t="s">
        <v>748</v>
      </c>
      <c r="ET63" s="213" t="s">
        <v>743</v>
      </c>
      <c r="EU63" s="213">
        <v>0</v>
      </c>
      <c r="EV63" s="213">
        <v>0</v>
      </c>
      <c r="EW63" s="213">
        <v>0</v>
      </c>
      <c r="EX63" s="213" t="s">
        <v>249</v>
      </c>
      <c r="EY63" s="213">
        <v>69.8</v>
      </c>
      <c r="EZ63" s="213">
        <v>51.3</v>
      </c>
      <c r="FA63" s="213" t="s">
        <v>749</v>
      </c>
      <c r="FB63" s="213" t="s">
        <v>743</v>
      </c>
      <c r="FC63" s="213">
        <v>0</v>
      </c>
      <c r="FD63" s="213">
        <v>0</v>
      </c>
      <c r="FE63" s="213">
        <v>0</v>
      </c>
      <c r="FF63" s="213" t="s">
        <v>249</v>
      </c>
      <c r="FI63" s="213" t="s">
        <v>750</v>
      </c>
      <c r="FJ63" s="213" t="s">
        <v>743</v>
      </c>
      <c r="FK63" s="213">
        <v>0</v>
      </c>
      <c r="FL63" s="213">
        <v>0</v>
      </c>
      <c r="FM63" s="213">
        <v>0</v>
      </c>
      <c r="FN63" s="213" t="s">
        <v>249</v>
      </c>
      <c r="FO63" s="213">
        <v>73.3</v>
      </c>
      <c r="FP63" s="213">
        <v>185.8</v>
      </c>
      <c r="FQ63" s="213" t="s">
        <v>751</v>
      </c>
      <c r="FR63" s="213" t="s">
        <v>743</v>
      </c>
      <c r="FS63" s="213">
        <v>0</v>
      </c>
      <c r="FT63" s="213">
        <v>0</v>
      </c>
      <c r="FU63" s="213">
        <v>0</v>
      </c>
      <c r="FV63" s="213" t="s">
        <v>249</v>
      </c>
      <c r="FY63" s="213">
        <v>19.7</v>
      </c>
      <c r="FZ63" s="213">
        <v>-7.1</v>
      </c>
      <c r="GF63" s="213" t="s">
        <v>752</v>
      </c>
    </row>
    <row r="64" spans="1:188" s="213" customFormat="1" x14ac:dyDescent="0.15">
      <c r="A64" s="213" t="s">
        <v>654</v>
      </c>
      <c r="B64" s="213">
        <v>4</v>
      </c>
      <c r="C64" s="213" t="s">
        <v>1064</v>
      </c>
      <c r="D64" s="213">
        <v>614352289</v>
      </c>
      <c r="E64" s="213">
        <v>92303</v>
      </c>
      <c r="F64" s="213" t="s">
        <v>795</v>
      </c>
      <c r="G64" s="213">
        <v>839032</v>
      </c>
      <c r="H64" s="213">
        <v>210035802</v>
      </c>
      <c r="I64" s="213">
        <v>6.8</v>
      </c>
      <c r="J64" s="213" t="s">
        <v>1065</v>
      </c>
      <c r="K64" s="213" t="s">
        <v>727</v>
      </c>
      <c r="L64" s="213" t="s">
        <v>797</v>
      </c>
      <c r="M64" s="213" t="s">
        <v>728</v>
      </c>
      <c r="N64" s="213" t="s">
        <v>728</v>
      </c>
      <c r="O64" s="213" t="s">
        <v>729</v>
      </c>
      <c r="P64" s="213" t="s">
        <v>249</v>
      </c>
      <c r="Q64" s="213">
        <v>26.1</v>
      </c>
      <c r="R64" s="213">
        <v>153</v>
      </c>
      <c r="S64" s="213" t="s">
        <v>249</v>
      </c>
      <c r="T64" s="213">
        <v>-9999</v>
      </c>
      <c r="U64" s="213">
        <v>238</v>
      </c>
      <c r="V64" s="213">
        <v>499</v>
      </c>
      <c r="W64" s="213">
        <v>230</v>
      </c>
      <c r="X64" s="213" t="s">
        <v>710</v>
      </c>
      <c r="Y64" s="213">
        <v>0</v>
      </c>
      <c r="Z64" s="213">
        <v>40</v>
      </c>
      <c r="AA64" s="213" t="s">
        <v>730</v>
      </c>
      <c r="AB64" s="213" t="s">
        <v>731</v>
      </c>
      <c r="AC64" s="213" t="s">
        <v>729</v>
      </c>
      <c r="AD64" s="213" t="s">
        <v>249</v>
      </c>
      <c r="AE64" s="213">
        <v>26.9</v>
      </c>
      <c r="AF64" s="213">
        <v>117</v>
      </c>
      <c r="AG64" s="213" t="s">
        <v>249</v>
      </c>
      <c r="AH64" s="213">
        <v>-9999</v>
      </c>
      <c r="AI64" s="213">
        <v>184</v>
      </c>
      <c r="AJ64" s="213">
        <v>440</v>
      </c>
      <c r="AK64" s="213">
        <v>183</v>
      </c>
      <c r="AL64" s="213" t="s">
        <v>710</v>
      </c>
      <c r="AM64" s="213">
        <v>0</v>
      </c>
      <c r="AN64" s="213">
        <v>40</v>
      </c>
      <c r="AO64" s="213" t="s">
        <v>733</v>
      </c>
      <c r="AP64" s="213" t="s">
        <v>734</v>
      </c>
      <c r="AQ64" s="213">
        <v>1</v>
      </c>
      <c r="AR64" s="213" t="s">
        <v>798</v>
      </c>
      <c r="AS64" s="213">
        <v>24.6</v>
      </c>
      <c r="AT64" s="213">
        <v>387</v>
      </c>
      <c r="AU64" s="213" t="s">
        <v>710</v>
      </c>
      <c r="AV64" s="213">
        <v>-9999</v>
      </c>
      <c r="AW64" s="213">
        <v>240</v>
      </c>
      <c r="AX64" s="213">
        <v>591</v>
      </c>
      <c r="AY64" s="213">
        <v>239</v>
      </c>
      <c r="AZ64" s="213" t="s">
        <v>710</v>
      </c>
      <c r="BA64" s="213">
        <v>0</v>
      </c>
      <c r="BB64" s="213">
        <v>40</v>
      </c>
      <c r="BC64" s="213" t="s">
        <v>736</v>
      </c>
      <c r="BD64" s="213" t="s">
        <v>734</v>
      </c>
      <c r="BE64" s="213">
        <v>2</v>
      </c>
      <c r="BF64" s="213" t="s">
        <v>798</v>
      </c>
      <c r="BG64" s="213">
        <v>25.6</v>
      </c>
      <c r="BH64" s="213">
        <v>173</v>
      </c>
      <c r="BI64" s="213" t="s">
        <v>710</v>
      </c>
      <c r="BJ64" s="213">
        <v>-9999</v>
      </c>
      <c r="BK64" s="213">
        <v>108</v>
      </c>
      <c r="BL64" s="213">
        <v>334</v>
      </c>
      <c r="BM64" s="213">
        <v>106</v>
      </c>
      <c r="BN64" s="213" t="s">
        <v>710</v>
      </c>
      <c r="BO64" s="213">
        <v>0</v>
      </c>
      <c r="BP64" s="213">
        <v>40</v>
      </c>
      <c r="BQ64" s="213" t="s">
        <v>737</v>
      </c>
      <c r="BR64" s="213" t="s">
        <v>734</v>
      </c>
      <c r="BS64" s="213">
        <v>3</v>
      </c>
      <c r="BT64" s="213" t="s">
        <v>798</v>
      </c>
      <c r="BU64" s="213">
        <v>37.799999999999997</v>
      </c>
      <c r="BV64" s="213">
        <v>43</v>
      </c>
      <c r="BW64" s="213" t="s">
        <v>710</v>
      </c>
      <c r="BX64" s="213">
        <v>-9999</v>
      </c>
      <c r="BY64" s="213">
        <v>173</v>
      </c>
      <c r="BZ64" s="213">
        <v>410</v>
      </c>
      <c r="CA64" s="213">
        <v>172</v>
      </c>
      <c r="CB64" s="213" t="s">
        <v>710</v>
      </c>
      <c r="CC64" s="213">
        <v>0</v>
      </c>
      <c r="CD64" s="213">
        <v>40</v>
      </c>
      <c r="CE64" s="213" t="s">
        <v>738</v>
      </c>
      <c r="CF64" s="213" t="s">
        <v>734</v>
      </c>
      <c r="CG64" s="213">
        <v>4</v>
      </c>
      <c r="CH64" s="213" t="s">
        <v>798</v>
      </c>
      <c r="CI64" s="213">
        <v>23.4</v>
      </c>
      <c r="CJ64" s="213">
        <v>375</v>
      </c>
      <c r="CK64" s="213" t="s">
        <v>710</v>
      </c>
      <c r="CL64" s="213">
        <v>-9999</v>
      </c>
      <c r="CM64" s="213">
        <v>137</v>
      </c>
      <c r="CN64" s="213">
        <v>358</v>
      </c>
      <c r="CO64" s="213">
        <v>135</v>
      </c>
      <c r="CP64" s="213" t="s">
        <v>710</v>
      </c>
      <c r="CQ64" s="213">
        <v>0</v>
      </c>
      <c r="CR64" s="213">
        <v>40</v>
      </c>
      <c r="CS64" s="213" t="s">
        <v>739</v>
      </c>
      <c r="CT64" s="213" t="s">
        <v>740</v>
      </c>
      <c r="CU64" s="213">
        <v>107</v>
      </c>
      <c r="CV64" s="213">
        <v>107</v>
      </c>
      <c r="CW64" s="213">
        <v>107</v>
      </c>
      <c r="CX64" s="213" t="s">
        <v>710</v>
      </c>
      <c r="CY64" s="213" t="s">
        <v>741</v>
      </c>
      <c r="CZ64" s="213" t="s">
        <v>740</v>
      </c>
      <c r="DA64" s="213">
        <v>102</v>
      </c>
      <c r="DB64" s="213">
        <v>101</v>
      </c>
      <c r="DC64" s="213">
        <v>101</v>
      </c>
      <c r="DD64" s="213" t="s">
        <v>710</v>
      </c>
      <c r="DE64" s="213" t="s">
        <v>742</v>
      </c>
      <c r="DF64" s="213" t="s">
        <v>743</v>
      </c>
      <c r="DG64" s="213">
        <v>0</v>
      </c>
      <c r="DH64" s="213">
        <v>0</v>
      </c>
      <c r="DI64" s="213">
        <v>0</v>
      </c>
      <c r="DJ64" s="213" t="s">
        <v>249</v>
      </c>
      <c r="DK64" s="213">
        <v>69.3</v>
      </c>
      <c r="DL64" s="213">
        <v>49.8</v>
      </c>
      <c r="DM64" s="213" t="s">
        <v>744</v>
      </c>
      <c r="DN64" s="213" t="s">
        <v>743</v>
      </c>
      <c r="DO64" s="213">
        <v>0</v>
      </c>
      <c r="DP64" s="213">
        <v>0</v>
      </c>
      <c r="DQ64" s="213">
        <v>0</v>
      </c>
      <c r="DR64" s="213" t="s">
        <v>249</v>
      </c>
      <c r="DU64" s="213" t="s">
        <v>745</v>
      </c>
      <c r="DV64" s="213" t="s">
        <v>743</v>
      </c>
      <c r="DW64" s="213">
        <v>0</v>
      </c>
      <c r="DX64" s="213">
        <v>0</v>
      </c>
      <c r="DY64" s="213">
        <v>0</v>
      </c>
      <c r="DZ64" s="213" t="s">
        <v>249</v>
      </c>
      <c r="EC64" s="213" t="s">
        <v>746</v>
      </c>
      <c r="ED64" s="213" t="s">
        <v>743</v>
      </c>
      <c r="EE64" s="213">
        <v>0</v>
      </c>
      <c r="EF64" s="213">
        <v>0</v>
      </c>
      <c r="EG64" s="213">
        <v>0</v>
      </c>
      <c r="EH64" s="213" t="s">
        <v>249</v>
      </c>
      <c r="EK64" s="213" t="s">
        <v>747</v>
      </c>
      <c r="EL64" s="213" t="s">
        <v>743</v>
      </c>
      <c r="EM64" s="213">
        <v>0</v>
      </c>
      <c r="EN64" s="213">
        <v>0</v>
      </c>
      <c r="EO64" s="213">
        <v>0</v>
      </c>
      <c r="EP64" s="213" t="s">
        <v>249</v>
      </c>
      <c r="ES64" s="213" t="s">
        <v>748</v>
      </c>
      <c r="ET64" s="213" t="s">
        <v>743</v>
      </c>
      <c r="EU64" s="213">
        <v>0</v>
      </c>
      <c r="EV64" s="213">
        <v>0</v>
      </c>
      <c r="EW64" s="213">
        <v>0</v>
      </c>
      <c r="EX64" s="213" t="s">
        <v>249</v>
      </c>
      <c r="EY64" s="213">
        <v>69.900000000000006</v>
      </c>
      <c r="EZ64" s="213">
        <v>48.5</v>
      </c>
      <c r="FA64" s="213" t="s">
        <v>749</v>
      </c>
      <c r="FB64" s="213" t="s">
        <v>743</v>
      </c>
      <c r="FC64" s="213">
        <v>0</v>
      </c>
      <c r="FD64" s="213">
        <v>0</v>
      </c>
      <c r="FE64" s="213">
        <v>0</v>
      </c>
      <c r="FF64" s="213" t="s">
        <v>249</v>
      </c>
      <c r="FI64" s="213" t="s">
        <v>750</v>
      </c>
      <c r="FJ64" s="213" t="s">
        <v>743</v>
      </c>
      <c r="FK64" s="213">
        <v>0</v>
      </c>
      <c r="FL64" s="213">
        <v>0</v>
      </c>
      <c r="FM64" s="213">
        <v>0</v>
      </c>
      <c r="FN64" s="213" t="s">
        <v>249</v>
      </c>
      <c r="FO64" s="213">
        <v>73.5</v>
      </c>
      <c r="FP64" s="213">
        <v>153.69999999999999</v>
      </c>
      <c r="FQ64" s="213" t="s">
        <v>751</v>
      </c>
      <c r="FR64" s="213" t="s">
        <v>743</v>
      </c>
      <c r="FS64" s="213">
        <v>0</v>
      </c>
      <c r="FT64" s="213">
        <v>0</v>
      </c>
      <c r="FU64" s="213">
        <v>0</v>
      </c>
      <c r="FV64" s="213" t="s">
        <v>249</v>
      </c>
      <c r="FY64" s="213">
        <v>33.9</v>
      </c>
      <c r="FZ64" s="213">
        <v>-15.8</v>
      </c>
      <c r="GF64" s="213" t="s">
        <v>752</v>
      </c>
    </row>
    <row r="65" spans="1:188" s="213" customFormat="1" x14ac:dyDescent="0.15">
      <c r="A65" s="213" t="s">
        <v>654</v>
      </c>
      <c r="B65" s="213">
        <v>4</v>
      </c>
      <c r="C65" s="213" t="s">
        <v>1066</v>
      </c>
      <c r="D65" s="213">
        <v>614383633</v>
      </c>
      <c r="E65" s="213">
        <v>92303</v>
      </c>
      <c r="F65" s="213" t="s">
        <v>795</v>
      </c>
      <c r="G65" s="213">
        <v>839032</v>
      </c>
      <c r="H65" s="213">
        <v>880236</v>
      </c>
      <c r="I65" s="213">
        <v>6.8</v>
      </c>
      <c r="J65" s="213" t="s">
        <v>1067</v>
      </c>
      <c r="K65" s="213" t="s">
        <v>727</v>
      </c>
      <c r="L65" s="213" t="s">
        <v>797</v>
      </c>
      <c r="M65" s="213" t="s">
        <v>728</v>
      </c>
      <c r="N65" s="213" t="s">
        <v>728</v>
      </c>
      <c r="O65" s="213" t="s">
        <v>729</v>
      </c>
      <c r="P65" s="213" t="s">
        <v>249</v>
      </c>
      <c r="Q65" s="213">
        <v>24.3</v>
      </c>
      <c r="R65" s="213">
        <v>154</v>
      </c>
      <c r="S65" s="213" t="s">
        <v>249</v>
      </c>
      <c r="T65" s="213">
        <v>-9999</v>
      </c>
      <c r="U65" s="213">
        <v>175</v>
      </c>
      <c r="V65" s="213">
        <v>381</v>
      </c>
      <c r="W65" s="213">
        <v>166</v>
      </c>
      <c r="X65" s="213" t="s">
        <v>710</v>
      </c>
      <c r="Y65" s="213">
        <v>0</v>
      </c>
      <c r="Z65" s="213">
        <v>40</v>
      </c>
      <c r="AA65" s="213" t="s">
        <v>730</v>
      </c>
      <c r="AB65" s="213" t="s">
        <v>731</v>
      </c>
      <c r="AC65" s="213" t="s">
        <v>729</v>
      </c>
      <c r="AD65" s="213" t="s">
        <v>249</v>
      </c>
      <c r="AE65" s="213">
        <v>25.8</v>
      </c>
      <c r="AF65" s="213">
        <v>125</v>
      </c>
      <c r="AG65" s="213" t="s">
        <v>249</v>
      </c>
      <c r="AH65" s="213">
        <v>-9999</v>
      </c>
      <c r="AI65" s="213">
        <v>176</v>
      </c>
      <c r="AJ65" s="213">
        <v>417</v>
      </c>
      <c r="AK65" s="213">
        <v>173</v>
      </c>
      <c r="AL65" s="213" t="s">
        <v>710</v>
      </c>
      <c r="AM65" s="213">
        <v>0</v>
      </c>
      <c r="AN65" s="213">
        <v>40</v>
      </c>
      <c r="AO65" s="213" t="s">
        <v>733</v>
      </c>
      <c r="AP65" s="213" t="s">
        <v>734</v>
      </c>
      <c r="AQ65" s="213">
        <v>1</v>
      </c>
      <c r="AR65" s="213" t="s">
        <v>798</v>
      </c>
      <c r="AS65" s="213">
        <v>24.2</v>
      </c>
      <c r="AT65" s="213">
        <v>403</v>
      </c>
      <c r="AU65" s="213" t="s">
        <v>710</v>
      </c>
      <c r="AV65" s="213">
        <v>-9999</v>
      </c>
      <c r="AW65" s="213">
        <v>221</v>
      </c>
      <c r="AX65" s="213">
        <v>547</v>
      </c>
      <c r="AY65" s="213">
        <v>217</v>
      </c>
      <c r="AZ65" s="213" t="s">
        <v>710</v>
      </c>
      <c r="BA65" s="213">
        <v>0</v>
      </c>
      <c r="BB65" s="213">
        <v>40</v>
      </c>
      <c r="BC65" s="213" t="s">
        <v>736</v>
      </c>
      <c r="BD65" s="213" t="s">
        <v>734</v>
      </c>
      <c r="BE65" s="213">
        <v>2</v>
      </c>
      <c r="BF65" s="213" t="s">
        <v>798</v>
      </c>
      <c r="BG65" s="213">
        <v>25.1</v>
      </c>
      <c r="BH65" s="213">
        <v>179</v>
      </c>
      <c r="BI65" s="213" t="s">
        <v>710</v>
      </c>
      <c r="BJ65" s="213">
        <v>-9999</v>
      </c>
      <c r="BK65" s="213">
        <v>108</v>
      </c>
      <c r="BL65" s="213">
        <v>325</v>
      </c>
      <c r="BM65" s="213">
        <v>105</v>
      </c>
      <c r="BN65" s="213" t="s">
        <v>710</v>
      </c>
      <c r="BO65" s="213">
        <v>0</v>
      </c>
      <c r="BP65" s="213">
        <v>40</v>
      </c>
      <c r="BQ65" s="213" t="s">
        <v>737</v>
      </c>
      <c r="BR65" s="213" t="s">
        <v>734</v>
      </c>
      <c r="BS65" s="213">
        <v>3</v>
      </c>
      <c r="BT65" s="213" t="s">
        <v>799</v>
      </c>
      <c r="BU65" s="213">
        <v>0</v>
      </c>
      <c r="BV65" s="213">
        <v>27</v>
      </c>
      <c r="BW65" s="213" t="s">
        <v>249</v>
      </c>
      <c r="BX65" s="213">
        <v>-9999</v>
      </c>
      <c r="BY65" s="213">
        <v>149</v>
      </c>
      <c r="BZ65" s="213">
        <v>358</v>
      </c>
      <c r="CA65" s="213">
        <v>148</v>
      </c>
      <c r="CB65" s="213" t="s">
        <v>710</v>
      </c>
      <c r="CC65" s="213">
        <v>0</v>
      </c>
      <c r="CD65" s="213">
        <v>40</v>
      </c>
      <c r="CE65" s="213" t="s">
        <v>738</v>
      </c>
      <c r="CF65" s="213" t="s">
        <v>734</v>
      </c>
      <c r="CG65" s="213">
        <v>4</v>
      </c>
      <c r="CH65" s="213" t="s">
        <v>798</v>
      </c>
      <c r="CI65" s="213">
        <v>23</v>
      </c>
      <c r="CJ65" s="213">
        <v>370</v>
      </c>
      <c r="CK65" s="213" t="s">
        <v>710</v>
      </c>
      <c r="CL65" s="213">
        <v>-9999</v>
      </c>
      <c r="CM65" s="213">
        <v>116</v>
      </c>
      <c r="CN65" s="213">
        <v>302</v>
      </c>
      <c r="CO65" s="213">
        <v>113</v>
      </c>
      <c r="CP65" s="213" t="s">
        <v>710</v>
      </c>
      <c r="CQ65" s="213">
        <v>0</v>
      </c>
      <c r="CR65" s="213">
        <v>40</v>
      </c>
      <c r="CS65" s="213" t="s">
        <v>739</v>
      </c>
      <c r="CT65" s="213" t="s">
        <v>740</v>
      </c>
      <c r="CU65" s="213">
        <v>116</v>
      </c>
      <c r="CV65" s="213">
        <v>116</v>
      </c>
      <c r="CW65" s="213">
        <v>115</v>
      </c>
      <c r="CX65" s="213" t="s">
        <v>710</v>
      </c>
      <c r="CY65" s="213" t="s">
        <v>741</v>
      </c>
      <c r="CZ65" s="213" t="s">
        <v>740</v>
      </c>
      <c r="DA65" s="213">
        <v>98</v>
      </c>
      <c r="DB65" s="213">
        <v>97</v>
      </c>
      <c r="DC65" s="213">
        <v>97</v>
      </c>
      <c r="DD65" s="213" t="s">
        <v>710</v>
      </c>
      <c r="DE65" s="213" t="s">
        <v>742</v>
      </c>
      <c r="DF65" s="213" t="s">
        <v>743</v>
      </c>
      <c r="DG65" s="213">
        <v>0</v>
      </c>
      <c r="DH65" s="213">
        <v>0</v>
      </c>
      <c r="DI65" s="213">
        <v>0</v>
      </c>
      <c r="DJ65" s="213" t="s">
        <v>249</v>
      </c>
      <c r="DK65" s="213">
        <v>69.3</v>
      </c>
      <c r="DL65" s="213">
        <v>47.3</v>
      </c>
      <c r="DM65" s="213" t="s">
        <v>744</v>
      </c>
      <c r="DN65" s="213" t="s">
        <v>743</v>
      </c>
      <c r="DO65" s="213">
        <v>0</v>
      </c>
      <c r="DP65" s="213">
        <v>0</v>
      </c>
      <c r="DQ65" s="213">
        <v>0</v>
      </c>
      <c r="DR65" s="213" t="s">
        <v>249</v>
      </c>
      <c r="DU65" s="213" t="s">
        <v>745</v>
      </c>
      <c r="DV65" s="213" t="s">
        <v>743</v>
      </c>
      <c r="DW65" s="213">
        <v>0</v>
      </c>
      <c r="DX65" s="213">
        <v>0</v>
      </c>
      <c r="DY65" s="213">
        <v>0</v>
      </c>
      <c r="DZ65" s="213" t="s">
        <v>249</v>
      </c>
      <c r="EC65" s="213" t="s">
        <v>746</v>
      </c>
      <c r="ED65" s="213" t="s">
        <v>743</v>
      </c>
      <c r="EE65" s="213">
        <v>0</v>
      </c>
      <c r="EF65" s="213">
        <v>0</v>
      </c>
      <c r="EG65" s="213">
        <v>0</v>
      </c>
      <c r="EH65" s="213" t="s">
        <v>249</v>
      </c>
      <c r="EK65" s="213" t="s">
        <v>747</v>
      </c>
      <c r="EL65" s="213" t="s">
        <v>743</v>
      </c>
      <c r="EM65" s="213">
        <v>0</v>
      </c>
      <c r="EN65" s="213">
        <v>0</v>
      </c>
      <c r="EO65" s="213">
        <v>0</v>
      </c>
      <c r="EP65" s="213" t="s">
        <v>249</v>
      </c>
      <c r="ES65" s="213" t="s">
        <v>748</v>
      </c>
      <c r="ET65" s="213" t="s">
        <v>743</v>
      </c>
      <c r="EU65" s="213">
        <v>0</v>
      </c>
      <c r="EV65" s="213">
        <v>0</v>
      </c>
      <c r="EW65" s="213">
        <v>0</v>
      </c>
      <c r="EX65" s="213" t="s">
        <v>249</v>
      </c>
      <c r="EY65" s="213">
        <v>70</v>
      </c>
      <c r="EZ65" s="213">
        <v>53.7</v>
      </c>
      <c r="FA65" s="213" t="s">
        <v>749</v>
      </c>
      <c r="FB65" s="213" t="s">
        <v>743</v>
      </c>
      <c r="FC65" s="213">
        <v>0</v>
      </c>
      <c r="FD65" s="213">
        <v>0</v>
      </c>
      <c r="FE65" s="213">
        <v>0</v>
      </c>
      <c r="FF65" s="213" t="s">
        <v>249</v>
      </c>
      <c r="FI65" s="213" t="s">
        <v>750</v>
      </c>
      <c r="FJ65" s="213" t="s">
        <v>743</v>
      </c>
      <c r="FK65" s="213">
        <v>0</v>
      </c>
      <c r="FL65" s="213">
        <v>0</v>
      </c>
      <c r="FM65" s="213">
        <v>0</v>
      </c>
      <c r="FN65" s="213" t="s">
        <v>249</v>
      </c>
      <c r="FO65" s="213">
        <v>73.5</v>
      </c>
      <c r="FP65" s="213">
        <v>138.5</v>
      </c>
      <c r="FQ65" s="213" t="s">
        <v>751</v>
      </c>
      <c r="FR65" s="213" t="s">
        <v>743</v>
      </c>
      <c r="FS65" s="213">
        <v>0</v>
      </c>
      <c r="FT65" s="213">
        <v>0</v>
      </c>
      <c r="FU65" s="213">
        <v>0</v>
      </c>
      <c r="FV65" s="213" t="s">
        <v>249</v>
      </c>
      <c r="FY65" s="213">
        <v>31.9</v>
      </c>
      <c r="FZ65" s="213">
        <v>-21</v>
      </c>
      <c r="GF65" s="213" t="s">
        <v>752</v>
      </c>
    </row>
    <row r="66" spans="1:188" s="213" customFormat="1" x14ac:dyDescent="0.15">
      <c r="A66" s="213" t="s">
        <v>654</v>
      </c>
      <c r="B66" s="213">
        <v>4</v>
      </c>
      <c r="C66" s="213" t="s">
        <v>1125</v>
      </c>
      <c r="D66" s="213">
        <v>614385278</v>
      </c>
      <c r="E66" s="213">
        <v>92303</v>
      </c>
      <c r="F66" s="213" t="s">
        <v>795</v>
      </c>
      <c r="G66" s="213">
        <v>839032</v>
      </c>
      <c r="H66" s="213">
        <v>210018949</v>
      </c>
      <c r="I66" s="213">
        <v>6.8</v>
      </c>
      <c r="J66" s="213" t="s">
        <v>1126</v>
      </c>
      <c r="K66" s="213" t="s">
        <v>727</v>
      </c>
      <c r="L66" s="213" t="s">
        <v>797</v>
      </c>
      <c r="M66" s="213" t="s">
        <v>728</v>
      </c>
      <c r="N66" s="213" t="s">
        <v>728</v>
      </c>
      <c r="O66" s="213" t="s">
        <v>729</v>
      </c>
      <c r="P66" s="213" t="s">
        <v>249</v>
      </c>
      <c r="Q66" s="213">
        <v>24.9</v>
      </c>
      <c r="R66" s="213">
        <v>161</v>
      </c>
      <c r="S66" s="213" t="s">
        <v>249</v>
      </c>
      <c r="T66" s="213">
        <v>-9999</v>
      </c>
      <c r="U66" s="213">
        <v>185</v>
      </c>
      <c r="V66" s="213">
        <v>399</v>
      </c>
      <c r="W66" s="213">
        <v>182</v>
      </c>
      <c r="X66" s="213" t="s">
        <v>710</v>
      </c>
      <c r="Y66" s="213">
        <v>0</v>
      </c>
      <c r="Z66" s="213">
        <v>40</v>
      </c>
      <c r="AA66" s="213" t="s">
        <v>730</v>
      </c>
      <c r="AB66" s="213" t="s">
        <v>731</v>
      </c>
      <c r="AC66" s="213" t="s">
        <v>729</v>
      </c>
      <c r="AD66" s="213" t="s">
        <v>249</v>
      </c>
      <c r="AE66" s="213">
        <v>25.4</v>
      </c>
      <c r="AF66" s="213">
        <v>128</v>
      </c>
      <c r="AG66" s="213" t="s">
        <v>249</v>
      </c>
      <c r="AH66" s="213">
        <v>-9999</v>
      </c>
      <c r="AI66" s="213">
        <v>189</v>
      </c>
      <c r="AJ66" s="213">
        <v>449</v>
      </c>
      <c r="AK66" s="213">
        <v>187</v>
      </c>
      <c r="AL66" s="213" t="s">
        <v>710</v>
      </c>
      <c r="AM66" s="213">
        <v>0</v>
      </c>
      <c r="AN66" s="213">
        <v>40</v>
      </c>
      <c r="AO66" s="213" t="s">
        <v>733</v>
      </c>
      <c r="AP66" s="213" t="s">
        <v>734</v>
      </c>
      <c r="AQ66" s="213">
        <v>1</v>
      </c>
      <c r="AR66" s="213" t="s">
        <v>798</v>
      </c>
      <c r="AS66" s="213">
        <v>23.4</v>
      </c>
      <c r="AT66" s="213">
        <v>429</v>
      </c>
      <c r="AU66" s="213" t="s">
        <v>710</v>
      </c>
      <c r="AV66" s="213">
        <v>-9999</v>
      </c>
      <c r="AW66" s="213">
        <v>260</v>
      </c>
      <c r="AX66" s="213">
        <v>640</v>
      </c>
      <c r="AY66" s="213">
        <v>259</v>
      </c>
      <c r="AZ66" s="213" t="s">
        <v>710</v>
      </c>
      <c r="BA66" s="213">
        <v>0</v>
      </c>
      <c r="BB66" s="213">
        <v>40</v>
      </c>
      <c r="BC66" s="213" t="s">
        <v>736</v>
      </c>
      <c r="BD66" s="213" t="s">
        <v>734</v>
      </c>
      <c r="BE66" s="213">
        <v>2</v>
      </c>
      <c r="BF66" s="213" t="s">
        <v>798</v>
      </c>
      <c r="BG66" s="213">
        <v>24.4</v>
      </c>
      <c r="BH66" s="213">
        <v>190</v>
      </c>
      <c r="BI66" s="213" t="s">
        <v>710</v>
      </c>
      <c r="BJ66" s="213">
        <v>-9999</v>
      </c>
      <c r="BK66" s="213">
        <v>104</v>
      </c>
      <c r="BL66" s="213">
        <v>318</v>
      </c>
      <c r="BM66" s="213">
        <v>102</v>
      </c>
      <c r="BN66" s="213" t="s">
        <v>710</v>
      </c>
      <c r="BO66" s="213">
        <v>0</v>
      </c>
      <c r="BP66" s="213">
        <v>40</v>
      </c>
      <c r="BQ66" s="213" t="s">
        <v>737</v>
      </c>
      <c r="BR66" s="213" t="s">
        <v>734</v>
      </c>
      <c r="BS66" s="213">
        <v>3</v>
      </c>
      <c r="BT66" s="213" t="s">
        <v>799</v>
      </c>
      <c r="BU66" s="213">
        <v>0</v>
      </c>
      <c r="BV66" s="213">
        <v>33</v>
      </c>
      <c r="BW66" s="213" t="s">
        <v>249</v>
      </c>
      <c r="BX66" s="213">
        <v>-9999</v>
      </c>
      <c r="BY66" s="213">
        <v>144</v>
      </c>
      <c r="BZ66" s="213">
        <v>330</v>
      </c>
      <c r="CA66" s="213">
        <v>143</v>
      </c>
      <c r="CB66" s="213" t="s">
        <v>710</v>
      </c>
      <c r="CC66" s="213">
        <v>0</v>
      </c>
      <c r="CD66" s="213">
        <v>40</v>
      </c>
      <c r="CE66" s="213" t="s">
        <v>738</v>
      </c>
      <c r="CF66" s="213" t="s">
        <v>734</v>
      </c>
      <c r="CG66" s="213">
        <v>4</v>
      </c>
      <c r="CH66" s="213" t="s">
        <v>798</v>
      </c>
      <c r="CI66" s="213">
        <v>21.9</v>
      </c>
      <c r="CJ66" s="213">
        <v>421</v>
      </c>
      <c r="CK66" s="213" t="s">
        <v>710</v>
      </c>
      <c r="CL66" s="213">
        <v>-9999</v>
      </c>
      <c r="CM66" s="213">
        <v>136</v>
      </c>
      <c r="CN66" s="213">
        <v>350</v>
      </c>
      <c r="CO66" s="213">
        <v>133</v>
      </c>
      <c r="CP66" s="213" t="s">
        <v>710</v>
      </c>
      <c r="CQ66" s="213">
        <v>0</v>
      </c>
      <c r="CR66" s="213">
        <v>40</v>
      </c>
      <c r="CS66" s="213" t="s">
        <v>739</v>
      </c>
      <c r="CT66" s="213" t="s">
        <v>740</v>
      </c>
      <c r="CU66" s="213">
        <v>111</v>
      </c>
      <c r="CV66" s="213">
        <v>111</v>
      </c>
      <c r="CW66" s="213">
        <v>111</v>
      </c>
      <c r="CX66" s="213" t="s">
        <v>710</v>
      </c>
      <c r="CY66" s="213" t="s">
        <v>741</v>
      </c>
      <c r="CZ66" s="213" t="s">
        <v>740</v>
      </c>
      <c r="DA66" s="213">
        <v>98</v>
      </c>
      <c r="DB66" s="213">
        <v>97</v>
      </c>
      <c r="DC66" s="213">
        <v>97</v>
      </c>
      <c r="DD66" s="213" t="s">
        <v>710</v>
      </c>
      <c r="DE66" s="213" t="s">
        <v>742</v>
      </c>
      <c r="DF66" s="213" t="s">
        <v>743</v>
      </c>
      <c r="DG66" s="213">
        <v>0</v>
      </c>
      <c r="DH66" s="213">
        <v>0</v>
      </c>
      <c r="DI66" s="213">
        <v>0</v>
      </c>
      <c r="DJ66" s="213" t="s">
        <v>249</v>
      </c>
      <c r="DK66" s="213">
        <v>69.400000000000006</v>
      </c>
      <c r="DL66" s="213">
        <v>60.1</v>
      </c>
      <c r="DM66" s="213" t="s">
        <v>744</v>
      </c>
      <c r="DN66" s="213" t="s">
        <v>743</v>
      </c>
      <c r="DO66" s="213">
        <v>0</v>
      </c>
      <c r="DP66" s="213">
        <v>0</v>
      </c>
      <c r="DQ66" s="213">
        <v>0</v>
      </c>
      <c r="DR66" s="213" t="s">
        <v>249</v>
      </c>
      <c r="DU66" s="213" t="s">
        <v>745</v>
      </c>
      <c r="DV66" s="213" t="s">
        <v>743</v>
      </c>
      <c r="DW66" s="213">
        <v>0</v>
      </c>
      <c r="DX66" s="213">
        <v>0</v>
      </c>
      <c r="DY66" s="213">
        <v>0</v>
      </c>
      <c r="DZ66" s="213" t="s">
        <v>249</v>
      </c>
      <c r="EC66" s="213" t="s">
        <v>746</v>
      </c>
      <c r="ED66" s="213" t="s">
        <v>743</v>
      </c>
      <c r="EE66" s="213">
        <v>0</v>
      </c>
      <c r="EF66" s="213">
        <v>0</v>
      </c>
      <c r="EG66" s="213">
        <v>0</v>
      </c>
      <c r="EH66" s="213" t="s">
        <v>249</v>
      </c>
      <c r="EK66" s="213" t="s">
        <v>747</v>
      </c>
      <c r="EL66" s="213" t="s">
        <v>743</v>
      </c>
      <c r="EM66" s="213">
        <v>0</v>
      </c>
      <c r="EN66" s="213">
        <v>0</v>
      </c>
      <c r="EO66" s="213">
        <v>0</v>
      </c>
      <c r="EP66" s="213" t="s">
        <v>249</v>
      </c>
      <c r="ES66" s="213" t="s">
        <v>748</v>
      </c>
      <c r="ET66" s="213" t="s">
        <v>743</v>
      </c>
      <c r="EU66" s="213">
        <v>0</v>
      </c>
      <c r="EV66" s="213">
        <v>0</v>
      </c>
      <c r="EW66" s="213">
        <v>0</v>
      </c>
      <c r="EX66" s="213" t="s">
        <v>249</v>
      </c>
      <c r="EY66" s="213">
        <v>70.099999999999994</v>
      </c>
      <c r="EZ66" s="213">
        <v>62.5</v>
      </c>
      <c r="FA66" s="213" t="s">
        <v>749</v>
      </c>
      <c r="FB66" s="213" t="s">
        <v>743</v>
      </c>
      <c r="FC66" s="213">
        <v>0</v>
      </c>
      <c r="FD66" s="213">
        <v>0</v>
      </c>
      <c r="FE66" s="213">
        <v>0</v>
      </c>
      <c r="FF66" s="213" t="s">
        <v>249</v>
      </c>
      <c r="FI66" s="213" t="s">
        <v>750</v>
      </c>
      <c r="FJ66" s="213" t="s">
        <v>743</v>
      </c>
      <c r="FK66" s="213">
        <v>0</v>
      </c>
      <c r="FL66" s="213">
        <v>0</v>
      </c>
      <c r="FM66" s="213">
        <v>0</v>
      </c>
      <c r="FN66" s="213" t="s">
        <v>249</v>
      </c>
      <c r="FO66" s="213">
        <v>73.7</v>
      </c>
      <c r="FP66" s="213">
        <v>175.5</v>
      </c>
      <c r="FQ66" s="213" t="s">
        <v>751</v>
      </c>
      <c r="FR66" s="213" t="s">
        <v>743</v>
      </c>
      <c r="FS66" s="213">
        <v>0</v>
      </c>
      <c r="FT66" s="213">
        <v>0</v>
      </c>
      <c r="FU66" s="213">
        <v>0</v>
      </c>
      <c r="FV66" s="213" t="s">
        <v>249</v>
      </c>
      <c r="FY66" s="213">
        <v>18.899999999999999</v>
      </c>
      <c r="FZ66" s="213">
        <v>-9.5</v>
      </c>
      <c r="GF66" s="213" t="s">
        <v>752</v>
      </c>
    </row>
    <row r="67" spans="1:188" s="213" customFormat="1" x14ac:dyDescent="0.15">
      <c r="A67" s="213" t="s">
        <v>654</v>
      </c>
      <c r="B67" s="213">
        <v>4</v>
      </c>
      <c r="C67" s="213" t="s">
        <v>1127</v>
      </c>
      <c r="D67" s="213">
        <v>614386394</v>
      </c>
      <c r="E67" s="213">
        <v>92303</v>
      </c>
      <c r="F67" s="213" t="s">
        <v>795</v>
      </c>
      <c r="G67" s="213">
        <v>839032</v>
      </c>
      <c r="H67" s="213">
        <v>210019897</v>
      </c>
      <c r="I67" s="213">
        <v>6.8</v>
      </c>
      <c r="J67" s="213" t="s">
        <v>1128</v>
      </c>
      <c r="K67" s="213" t="s">
        <v>727</v>
      </c>
      <c r="L67" s="213" t="s">
        <v>797</v>
      </c>
      <c r="M67" s="213" t="s">
        <v>728</v>
      </c>
      <c r="N67" s="213" t="s">
        <v>728</v>
      </c>
      <c r="O67" s="213" t="s">
        <v>729</v>
      </c>
      <c r="P67" s="213" t="s">
        <v>249</v>
      </c>
      <c r="Q67" s="213">
        <v>25.3</v>
      </c>
      <c r="R67" s="213">
        <v>132</v>
      </c>
      <c r="S67" s="213" t="s">
        <v>249</v>
      </c>
      <c r="T67" s="213">
        <v>-9999</v>
      </c>
      <c r="U67" s="213">
        <v>202</v>
      </c>
      <c r="V67" s="213">
        <v>435</v>
      </c>
      <c r="W67" s="213">
        <v>194</v>
      </c>
      <c r="X67" s="213" t="s">
        <v>710</v>
      </c>
      <c r="Y67" s="213">
        <v>0</v>
      </c>
      <c r="Z67" s="213">
        <v>40</v>
      </c>
      <c r="AA67" s="213" t="s">
        <v>730</v>
      </c>
      <c r="AB67" s="213" t="s">
        <v>731</v>
      </c>
      <c r="AC67" s="213" t="s">
        <v>729</v>
      </c>
      <c r="AD67" s="213" t="s">
        <v>249</v>
      </c>
      <c r="AE67" s="213">
        <v>26.7</v>
      </c>
      <c r="AF67" s="213">
        <v>111</v>
      </c>
      <c r="AG67" s="213" t="s">
        <v>249</v>
      </c>
      <c r="AH67" s="213">
        <v>-9999</v>
      </c>
      <c r="AI67" s="213">
        <v>174</v>
      </c>
      <c r="AJ67" s="213">
        <v>410</v>
      </c>
      <c r="AK67" s="213">
        <v>171</v>
      </c>
      <c r="AL67" s="213" t="s">
        <v>710</v>
      </c>
      <c r="AM67" s="213">
        <v>0</v>
      </c>
      <c r="AN67" s="213">
        <v>40</v>
      </c>
      <c r="AO67" s="213" t="s">
        <v>733</v>
      </c>
      <c r="AP67" s="213" t="s">
        <v>734</v>
      </c>
      <c r="AQ67" s="213">
        <v>1</v>
      </c>
      <c r="AR67" s="213" t="s">
        <v>798</v>
      </c>
      <c r="AS67" s="213">
        <v>24.2</v>
      </c>
      <c r="AT67" s="213">
        <v>395</v>
      </c>
      <c r="AU67" s="213" t="s">
        <v>710</v>
      </c>
      <c r="AV67" s="213">
        <v>-9999</v>
      </c>
      <c r="AW67" s="213">
        <v>226</v>
      </c>
      <c r="AX67" s="213">
        <v>554</v>
      </c>
      <c r="AY67" s="213">
        <v>223</v>
      </c>
      <c r="AZ67" s="213" t="s">
        <v>710</v>
      </c>
      <c r="BA67" s="213">
        <v>0</v>
      </c>
      <c r="BB67" s="213">
        <v>40</v>
      </c>
      <c r="BC67" s="213" t="s">
        <v>736</v>
      </c>
      <c r="BD67" s="213" t="s">
        <v>734</v>
      </c>
      <c r="BE67" s="213">
        <v>2</v>
      </c>
      <c r="BF67" s="213" t="s">
        <v>798</v>
      </c>
      <c r="BG67" s="213">
        <v>25.1</v>
      </c>
      <c r="BH67" s="213">
        <v>169</v>
      </c>
      <c r="BI67" s="213" t="s">
        <v>710</v>
      </c>
      <c r="BJ67" s="213">
        <v>-9999</v>
      </c>
      <c r="BK67" s="213">
        <v>111</v>
      </c>
      <c r="BL67" s="213">
        <v>336</v>
      </c>
      <c r="BM67" s="213">
        <v>109</v>
      </c>
      <c r="BN67" s="213" t="s">
        <v>710</v>
      </c>
      <c r="BO67" s="213">
        <v>0</v>
      </c>
      <c r="BP67" s="213">
        <v>40</v>
      </c>
      <c r="BQ67" s="213" t="s">
        <v>737</v>
      </c>
      <c r="BR67" s="213" t="s">
        <v>734</v>
      </c>
      <c r="BS67" s="213">
        <v>3</v>
      </c>
      <c r="BT67" s="213" t="s">
        <v>799</v>
      </c>
      <c r="BU67" s="213">
        <v>0</v>
      </c>
      <c r="BV67" s="213">
        <v>28</v>
      </c>
      <c r="BW67" s="213" t="s">
        <v>249</v>
      </c>
      <c r="BX67" s="213">
        <v>-9999</v>
      </c>
      <c r="BY67" s="213">
        <v>184</v>
      </c>
      <c r="BZ67" s="213">
        <v>432</v>
      </c>
      <c r="CA67" s="213">
        <v>183</v>
      </c>
      <c r="CB67" s="213" t="s">
        <v>710</v>
      </c>
      <c r="CC67" s="213">
        <v>0</v>
      </c>
      <c r="CD67" s="213">
        <v>40</v>
      </c>
      <c r="CE67" s="213" t="s">
        <v>738</v>
      </c>
      <c r="CF67" s="213" t="s">
        <v>734</v>
      </c>
      <c r="CG67" s="213">
        <v>4</v>
      </c>
      <c r="CH67" s="213" t="s">
        <v>798</v>
      </c>
      <c r="CI67" s="213">
        <v>22.3</v>
      </c>
      <c r="CJ67" s="213">
        <v>389</v>
      </c>
      <c r="CK67" s="213" t="s">
        <v>710</v>
      </c>
      <c r="CL67" s="213">
        <v>-9999</v>
      </c>
      <c r="CM67" s="213">
        <v>141</v>
      </c>
      <c r="CN67" s="213">
        <v>364</v>
      </c>
      <c r="CO67" s="213">
        <v>138</v>
      </c>
      <c r="CP67" s="213" t="s">
        <v>710</v>
      </c>
      <c r="CQ67" s="213">
        <v>0</v>
      </c>
      <c r="CR67" s="213">
        <v>40</v>
      </c>
      <c r="CS67" s="213" t="s">
        <v>739</v>
      </c>
      <c r="CT67" s="213" t="s">
        <v>740</v>
      </c>
      <c r="CU67" s="213">
        <v>117</v>
      </c>
      <c r="CV67" s="213">
        <v>116</v>
      </c>
      <c r="CW67" s="213">
        <v>116</v>
      </c>
      <c r="CX67" s="213" t="s">
        <v>710</v>
      </c>
      <c r="CY67" s="213" t="s">
        <v>741</v>
      </c>
      <c r="CZ67" s="213" t="s">
        <v>740</v>
      </c>
      <c r="DA67" s="213">
        <v>108</v>
      </c>
      <c r="DB67" s="213">
        <v>107</v>
      </c>
      <c r="DC67" s="213">
        <v>107</v>
      </c>
      <c r="DD67" s="213" t="s">
        <v>710</v>
      </c>
      <c r="DE67" s="213" t="s">
        <v>742</v>
      </c>
      <c r="DF67" s="213" t="s">
        <v>743</v>
      </c>
      <c r="DG67" s="213">
        <v>0</v>
      </c>
      <c r="DH67" s="213">
        <v>0</v>
      </c>
      <c r="DI67" s="213">
        <v>0</v>
      </c>
      <c r="DJ67" s="213" t="s">
        <v>249</v>
      </c>
      <c r="DK67" s="213">
        <v>69.2</v>
      </c>
      <c r="DL67" s="213">
        <v>56.2</v>
      </c>
      <c r="DM67" s="213" t="s">
        <v>744</v>
      </c>
      <c r="DN67" s="213" t="s">
        <v>743</v>
      </c>
      <c r="DO67" s="213">
        <v>0</v>
      </c>
      <c r="DP67" s="213">
        <v>0</v>
      </c>
      <c r="DQ67" s="213">
        <v>0</v>
      </c>
      <c r="DR67" s="213" t="s">
        <v>249</v>
      </c>
      <c r="DU67" s="213" t="s">
        <v>745</v>
      </c>
      <c r="DV67" s="213" t="s">
        <v>743</v>
      </c>
      <c r="DW67" s="213">
        <v>0</v>
      </c>
      <c r="DX67" s="213">
        <v>0</v>
      </c>
      <c r="DY67" s="213">
        <v>0</v>
      </c>
      <c r="DZ67" s="213" t="s">
        <v>249</v>
      </c>
      <c r="EC67" s="213" t="s">
        <v>746</v>
      </c>
      <c r="ED67" s="213" t="s">
        <v>743</v>
      </c>
      <c r="EE67" s="213">
        <v>0</v>
      </c>
      <c r="EF67" s="213">
        <v>0</v>
      </c>
      <c r="EG67" s="213">
        <v>0</v>
      </c>
      <c r="EH67" s="213" t="s">
        <v>249</v>
      </c>
      <c r="EK67" s="213" t="s">
        <v>747</v>
      </c>
      <c r="EL67" s="213" t="s">
        <v>743</v>
      </c>
      <c r="EM67" s="213">
        <v>0</v>
      </c>
      <c r="EN67" s="213">
        <v>0</v>
      </c>
      <c r="EO67" s="213">
        <v>0</v>
      </c>
      <c r="EP67" s="213" t="s">
        <v>249</v>
      </c>
      <c r="ES67" s="213" t="s">
        <v>748</v>
      </c>
      <c r="ET67" s="213" t="s">
        <v>743</v>
      </c>
      <c r="EU67" s="213">
        <v>0</v>
      </c>
      <c r="EV67" s="213">
        <v>0</v>
      </c>
      <c r="EW67" s="213">
        <v>0</v>
      </c>
      <c r="EX67" s="213" t="s">
        <v>249</v>
      </c>
      <c r="EY67" s="213">
        <v>69.900000000000006</v>
      </c>
      <c r="EZ67" s="213">
        <v>55.3</v>
      </c>
      <c r="FA67" s="213" t="s">
        <v>749</v>
      </c>
      <c r="FB67" s="213" t="s">
        <v>743</v>
      </c>
      <c r="FC67" s="213">
        <v>0</v>
      </c>
      <c r="FD67" s="213">
        <v>0</v>
      </c>
      <c r="FE67" s="213">
        <v>0</v>
      </c>
      <c r="FF67" s="213" t="s">
        <v>249</v>
      </c>
      <c r="FI67" s="213" t="s">
        <v>750</v>
      </c>
      <c r="FJ67" s="213" t="s">
        <v>743</v>
      </c>
      <c r="FK67" s="213">
        <v>0</v>
      </c>
      <c r="FL67" s="213">
        <v>0</v>
      </c>
      <c r="FM67" s="213">
        <v>0</v>
      </c>
      <c r="FN67" s="213" t="s">
        <v>249</v>
      </c>
      <c r="FO67" s="213">
        <v>73.400000000000006</v>
      </c>
      <c r="FP67" s="213">
        <v>169.9</v>
      </c>
      <c r="FQ67" s="213" t="s">
        <v>751</v>
      </c>
      <c r="FR67" s="213" t="s">
        <v>743</v>
      </c>
      <c r="FS67" s="213">
        <v>0</v>
      </c>
      <c r="FT67" s="213">
        <v>0</v>
      </c>
      <c r="FU67" s="213">
        <v>0</v>
      </c>
      <c r="FV67" s="213" t="s">
        <v>249</v>
      </c>
      <c r="FY67" s="213">
        <v>19.600000000000001</v>
      </c>
      <c r="FZ67" s="213">
        <v>-11</v>
      </c>
      <c r="GF67" s="213" t="s">
        <v>752</v>
      </c>
    </row>
    <row r="68" spans="1:188" s="213" customFormat="1" x14ac:dyDescent="0.15">
      <c r="A68" s="213" t="s">
        <v>654</v>
      </c>
      <c r="B68" s="213">
        <v>4</v>
      </c>
      <c r="C68" s="213" t="s">
        <v>1129</v>
      </c>
      <c r="D68" s="213">
        <v>614385714</v>
      </c>
      <c r="E68" s="213">
        <v>92303</v>
      </c>
      <c r="F68" s="213" t="s">
        <v>795</v>
      </c>
      <c r="G68" s="213">
        <v>839032</v>
      </c>
      <c r="H68" s="213">
        <v>730217</v>
      </c>
      <c r="I68" s="213">
        <v>6.8</v>
      </c>
      <c r="J68" s="213" t="s">
        <v>1130</v>
      </c>
      <c r="K68" s="213" t="s">
        <v>727</v>
      </c>
      <c r="L68" s="213" t="s">
        <v>797</v>
      </c>
      <c r="M68" s="213" t="s">
        <v>728</v>
      </c>
      <c r="N68" s="213" t="s">
        <v>728</v>
      </c>
      <c r="O68" s="213" t="s">
        <v>729</v>
      </c>
      <c r="P68" s="213" t="s">
        <v>249</v>
      </c>
      <c r="Q68" s="213">
        <v>24.2</v>
      </c>
      <c r="R68" s="213">
        <v>144</v>
      </c>
      <c r="S68" s="213" t="s">
        <v>249</v>
      </c>
      <c r="T68" s="213">
        <v>-9999</v>
      </c>
      <c r="U68" s="213">
        <v>233</v>
      </c>
      <c r="V68" s="213">
        <v>480</v>
      </c>
      <c r="W68" s="213">
        <v>225</v>
      </c>
      <c r="X68" s="213" t="s">
        <v>710</v>
      </c>
      <c r="Y68" s="213">
        <v>0</v>
      </c>
      <c r="Z68" s="213">
        <v>40</v>
      </c>
      <c r="AA68" s="213" t="s">
        <v>730</v>
      </c>
      <c r="AB68" s="213" t="s">
        <v>731</v>
      </c>
      <c r="AC68" s="213" t="s">
        <v>729</v>
      </c>
      <c r="AD68" s="213" t="s">
        <v>249</v>
      </c>
      <c r="AE68" s="213">
        <v>26</v>
      </c>
      <c r="AF68" s="213">
        <v>111</v>
      </c>
      <c r="AG68" s="213" t="s">
        <v>249</v>
      </c>
      <c r="AH68" s="213">
        <v>-9999</v>
      </c>
      <c r="AI68" s="213">
        <v>195</v>
      </c>
      <c r="AJ68" s="213">
        <v>460</v>
      </c>
      <c r="AK68" s="213">
        <v>193</v>
      </c>
      <c r="AL68" s="213" t="s">
        <v>710</v>
      </c>
      <c r="AM68" s="213">
        <v>0</v>
      </c>
      <c r="AN68" s="213">
        <v>40</v>
      </c>
      <c r="AO68" s="213" t="s">
        <v>733</v>
      </c>
      <c r="AP68" s="213" t="s">
        <v>734</v>
      </c>
      <c r="AQ68" s="213">
        <v>1</v>
      </c>
      <c r="AR68" s="213" t="s">
        <v>798</v>
      </c>
      <c r="AS68" s="213">
        <v>22.9</v>
      </c>
      <c r="AT68" s="213">
        <v>412</v>
      </c>
      <c r="AU68" s="213" t="s">
        <v>710</v>
      </c>
      <c r="AV68" s="213">
        <v>-9999</v>
      </c>
      <c r="AW68" s="213">
        <v>255</v>
      </c>
      <c r="AX68" s="213">
        <v>618</v>
      </c>
      <c r="AY68" s="213">
        <v>252</v>
      </c>
      <c r="AZ68" s="213" t="s">
        <v>710</v>
      </c>
      <c r="BA68" s="213">
        <v>0</v>
      </c>
      <c r="BB68" s="213">
        <v>40</v>
      </c>
      <c r="BC68" s="213" t="s">
        <v>736</v>
      </c>
      <c r="BD68" s="213" t="s">
        <v>734</v>
      </c>
      <c r="BE68" s="213">
        <v>2</v>
      </c>
      <c r="BF68" s="213" t="s">
        <v>798</v>
      </c>
      <c r="BG68" s="213">
        <v>23.9</v>
      </c>
      <c r="BH68" s="213">
        <v>190</v>
      </c>
      <c r="BI68" s="213" t="s">
        <v>710</v>
      </c>
      <c r="BJ68" s="213">
        <v>-9999</v>
      </c>
      <c r="BK68" s="213">
        <v>92</v>
      </c>
      <c r="BL68" s="213">
        <v>310</v>
      </c>
      <c r="BM68" s="213">
        <v>89</v>
      </c>
      <c r="BN68" s="213" t="s">
        <v>710</v>
      </c>
      <c r="BO68" s="213">
        <v>0</v>
      </c>
      <c r="BP68" s="213">
        <v>40</v>
      </c>
      <c r="BQ68" s="213" t="s">
        <v>737</v>
      </c>
      <c r="BR68" s="213" t="s">
        <v>734</v>
      </c>
      <c r="BS68" s="213">
        <v>3</v>
      </c>
      <c r="BT68" s="213" t="s">
        <v>799</v>
      </c>
      <c r="BU68" s="213">
        <v>0</v>
      </c>
      <c r="BV68" s="213">
        <v>23</v>
      </c>
      <c r="BW68" s="213" t="s">
        <v>249</v>
      </c>
      <c r="BX68" s="213">
        <v>-9999</v>
      </c>
      <c r="BY68" s="213">
        <v>147</v>
      </c>
      <c r="BZ68" s="213">
        <v>324</v>
      </c>
      <c r="CA68" s="213">
        <v>145</v>
      </c>
      <c r="CB68" s="213" t="s">
        <v>710</v>
      </c>
      <c r="CC68" s="213">
        <v>0</v>
      </c>
      <c r="CD68" s="213">
        <v>40</v>
      </c>
      <c r="CE68" s="213" t="s">
        <v>738</v>
      </c>
      <c r="CF68" s="213" t="s">
        <v>734</v>
      </c>
      <c r="CG68" s="213">
        <v>4</v>
      </c>
      <c r="CH68" s="213" t="s">
        <v>798</v>
      </c>
      <c r="CI68" s="213">
        <v>21.8</v>
      </c>
      <c r="CJ68" s="213">
        <v>397</v>
      </c>
      <c r="CK68" s="213" t="s">
        <v>710</v>
      </c>
      <c r="CL68" s="213">
        <v>-9999</v>
      </c>
      <c r="CM68" s="213">
        <v>140</v>
      </c>
      <c r="CN68" s="213">
        <v>370</v>
      </c>
      <c r="CO68" s="213">
        <v>138</v>
      </c>
      <c r="CP68" s="213" t="s">
        <v>710</v>
      </c>
      <c r="CQ68" s="213">
        <v>0</v>
      </c>
      <c r="CR68" s="213">
        <v>40</v>
      </c>
      <c r="CS68" s="213" t="s">
        <v>739</v>
      </c>
      <c r="CT68" s="213" t="s">
        <v>740</v>
      </c>
      <c r="CU68" s="213">
        <v>116</v>
      </c>
      <c r="CV68" s="213">
        <v>116</v>
      </c>
      <c r="CW68" s="213">
        <v>115</v>
      </c>
      <c r="CX68" s="213" t="s">
        <v>710</v>
      </c>
      <c r="CY68" s="213" t="s">
        <v>741</v>
      </c>
      <c r="CZ68" s="213" t="s">
        <v>740</v>
      </c>
      <c r="DA68" s="213">
        <v>102</v>
      </c>
      <c r="DB68" s="213">
        <v>101</v>
      </c>
      <c r="DC68" s="213">
        <v>101</v>
      </c>
      <c r="DD68" s="213" t="s">
        <v>710</v>
      </c>
      <c r="DE68" s="213" t="s">
        <v>742</v>
      </c>
      <c r="DF68" s="213" t="s">
        <v>743</v>
      </c>
      <c r="DG68" s="213">
        <v>0</v>
      </c>
      <c r="DH68" s="213">
        <v>0</v>
      </c>
      <c r="DI68" s="213">
        <v>0</v>
      </c>
      <c r="DJ68" s="213" t="s">
        <v>249</v>
      </c>
      <c r="DK68" s="213">
        <v>69.2</v>
      </c>
      <c r="DL68" s="213">
        <v>57.9</v>
      </c>
      <c r="DM68" s="213" t="s">
        <v>744</v>
      </c>
      <c r="DN68" s="213" t="s">
        <v>743</v>
      </c>
      <c r="DO68" s="213">
        <v>0</v>
      </c>
      <c r="DP68" s="213">
        <v>0</v>
      </c>
      <c r="DQ68" s="213">
        <v>0</v>
      </c>
      <c r="DR68" s="213" t="s">
        <v>249</v>
      </c>
      <c r="DU68" s="213" t="s">
        <v>745</v>
      </c>
      <c r="DV68" s="213" t="s">
        <v>743</v>
      </c>
      <c r="DW68" s="213">
        <v>0</v>
      </c>
      <c r="DX68" s="213">
        <v>0</v>
      </c>
      <c r="DY68" s="213">
        <v>0</v>
      </c>
      <c r="DZ68" s="213" t="s">
        <v>249</v>
      </c>
      <c r="EC68" s="213" t="s">
        <v>746</v>
      </c>
      <c r="ED68" s="213" t="s">
        <v>743</v>
      </c>
      <c r="EE68" s="213">
        <v>0</v>
      </c>
      <c r="EF68" s="213">
        <v>0</v>
      </c>
      <c r="EG68" s="213">
        <v>0</v>
      </c>
      <c r="EH68" s="213" t="s">
        <v>249</v>
      </c>
      <c r="EK68" s="213" t="s">
        <v>747</v>
      </c>
      <c r="EL68" s="213" t="s">
        <v>743</v>
      </c>
      <c r="EM68" s="213">
        <v>0</v>
      </c>
      <c r="EN68" s="213">
        <v>0</v>
      </c>
      <c r="EO68" s="213">
        <v>0</v>
      </c>
      <c r="EP68" s="213" t="s">
        <v>249</v>
      </c>
      <c r="ES68" s="213" t="s">
        <v>748</v>
      </c>
      <c r="ET68" s="213" t="s">
        <v>743</v>
      </c>
      <c r="EU68" s="213">
        <v>0</v>
      </c>
      <c r="EV68" s="213">
        <v>0</v>
      </c>
      <c r="EW68" s="213">
        <v>0</v>
      </c>
      <c r="EX68" s="213" t="s">
        <v>249</v>
      </c>
      <c r="EY68" s="213">
        <v>69.8</v>
      </c>
      <c r="EZ68" s="213">
        <v>54.2</v>
      </c>
      <c r="FA68" s="213" t="s">
        <v>749</v>
      </c>
      <c r="FB68" s="213" t="s">
        <v>743</v>
      </c>
      <c r="FC68" s="213">
        <v>0</v>
      </c>
      <c r="FD68" s="213">
        <v>0</v>
      </c>
      <c r="FE68" s="213">
        <v>0</v>
      </c>
      <c r="FF68" s="213" t="s">
        <v>249</v>
      </c>
      <c r="FI68" s="213" t="s">
        <v>750</v>
      </c>
      <c r="FJ68" s="213" t="s">
        <v>743</v>
      </c>
      <c r="FK68" s="213">
        <v>0</v>
      </c>
      <c r="FL68" s="213">
        <v>0</v>
      </c>
      <c r="FM68" s="213">
        <v>0</v>
      </c>
      <c r="FN68" s="213" t="s">
        <v>249</v>
      </c>
      <c r="FO68" s="213">
        <v>73.400000000000006</v>
      </c>
      <c r="FP68" s="213">
        <v>164.6</v>
      </c>
      <c r="FQ68" s="213" t="s">
        <v>751</v>
      </c>
      <c r="FR68" s="213" t="s">
        <v>743</v>
      </c>
      <c r="FS68" s="213">
        <v>0</v>
      </c>
      <c r="FT68" s="213">
        <v>0</v>
      </c>
      <c r="FU68" s="213">
        <v>0</v>
      </c>
      <c r="FV68" s="213" t="s">
        <v>249</v>
      </c>
      <c r="FY68" s="213">
        <v>19</v>
      </c>
      <c r="FZ68" s="213">
        <v>-9.9</v>
      </c>
      <c r="GF68" s="213" t="s">
        <v>752</v>
      </c>
    </row>
    <row r="69" spans="1:188" s="213" customFormat="1" x14ac:dyDescent="0.15">
      <c r="A69" s="213" t="s">
        <v>654</v>
      </c>
      <c r="B69" s="213">
        <v>4</v>
      </c>
      <c r="C69" s="213" t="s">
        <v>1131</v>
      </c>
      <c r="D69" s="213">
        <v>614386482</v>
      </c>
      <c r="E69" s="213">
        <v>92303</v>
      </c>
      <c r="F69" s="213" t="s">
        <v>795</v>
      </c>
      <c r="G69" s="213">
        <v>839032</v>
      </c>
      <c r="H69" s="213">
        <v>690802</v>
      </c>
      <c r="I69" s="213">
        <v>6.8</v>
      </c>
      <c r="J69" s="213" t="s">
        <v>1132</v>
      </c>
      <c r="K69" s="213" t="s">
        <v>727</v>
      </c>
      <c r="L69" s="213" t="s">
        <v>797</v>
      </c>
      <c r="M69" s="213" t="s">
        <v>728</v>
      </c>
      <c r="N69" s="213" t="s">
        <v>728</v>
      </c>
      <c r="O69" s="213" t="s">
        <v>729</v>
      </c>
      <c r="P69" s="213" t="s">
        <v>249</v>
      </c>
      <c r="Q69" s="213">
        <v>24.9</v>
      </c>
      <c r="R69" s="213">
        <v>135</v>
      </c>
      <c r="S69" s="213" t="s">
        <v>249</v>
      </c>
      <c r="T69" s="213">
        <v>-9999</v>
      </c>
      <c r="U69" s="213">
        <v>230</v>
      </c>
      <c r="V69" s="213">
        <v>475</v>
      </c>
      <c r="W69" s="213">
        <v>226</v>
      </c>
      <c r="X69" s="213" t="s">
        <v>710</v>
      </c>
      <c r="Y69" s="213">
        <v>0</v>
      </c>
      <c r="Z69" s="213">
        <v>40</v>
      </c>
      <c r="AA69" s="213" t="s">
        <v>730</v>
      </c>
      <c r="AB69" s="213" t="s">
        <v>731</v>
      </c>
      <c r="AC69" s="213" t="s">
        <v>729</v>
      </c>
      <c r="AD69" s="213" t="s">
        <v>249</v>
      </c>
      <c r="AE69" s="213">
        <v>26.5</v>
      </c>
      <c r="AF69" s="213">
        <v>105</v>
      </c>
      <c r="AG69" s="213" t="s">
        <v>249</v>
      </c>
      <c r="AH69" s="213">
        <v>-9999</v>
      </c>
      <c r="AI69" s="213">
        <v>213</v>
      </c>
      <c r="AJ69" s="213">
        <v>498</v>
      </c>
      <c r="AK69" s="213">
        <v>211</v>
      </c>
      <c r="AL69" s="213" t="s">
        <v>710</v>
      </c>
      <c r="AM69" s="213">
        <v>0</v>
      </c>
      <c r="AN69" s="213">
        <v>40</v>
      </c>
      <c r="AO69" s="213" t="s">
        <v>733</v>
      </c>
      <c r="AP69" s="213" t="s">
        <v>734</v>
      </c>
      <c r="AQ69" s="213">
        <v>1</v>
      </c>
      <c r="AR69" s="213" t="s">
        <v>798</v>
      </c>
      <c r="AS69" s="213">
        <v>22.9</v>
      </c>
      <c r="AT69" s="213">
        <v>431</v>
      </c>
      <c r="AU69" s="213" t="s">
        <v>710</v>
      </c>
      <c r="AV69" s="213">
        <v>-9999</v>
      </c>
      <c r="AW69" s="213">
        <v>267</v>
      </c>
      <c r="AX69" s="213">
        <v>648</v>
      </c>
      <c r="AY69" s="213">
        <v>266</v>
      </c>
      <c r="AZ69" s="213" t="s">
        <v>710</v>
      </c>
      <c r="BA69" s="213">
        <v>0</v>
      </c>
      <c r="BB69" s="213">
        <v>40</v>
      </c>
      <c r="BC69" s="213" t="s">
        <v>736</v>
      </c>
      <c r="BD69" s="213" t="s">
        <v>734</v>
      </c>
      <c r="BE69" s="213">
        <v>2</v>
      </c>
      <c r="BF69" s="213" t="s">
        <v>798</v>
      </c>
      <c r="BG69" s="213">
        <v>24.3</v>
      </c>
      <c r="BH69" s="213">
        <v>181</v>
      </c>
      <c r="BI69" s="213" t="s">
        <v>710</v>
      </c>
      <c r="BJ69" s="213">
        <v>-9999</v>
      </c>
      <c r="BK69" s="213">
        <v>114</v>
      </c>
      <c r="BL69" s="213">
        <v>343</v>
      </c>
      <c r="BM69" s="213">
        <v>112</v>
      </c>
      <c r="BN69" s="213" t="s">
        <v>710</v>
      </c>
      <c r="BO69" s="213">
        <v>0</v>
      </c>
      <c r="BP69" s="213">
        <v>40</v>
      </c>
      <c r="BQ69" s="213" t="s">
        <v>737</v>
      </c>
      <c r="BR69" s="213" t="s">
        <v>734</v>
      </c>
      <c r="BS69" s="213">
        <v>3</v>
      </c>
      <c r="BT69" s="213" t="s">
        <v>799</v>
      </c>
      <c r="BU69" s="213">
        <v>0</v>
      </c>
      <c r="BV69" s="213">
        <v>34</v>
      </c>
      <c r="BW69" s="213" t="s">
        <v>249</v>
      </c>
      <c r="BX69" s="213">
        <v>-9999</v>
      </c>
      <c r="BY69" s="213">
        <v>169</v>
      </c>
      <c r="BZ69" s="213">
        <v>380</v>
      </c>
      <c r="CA69" s="213">
        <v>169</v>
      </c>
      <c r="CB69" s="213" t="s">
        <v>710</v>
      </c>
      <c r="CC69" s="213">
        <v>0</v>
      </c>
      <c r="CD69" s="213">
        <v>40</v>
      </c>
      <c r="CE69" s="213" t="s">
        <v>738</v>
      </c>
      <c r="CF69" s="213" t="s">
        <v>734</v>
      </c>
      <c r="CG69" s="213">
        <v>4</v>
      </c>
      <c r="CH69" s="213" t="s">
        <v>798</v>
      </c>
      <c r="CI69" s="213">
        <v>21.7</v>
      </c>
      <c r="CJ69" s="213">
        <v>420</v>
      </c>
      <c r="CK69" s="213" t="s">
        <v>710</v>
      </c>
      <c r="CL69" s="213">
        <v>-9999</v>
      </c>
      <c r="CM69" s="213">
        <v>143</v>
      </c>
      <c r="CN69" s="213">
        <v>377</v>
      </c>
      <c r="CO69" s="213">
        <v>141</v>
      </c>
      <c r="CP69" s="213" t="s">
        <v>710</v>
      </c>
      <c r="CQ69" s="213">
        <v>0</v>
      </c>
      <c r="CR69" s="213">
        <v>40</v>
      </c>
      <c r="CS69" s="213" t="s">
        <v>739</v>
      </c>
      <c r="CT69" s="213" t="s">
        <v>740</v>
      </c>
      <c r="CU69" s="213">
        <v>116</v>
      </c>
      <c r="CV69" s="213">
        <v>116</v>
      </c>
      <c r="CW69" s="213">
        <v>115</v>
      </c>
      <c r="CX69" s="213" t="s">
        <v>710</v>
      </c>
      <c r="CY69" s="213" t="s">
        <v>741</v>
      </c>
      <c r="CZ69" s="213" t="s">
        <v>740</v>
      </c>
      <c r="DA69" s="213">
        <v>108</v>
      </c>
      <c r="DB69" s="213">
        <v>108</v>
      </c>
      <c r="DC69" s="213">
        <v>108</v>
      </c>
      <c r="DD69" s="213" t="s">
        <v>710</v>
      </c>
      <c r="DE69" s="213" t="s">
        <v>742</v>
      </c>
      <c r="DF69" s="213" t="s">
        <v>743</v>
      </c>
      <c r="DG69" s="213">
        <v>0</v>
      </c>
      <c r="DH69" s="213">
        <v>0</v>
      </c>
      <c r="DI69" s="213">
        <v>0</v>
      </c>
      <c r="DJ69" s="213" t="s">
        <v>249</v>
      </c>
      <c r="DK69" s="213">
        <v>69.099999999999994</v>
      </c>
      <c r="DL69" s="213">
        <v>60.7</v>
      </c>
      <c r="DM69" s="213" t="s">
        <v>744</v>
      </c>
      <c r="DN69" s="213" t="s">
        <v>743</v>
      </c>
      <c r="DO69" s="213">
        <v>0</v>
      </c>
      <c r="DP69" s="213">
        <v>0</v>
      </c>
      <c r="DQ69" s="213">
        <v>0</v>
      </c>
      <c r="DR69" s="213" t="s">
        <v>249</v>
      </c>
      <c r="DU69" s="213" t="s">
        <v>745</v>
      </c>
      <c r="DV69" s="213" t="s">
        <v>743</v>
      </c>
      <c r="DW69" s="213">
        <v>0</v>
      </c>
      <c r="DX69" s="213">
        <v>0</v>
      </c>
      <c r="DY69" s="213">
        <v>0</v>
      </c>
      <c r="DZ69" s="213" t="s">
        <v>249</v>
      </c>
      <c r="EC69" s="213" t="s">
        <v>746</v>
      </c>
      <c r="ED69" s="213" t="s">
        <v>743</v>
      </c>
      <c r="EE69" s="213">
        <v>0</v>
      </c>
      <c r="EF69" s="213">
        <v>0</v>
      </c>
      <c r="EG69" s="213">
        <v>0</v>
      </c>
      <c r="EH69" s="213" t="s">
        <v>249</v>
      </c>
      <c r="EK69" s="213" t="s">
        <v>747</v>
      </c>
      <c r="EL69" s="213" t="s">
        <v>743</v>
      </c>
      <c r="EM69" s="213">
        <v>0</v>
      </c>
      <c r="EN69" s="213">
        <v>0</v>
      </c>
      <c r="EO69" s="213">
        <v>0</v>
      </c>
      <c r="EP69" s="213" t="s">
        <v>249</v>
      </c>
      <c r="ES69" s="213" t="s">
        <v>748</v>
      </c>
      <c r="ET69" s="213" t="s">
        <v>743</v>
      </c>
      <c r="EU69" s="213">
        <v>0</v>
      </c>
      <c r="EV69" s="213">
        <v>0</v>
      </c>
      <c r="EW69" s="213">
        <v>0</v>
      </c>
      <c r="EX69" s="213" t="s">
        <v>249</v>
      </c>
      <c r="EY69" s="213">
        <v>69.7</v>
      </c>
      <c r="EZ69" s="213">
        <v>55.4</v>
      </c>
      <c r="FA69" s="213" t="s">
        <v>749</v>
      </c>
      <c r="FB69" s="213" t="s">
        <v>743</v>
      </c>
      <c r="FC69" s="213">
        <v>0</v>
      </c>
      <c r="FD69" s="213">
        <v>0</v>
      </c>
      <c r="FE69" s="213">
        <v>0</v>
      </c>
      <c r="FF69" s="213" t="s">
        <v>249</v>
      </c>
      <c r="FI69" s="213" t="s">
        <v>750</v>
      </c>
      <c r="FJ69" s="213" t="s">
        <v>743</v>
      </c>
      <c r="FK69" s="213">
        <v>0</v>
      </c>
      <c r="FL69" s="213">
        <v>0</v>
      </c>
      <c r="FM69" s="213">
        <v>0</v>
      </c>
      <c r="FN69" s="213" t="s">
        <v>249</v>
      </c>
      <c r="FO69" s="213">
        <v>73.3</v>
      </c>
      <c r="FP69" s="213">
        <v>177.2</v>
      </c>
      <c r="FQ69" s="213" t="s">
        <v>751</v>
      </c>
      <c r="FR69" s="213" t="s">
        <v>743</v>
      </c>
      <c r="FS69" s="213">
        <v>0</v>
      </c>
      <c r="FT69" s="213">
        <v>0</v>
      </c>
      <c r="FU69" s="213">
        <v>0</v>
      </c>
      <c r="FV69" s="213" t="s">
        <v>249</v>
      </c>
      <c r="FY69" s="213">
        <v>17.8</v>
      </c>
      <c r="FZ69" s="213">
        <v>-9.6</v>
      </c>
      <c r="GF69" s="213" t="s">
        <v>752</v>
      </c>
    </row>
    <row r="70" spans="1:188" s="213" customFormat="1" x14ac:dyDescent="0.15">
      <c r="A70" s="213" t="s">
        <v>654</v>
      </c>
      <c r="B70" s="213">
        <v>4</v>
      </c>
      <c r="C70" s="213" t="s">
        <v>1133</v>
      </c>
      <c r="D70" s="213">
        <v>614385059</v>
      </c>
      <c r="E70" s="213">
        <v>92303</v>
      </c>
      <c r="F70" s="213" t="s">
        <v>795</v>
      </c>
      <c r="G70" s="213">
        <v>839032</v>
      </c>
      <c r="H70" s="213">
        <v>210026044</v>
      </c>
      <c r="I70" s="213">
        <v>6.8</v>
      </c>
      <c r="J70" s="213" t="s">
        <v>1134</v>
      </c>
      <c r="K70" s="213" t="s">
        <v>727</v>
      </c>
      <c r="L70" s="213" t="s">
        <v>797</v>
      </c>
      <c r="M70" s="213" t="s">
        <v>728</v>
      </c>
      <c r="N70" s="213" t="s">
        <v>728</v>
      </c>
      <c r="O70" s="213" t="s">
        <v>729</v>
      </c>
      <c r="P70" s="213" t="s">
        <v>249</v>
      </c>
      <c r="Q70" s="213">
        <v>23.3</v>
      </c>
      <c r="R70" s="213">
        <v>157</v>
      </c>
      <c r="S70" s="213" t="s">
        <v>249</v>
      </c>
      <c r="T70" s="213">
        <v>-9999</v>
      </c>
      <c r="U70" s="213">
        <v>198</v>
      </c>
      <c r="V70" s="213">
        <v>429</v>
      </c>
      <c r="W70" s="213">
        <v>189</v>
      </c>
      <c r="X70" s="213" t="s">
        <v>710</v>
      </c>
      <c r="Y70" s="213">
        <v>0</v>
      </c>
      <c r="Z70" s="213">
        <v>40</v>
      </c>
      <c r="AA70" s="213" t="s">
        <v>730</v>
      </c>
      <c r="AB70" s="213" t="s">
        <v>731</v>
      </c>
      <c r="AC70" s="213" t="s">
        <v>729</v>
      </c>
      <c r="AD70" s="213" t="s">
        <v>249</v>
      </c>
      <c r="AE70" s="213">
        <v>25.3</v>
      </c>
      <c r="AF70" s="213">
        <v>118</v>
      </c>
      <c r="AG70" s="213" t="s">
        <v>249</v>
      </c>
      <c r="AH70" s="213">
        <v>-9999</v>
      </c>
      <c r="AI70" s="213">
        <v>147</v>
      </c>
      <c r="AJ70" s="213">
        <v>356</v>
      </c>
      <c r="AK70" s="213">
        <v>144</v>
      </c>
      <c r="AL70" s="213" t="s">
        <v>710</v>
      </c>
      <c r="AM70" s="213">
        <v>0</v>
      </c>
      <c r="AN70" s="213">
        <v>40</v>
      </c>
      <c r="AO70" s="213" t="s">
        <v>733</v>
      </c>
      <c r="AP70" s="213" t="s">
        <v>734</v>
      </c>
      <c r="AQ70" s="213">
        <v>1</v>
      </c>
      <c r="AR70" s="213" t="s">
        <v>798</v>
      </c>
      <c r="AS70" s="213">
        <v>23.1</v>
      </c>
      <c r="AT70" s="213">
        <v>417</v>
      </c>
      <c r="AU70" s="213" t="s">
        <v>710</v>
      </c>
      <c r="AV70" s="213">
        <v>-9999</v>
      </c>
      <c r="AW70" s="213">
        <v>235</v>
      </c>
      <c r="AX70" s="213">
        <v>587</v>
      </c>
      <c r="AY70" s="213">
        <v>233</v>
      </c>
      <c r="AZ70" s="213" t="s">
        <v>710</v>
      </c>
      <c r="BA70" s="213">
        <v>0</v>
      </c>
      <c r="BB70" s="213">
        <v>40</v>
      </c>
      <c r="BC70" s="213" t="s">
        <v>736</v>
      </c>
      <c r="BD70" s="213" t="s">
        <v>734</v>
      </c>
      <c r="BE70" s="213">
        <v>2</v>
      </c>
      <c r="BF70" s="213" t="s">
        <v>798</v>
      </c>
      <c r="BG70" s="213">
        <v>23.5</v>
      </c>
      <c r="BH70" s="213">
        <v>196</v>
      </c>
      <c r="BI70" s="213" t="s">
        <v>710</v>
      </c>
      <c r="BJ70" s="213">
        <v>-9999</v>
      </c>
      <c r="BK70" s="213">
        <v>79</v>
      </c>
      <c r="BL70" s="213">
        <v>246</v>
      </c>
      <c r="BM70" s="213">
        <v>77</v>
      </c>
      <c r="BN70" s="213" t="s">
        <v>710</v>
      </c>
      <c r="BO70" s="213">
        <v>0</v>
      </c>
      <c r="BP70" s="213">
        <v>40</v>
      </c>
      <c r="BQ70" s="213" t="s">
        <v>737</v>
      </c>
      <c r="BR70" s="213" t="s">
        <v>734</v>
      </c>
      <c r="BS70" s="213">
        <v>3</v>
      </c>
      <c r="BT70" s="213" t="s">
        <v>798</v>
      </c>
      <c r="BU70" s="213">
        <v>39.5</v>
      </c>
      <c r="BV70" s="213">
        <v>41</v>
      </c>
      <c r="BW70" s="213" t="s">
        <v>710</v>
      </c>
      <c r="BX70" s="213">
        <v>-9999</v>
      </c>
      <c r="BY70" s="213">
        <v>179</v>
      </c>
      <c r="BZ70" s="213">
        <v>408</v>
      </c>
      <c r="CA70" s="213">
        <v>178</v>
      </c>
      <c r="CB70" s="213" t="s">
        <v>710</v>
      </c>
      <c r="CC70" s="213">
        <v>0</v>
      </c>
      <c r="CD70" s="213">
        <v>40</v>
      </c>
      <c r="CE70" s="213" t="s">
        <v>738</v>
      </c>
      <c r="CF70" s="213" t="s">
        <v>734</v>
      </c>
      <c r="CG70" s="213">
        <v>4</v>
      </c>
      <c r="CH70" s="213" t="s">
        <v>798</v>
      </c>
      <c r="CI70" s="213">
        <v>20.6</v>
      </c>
      <c r="CJ70" s="213">
        <v>486</v>
      </c>
      <c r="CK70" s="213" t="s">
        <v>710</v>
      </c>
      <c r="CL70" s="213">
        <v>-9999</v>
      </c>
      <c r="CM70" s="213">
        <v>83</v>
      </c>
      <c r="CN70" s="213">
        <v>223</v>
      </c>
      <c r="CO70" s="213">
        <v>81</v>
      </c>
      <c r="CP70" s="213" t="s">
        <v>710</v>
      </c>
      <c r="CQ70" s="213">
        <v>0</v>
      </c>
      <c r="CR70" s="213">
        <v>40</v>
      </c>
      <c r="CS70" s="213" t="s">
        <v>739</v>
      </c>
      <c r="CT70" s="213" t="s">
        <v>740</v>
      </c>
      <c r="CU70" s="213">
        <v>78</v>
      </c>
      <c r="CV70" s="213">
        <v>78</v>
      </c>
      <c r="CW70" s="213">
        <v>77</v>
      </c>
      <c r="CX70" s="213" t="s">
        <v>710</v>
      </c>
      <c r="CY70" s="213" t="s">
        <v>741</v>
      </c>
      <c r="CZ70" s="213" t="s">
        <v>740</v>
      </c>
      <c r="DA70" s="213">
        <v>112</v>
      </c>
      <c r="DB70" s="213">
        <v>112</v>
      </c>
      <c r="DC70" s="213">
        <v>111</v>
      </c>
      <c r="DD70" s="213" t="s">
        <v>710</v>
      </c>
      <c r="DE70" s="213" t="s">
        <v>742</v>
      </c>
      <c r="DF70" s="213" t="s">
        <v>743</v>
      </c>
      <c r="DG70" s="213">
        <v>0</v>
      </c>
      <c r="DH70" s="213">
        <v>0</v>
      </c>
      <c r="DI70" s="213">
        <v>0</v>
      </c>
      <c r="DJ70" s="213" t="s">
        <v>249</v>
      </c>
      <c r="DK70" s="213">
        <v>69.2</v>
      </c>
      <c r="DL70" s="213">
        <v>57.8</v>
      </c>
      <c r="DM70" s="213" t="s">
        <v>744</v>
      </c>
      <c r="DN70" s="213" t="s">
        <v>743</v>
      </c>
      <c r="DO70" s="213">
        <v>0</v>
      </c>
      <c r="DP70" s="213">
        <v>0</v>
      </c>
      <c r="DQ70" s="213">
        <v>0</v>
      </c>
      <c r="DR70" s="213" t="s">
        <v>249</v>
      </c>
      <c r="DU70" s="213" t="s">
        <v>745</v>
      </c>
      <c r="DV70" s="213" t="s">
        <v>743</v>
      </c>
      <c r="DW70" s="213">
        <v>0</v>
      </c>
      <c r="DX70" s="213">
        <v>0</v>
      </c>
      <c r="DY70" s="213">
        <v>0</v>
      </c>
      <c r="DZ70" s="213" t="s">
        <v>249</v>
      </c>
      <c r="EC70" s="213" t="s">
        <v>746</v>
      </c>
      <c r="ED70" s="213" t="s">
        <v>743</v>
      </c>
      <c r="EE70" s="213">
        <v>0</v>
      </c>
      <c r="EF70" s="213">
        <v>0</v>
      </c>
      <c r="EG70" s="213">
        <v>0</v>
      </c>
      <c r="EH70" s="213" t="s">
        <v>249</v>
      </c>
      <c r="EK70" s="213" t="s">
        <v>747</v>
      </c>
      <c r="EL70" s="213" t="s">
        <v>743</v>
      </c>
      <c r="EM70" s="213">
        <v>0</v>
      </c>
      <c r="EN70" s="213">
        <v>0</v>
      </c>
      <c r="EO70" s="213">
        <v>0</v>
      </c>
      <c r="EP70" s="213" t="s">
        <v>249</v>
      </c>
      <c r="ES70" s="213" t="s">
        <v>748</v>
      </c>
      <c r="ET70" s="213" t="s">
        <v>743</v>
      </c>
      <c r="EU70" s="213">
        <v>0</v>
      </c>
      <c r="EV70" s="213">
        <v>0</v>
      </c>
      <c r="EW70" s="213">
        <v>0</v>
      </c>
      <c r="EX70" s="213" t="s">
        <v>249</v>
      </c>
      <c r="EY70" s="213">
        <v>69.8</v>
      </c>
      <c r="EZ70" s="213">
        <v>44.6</v>
      </c>
      <c r="FA70" s="213" t="s">
        <v>749</v>
      </c>
      <c r="FB70" s="213" t="s">
        <v>743</v>
      </c>
      <c r="FC70" s="213">
        <v>0</v>
      </c>
      <c r="FD70" s="213">
        <v>0</v>
      </c>
      <c r="FE70" s="213">
        <v>0</v>
      </c>
      <c r="FF70" s="213" t="s">
        <v>249</v>
      </c>
      <c r="FI70" s="213" t="s">
        <v>750</v>
      </c>
      <c r="FJ70" s="213" t="s">
        <v>743</v>
      </c>
      <c r="FK70" s="213">
        <v>0</v>
      </c>
      <c r="FL70" s="213">
        <v>0</v>
      </c>
      <c r="FM70" s="213">
        <v>0</v>
      </c>
      <c r="FN70" s="213" t="s">
        <v>249</v>
      </c>
      <c r="FO70" s="213">
        <v>73.400000000000006</v>
      </c>
      <c r="FP70" s="213">
        <v>111.4</v>
      </c>
      <c r="FQ70" s="213" t="s">
        <v>751</v>
      </c>
      <c r="FR70" s="213" t="s">
        <v>743</v>
      </c>
      <c r="FS70" s="213">
        <v>0</v>
      </c>
      <c r="FT70" s="213">
        <v>0</v>
      </c>
      <c r="FU70" s="213">
        <v>0</v>
      </c>
      <c r="FV70" s="213" t="s">
        <v>249</v>
      </c>
      <c r="FY70" s="213">
        <v>17.5</v>
      </c>
      <c r="FZ70" s="213">
        <v>-7.9</v>
      </c>
      <c r="GF70" s="213" t="s">
        <v>752</v>
      </c>
    </row>
    <row r="71" spans="1:188" s="213" customFormat="1" x14ac:dyDescent="0.15">
      <c r="A71" s="213" t="s">
        <v>654</v>
      </c>
      <c r="B71" s="213">
        <v>4</v>
      </c>
      <c r="C71" s="213" t="s">
        <v>1135</v>
      </c>
      <c r="D71" s="213">
        <v>614385485</v>
      </c>
      <c r="E71" s="213">
        <v>92303</v>
      </c>
      <c r="F71" s="213" t="s">
        <v>795</v>
      </c>
      <c r="G71" s="213">
        <v>839032</v>
      </c>
      <c r="H71" s="213">
        <v>638845</v>
      </c>
      <c r="I71" s="213">
        <v>6.8</v>
      </c>
      <c r="J71" s="213" t="s">
        <v>1136</v>
      </c>
      <c r="K71" s="213" t="s">
        <v>727</v>
      </c>
      <c r="L71" s="213" t="s">
        <v>797</v>
      </c>
      <c r="M71" s="213" t="s">
        <v>728</v>
      </c>
      <c r="N71" s="213" t="s">
        <v>728</v>
      </c>
      <c r="O71" s="213" t="s">
        <v>729</v>
      </c>
      <c r="P71" s="213" t="s">
        <v>249</v>
      </c>
      <c r="Q71" s="213">
        <v>24.6</v>
      </c>
      <c r="R71" s="213">
        <v>165</v>
      </c>
      <c r="S71" s="213" t="s">
        <v>249</v>
      </c>
      <c r="T71" s="213">
        <v>-9999</v>
      </c>
      <c r="U71" s="213">
        <v>239</v>
      </c>
      <c r="V71" s="213">
        <v>521</v>
      </c>
      <c r="W71" s="213">
        <v>231</v>
      </c>
      <c r="X71" s="213" t="s">
        <v>710</v>
      </c>
      <c r="Y71" s="213">
        <v>0</v>
      </c>
      <c r="Z71" s="213">
        <v>40</v>
      </c>
      <c r="AA71" s="213" t="s">
        <v>730</v>
      </c>
      <c r="AB71" s="213" t="s">
        <v>731</v>
      </c>
      <c r="AC71" s="213" t="s">
        <v>729</v>
      </c>
      <c r="AD71" s="213" t="s">
        <v>249</v>
      </c>
      <c r="AE71" s="213">
        <v>26.9</v>
      </c>
      <c r="AF71" s="213">
        <v>137</v>
      </c>
      <c r="AG71" s="213" t="s">
        <v>249</v>
      </c>
      <c r="AH71" s="213">
        <v>-9999</v>
      </c>
      <c r="AI71" s="213">
        <v>224</v>
      </c>
      <c r="AJ71" s="213">
        <v>534</v>
      </c>
      <c r="AK71" s="213">
        <v>221</v>
      </c>
      <c r="AL71" s="213" t="s">
        <v>710</v>
      </c>
      <c r="AM71" s="213">
        <v>0</v>
      </c>
      <c r="AN71" s="213">
        <v>40</v>
      </c>
      <c r="AO71" s="213" t="s">
        <v>733</v>
      </c>
      <c r="AP71" s="213" t="s">
        <v>734</v>
      </c>
      <c r="AQ71" s="213">
        <v>1</v>
      </c>
      <c r="AR71" s="213" t="s">
        <v>798</v>
      </c>
      <c r="AS71" s="213">
        <v>24.7</v>
      </c>
      <c r="AT71" s="213">
        <v>436</v>
      </c>
      <c r="AU71" s="213" t="s">
        <v>710</v>
      </c>
      <c r="AV71" s="213">
        <v>-9999</v>
      </c>
      <c r="AW71" s="213">
        <v>300</v>
      </c>
      <c r="AX71" s="213">
        <v>751</v>
      </c>
      <c r="AY71" s="213">
        <v>296</v>
      </c>
      <c r="AZ71" s="213" t="s">
        <v>710</v>
      </c>
      <c r="BA71" s="213">
        <v>0</v>
      </c>
      <c r="BB71" s="213">
        <v>40</v>
      </c>
      <c r="BC71" s="213" t="s">
        <v>736</v>
      </c>
      <c r="BD71" s="213" t="s">
        <v>734</v>
      </c>
      <c r="BE71" s="213">
        <v>2</v>
      </c>
      <c r="BF71" s="213" t="s">
        <v>798</v>
      </c>
      <c r="BG71" s="213">
        <v>26</v>
      </c>
      <c r="BH71" s="213">
        <v>178</v>
      </c>
      <c r="BI71" s="213" t="s">
        <v>710</v>
      </c>
      <c r="BJ71" s="213">
        <v>-9999</v>
      </c>
      <c r="BK71" s="213">
        <v>115</v>
      </c>
      <c r="BL71" s="213">
        <v>351</v>
      </c>
      <c r="BM71" s="213">
        <v>114</v>
      </c>
      <c r="BN71" s="213" t="s">
        <v>710</v>
      </c>
      <c r="BO71" s="213">
        <v>0</v>
      </c>
      <c r="BP71" s="213">
        <v>40</v>
      </c>
      <c r="BQ71" s="213" t="s">
        <v>737</v>
      </c>
      <c r="BR71" s="213" t="s">
        <v>734</v>
      </c>
      <c r="BS71" s="213">
        <v>3</v>
      </c>
      <c r="BT71" s="213" t="s">
        <v>799</v>
      </c>
      <c r="BU71" s="213">
        <v>0</v>
      </c>
      <c r="BV71" s="213">
        <v>33</v>
      </c>
      <c r="BW71" s="213" t="s">
        <v>249</v>
      </c>
      <c r="BX71" s="213">
        <v>-9999</v>
      </c>
      <c r="BY71" s="213">
        <v>193</v>
      </c>
      <c r="BZ71" s="213">
        <v>476</v>
      </c>
      <c r="CA71" s="213">
        <v>192</v>
      </c>
      <c r="CB71" s="213" t="s">
        <v>710</v>
      </c>
      <c r="CC71" s="213">
        <v>0</v>
      </c>
      <c r="CD71" s="213">
        <v>40</v>
      </c>
      <c r="CE71" s="213" t="s">
        <v>738</v>
      </c>
      <c r="CF71" s="213" t="s">
        <v>734</v>
      </c>
      <c r="CG71" s="213">
        <v>4</v>
      </c>
      <c r="CH71" s="213" t="s">
        <v>798</v>
      </c>
      <c r="CI71" s="213">
        <v>23.7</v>
      </c>
      <c r="CJ71" s="213">
        <v>430</v>
      </c>
      <c r="CK71" s="213" t="s">
        <v>710</v>
      </c>
      <c r="CL71" s="213">
        <v>-9999</v>
      </c>
      <c r="CM71" s="213">
        <v>155</v>
      </c>
      <c r="CN71" s="213">
        <v>408</v>
      </c>
      <c r="CO71" s="213">
        <v>153</v>
      </c>
      <c r="CP71" s="213" t="s">
        <v>710</v>
      </c>
      <c r="CQ71" s="213">
        <v>0</v>
      </c>
      <c r="CR71" s="213">
        <v>40</v>
      </c>
      <c r="CS71" s="213" t="s">
        <v>739</v>
      </c>
      <c r="CT71" s="213" t="s">
        <v>740</v>
      </c>
      <c r="CU71" s="213">
        <v>123</v>
      </c>
      <c r="CV71" s="213">
        <v>123</v>
      </c>
      <c r="CW71" s="213">
        <v>122</v>
      </c>
      <c r="CX71" s="213" t="s">
        <v>710</v>
      </c>
      <c r="CY71" s="213" t="s">
        <v>741</v>
      </c>
      <c r="CZ71" s="213" t="s">
        <v>740</v>
      </c>
      <c r="DA71" s="213">
        <v>113</v>
      </c>
      <c r="DB71" s="213">
        <v>112</v>
      </c>
      <c r="DC71" s="213">
        <v>113</v>
      </c>
      <c r="DD71" s="213" t="s">
        <v>710</v>
      </c>
      <c r="DE71" s="213" t="s">
        <v>742</v>
      </c>
      <c r="DF71" s="213" t="s">
        <v>743</v>
      </c>
      <c r="DG71" s="213">
        <v>0</v>
      </c>
      <c r="DH71" s="213">
        <v>0</v>
      </c>
      <c r="DI71" s="213">
        <v>0</v>
      </c>
      <c r="DJ71" s="213" t="s">
        <v>249</v>
      </c>
      <c r="DK71" s="213">
        <v>69.400000000000006</v>
      </c>
      <c r="DL71" s="213">
        <v>46.7</v>
      </c>
      <c r="DM71" s="213" t="s">
        <v>744</v>
      </c>
      <c r="DN71" s="213" t="s">
        <v>743</v>
      </c>
      <c r="DO71" s="213">
        <v>0</v>
      </c>
      <c r="DP71" s="213">
        <v>0</v>
      </c>
      <c r="DQ71" s="213">
        <v>0</v>
      </c>
      <c r="DR71" s="213" t="s">
        <v>249</v>
      </c>
      <c r="DU71" s="213" t="s">
        <v>745</v>
      </c>
      <c r="DV71" s="213" t="s">
        <v>743</v>
      </c>
      <c r="DW71" s="213">
        <v>0</v>
      </c>
      <c r="DX71" s="213">
        <v>0</v>
      </c>
      <c r="DY71" s="213">
        <v>0</v>
      </c>
      <c r="DZ71" s="213" t="s">
        <v>249</v>
      </c>
      <c r="EC71" s="213" t="s">
        <v>746</v>
      </c>
      <c r="ED71" s="213" t="s">
        <v>743</v>
      </c>
      <c r="EE71" s="213">
        <v>0</v>
      </c>
      <c r="EF71" s="213">
        <v>0</v>
      </c>
      <c r="EG71" s="213">
        <v>0</v>
      </c>
      <c r="EH71" s="213" t="s">
        <v>249</v>
      </c>
      <c r="EK71" s="213" t="s">
        <v>747</v>
      </c>
      <c r="EL71" s="213" t="s">
        <v>743</v>
      </c>
      <c r="EM71" s="213">
        <v>0</v>
      </c>
      <c r="EN71" s="213">
        <v>0</v>
      </c>
      <c r="EO71" s="213">
        <v>0</v>
      </c>
      <c r="EP71" s="213" t="s">
        <v>249</v>
      </c>
      <c r="ES71" s="213" t="s">
        <v>748</v>
      </c>
      <c r="ET71" s="213" t="s">
        <v>743</v>
      </c>
      <c r="EU71" s="213">
        <v>0</v>
      </c>
      <c r="EV71" s="213">
        <v>0</v>
      </c>
      <c r="EW71" s="213">
        <v>0</v>
      </c>
      <c r="EX71" s="213" t="s">
        <v>249</v>
      </c>
      <c r="EY71" s="213">
        <v>70.099999999999994</v>
      </c>
      <c r="EZ71" s="213">
        <v>38.700000000000003</v>
      </c>
      <c r="FA71" s="213" t="s">
        <v>749</v>
      </c>
      <c r="FB71" s="213" t="s">
        <v>743</v>
      </c>
      <c r="FC71" s="213">
        <v>0</v>
      </c>
      <c r="FD71" s="213">
        <v>0</v>
      </c>
      <c r="FE71" s="213">
        <v>0</v>
      </c>
      <c r="FF71" s="213" t="s">
        <v>249</v>
      </c>
      <c r="FI71" s="213" t="s">
        <v>750</v>
      </c>
      <c r="FJ71" s="213" t="s">
        <v>743</v>
      </c>
      <c r="FK71" s="213">
        <v>0</v>
      </c>
      <c r="FL71" s="213">
        <v>0</v>
      </c>
      <c r="FM71" s="213">
        <v>0</v>
      </c>
      <c r="FN71" s="213" t="s">
        <v>249</v>
      </c>
      <c r="FO71" s="213">
        <v>73.599999999999994</v>
      </c>
      <c r="FP71" s="213">
        <v>181.5</v>
      </c>
      <c r="FQ71" s="213" t="s">
        <v>751</v>
      </c>
      <c r="FR71" s="213" t="s">
        <v>743</v>
      </c>
      <c r="FS71" s="213">
        <v>0</v>
      </c>
      <c r="FT71" s="213">
        <v>0</v>
      </c>
      <c r="FU71" s="213">
        <v>0</v>
      </c>
      <c r="FV71" s="213" t="s">
        <v>249</v>
      </c>
      <c r="FY71" s="213">
        <v>19.5</v>
      </c>
      <c r="FZ71" s="213">
        <v>-10.7</v>
      </c>
      <c r="GF71" s="213" t="s">
        <v>752</v>
      </c>
    </row>
    <row r="72" spans="1:188" s="213" customFormat="1" x14ac:dyDescent="0.15">
      <c r="A72" s="213" t="s">
        <v>654</v>
      </c>
      <c r="B72" s="213">
        <v>4</v>
      </c>
      <c r="C72" s="213" t="s">
        <v>1137</v>
      </c>
      <c r="D72" s="213">
        <v>614386401</v>
      </c>
      <c r="E72" s="213">
        <v>92303</v>
      </c>
      <c r="F72" s="213" t="s">
        <v>795</v>
      </c>
      <c r="G72" s="213">
        <v>839032</v>
      </c>
      <c r="H72" s="213">
        <v>210035802</v>
      </c>
      <c r="I72" s="213">
        <v>6.8</v>
      </c>
      <c r="J72" s="213" t="s">
        <v>1138</v>
      </c>
      <c r="K72" s="213" t="s">
        <v>727</v>
      </c>
      <c r="L72" s="213" t="s">
        <v>797</v>
      </c>
      <c r="M72" s="213" t="s">
        <v>728</v>
      </c>
      <c r="N72" s="213" t="s">
        <v>728</v>
      </c>
      <c r="O72" s="213" t="s">
        <v>729</v>
      </c>
      <c r="P72" s="213" t="s">
        <v>249</v>
      </c>
      <c r="Q72" s="213">
        <v>23</v>
      </c>
      <c r="R72" s="213">
        <v>170</v>
      </c>
      <c r="S72" s="213" t="s">
        <v>249</v>
      </c>
      <c r="T72" s="213">
        <v>-9999</v>
      </c>
      <c r="U72" s="213">
        <v>231</v>
      </c>
      <c r="V72" s="213">
        <v>484</v>
      </c>
      <c r="W72" s="213">
        <v>221</v>
      </c>
      <c r="X72" s="213" t="s">
        <v>710</v>
      </c>
      <c r="Y72" s="213">
        <v>0</v>
      </c>
      <c r="Z72" s="213">
        <v>40</v>
      </c>
      <c r="AA72" s="213" t="s">
        <v>730</v>
      </c>
      <c r="AB72" s="213" t="s">
        <v>731</v>
      </c>
      <c r="AC72" s="213" t="s">
        <v>729</v>
      </c>
      <c r="AD72" s="213" t="s">
        <v>249</v>
      </c>
      <c r="AE72" s="213">
        <v>25.7</v>
      </c>
      <c r="AF72" s="213">
        <v>124</v>
      </c>
      <c r="AG72" s="213" t="s">
        <v>249</v>
      </c>
      <c r="AH72" s="213">
        <v>-9999</v>
      </c>
      <c r="AI72" s="213">
        <v>191</v>
      </c>
      <c r="AJ72" s="213">
        <v>450</v>
      </c>
      <c r="AK72" s="213">
        <v>188</v>
      </c>
      <c r="AL72" s="213" t="s">
        <v>710</v>
      </c>
      <c r="AM72" s="213">
        <v>0</v>
      </c>
      <c r="AN72" s="213">
        <v>40</v>
      </c>
      <c r="AO72" s="213" t="s">
        <v>733</v>
      </c>
      <c r="AP72" s="213" t="s">
        <v>734</v>
      </c>
      <c r="AQ72" s="213">
        <v>1</v>
      </c>
      <c r="AR72" s="213" t="s">
        <v>798</v>
      </c>
      <c r="AS72" s="213">
        <v>23.5</v>
      </c>
      <c r="AT72" s="213">
        <v>440</v>
      </c>
      <c r="AU72" s="213" t="s">
        <v>710</v>
      </c>
      <c r="AV72" s="213">
        <v>-9999</v>
      </c>
      <c r="AW72" s="213">
        <v>248</v>
      </c>
      <c r="AX72" s="213">
        <v>608</v>
      </c>
      <c r="AY72" s="213">
        <v>245</v>
      </c>
      <c r="AZ72" s="213" t="s">
        <v>710</v>
      </c>
      <c r="BA72" s="213">
        <v>0</v>
      </c>
      <c r="BB72" s="213">
        <v>40</v>
      </c>
      <c r="BC72" s="213" t="s">
        <v>736</v>
      </c>
      <c r="BD72" s="213" t="s">
        <v>734</v>
      </c>
      <c r="BE72" s="213">
        <v>2</v>
      </c>
      <c r="BF72" s="213" t="s">
        <v>798</v>
      </c>
      <c r="BG72" s="213">
        <v>24.6</v>
      </c>
      <c r="BH72" s="213">
        <v>190</v>
      </c>
      <c r="BI72" s="213" t="s">
        <v>710</v>
      </c>
      <c r="BJ72" s="213">
        <v>-9999</v>
      </c>
      <c r="BK72" s="213">
        <v>109</v>
      </c>
      <c r="BL72" s="213">
        <v>343</v>
      </c>
      <c r="BM72" s="213">
        <v>107</v>
      </c>
      <c r="BN72" s="213" t="s">
        <v>710</v>
      </c>
      <c r="BO72" s="213">
        <v>0</v>
      </c>
      <c r="BP72" s="213">
        <v>40</v>
      </c>
      <c r="BQ72" s="213" t="s">
        <v>737</v>
      </c>
      <c r="BR72" s="213" t="s">
        <v>734</v>
      </c>
      <c r="BS72" s="213">
        <v>3</v>
      </c>
      <c r="BT72" s="213" t="s">
        <v>798</v>
      </c>
      <c r="BU72" s="213">
        <v>35.200000000000003</v>
      </c>
      <c r="BV72" s="213">
        <v>48</v>
      </c>
      <c r="BW72" s="213" t="s">
        <v>710</v>
      </c>
      <c r="BX72" s="213">
        <v>-9999</v>
      </c>
      <c r="BY72" s="213">
        <v>180</v>
      </c>
      <c r="BZ72" s="213">
        <v>432</v>
      </c>
      <c r="CA72" s="213">
        <v>179</v>
      </c>
      <c r="CB72" s="213" t="s">
        <v>710</v>
      </c>
      <c r="CC72" s="213">
        <v>0</v>
      </c>
      <c r="CD72" s="213">
        <v>40</v>
      </c>
      <c r="CE72" s="213" t="s">
        <v>738</v>
      </c>
      <c r="CF72" s="213" t="s">
        <v>734</v>
      </c>
      <c r="CG72" s="213">
        <v>4</v>
      </c>
      <c r="CH72" s="213" t="s">
        <v>798</v>
      </c>
      <c r="CI72" s="213">
        <v>22.4</v>
      </c>
      <c r="CJ72" s="213">
        <v>418</v>
      </c>
      <c r="CK72" s="213" t="s">
        <v>710</v>
      </c>
      <c r="CL72" s="213">
        <v>-9999</v>
      </c>
      <c r="CM72" s="213">
        <v>141</v>
      </c>
      <c r="CN72" s="213">
        <v>367</v>
      </c>
      <c r="CO72" s="213">
        <v>139</v>
      </c>
      <c r="CP72" s="213" t="s">
        <v>710</v>
      </c>
      <c r="CQ72" s="213">
        <v>0</v>
      </c>
      <c r="CR72" s="213">
        <v>40</v>
      </c>
      <c r="CS72" s="213" t="s">
        <v>739</v>
      </c>
      <c r="CT72" s="213" t="s">
        <v>740</v>
      </c>
      <c r="CU72" s="213">
        <v>116</v>
      </c>
      <c r="CV72" s="213">
        <v>116</v>
      </c>
      <c r="CW72" s="213">
        <v>115</v>
      </c>
      <c r="CX72" s="213" t="s">
        <v>710</v>
      </c>
      <c r="CY72" s="213" t="s">
        <v>741</v>
      </c>
      <c r="CZ72" s="213" t="s">
        <v>740</v>
      </c>
      <c r="DA72" s="213">
        <v>118</v>
      </c>
      <c r="DB72" s="213">
        <v>118</v>
      </c>
      <c r="DC72" s="213">
        <v>118</v>
      </c>
      <c r="DD72" s="213" t="s">
        <v>710</v>
      </c>
      <c r="DE72" s="213" t="s">
        <v>742</v>
      </c>
      <c r="DF72" s="213" t="s">
        <v>743</v>
      </c>
      <c r="DG72" s="213">
        <v>0</v>
      </c>
      <c r="DH72" s="213">
        <v>0</v>
      </c>
      <c r="DI72" s="213">
        <v>0</v>
      </c>
      <c r="DJ72" s="213" t="s">
        <v>249</v>
      </c>
      <c r="DK72" s="213">
        <v>69.3</v>
      </c>
      <c r="DL72" s="213">
        <v>47.7</v>
      </c>
      <c r="DM72" s="213" t="s">
        <v>744</v>
      </c>
      <c r="DN72" s="213" t="s">
        <v>743</v>
      </c>
      <c r="DO72" s="213">
        <v>0</v>
      </c>
      <c r="DP72" s="213">
        <v>0</v>
      </c>
      <c r="DQ72" s="213">
        <v>0</v>
      </c>
      <c r="DR72" s="213" t="s">
        <v>249</v>
      </c>
      <c r="DU72" s="213" t="s">
        <v>745</v>
      </c>
      <c r="DV72" s="213" t="s">
        <v>743</v>
      </c>
      <c r="DW72" s="213">
        <v>0</v>
      </c>
      <c r="DX72" s="213">
        <v>0</v>
      </c>
      <c r="DY72" s="213">
        <v>0</v>
      </c>
      <c r="DZ72" s="213" t="s">
        <v>249</v>
      </c>
      <c r="EC72" s="213" t="s">
        <v>746</v>
      </c>
      <c r="ED72" s="213" t="s">
        <v>743</v>
      </c>
      <c r="EE72" s="213">
        <v>0</v>
      </c>
      <c r="EF72" s="213">
        <v>0</v>
      </c>
      <c r="EG72" s="213">
        <v>0</v>
      </c>
      <c r="EH72" s="213" t="s">
        <v>249</v>
      </c>
      <c r="EK72" s="213" t="s">
        <v>747</v>
      </c>
      <c r="EL72" s="213" t="s">
        <v>743</v>
      </c>
      <c r="EM72" s="213">
        <v>0</v>
      </c>
      <c r="EN72" s="213">
        <v>0</v>
      </c>
      <c r="EO72" s="213">
        <v>0</v>
      </c>
      <c r="EP72" s="213" t="s">
        <v>249</v>
      </c>
      <c r="ES72" s="213" t="s">
        <v>748</v>
      </c>
      <c r="ET72" s="213" t="s">
        <v>743</v>
      </c>
      <c r="EU72" s="213">
        <v>0</v>
      </c>
      <c r="EV72" s="213">
        <v>0</v>
      </c>
      <c r="EW72" s="213">
        <v>0</v>
      </c>
      <c r="EX72" s="213" t="s">
        <v>249</v>
      </c>
      <c r="EY72" s="213">
        <v>70</v>
      </c>
      <c r="EZ72" s="213">
        <v>47.3</v>
      </c>
      <c r="FA72" s="213" t="s">
        <v>749</v>
      </c>
      <c r="FB72" s="213" t="s">
        <v>743</v>
      </c>
      <c r="FC72" s="213">
        <v>0</v>
      </c>
      <c r="FD72" s="213">
        <v>0</v>
      </c>
      <c r="FE72" s="213">
        <v>0</v>
      </c>
      <c r="FF72" s="213" t="s">
        <v>249</v>
      </c>
      <c r="FI72" s="213" t="s">
        <v>750</v>
      </c>
      <c r="FJ72" s="213" t="s">
        <v>743</v>
      </c>
      <c r="FK72" s="213">
        <v>0</v>
      </c>
      <c r="FL72" s="213">
        <v>0</v>
      </c>
      <c r="FM72" s="213">
        <v>0</v>
      </c>
      <c r="FN72" s="213" t="s">
        <v>249</v>
      </c>
      <c r="FO72" s="213">
        <v>73.599999999999994</v>
      </c>
      <c r="FP72" s="213">
        <v>162.30000000000001</v>
      </c>
      <c r="FQ72" s="213" t="s">
        <v>751</v>
      </c>
      <c r="FR72" s="213" t="s">
        <v>743</v>
      </c>
      <c r="FS72" s="213">
        <v>0</v>
      </c>
      <c r="FT72" s="213">
        <v>0</v>
      </c>
      <c r="FU72" s="213">
        <v>0</v>
      </c>
      <c r="FV72" s="213" t="s">
        <v>249</v>
      </c>
      <c r="FY72" s="213">
        <v>19.899999999999999</v>
      </c>
      <c r="FZ72" s="213">
        <v>-8.9</v>
      </c>
      <c r="GF72" s="213" t="s">
        <v>752</v>
      </c>
    </row>
    <row r="73" spans="1:188" s="213" customFormat="1" x14ac:dyDescent="0.15">
      <c r="A73" s="213" t="s">
        <v>654</v>
      </c>
      <c r="B73" s="213">
        <v>4</v>
      </c>
      <c r="C73" s="213" t="s">
        <v>1139</v>
      </c>
      <c r="D73" s="213">
        <v>614385629</v>
      </c>
      <c r="E73" s="213">
        <v>92303</v>
      </c>
      <c r="F73" s="213" t="s">
        <v>795</v>
      </c>
      <c r="G73" s="213">
        <v>839032</v>
      </c>
      <c r="H73" s="213">
        <v>880236</v>
      </c>
      <c r="I73" s="213">
        <v>6.8</v>
      </c>
      <c r="J73" s="213" t="s">
        <v>1140</v>
      </c>
      <c r="K73" s="213" t="s">
        <v>727</v>
      </c>
      <c r="L73" s="213" t="s">
        <v>797</v>
      </c>
      <c r="M73" s="213" t="s">
        <v>728</v>
      </c>
      <c r="N73" s="213" t="s">
        <v>728</v>
      </c>
      <c r="O73" s="213" t="s">
        <v>729</v>
      </c>
      <c r="P73" s="213" t="s">
        <v>249</v>
      </c>
      <c r="Q73" s="213">
        <v>24.1</v>
      </c>
      <c r="R73" s="213">
        <v>169</v>
      </c>
      <c r="S73" s="213" t="s">
        <v>249</v>
      </c>
      <c r="T73" s="213">
        <v>-9999</v>
      </c>
      <c r="U73" s="213">
        <v>189</v>
      </c>
      <c r="V73" s="213">
        <v>409</v>
      </c>
      <c r="W73" s="213">
        <v>178</v>
      </c>
      <c r="X73" s="213" t="s">
        <v>710</v>
      </c>
      <c r="Y73" s="213">
        <v>0</v>
      </c>
      <c r="Z73" s="213">
        <v>40</v>
      </c>
      <c r="AA73" s="213" t="s">
        <v>730</v>
      </c>
      <c r="AB73" s="213" t="s">
        <v>731</v>
      </c>
      <c r="AC73" s="213" t="s">
        <v>729</v>
      </c>
      <c r="AD73" s="213" t="s">
        <v>249</v>
      </c>
      <c r="AE73" s="213">
        <v>26</v>
      </c>
      <c r="AF73" s="213">
        <v>135</v>
      </c>
      <c r="AG73" s="213" t="s">
        <v>249</v>
      </c>
      <c r="AH73" s="213">
        <v>-9999</v>
      </c>
      <c r="AI73" s="213">
        <v>188</v>
      </c>
      <c r="AJ73" s="213">
        <v>446</v>
      </c>
      <c r="AK73" s="213">
        <v>184</v>
      </c>
      <c r="AL73" s="213" t="s">
        <v>710</v>
      </c>
      <c r="AM73" s="213">
        <v>0</v>
      </c>
      <c r="AN73" s="213">
        <v>40</v>
      </c>
      <c r="AO73" s="213" t="s">
        <v>733</v>
      </c>
      <c r="AP73" s="213" t="s">
        <v>734</v>
      </c>
      <c r="AQ73" s="213">
        <v>1</v>
      </c>
      <c r="AR73" s="213" t="s">
        <v>798</v>
      </c>
      <c r="AS73" s="213">
        <v>23.3</v>
      </c>
      <c r="AT73" s="213">
        <v>457</v>
      </c>
      <c r="AU73" s="213" t="s">
        <v>710</v>
      </c>
      <c r="AV73" s="213">
        <v>-9999</v>
      </c>
      <c r="AW73" s="213">
        <v>231</v>
      </c>
      <c r="AX73" s="213">
        <v>572</v>
      </c>
      <c r="AY73" s="213">
        <v>226</v>
      </c>
      <c r="AZ73" s="213" t="s">
        <v>710</v>
      </c>
      <c r="BA73" s="213">
        <v>0</v>
      </c>
      <c r="BB73" s="213">
        <v>40</v>
      </c>
      <c r="BC73" s="213" t="s">
        <v>736</v>
      </c>
      <c r="BD73" s="213" t="s">
        <v>734</v>
      </c>
      <c r="BE73" s="213">
        <v>2</v>
      </c>
      <c r="BF73" s="213" t="s">
        <v>798</v>
      </c>
      <c r="BG73" s="213">
        <v>24.5</v>
      </c>
      <c r="BH73" s="213">
        <v>188</v>
      </c>
      <c r="BI73" s="213" t="s">
        <v>710</v>
      </c>
      <c r="BJ73" s="213">
        <v>-9999</v>
      </c>
      <c r="BK73" s="213">
        <v>109</v>
      </c>
      <c r="BL73" s="213">
        <v>328</v>
      </c>
      <c r="BM73" s="213">
        <v>106</v>
      </c>
      <c r="BN73" s="213" t="s">
        <v>710</v>
      </c>
      <c r="BO73" s="213">
        <v>0</v>
      </c>
      <c r="BP73" s="213">
        <v>40</v>
      </c>
      <c r="BQ73" s="213" t="s">
        <v>737</v>
      </c>
      <c r="BR73" s="213" t="s">
        <v>734</v>
      </c>
      <c r="BS73" s="213">
        <v>3</v>
      </c>
      <c r="BT73" s="213" t="s">
        <v>799</v>
      </c>
      <c r="BU73" s="213">
        <v>0</v>
      </c>
      <c r="BV73" s="213">
        <v>34</v>
      </c>
      <c r="BW73" s="213" t="s">
        <v>249</v>
      </c>
      <c r="BX73" s="213">
        <v>-9999</v>
      </c>
      <c r="BY73" s="213">
        <v>156</v>
      </c>
      <c r="BZ73" s="213">
        <v>371</v>
      </c>
      <c r="CA73" s="213">
        <v>154</v>
      </c>
      <c r="CB73" s="213" t="s">
        <v>710</v>
      </c>
      <c r="CC73" s="213">
        <v>0</v>
      </c>
      <c r="CD73" s="213">
        <v>40</v>
      </c>
      <c r="CE73" s="213" t="s">
        <v>738</v>
      </c>
      <c r="CF73" s="213" t="s">
        <v>734</v>
      </c>
      <c r="CG73" s="213">
        <v>4</v>
      </c>
      <c r="CH73" s="213" t="s">
        <v>798</v>
      </c>
      <c r="CI73" s="213">
        <v>22.2</v>
      </c>
      <c r="CJ73" s="213">
        <v>406</v>
      </c>
      <c r="CK73" s="213" t="s">
        <v>710</v>
      </c>
      <c r="CL73" s="213">
        <v>-9999</v>
      </c>
      <c r="CM73" s="213">
        <v>136</v>
      </c>
      <c r="CN73" s="213">
        <v>351</v>
      </c>
      <c r="CO73" s="213">
        <v>132</v>
      </c>
      <c r="CP73" s="213" t="s">
        <v>710</v>
      </c>
      <c r="CQ73" s="213">
        <v>0</v>
      </c>
      <c r="CR73" s="213">
        <v>40</v>
      </c>
      <c r="CS73" s="213" t="s">
        <v>739</v>
      </c>
      <c r="CT73" s="213" t="s">
        <v>740</v>
      </c>
      <c r="CU73" s="213">
        <v>118</v>
      </c>
      <c r="CV73" s="213">
        <v>117</v>
      </c>
      <c r="CW73" s="213">
        <v>117</v>
      </c>
      <c r="CX73" s="213" t="s">
        <v>710</v>
      </c>
      <c r="CY73" s="213" t="s">
        <v>741</v>
      </c>
      <c r="CZ73" s="213" t="s">
        <v>740</v>
      </c>
      <c r="DA73" s="213">
        <v>100</v>
      </c>
      <c r="DB73" s="213">
        <v>100</v>
      </c>
      <c r="DC73" s="213">
        <v>100</v>
      </c>
      <c r="DD73" s="213" t="s">
        <v>710</v>
      </c>
      <c r="DE73" s="213" t="s">
        <v>742</v>
      </c>
      <c r="DF73" s="213" t="s">
        <v>743</v>
      </c>
      <c r="DG73" s="213">
        <v>0</v>
      </c>
      <c r="DH73" s="213">
        <v>0</v>
      </c>
      <c r="DI73" s="213">
        <v>0</v>
      </c>
      <c r="DJ73" s="213" t="s">
        <v>249</v>
      </c>
      <c r="DK73" s="213">
        <v>69.3</v>
      </c>
      <c r="DL73" s="213">
        <v>43.4</v>
      </c>
      <c r="DM73" s="213" t="s">
        <v>744</v>
      </c>
      <c r="DN73" s="213" t="s">
        <v>743</v>
      </c>
      <c r="DO73" s="213">
        <v>0</v>
      </c>
      <c r="DP73" s="213">
        <v>0</v>
      </c>
      <c r="DQ73" s="213">
        <v>0</v>
      </c>
      <c r="DR73" s="213" t="s">
        <v>249</v>
      </c>
      <c r="DU73" s="213" t="s">
        <v>745</v>
      </c>
      <c r="DV73" s="213" t="s">
        <v>743</v>
      </c>
      <c r="DW73" s="213">
        <v>0</v>
      </c>
      <c r="DX73" s="213">
        <v>0</v>
      </c>
      <c r="DY73" s="213">
        <v>0</v>
      </c>
      <c r="DZ73" s="213" t="s">
        <v>249</v>
      </c>
      <c r="EC73" s="213" t="s">
        <v>746</v>
      </c>
      <c r="ED73" s="213" t="s">
        <v>743</v>
      </c>
      <c r="EE73" s="213">
        <v>0</v>
      </c>
      <c r="EF73" s="213">
        <v>0</v>
      </c>
      <c r="EG73" s="213">
        <v>0</v>
      </c>
      <c r="EH73" s="213" t="s">
        <v>249</v>
      </c>
      <c r="EK73" s="213" t="s">
        <v>747</v>
      </c>
      <c r="EL73" s="213" t="s">
        <v>743</v>
      </c>
      <c r="EM73" s="213">
        <v>0</v>
      </c>
      <c r="EN73" s="213">
        <v>0</v>
      </c>
      <c r="EO73" s="213">
        <v>0</v>
      </c>
      <c r="EP73" s="213" t="s">
        <v>249</v>
      </c>
      <c r="ES73" s="213" t="s">
        <v>748</v>
      </c>
      <c r="ET73" s="213" t="s">
        <v>743</v>
      </c>
      <c r="EU73" s="213">
        <v>0</v>
      </c>
      <c r="EV73" s="213">
        <v>0</v>
      </c>
      <c r="EW73" s="213">
        <v>0</v>
      </c>
      <c r="EX73" s="213" t="s">
        <v>249</v>
      </c>
      <c r="EY73" s="213">
        <v>70</v>
      </c>
      <c r="EZ73" s="213">
        <v>47.4</v>
      </c>
      <c r="FA73" s="213" t="s">
        <v>749</v>
      </c>
      <c r="FB73" s="213" t="s">
        <v>743</v>
      </c>
      <c r="FC73" s="213">
        <v>0</v>
      </c>
      <c r="FD73" s="213">
        <v>0</v>
      </c>
      <c r="FE73" s="213">
        <v>0</v>
      </c>
      <c r="FF73" s="213" t="s">
        <v>249</v>
      </c>
      <c r="FI73" s="213" t="s">
        <v>750</v>
      </c>
      <c r="FJ73" s="213" t="s">
        <v>743</v>
      </c>
      <c r="FK73" s="213">
        <v>0</v>
      </c>
      <c r="FL73" s="213">
        <v>0</v>
      </c>
      <c r="FM73" s="213">
        <v>0</v>
      </c>
      <c r="FN73" s="213" t="s">
        <v>249</v>
      </c>
      <c r="FO73" s="213">
        <v>73.5</v>
      </c>
      <c r="FP73" s="213">
        <v>147.80000000000001</v>
      </c>
      <c r="FQ73" s="213" t="s">
        <v>751</v>
      </c>
      <c r="FR73" s="213" t="s">
        <v>743</v>
      </c>
      <c r="FS73" s="213">
        <v>0</v>
      </c>
      <c r="FT73" s="213">
        <v>0</v>
      </c>
      <c r="FU73" s="213">
        <v>0</v>
      </c>
      <c r="FV73" s="213" t="s">
        <v>249</v>
      </c>
      <c r="FY73" s="213">
        <v>20.2</v>
      </c>
      <c r="FZ73" s="213">
        <v>-8.1999999999999993</v>
      </c>
      <c r="GF73" s="213" t="s">
        <v>752</v>
      </c>
    </row>
    <row r="74" spans="1:188" s="213" customFormat="1" x14ac:dyDescent="0.15">
      <c r="A74" s="213" t="s">
        <v>654</v>
      </c>
      <c r="B74" s="213">
        <v>4</v>
      </c>
      <c r="C74" s="213" t="s">
        <v>1161</v>
      </c>
      <c r="D74" s="213">
        <v>614388914</v>
      </c>
      <c r="E74" s="213">
        <v>92303</v>
      </c>
      <c r="F74" s="213" t="s">
        <v>795</v>
      </c>
      <c r="G74" s="213">
        <v>839032</v>
      </c>
      <c r="H74" s="213">
        <v>210016126</v>
      </c>
      <c r="I74" s="213">
        <v>6.8</v>
      </c>
      <c r="J74" s="213" t="s">
        <v>1162</v>
      </c>
      <c r="K74" s="213" t="s">
        <v>727</v>
      </c>
      <c r="L74" s="213" t="s">
        <v>797</v>
      </c>
      <c r="M74" s="213" t="s">
        <v>728</v>
      </c>
      <c r="N74" s="213" t="s">
        <v>728</v>
      </c>
      <c r="O74" s="213" t="s">
        <v>729</v>
      </c>
      <c r="P74" s="213" t="s">
        <v>249</v>
      </c>
      <c r="Q74" s="213">
        <v>24.5</v>
      </c>
      <c r="R74" s="213">
        <v>157</v>
      </c>
      <c r="S74" s="213" t="s">
        <v>249</v>
      </c>
      <c r="T74" s="213">
        <v>-9999</v>
      </c>
      <c r="U74" s="213">
        <v>237</v>
      </c>
      <c r="V74" s="213">
        <v>504</v>
      </c>
      <c r="W74" s="213">
        <v>235</v>
      </c>
      <c r="X74" s="213" t="s">
        <v>710</v>
      </c>
      <c r="Y74" s="213">
        <v>0</v>
      </c>
      <c r="Z74" s="213">
        <v>40</v>
      </c>
      <c r="AA74" s="213" t="s">
        <v>730</v>
      </c>
      <c r="AB74" s="213" t="s">
        <v>731</v>
      </c>
      <c r="AC74" s="213" t="s">
        <v>729</v>
      </c>
      <c r="AD74" s="213" t="s">
        <v>249</v>
      </c>
      <c r="AE74" s="213">
        <v>25.6</v>
      </c>
      <c r="AF74" s="213">
        <v>130</v>
      </c>
      <c r="AG74" s="213" t="s">
        <v>249</v>
      </c>
      <c r="AH74" s="213">
        <v>-9999</v>
      </c>
      <c r="AI74" s="213">
        <v>202</v>
      </c>
      <c r="AJ74" s="213">
        <v>482</v>
      </c>
      <c r="AK74" s="213">
        <v>201</v>
      </c>
      <c r="AL74" s="213" t="s">
        <v>710</v>
      </c>
      <c r="AM74" s="213">
        <v>0</v>
      </c>
      <c r="AN74" s="213">
        <v>40</v>
      </c>
      <c r="AO74" s="213" t="s">
        <v>733</v>
      </c>
      <c r="AP74" s="213" t="s">
        <v>734</v>
      </c>
      <c r="AQ74" s="213">
        <v>1</v>
      </c>
      <c r="AR74" s="213" t="s">
        <v>798</v>
      </c>
      <c r="AS74" s="213">
        <v>23.1</v>
      </c>
      <c r="AT74" s="213">
        <v>456</v>
      </c>
      <c r="AU74" s="213" t="s">
        <v>710</v>
      </c>
      <c r="AV74" s="213">
        <v>-9999</v>
      </c>
      <c r="AW74" s="213">
        <v>288</v>
      </c>
      <c r="AX74" s="213">
        <v>717</v>
      </c>
      <c r="AY74" s="213">
        <v>287</v>
      </c>
      <c r="AZ74" s="213" t="s">
        <v>710</v>
      </c>
      <c r="BA74" s="213">
        <v>0</v>
      </c>
      <c r="BB74" s="213">
        <v>40</v>
      </c>
      <c r="BC74" s="213" t="s">
        <v>736</v>
      </c>
      <c r="BD74" s="213" t="s">
        <v>734</v>
      </c>
      <c r="BE74" s="213">
        <v>2</v>
      </c>
      <c r="BF74" s="213" t="s">
        <v>798</v>
      </c>
      <c r="BG74" s="213">
        <v>24.1</v>
      </c>
      <c r="BH74" s="213">
        <v>194</v>
      </c>
      <c r="BI74" s="213" t="s">
        <v>710</v>
      </c>
      <c r="BJ74" s="213">
        <v>-9999</v>
      </c>
      <c r="BK74" s="213">
        <v>112</v>
      </c>
      <c r="BL74" s="213">
        <v>339</v>
      </c>
      <c r="BM74" s="213">
        <v>111</v>
      </c>
      <c r="BN74" s="213" t="s">
        <v>710</v>
      </c>
      <c r="BO74" s="213">
        <v>0</v>
      </c>
      <c r="BP74" s="213">
        <v>40</v>
      </c>
      <c r="BQ74" s="213" t="s">
        <v>737</v>
      </c>
      <c r="BR74" s="213" t="s">
        <v>734</v>
      </c>
      <c r="BS74" s="213">
        <v>3</v>
      </c>
      <c r="BT74" s="213" t="s">
        <v>799</v>
      </c>
      <c r="BU74" s="213">
        <v>0</v>
      </c>
      <c r="BV74" s="213">
        <v>38</v>
      </c>
      <c r="BW74" s="213" t="s">
        <v>249</v>
      </c>
      <c r="BX74" s="213">
        <v>-9999</v>
      </c>
      <c r="BY74" s="213">
        <v>174</v>
      </c>
      <c r="BZ74" s="213">
        <v>419</v>
      </c>
      <c r="CA74" s="213">
        <v>174</v>
      </c>
      <c r="CB74" s="213" t="s">
        <v>710</v>
      </c>
      <c r="CC74" s="213">
        <v>0</v>
      </c>
      <c r="CD74" s="213">
        <v>40</v>
      </c>
      <c r="CE74" s="213" t="s">
        <v>738</v>
      </c>
      <c r="CF74" s="213" t="s">
        <v>734</v>
      </c>
      <c r="CG74" s="213">
        <v>4</v>
      </c>
      <c r="CH74" s="213" t="s">
        <v>798</v>
      </c>
      <c r="CI74" s="213">
        <v>21.7</v>
      </c>
      <c r="CJ74" s="213">
        <v>442</v>
      </c>
      <c r="CK74" s="213" t="s">
        <v>710</v>
      </c>
      <c r="CL74" s="213">
        <v>-9999</v>
      </c>
      <c r="CM74" s="213">
        <v>143</v>
      </c>
      <c r="CN74" s="213">
        <v>372</v>
      </c>
      <c r="CO74" s="213">
        <v>141</v>
      </c>
      <c r="CP74" s="213" t="s">
        <v>710</v>
      </c>
      <c r="CQ74" s="213">
        <v>0</v>
      </c>
      <c r="CR74" s="213">
        <v>40</v>
      </c>
      <c r="CS74" s="213" t="s">
        <v>739</v>
      </c>
      <c r="CT74" s="213" t="s">
        <v>740</v>
      </c>
      <c r="CU74" s="213">
        <v>116</v>
      </c>
      <c r="CV74" s="213">
        <v>117</v>
      </c>
      <c r="CW74" s="213">
        <v>116</v>
      </c>
      <c r="CX74" s="213" t="s">
        <v>710</v>
      </c>
      <c r="CY74" s="213" t="s">
        <v>741</v>
      </c>
      <c r="CZ74" s="213" t="s">
        <v>740</v>
      </c>
      <c r="DA74" s="213">
        <v>99</v>
      </c>
      <c r="DB74" s="213">
        <v>99</v>
      </c>
      <c r="DC74" s="213">
        <v>99</v>
      </c>
      <c r="DD74" s="213" t="s">
        <v>710</v>
      </c>
      <c r="DE74" s="213" t="s">
        <v>742</v>
      </c>
      <c r="DF74" s="213" t="s">
        <v>743</v>
      </c>
      <c r="DG74" s="213">
        <v>0</v>
      </c>
      <c r="DH74" s="213">
        <v>0</v>
      </c>
      <c r="DI74" s="213">
        <v>0</v>
      </c>
      <c r="DJ74" s="213" t="s">
        <v>249</v>
      </c>
      <c r="DK74" s="213">
        <v>69.3</v>
      </c>
      <c r="DL74" s="213">
        <v>58.8</v>
      </c>
      <c r="DM74" s="213" t="s">
        <v>744</v>
      </c>
      <c r="DN74" s="213" t="s">
        <v>743</v>
      </c>
      <c r="DO74" s="213">
        <v>0</v>
      </c>
      <c r="DP74" s="213">
        <v>0</v>
      </c>
      <c r="DQ74" s="213">
        <v>0</v>
      </c>
      <c r="DR74" s="213" t="s">
        <v>249</v>
      </c>
      <c r="DU74" s="213" t="s">
        <v>745</v>
      </c>
      <c r="DV74" s="213" t="s">
        <v>743</v>
      </c>
      <c r="DW74" s="213">
        <v>0</v>
      </c>
      <c r="DX74" s="213">
        <v>0</v>
      </c>
      <c r="DY74" s="213">
        <v>0</v>
      </c>
      <c r="DZ74" s="213" t="s">
        <v>249</v>
      </c>
      <c r="EC74" s="213" t="s">
        <v>746</v>
      </c>
      <c r="ED74" s="213" t="s">
        <v>743</v>
      </c>
      <c r="EE74" s="213">
        <v>0</v>
      </c>
      <c r="EF74" s="213">
        <v>0</v>
      </c>
      <c r="EG74" s="213">
        <v>0</v>
      </c>
      <c r="EH74" s="213" t="s">
        <v>249</v>
      </c>
      <c r="EK74" s="213" t="s">
        <v>747</v>
      </c>
      <c r="EL74" s="213" t="s">
        <v>743</v>
      </c>
      <c r="EM74" s="213">
        <v>0</v>
      </c>
      <c r="EN74" s="213">
        <v>0</v>
      </c>
      <c r="EO74" s="213">
        <v>0</v>
      </c>
      <c r="EP74" s="213" t="s">
        <v>249</v>
      </c>
      <c r="ES74" s="213" t="s">
        <v>748</v>
      </c>
      <c r="ET74" s="213" t="s">
        <v>743</v>
      </c>
      <c r="EU74" s="213">
        <v>0</v>
      </c>
      <c r="EV74" s="213">
        <v>0</v>
      </c>
      <c r="EW74" s="213">
        <v>0</v>
      </c>
      <c r="EX74" s="213" t="s">
        <v>249</v>
      </c>
      <c r="EY74" s="213">
        <v>70</v>
      </c>
      <c r="EZ74" s="213">
        <v>54.1</v>
      </c>
      <c r="FA74" s="213" t="s">
        <v>749</v>
      </c>
      <c r="FB74" s="213" t="s">
        <v>743</v>
      </c>
      <c r="FC74" s="213">
        <v>0</v>
      </c>
      <c r="FD74" s="213">
        <v>0</v>
      </c>
      <c r="FE74" s="213">
        <v>0</v>
      </c>
      <c r="FF74" s="213" t="s">
        <v>249</v>
      </c>
      <c r="FI74" s="213" t="s">
        <v>750</v>
      </c>
      <c r="FJ74" s="213" t="s">
        <v>743</v>
      </c>
      <c r="FK74" s="213">
        <v>0</v>
      </c>
      <c r="FL74" s="213">
        <v>0</v>
      </c>
      <c r="FM74" s="213">
        <v>0</v>
      </c>
      <c r="FN74" s="213" t="s">
        <v>249</v>
      </c>
      <c r="FO74" s="213">
        <v>73.5</v>
      </c>
      <c r="FP74" s="213">
        <v>173.7</v>
      </c>
      <c r="FQ74" s="213" t="s">
        <v>751</v>
      </c>
      <c r="FR74" s="213" t="s">
        <v>743</v>
      </c>
      <c r="FS74" s="213">
        <v>0</v>
      </c>
      <c r="FT74" s="213">
        <v>0</v>
      </c>
      <c r="FU74" s="213">
        <v>0</v>
      </c>
      <c r="FV74" s="213" t="s">
        <v>249</v>
      </c>
      <c r="FY74" s="213">
        <v>15.3</v>
      </c>
      <c r="FZ74" s="213">
        <v>-8</v>
      </c>
      <c r="GF74" s="213" t="s">
        <v>752</v>
      </c>
    </row>
    <row r="75" spans="1:188" s="213" customFormat="1" x14ac:dyDescent="0.15">
      <c r="A75" s="213" t="s">
        <v>654</v>
      </c>
      <c r="B75" s="213">
        <v>4</v>
      </c>
      <c r="C75" s="213" t="s">
        <v>1163</v>
      </c>
      <c r="D75" s="213">
        <v>614389210</v>
      </c>
      <c r="E75" s="213">
        <v>92303</v>
      </c>
      <c r="F75" s="213" t="s">
        <v>795</v>
      </c>
      <c r="G75" s="213">
        <v>839032</v>
      </c>
      <c r="H75" s="213">
        <v>736872</v>
      </c>
      <c r="I75" s="213">
        <v>6.8</v>
      </c>
      <c r="J75" s="213" t="s">
        <v>1164</v>
      </c>
      <c r="K75" s="213" t="s">
        <v>727</v>
      </c>
      <c r="L75" s="213" t="s">
        <v>797</v>
      </c>
      <c r="M75" s="213" t="s">
        <v>728</v>
      </c>
      <c r="N75" s="213" t="s">
        <v>728</v>
      </c>
      <c r="O75" s="213" t="s">
        <v>729</v>
      </c>
      <c r="P75" s="213" t="s">
        <v>249</v>
      </c>
      <c r="Q75" s="213">
        <v>24.7</v>
      </c>
      <c r="R75" s="213">
        <v>160</v>
      </c>
      <c r="S75" s="213" t="s">
        <v>249</v>
      </c>
      <c r="T75" s="213">
        <v>-9999</v>
      </c>
      <c r="U75" s="213">
        <v>181</v>
      </c>
      <c r="V75" s="213">
        <v>409</v>
      </c>
      <c r="W75" s="213">
        <v>175</v>
      </c>
      <c r="X75" s="213" t="s">
        <v>710</v>
      </c>
      <c r="Y75" s="213">
        <v>0</v>
      </c>
      <c r="Z75" s="213">
        <v>40</v>
      </c>
      <c r="AA75" s="213" t="s">
        <v>730</v>
      </c>
      <c r="AB75" s="213" t="s">
        <v>731</v>
      </c>
      <c r="AC75" s="213" t="s">
        <v>729</v>
      </c>
      <c r="AD75" s="213" t="s">
        <v>249</v>
      </c>
      <c r="AE75" s="213">
        <v>26.8</v>
      </c>
      <c r="AF75" s="213">
        <v>121</v>
      </c>
      <c r="AG75" s="213" t="s">
        <v>249</v>
      </c>
      <c r="AH75" s="213">
        <v>-9999</v>
      </c>
      <c r="AI75" s="213">
        <v>210</v>
      </c>
      <c r="AJ75" s="213">
        <v>495</v>
      </c>
      <c r="AK75" s="213">
        <v>207</v>
      </c>
      <c r="AL75" s="213" t="s">
        <v>710</v>
      </c>
      <c r="AM75" s="213">
        <v>0</v>
      </c>
      <c r="AN75" s="213">
        <v>40</v>
      </c>
      <c r="AO75" s="213" t="s">
        <v>733</v>
      </c>
      <c r="AP75" s="213" t="s">
        <v>734</v>
      </c>
      <c r="AQ75" s="213">
        <v>1</v>
      </c>
      <c r="AR75" s="213" t="s">
        <v>798</v>
      </c>
      <c r="AS75" s="213">
        <v>24.6</v>
      </c>
      <c r="AT75" s="213">
        <v>413</v>
      </c>
      <c r="AU75" s="213" t="s">
        <v>710</v>
      </c>
      <c r="AV75" s="213">
        <v>-9999</v>
      </c>
      <c r="AW75" s="213">
        <v>264</v>
      </c>
      <c r="AX75" s="213">
        <v>658</v>
      </c>
      <c r="AY75" s="213">
        <v>262</v>
      </c>
      <c r="AZ75" s="213" t="s">
        <v>710</v>
      </c>
      <c r="BA75" s="213">
        <v>0</v>
      </c>
      <c r="BB75" s="213">
        <v>40</v>
      </c>
      <c r="BC75" s="213" t="s">
        <v>736</v>
      </c>
      <c r="BD75" s="213" t="s">
        <v>734</v>
      </c>
      <c r="BE75" s="213">
        <v>2</v>
      </c>
      <c r="BF75" s="213" t="s">
        <v>798</v>
      </c>
      <c r="BG75" s="213">
        <v>25.4</v>
      </c>
      <c r="BH75" s="213">
        <v>184</v>
      </c>
      <c r="BI75" s="213" t="s">
        <v>710</v>
      </c>
      <c r="BJ75" s="213">
        <v>-9999</v>
      </c>
      <c r="BK75" s="213">
        <v>105</v>
      </c>
      <c r="BL75" s="213">
        <v>331</v>
      </c>
      <c r="BM75" s="213">
        <v>103</v>
      </c>
      <c r="BN75" s="213" t="s">
        <v>710</v>
      </c>
      <c r="BO75" s="213">
        <v>0</v>
      </c>
      <c r="BP75" s="213">
        <v>40</v>
      </c>
      <c r="BQ75" s="213" t="s">
        <v>737</v>
      </c>
      <c r="BR75" s="213" t="s">
        <v>734</v>
      </c>
      <c r="BS75" s="213">
        <v>3</v>
      </c>
      <c r="BT75" s="213" t="s">
        <v>799</v>
      </c>
      <c r="BU75" s="213">
        <v>0</v>
      </c>
      <c r="BV75" s="213">
        <v>29</v>
      </c>
      <c r="BW75" s="213" t="s">
        <v>249</v>
      </c>
      <c r="BX75" s="213">
        <v>-9999</v>
      </c>
      <c r="BY75" s="213">
        <v>180</v>
      </c>
      <c r="BZ75" s="213">
        <v>431</v>
      </c>
      <c r="CA75" s="213">
        <v>180</v>
      </c>
      <c r="CB75" s="213" t="s">
        <v>710</v>
      </c>
      <c r="CC75" s="213">
        <v>0</v>
      </c>
      <c r="CD75" s="213">
        <v>40</v>
      </c>
      <c r="CE75" s="213" t="s">
        <v>738</v>
      </c>
      <c r="CF75" s="213" t="s">
        <v>734</v>
      </c>
      <c r="CG75" s="213">
        <v>4</v>
      </c>
      <c r="CH75" s="213" t="s">
        <v>798</v>
      </c>
      <c r="CI75" s="213">
        <v>23.1</v>
      </c>
      <c r="CJ75" s="213">
        <v>408</v>
      </c>
      <c r="CK75" s="213" t="s">
        <v>710</v>
      </c>
      <c r="CL75" s="213">
        <v>-9999</v>
      </c>
      <c r="CM75" s="213">
        <v>139</v>
      </c>
      <c r="CN75" s="213">
        <v>372</v>
      </c>
      <c r="CO75" s="213">
        <v>136</v>
      </c>
      <c r="CP75" s="213" t="s">
        <v>710</v>
      </c>
      <c r="CQ75" s="213">
        <v>0</v>
      </c>
      <c r="CR75" s="213">
        <v>40</v>
      </c>
      <c r="CS75" s="213" t="s">
        <v>739</v>
      </c>
      <c r="CT75" s="213" t="s">
        <v>740</v>
      </c>
      <c r="CU75" s="213">
        <v>106</v>
      </c>
      <c r="CV75" s="213">
        <v>106</v>
      </c>
      <c r="CW75" s="213">
        <v>105</v>
      </c>
      <c r="CX75" s="213" t="s">
        <v>710</v>
      </c>
      <c r="CY75" s="213" t="s">
        <v>741</v>
      </c>
      <c r="CZ75" s="213" t="s">
        <v>740</v>
      </c>
      <c r="DA75" s="213">
        <v>110</v>
      </c>
      <c r="DB75" s="213">
        <v>110</v>
      </c>
      <c r="DC75" s="213">
        <v>110</v>
      </c>
      <c r="DD75" s="213" t="s">
        <v>710</v>
      </c>
      <c r="DE75" s="213" t="s">
        <v>742</v>
      </c>
      <c r="DF75" s="213" t="s">
        <v>743</v>
      </c>
      <c r="DG75" s="213">
        <v>0</v>
      </c>
      <c r="DH75" s="213">
        <v>0</v>
      </c>
      <c r="DI75" s="213">
        <v>0</v>
      </c>
      <c r="DJ75" s="213" t="s">
        <v>249</v>
      </c>
      <c r="DK75" s="213">
        <v>69.400000000000006</v>
      </c>
      <c r="DL75" s="213">
        <v>53.3</v>
      </c>
      <c r="DM75" s="213" t="s">
        <v>744</v>
      </c>
      <c r="DN75" s="213" t="s">
        <v>743</v>
      </c>
      <c r="DO75" s="213">
        <v>0</v>
      </c>
      <c r="DP75" s="213">
        <v>0</v>
      </c>
      <c r="DQ75" s="213">
        <v>0</v>
      </c>
      <c r="DR75" s="213" t="s">
        <v>249</v>
      </c>
      <c r="DU75" s="213" t="s">
        <v>745</v>
      </c>
      <c r="DV75" s="213" t="s">
        <v>743</v>
      </c>
      <c r="DW75" s="213">
        <v>0</v>
      </c>
      <c r="DX75" s="213">
        <v>0</v>
      </c>
      <c r="DY75" s="213">
        <v>0</v>
      </c>
      <c r="DZ75" s="213" t="s">
        <v>249</v>
      </c>
      <c r="EC75" s="213" t="s">
        <v>746</v>
      </c>
      <c r="ED75" s="213" t="s">
        <v>743</v>
      </c>
      <c r="EE75" s="213">
        <v>0</v>
      </c>
      <c r="EF75" s="213">
        <v>0</v>
      </c>
      <c r="EG75" s="213">
        <v>0</v>
      </c>
      <c r="EH75" s="213" t="s">
        <v>249</v>
      </c>
      <c r="EK75" s="213" t="s">
        <v>747</v>
      </c>
      <c r="EL75" s="213" t="s">
        <v>743</v>
      </c>
      <c r="EM75" s="213">
        <v>0</v>
      </c>
      <c r="EN75" s="213">
        <v>0</v>
      </c>
      <c r="EO75" s="213">
        <v>0</v>
      </c>
      <c r="EP75" s="213" t="s">
        <v>249</v>
      </c>
      <c r="ES75" s="213" t="s">
        <v>748</v>
      </c>
      <c r="ET75" s="213" t="s">
        <v>743</v>
      </c>
      <c r="EU75" s="213">
        <v>0</v>
      </c>
      <c r="EV75" s="213">
        <v>0</v>
      </c>
      <c r="EW75" s="213">
        <v>0</v>
      </c>
      <c r="EX75" s="213" t="s">
        <v>249</v>
      </c>
      <c r="EY75" s="213">
        <v>70</v>
      </c>
      <c r="EZ75" s="213">
        <v>49.1</v>
      </c>
      <c r="FA75" s="213" t="s">
        <v>749</v>
      </c>
      <c r="FB75" s="213" t="s">
        <v>743</v>
      </c>
      <c r="FC75" s="213">
        <v>0</v>
      </c>
      <c r="FD75" s="213">
        <v>0</v>
      </c>
      <c r="FE75" s="213">
        <v>0</v>
      </c>
      <c r="FF75" s="213" t="s">
        <v>249</v>
      </c>
      <c r="FI75" s="213" t="s">
        <v>750</v>
      </c>
      <c r="FJ75" s="213" t="s">
        <v>743</v>
      </c>
      <c r="FK75" s="213">
        <v>0</v>
      </c>
      <c r="FL75" s="213">
        <v>0</v>
      </c>
      <c r="FM75" s="213">
        <v>0</v>
      </c>
      <c r="FN75" s="213" t="s">
        <v>249</v>
      </c>
      <c r="FO75" s="213">
        <v>73.599999999999994</v>
      </c>
      <c r="FP75" s="213">
        <v>174.8</v>
      </c>
      <c r="FQ75" s="213" t="s">
        <v>751</v>
      </c>
      <c r="FR75" s="213" t="s">
        <v>743</v>
      </c>
      <c r="FS75" s="213">
        <v>0</v>
      </c>
      <c r="FT75" s="213">
        <v>0</v>
      </c>
      <c r="FU75" s="213">
        <v>0</v>
      </c>
      <c r="FV75" s="213" t="s">
        <v>249</v>
      </c>
      <c r="FY75" s="213">
        <v>20.9</v>
      </c>
      <c r="FZ75" s="213">
        <v>-10.6</v>
      </c>
      <c r="GF75" s="213" t="s">
        <v>752</v>
      </c>
    </row>
    <row r="76" spans="1:188" s="213" customFormat="1" x14ac:dyDescent="0.15">
      <c r="A76" s="213" t="s">
        <v>654</v>
      </c>
      <c r="B76" s="213">
        <v>4</v>
      </c>
      <c r="C76" s="213" t="s">
        <v>1165</v>
      </c>
      <c r="D76" s="213">
        <v>614389594</v>
      </c>
      <c r="E76" s="213">
        <v>92303</v>
      </c>
      <c r="F76" s="213" t="s">
        <v>795</v>
      </c>
      <c r="G76" s="213">
        <v>839032</v>
      </c>
      <c r="H76" s="213">
        <v>739871</v>
      </c>
      <c r="I76" s="213">
        <v>6.8</v>
      </c>
      <c r="J76" s="213" t="s">
        <v>1166</v>
      </c>
      <c r="K76" s="213" t="s">
        <v>727</v>
      </c>
      <c r="L76" s="213" t="s">
        <v>797</v>
      </c>
      <c r="M76" s="213" t="s">
        <v>728</v>
      </c>
      <c r="N76" s="213" t="s">
        <v>728</v>
      </c>
      <c r="O76" s="213" t="s">
        <v>729</v>
      </c>
      <c r="P76" s="213" t="s">
        <v>249</v>
      </c>
      <c r="Q76" s="213">
        <v>24.7</v>
      </c>
      <c r="R76" s="213">
        <v>159</v>
      </c>
      <c r="S76" s="213" t="s">
        <v>249</v>
      </c>
      <c r="T76" s="213">
        <v>-9999</v>
      </c>
      <c r="U76" s="213">
        <v>203</v>
      </c>
      <c r="V76" s="213">
        <v>450</v>
      </c>
      <c r="W76" s="213">
        <v>197</v>
      </c>
      <c r="X76" s="213" t="s">
        <v>710</v>
      </c>
      <c r="Y76" s="213">
        <v>0</v>
      </c>
      <c r="Z76" s="213">
        <v>40</v>
      </c>
      <c r="AA76" s="213" t="s">
        <v>730</v>
      </c>
      <c r="AB76" s="213" t="s">
        <v>731</v>
      </c>
      <c r="AC76" s="213" t="s">
        <v>729</v>
      </c>
      <c r="AD76" s="213" t="s">
        <v>249</v>
      </c>
      <c r="AE76" s="213">
        <v>25.4</v>
      </c>
      <c r="AF76" s="213">
        <v>129</v>
      </c>
      <c r="AG76" s="213" t="s">
        <v>249</v>
      </c>
      <c r="AH76" s="213">
        <v>-9999</v>
      </c>
      <c r="AI76" s="213">
        <v>198</v>
      </c>
      <c r="AJ76" s="213">
        <v>471</v>
      </c>
      <c r="AK76" s="213">
        <v>195</v>
      </c>
      <c r="AL76" s="213" t="s">
        <v>710</v>
      </c>
      <c r="AM76" s="213">
        <v>0</v>
      </c>
      <c r="AN76" s="213">
        <v>40</v>
      </c>
      <c r="AO76" s="213" t="s">
        <v>733</v>
      </c>
      <c r="AP76" s="213" t="s">
        <v>734</v>
      </c>
      <c r="AQ76" s="213">
        <v>1</v>
      </c>
      <c r="AR76" s="213" t="s">
        <v>798</v>
      </c>
      <c r="AS76" s="213">
        <v>23.2</v>
      </c>
      <c r="AT76" s="213">
        <v>442</v>
      </c>
      <c r="AU76" s="213" t="s">
        <v>710</v>
      </c>
      <c r="AV76" s="213">
        <v>-9999</v>
      </c>
      <c r="AW76" s="213">
        <v>273</v>
      </c>
      <c r="AX76" s="213">
        <v>675</v>
      </c>
      <c r="AY76" s="213">
        <v>271</v>
      </c>
      <c r="AZ76" s="213" t="s">
        <v>710</v>
      </c>
      <c r="BA76" s="213">
        <v>0</v>
      </c>
      <c r="BB76" s="213">
        <v>40</v>
      </c>
      <c r="BC76" s="213" t="s">
        <v>736</v>
      </c>
      <c r="BD76" s="213" t="s">
        <v>734</v>
      </c>
      <c r="BE76" s="213">
        <v>2</v>
      </c>
      <c r="BF76" s="213" t="s">
        <v>798</v>
      </c>
      <c r="BG76" s="213">
        <v>24.4</v>
      </c>
      <c r="BH76" s="213">
        <v>186</v>
      </c>
      <c r="BI76" s="213" t="s">
        <v>710</v>
      </c>
      <c r="BJ76" s="213">
        <v>-9999</v>
      </c>
      <c r="BK76" s="213">
        <v>112</v>
      </c>
      <c r="BL76" s="213">
        <v>342</v>
      </c>
      <c r="BM76" s="213">
        <v>110</v>
      </c>
      <c r="BN76" s="213" t="s">
        <v>710</v>
      </c>
      <c r="BO76" s="213">
        <v>0</v>
      </c>
      <c r="BP76" s="213">
        <v>40</v>
      </c>
      <c r="BQ76" s="213" t="s">
        <v>737</v>
      </c>
      <c r="BR76" s="213" t="s">
        <v>734</v>
      </c>
      <c r="BS76" s="213">
        <v>3</v>
      </c>
      <c r="BT76" s="213" t="s">
        <v>799</v>
      </c>
      <c r="BU76" s="213">
        <v>0</v>
      </c>
      <c r="BV76" s="213">
        <v>34</v>
      </c>
      <c r="BW76" s="213" t="s">
        <v>249</v>
      </c>
      <c r="BX76" s="213">
        <v>-9999</v>
      </c>
      <c r="BY76" s="213">
        <v>167</v>
      </c>
      <c r="BZ76" s="213">
        <v>406</v>
      </c>
      <c r="CA76" s="213">
        <v>166</v>
      </c>
      <c r="CB76" s="213" t="s">
        <v>710</v>
      </c>
      <c r="CC76" s="213">
        <v>0</v>
      </c>
      <c r="CD76" s="213">
        <v>40</v>
      </c>
      <c r="CE76" s="213" t="s">
        <v>738</v>
      </c>
      <c r="CF76" s="213" t="s">
        <v>734</v>
      </c>
      <c r="CG76" s="213">
        <v>4</v>
      </c>
      <c r="CH76" s="213" t="s">
        <v>798</v>
      </c>
      <c r="CI76" s="213">
        <v>22</v>
      </c>
      <c r="CJ76" s="213">
        <v>426</v>
      </c>
      <c r="CK76" s="213" t="s">
        <v>710</v>
      </c>
      <c r="CL76" s="213">
        <v>-9999</v>
      </c>
      <c r="CM76" s="213">
        <v>143</v>
      </c>
      <c r="CN76" s="213">
        <v>387</v>
      </c>
      <c r="CO76" s="213">
        <v>140</v>
      </c>
      <c r="CP76" s="213" t="s">
        <v>710</v>
      </c>
      <c r="CQ76" s="213">
        <v>0</v>
      </c>
      <c r="CR76" s="213">
        <v>40</v>
      </c>
      <c r="CS76" s="213" t="s">
        <v>739</v>
      </c>
      <c r="CT76" s="213" t="s">
        <v>740</v>
      </c>
      <c r="CU76" s="213">
        <v>115</v>
      </c>
      <c r="CV76" s="213">
        <v>115</v>
      </c>
      <c r="CW76" s="213">
        <v>114</v>
      </c>
      <c r="CX76" s="213" t="s">
        <v>710</v>
      </c>
      <c r="CY76" s="213" t="s">
        <v>741</v>
      </c>
      <c r="CZ76" s="213" t="s">
        <v>740</v>
      </c>
      <c r="DA76" s="213">
        <v>107</v>
      </c>
      <c r="DB76" s="213">
        <v>107</v>
      </c>
      <c r="DC76" s="213">
        <v>107</v>
      </c>
      <c r="DD76" s="213" t="s">
        <v>710</v>
      </c>
      <c r="DE76" s="213" t="s">
        <v>742</v>
      </c>
      <c r="DF76" s="213" t="s">
        <v>743</v>
      </c>
      <c r="DG76" s="213">
        <v>0</v>
      </c>
      <c r="DH76" s="213">
        <v>0</v>
      </c>
      <c r="DI76" s="213">
        <v>0</v>
      </c>
      <c r="DJ76" s="213" t="s">
        <v>249</v>
      </c>
      <c r="DK76" s="213">
        <v>69.400000000000006</v>
      </c>
      <c r="DL76" s="213">
        <v>53.6</v>
      </c>
      <c r="DM76" s="213" t="s">
        <v>744</v>
      </c>
      <c r="DN76" s="213" t="s">
        <v>743</v>
      </c>
      <c r="DO76" s="213">
        <v>0</v>
      </c>
      <c r="DP76" s="213">
        <v>0</v>
      </c>
      <c r="DQ76" s="213">
        <v>0</v>
      </c>
      <c r="DR76" s="213" t="s">
        <v>249</v>
      </c>
      <c r="DU76" s="213" t="s">
        <v>745</v>
      </c>
      <c r="DV76" s="213" t="s">
        <v>743</v>
      </c>
      <c r="DW76" s="213">
        <v>0</v>
      </c>
      <c r="DX76" s="213">
        <v>0</v>
      </c>
      <c r="DY76" s="213">
        <v>0</v>
      </c>
      <c r="DZ76" s="213" t="s">
        <v>249</v>
      </c>
      <c r="EC76" s="213" t="s">
        <v>746</v>
      </c>
      <c r="ED76" s="213" t="s">
        <v>743</v>
      </c>
      <c r="EE76" s="213">
        <v>0</v>
      </c>
      <c r="EF76" s="213">
        <v>0</v>
      </c>
      <c r="EG76" s="213">
        <v>0</v>
      </c>
      <c r="EH76" s="213" t="s">
        <v>249</v>
      </c>
      <c r="EK76" s="213" t="s">
        <v>747</v>
      </c>
      <c r="EL76" s="213" t="s">
        <v>743</v>
      </c>
      <c r="EM76" s="213">
        <v>0</v>
      </c>
      <c r="EN76" s="213">
        <v>0</v>
      </c>
      <c r="EO76" s="213">
        <v>0</v>
      </c>
      <c r="EP76" s="213" t="s">
        <v>249</v>
      </c>
      <c r="ES76" s="213" t="s">
        <v>748</v>
      </c>
      <c r="ET76" s="213" t="s">
        <v>743</v>
      </c>
      <c r="EU76" s="213">
        <v>0</v>
      </c>
      <c r="EV76" s="213">
        <v>0</v>
      </c>
      <c r="EW76" s="213">
        <v>0</v>
      </c>
      <c r="EX76" s="213" t="s">
        <v>249</v>
      </c>
      <c r="EY76" s="213">
        <v>70.099999999999994</v>
      </c>
      <c r="EZ76" s="213">
        <v>48.8</v>
      </c>
      <c r="FA76" s="213" t="s">
        <v>749</v>
      </c>
      <c r="FB76" s="213" t="s">
        <v>743</v>
      </c>
      <c r="FC76" s="213">
        <v>0</v>
      </c>
      <c r="FD76" s="213">
        <v>0</v>
      </c>
      <c r="FE76" s="213">
        <v>0</v>
      </c>
      <c r="FF76" s="213" t="s">
        <v>249</v>
      </c>
      <c r="FI76" s="213" t="s">
        <v>750</v>
      </c>
      <c r="FJ76" s="213" t="s">
        <v>743</v>
      </c>
      <c r="FK76" s="213">
        <v>0</v>
      </c>
      <c r="FL76" s="213">
        <v>0</v>
      </c>
      <c r="FM76" s="213">
        <v>0</v>
      </c>
      <c r="FN76" s="213" t="s">
        <v>249</v>
      </c>
      <c r="FO76" s="213">
        <v>73.599999999999994</v>
      </c>
      <c r="FP76" s="213">
        <v>174.6</v>
      </c>
      <c r="FQ76" s="213" t="s">
        <v>751</v>
      </c>
      <c r="FR76" s="213" t="s">
        <v>743</v>
      </c>
      <c r="FS76" s="213">
        <v>0</v>
      </c>
      <c r="FT76" s="213">
        <v>0</v>
      </c>
      <c r="FU76" s="213">
        <v>0</v>
      </c>
      <c r="FV76" s="213" t="s">
        <v>249</v>
      </c>
      <c r="FY76" s="213">
        <v>18.399999999999999</v>
      </c>
      <c r="FZ76" s="213">
        <v>-9.1999999999999993</v>
      </c>
      <c r="GF76" s="213" t="s">
        <v>752</v>
      </c>
    </row>
    <row r="77" spans="1:188" s="213" customFormat="1" x14ac:dyDescent="0.15">
      <c r="A77" s="213" t="s">
        <v>654</v>
      </c>
      <c r="B77" s="213">
        <v>4</v>
      </c>
      <c r="C77" s="213" t="s">
        <v>1167</v>
      </c>
      <c r="D77" s="213">
        <v>614388652</v>
      </c>
      <c r="E77" s="213">
        <v>92303</v>
      </c>
      <c r="F77" s="213" t="s">
        <v>795</v>
      </c>
      <c r="G77" s="213">
        <v>839032</v>
      </c>
      <c r="H77" s="213">
        <v>656159</v>
      </c>
      <c r="I77" s="213">
        <v>6.8</v>
      </c>
      <c r="J77" s="213" t="s">
        <v>1168</v>
      </c>
      <c r="K77" s="213" t="s">
        <v>727</v>
      </c>
      <c r="L77" s="213" t="s">
        <v>797</v>
      </c>
      <c r="M77" s="213" t="s">
        <v>728</v>
      </c>
      <c r="N77" s="213" t="s">
        <v>728</v>
      </c>
      <c r="O77" s="213" t="s">
        <v>729</v>
      </c>
      <c r="P77" s="213" t="s">
        <v>249</v>
      </c>
      <c r="Q77" s="213">
        <v>23.8</v>
      </c>
      <c r="R77" s="213">
        <v>165</v>
      </c>
      <c r="S77" s="213" t="s">
        <v>249</v>
      </c>
      <c r="T77" s="213">
        <v>-9999</v>
      </c>
      <c r="U77" s="213">
        <v>189</v>
      </c>
      <c r="V77" s="213">
        <v>409</v>
      </c>
      <c r="W77" s="213">
        <v>184</v>
      </c>
      <c r="X77" s="213" t="s">
        <v>710</v>
      </c>
      <c r="Y77" s="213">
        <v>0</v>
      </c>
      <c r="Z77" s="213">
        <v>40</v>
      </c>
      <c r="AA77" s="213" t="s">
        <v>730</v>
      </c>
      <c r="AB77" s="213" t="s">
        <v>731</v>
      </c>
      <c r="AC77" s="213" t="s">
        <v>729</v>
      </c>
      <c r="AD77" s="213" t="s">
        <v>249</v>
      </c>
      <c r="AE77" s="213">
        <v>26</v>
      </c>
      <c r="AF77" s="213">
        <v>126</v>
      </c>
      <c r="AG77" s="213" t="s">
        <v>249</v>
      </c>
      <c r="AH77" s="213">
        <v>-9999</v>
      </c>
      <c r="AI77" s="213">
        <v>218</v>
      </c>
      <c r="AJ77" s="213">
        <v>519</v>
      </c>
      <c r="AK77" s="213">
        <v>213</v>
      </c>
      <c r="AL77" s="213" t="s">
        <v>710</v>
      </c>
      <c r="AM77" s="213">
        <v>0</v>
      </c>
      <c r="AN77" s="213">
        <v>40</v>
      </c>
      <c r="AO77" s="213" t="s">
        <v>733</v>
      </c>
      <c r="AP77" s="213" t="s">
        <v>734</v>
      </c>
      <c r="AQ77" s="213">
        <v>1</v>
      </c>
      <c r="AR77" s="213" t="s">
        <v>798</v>
      </c>
      <c r="AS77" s="213">
        <v>23.2</v>
      </c>
      <c r="AT77" s="213">
        <v>455</v>
      </c>
      <c r="AU77" s="213" t="s">
        <v>710</v>
      </c>
      <c r="AV77" s="213">
        <v>-9999</v>
      </c>
      <c r="AW77" s="213">
        <v>275</v>
      </c>
      <c r="AX77" s="213">
        <v>689</v>
      </c>
      <c r="AY77" s="213">
        <v>272</v>
      </c>
      <c r="AZ77" s="213" t="s">
        <v>710</v>
      </c>
      <c r="BA77" s="213">
        <v>0</v>
      </c>
      <c r="BB77" s="213">
        <v>40</v>
      </c>
      <c r="BC77" s="213" t="s">
        <v>736</v>
      </c>
      <c r="BD77" s="213" t="s">
        <v>734</v>
      </c>
      <c r="BE77" s="213">
        <v>2</v>
      </c>
      <c r="BF77" s="213" t="s">
        <v>798</v>
      </c>
      <c r="BG77" s="213">
        <v>24.4</v>
      </c>
      <c r="BH77" s="213">
        <v>190</v>
      </c>
      <c r="BI77" s="213" t="s">
        <v>710</v>
      </c>
      <c r="BJ77" s="213">
        <v>-9999</v>
      </c>
      <c r="BK77" s="213">
        <v>117</v>
      </c>
      <c r="BL77" s="213">
        <v>353</v>
      </c>
      <c r="BM77" s="213">
        <v>114</v>
      </c>
      <c r="BN77" s="213" t="s">
        <v>710</v>
      </c>
      <c r="BO77" s="213">
        <v>0</v>
      </c>
      <c r="BP77" s="213">
        <v>40</v>
      </c>
      <c r="BQ77" s="213" t="s">
        <v>737</v>
      </c>
      <c r="BR77" s="213" t="s">
        <v>734</v>
      </c>
      <c r="BS77" s="213">
        <v>3</v>
      </c>
      <c r="BT77" s="213" t="s">
        <v>799</v>
      </c>
      <c r="BU77" s="213">
        <v>0</v>
      </c>
      <c r="BV77" s="213">
        <v>31</v>
      </c>
      <c r="BW77" s="213" t="s">
        <v>249</v>
      </c>
      <c r="BX77" s="213">
        <v>-9999</v>
      </c>
      <c r="BY77" s="213">
        <v>173</v>
      </c>
      <c r="BZ77" s="213">
        <v>413</v>
      </c>
      <c r="CA77" s="213">
        <v>172</v>
      </c>
      <c r="CB77" s="213" t="s">
        <v>710</v>
      </c>
      <c r="CC77" s="213">
        <v>0</v>
      </c>
      <c r="CD77" s="213">
        <v>40</v>
      </c>
      <c r="CE77" s="213" t="s">
        <v>738</v>
      </c>
      <c r="CF77" s="213" t="s">
        <v>734</v>
      </c>
      <c r="CG77" s="213">
        <v>4</v>
      </c>
      <c r="CH77" s="213" t="s">
        <v>798</v>
      </c>
      <c r="CI77" s="213">
        <v>22.2</v>
      </c>
      <c r="CJ77" s="213">
        <v>432</v>
      </c>
      <c r="CK77" s="213" t="s">
        <v>710</v>
      </c>
      <c r="CL77" s="213">
        <v>-9999</v>
      </c>
      <c r="CM77" s="213">
        <v>137</v>
      </c>
      <c r="CN77" s="213">
        <v>359</v>
      </c>
      <c r="CO77" s="213">
        <v>135</v>
      </c>
      <c r="CP77" s="213" t="s">
        <v>710</v>
      </c>
      <c r="CQ77" s="213">
        <v>0</v>
      </c>
      <c r="CR77" s="213">
        <v>40</v>
      </c>
      <c r="CS77" s="213" t="s">
        <v>739</v>
      </c>
      <c r="CT77" s="213" t="s">
        <v>740</v>
      </c>
      <c r="CU77" s="213">
        <v>111</v>
      </c>
      <c r="CV77" s="213">
        <v>110</v>
      </c>
      <c r="CW77" s="213">
        <v>110</v>
      </c>
      <c r="CX77" s="213" t="s">
        <v>710</v>
      </c>
      <c r="CY77" s="213" t="s">
        <v>741</v>
      </c>
      <c r="CZ77" s="213" t="s">
        <v>740</v>
      </c>
      <c r="DA77" s="213">
        <v>111</v>
      </c>
      <c r="DB77" s="213">
        <v>111</v>
      </c>
      <c r="DC77" s="213">
        <v>110</v>
      </c>
      <c r="DD77" s="213" t="s">
        <v>710</v>
      </c>
      <c r="DE77" s="213" t="s">
        <v>742</v>
      </c>
      <c r="DF77" s="213" t="s">
        <v>743</v>
      </c>
      <c r="DG77" s="213">
        <v>0</v>
      </c>
      <c r="DH77" s="213">
        <v>0</v>
      </c>
      <c r="DI77" s="213">
        <v>0</v>
      </c>
      <c r="DJ77" s="213" t="s">
        <v>249</v>
      </c>
      <c r="DK77" s="213">
        <v>69.400000000000006</v>
      </c>
      <c r="DL77" s="213">
        <v>50.9</v>
      </c>
      <c r="DM77" s="213" t="s">
        <v>744</v>
      </c>
      <c r="DN77" s="213" t="s">
        <v>743</v>
      </c>
      <c r="DO77" s="213">
        <v>0</v>
      </c>
      <c r="DP77" s="213">
        <v>0</v>
      </c>
      <c r="DQ77" s="213">
        <v>0</v>
      </c>
      <c r="DR77" s="213" t="s">
        <v>249</v>
      </c>
      <c r="DU77" s="213" t="s">
        <v>745</v>
      </c>
      <c r="DV77" s="213" t="s">
        <v>743</v>
      </c>
      <c r="DW77" s="213">
        <v>0</v>
      </c>
      <c r="DX77" s="213">
        <v>0</v>
      </c>
      <c r="DY77" s="213">
        <v>0</v>
      </c>
      <c r="DZ77" s="213" t="s">
        <v>249</v>
      </c>
      <c r="EC77" s="213" t="s">
        <v>746</v>
      </c>
      <c r="ED77" s="213" t="s">
        <v>743</v>
      </c>
      <c r="EE77" s="213">
        <v>0</v>
      </c>
      <c r="EF77" s="213">
        <v>0</v>
      </c>
      <c r="EG77" s="213">
        <v>0</v>
      </c>
      <c r="EH77" s="213" t="s">
        <v>249</v>
      </c>
      <c r="EK77" s="213" t="s">
        <v>747</v>
      </c>
      <c r="EL77" s="213" t="s">
        <v>743</v>
      </c>
      <c r="EM77" s="213">
        <v>0</v>
      </c>
      <c r="EN77" s="213">
        <v>0</v>
      </c>
      <c r="EO77" s="213">
        <v>0</v>
      </c>
      <c r="EP77" s="213" t="s">
        <v>249</v>
      </c>
      <c r="ES77" s="213" t="s">
        <v>748</v>
      </c>
      <c r="ET77" s="213" t="s">
        <v>743</v>
      </c>
      <c r="EU77" s="213">
        <v>0</v>
      </c>
      <c r="EV77" s="213">
        <v>0</v>
      </c>
      <c r="EW77" s="213">
        <v>0</v>
      </c>
      <c r="EX77" s="213" t="s">
        <v>249</v>
      </c>
      <c r="EY77" s="213">
        <v>70.099999999999994</v>
      </c>
      <c r="EZ77" s="213">
        <v>47.7</v>
      </c>
      <c r="FA77" s="213" t="s">
        <v>749</v>
      </c>
      <c r="FB77" s="213" t="s">
        <v>743</v>
      </c>
      <c r="FC77" s="213">
        <v>0</v>
      </c>
      <c r="FD77" s="213">
        <v>0</v>
      </c>
      <c r="FE77" s="213">
        <v>0</v>
      </c>
      <c r="FF77" s="213" t="s">
        <v>249</v>
      </c>
      <c r="FI77" s="213" t="s">
        <v>750</v>
      </c>
      <c r="FJ77" s="213" t="s">
        <v>743</v>
      </c>
      <c r="FK77" s="213">
        <v>0</v>
      </c>
      <c r="FL77" s="213">
        <v>0</v>
      </c>
      <c r="FM77" s="213">
        <v>0</v>
      </c>
      <c r="FN77" s="213" t="s">
        <v>249</v>
      </c>
      <c r="FO77" s="213">
        <v>73.599999999999994</v>
      </c>
      <c r="FP77" s="213">
        <v>158</v>
      </c>
      <c r="FQ77" s="213" t="s">
        <v>751</v>
      </c>
      <c r="FR77" s="213" t="s">
        <v>743</v>
      </c>
      <c r="FS77" s="213">
        <v>0</v>
      </c>
      <c r="FT77" s="213">
        <v>0</v>
      </c>
      <c r="FU77" s="213">
        <v>0</v>
      </c>
      <c r="FV77" s="213" t="s">
        <v>249</v>
      </c>
      <c r="FY77" s="213">
        <v>17.7</v>
      </c>
      <c r="FZ77" s="213">
        <v>-11.9</v>
      </c>
      <c r="GF77" s="213" t="s">
        <v>752</v>
      </c>
    </row>
    <row r="78" spans="1:188" s="283" customFormat="1" x14ac:dyDescent="0.15">
      <c r="A78" s="213" t="s">
        <v>654</v>
      </c>
      <c r="B78" s="213">
        <v>4</v>
      </c>
      <c r="C78" s="213" t="s">
        <v>1169</v>
      </c>
      <c r="D78" s="213">
        <v>614389737</v>
      </c>
      <c r="E78" s="213">
        <v>92303</v>
      </c>
      <c r="F78" s="213" t="s">
        <v>795</v>
      </c>
      <c r="G78" s="213">
        <v>839032</v>
      </c>
      <c r="H78" s="213">
        <v>210059038</v>
      </c>
      <c r="I78" s="213">
        <v>6.8</v>
      </c>
      <c r="J78" s="213" t="s">
        <v>1170</v>
      </c>
      <c r="K78" s="213" t="s">
        <v>727</v>
      </c>
      <c r="L78" s="213" t="s">
        <v>1209</v>
      </c>
      <c r="M78" s="213" t="s">
        <v>728</v>
      </c>
      <c r="N78" s="213" t="s">
        <v>728</v>
      </c>
      <c r="O78" s="213" t="s">
        <v>729</v>
      </c>
      <c r="P78" s="213" t="s">
        <v>249</v>
      </c>
      <c r="Q78" s="213">
        <v>24.2</v>
      </c>
      <c r="R78" s="213">
        <v>160</v>
      </c>
      <c r="S78" s="213" t="s">
        <v>249</v>
      </c>
      <c r="T78" s="213">
        <v>-9999</v>
      </c>
      <c r="U78" s="213">
        <v>145</v>
      </c>
      <c r="V78" s="213">
        <v>331</v>
      </c>
      <c r="W78" s="213">
        <v>141</v>
      </c>
      <c r="X78" s="213" t="s">
        <v>710</v>
      </c>
      <c r="Y78" s="213">
        <v>0</v>
      </c>
      <c r="Z78" s="213">
        <v>40</v>
      </c>
      <c r="AA78" s="213" t="s">
        <v>730</v>
      </c>
      <c r="AB78" s="213" t="s">
        <v>731</v>
      </c>
      <c r="AC78" s="213" t="s">
        <v>729</v>
      </c>
      <c r="AD78" s="213" t="s">
        <v>249</v>
      </c>
      <c r="AE78" s="213">
        <v>26</v>
      </c>
      <c r="AF78" s="213">
        <v>118</v>
      </c>
      <c r="AG78" s="213" t="s">
        <v>249</v>
      </c>
      <c r="AH78" s="213">
        <v>-9999</v>
      </c>
      <c r="AI78" s="213">
        <v>196</v>
      </c>
      <c r="AJ78" s="213">
        <v>464</v>
      </c>
      <c r="AK78" s="213">
        <v>193</v>
      </c>
      <c r="AL78" s="213" t="s">
        <v>710</v>
      </c>
      <c r="AM78" s="213">
        <v>0</v>
      </c>
      <c r="AN78" s="213">
        <v>40</v>
      </c>
      <c r="AO78" s="213" t="s">
        <v>733</v>
      </c>
      <c r="AP78" s="213" t="s">
        <v>734</v>
      </c>
      <c r="AQ78" s="213">
        <v>1</v>
      </c>
      <c r="AR78" s="213" t="s">
        <v>798</v>
      </c>
      <c r="AS78" s="213">
        <v>23.5</v>
      </c>
      <c r="AT78" s="213">
        <v>423</v>
      </c>
      <c r="AU78" s="213" t="s">
        <v>710</v>
      </c>
      <c r="AV78" s="213">
        <v>-9999</v>
      </c>
      <c r="AW78" s="213">
        <v>239</v>
      </c>
      <c r="AX78" s="213">
        <v>596</v>
      </c>
      <c r="AY78" s="213">
        <v>235</v>
      </c>
      <c r="AZ78" s="213" t="s">
        <v>710</v>
      </c>
      <c r="BA78" s="213">
        <v>0</v>
      </c>
      <c r="BB78" s="213">
        <v>40</v>
      </c>
      <c r="BC78" s="213" t="s">
        <v>736</v>
      </c>
      <c r="BD78" s="213" t="s">
        <v>734</v>
      </c>
      <c r="BE78" s="213">
        <v>2</v>
      </c>
      <c r="BF78" s="213" t="s">
        <v>798</v>
      </c>
      <c r="BG78" s="213">
        <v>24.2</v>
      </c>
      <c r="BH78" s="213">
        <v>192</v>
      </c>
      <c r="BI78" s="213" t="s">
        <v>710</v>
      </c>
      <c r="BJ78" s="213">
        <v>-9999</v>
      </c>
      <c r="BK78" s="213">
        <v>97</v>
      </c>
      <c r="BL78" s="213">
        <v>300</v>
      </c>
      <c r="BM78" s="213">
        <v>95</v>
      </c>
      <c r="BN78" s="213" t="s">
        <v>710</v>
      </c>
      <c r="BO78" s="213">
        <v>0</v>
      </c>
      <c r="BP78" s="213">
        <v>40</v>
      </c>
      <c r="BQ78" s="213" t="s">
        <v>737</v>
      </c>
      <c r="BR78" s="213" t="s">
        <v>734</v>
      </c>
      <c r="BS78" s="213">
        <v>3</v>
      </c>
      <c r="BT78" s="213" t="s">
        <v>799</v>
      </c>
      <c r="BU78" s="213">
        <v>0</v>
      </c>
      <c r="BV78" s="213">
        <v>35</v>
      </c>
      <c r="BW78" s="213" t="s">
        <v>249</v>
      </c>
      <c r="BX78" s="213">
        <v>-9999</v>
      </c>
      <c r="BY78" s="213">
        <v>175</v>
      </c>
      <c r="BZ78" s="213">
        <v>415</v>
      </c>
      <c r="CA78" s="213">
        <v>174</v>
      </c>
      <c r="CB78" s="213" t="s">
        <v>710</v>
      </c>
      <c r="CC78" s="213">
        <v>0</v>
      </c>
      <c r="CD78" s="213">
        <v>40</v>
      </c>
      <c r="CE78" s="213" t="s">
        <v>738</v>
      </c>
      <c r="CF78" s="213" t="s">
        <v>734</v>
      </c>
      <c r="CG78" s="213">
        <v>4</v>
      </c>
      <c r="CH78" s="213" t="s">
        <v>798</v>
      </c>
      <c r="CI78" s="213">
        <v>22.1</v>
      </c>
      <c r="CJ78" s="213">
        <v>416</v>
      </c>
      <c r="CK78" s="213" t="s">
        <v>710</v>
      </c>
      <c r="CL78" s="213">
        <v>-9999</v>
      </c>
      <c r="CM78" s="213">
        <v>140</v>
      </c>
      <c r="CN78" s="213">
        <v>363</v>
      </c>
      <c r="CO78" s="213">
        <v>136</v>
      </c>
      <c r="CP78" s="213" t="s">
        <v>710</v>
      </c>
      <c r="CQ78" s="213">
        <v>0</v>
      </c>
      <c r="CR78" s="213">
        <v>40</v>
      </c>
      <c r="CS78" s="213" t="s">
        <v>739</v>
      </c>
      <c r="CT78" s="213" t="s">
        <v>740</v>
      </c>
      <c r="CU78" s="213">
        <v>114</v>
      </c>
      <c r="CV78" s="213">
        <v>113</v>
      </c>
      <c r="CW78" s="213">
        <v>113</v>
      </c>
      <c r="CX78" s="213" t="s">
        <v>710</v>
      </c>
      <c r="CY78" s="213" t="s">
        <v>741</v>
      </c>
      <c r="CZ78" s="213" t="s">
        <v>740</v>
      </c>
      <c r="DA78" s="213">
        <v>109</v>
      </c>
      <c r="DB78" s="213">
        <v>109</v>
      </c>
      <c r="DC78" s="213">
        <v>109</v>
      </c>
      <c r="DD78" s="213" t="s">
        <v>710</v>
      </c>
      <c r="DE78" s="213" t="s">
        <v>742</v>
      </c>
      <c r="DF78" s="213" t="s">
        <v>743</v>
      </c>
      <c r="DG78" s="213">
        <v>0</v>
      </c>
      <c r="DH78" s="213">
        <v>0</v>
      </c>
      <c r="DI78" s="213">
        <v>0</v>
      </c>
      <c r="DJ78" s="213" t="s">
        <v>249</v>
      </c>
      <c r="DK78" s="213">
        <v>69.400000000000006</v>
      </c>
      <c r="DL78" s="213">
        <v>46</v>
      </c>
      <c r="DM78" s="213" t="s">
        <v>744</v>
      </c>
      <c r="DN78" s="213" t="s">
        <v>743</v>
      </c>
      <c r="DO78" s="213">
        <v>0</v>
      </c>
      <c r="DP78" s="213">
        <v>0</v>
      </c>
      <c r="DQ78" s="213">
        <v>0</v>
      </c>
      <c r="DR78" s="213" t="s">
        <v>249</v>
      </c>
      <c r="DS78" s="213"/>
      <c r="DT78" s="213"/>
      <c r="DU78" s="213" t="s">
        <v>745</v>
      </c>
      <c r="DV78" s="213" t="s">
        <v>743</v>
      </c>
      <c r="DW78" s="213">
        <v>0</v>
      </c>
      <c r="DX78" s="213">
        <v>0</v>
      </c>
      <c r="DY78" s="213">
        <v>0</v>
      </c>
      <c r="DZ78" s="213" t="s">
        <v>249</v>
      </c>
      <c r="EA78" s="213"/>
      <c r="EB78" s="213"/>
      <c r="EC78" s="213" t="s">
        <v>746</v>
      </c>
      <c r="ED78" s="213" t="s">
        <v>743</v>
      </c>
      <c r="EE78" s="213">
        <v>0</v>
      </c>
      <c r="EF78" s="213">
        <v>0</v>
      </c>
      <c r="EG78" s="213">
        <v>0</v>
      </c>
      <c r="EH78" s="213" t="s">
        <v>249</v>
      </c>
      <c r="EI78" s="213"/>
      <c r="EJ78" s="213"/>
      <c r="EK78" s="213" t="s">
        <v>747</v>
      </c>
      <c r="EL78" s="213" t="s">
        <v>743</v>
      </c>
      <c r="EM78" s="213">
        <v>0</v>
      </c>
      <c r="EN78" s="213">
        <v>0</v>
      </c>
      <c r="EO78" s="213">
        <v>0</v>
      </c>
      <c r="EP78" s="213" t="s">
        <v>249</v>
      </c>
      <c r="ES78" s="283" t="s">
        <v>748</v>
      </c>
      <c r="ET78" s="283" t="s">
        <v>743</v>
      </c>
      <c r="EU78" s="283">
        <v>0</v>
      </c>
      <c r="EV78" s="283">
        <v>0</v>
      </c>
      <c r="EW78" s="283">
        <v>0</v>
      </c>
      <c r="EX78" s="283" t="s">
        <v>249</v>
      </c>
      <c r="EY78" s="283">
        <v>70</v>
      </c>
      <c r="EZ78" s="283">
        <v>42.2</v>
      </c>
      <c r="FA78" s="283" t="s">
        <v>749</v>
      </c>
      <c r="FB78" s="283" t="s">
        <v>743</v>
      </c>
      <c r="FC78" s="283">
        <v>0</v>
      </c>
      <c r="FD78" s="283">
        <v>0</v>
      </c>
      <c r="FE78" s="283">
        <v>0</v>
      </c>
      <c r="FF78" s="283" t="s">
        <v>249</v>
      </c>
      <c r="FI78" s="283" t="s">
        <v>750</v>
      </c>
      <c r="FJ78" s="283" t="s">
        <v>743</v>
      </c>
      <c r="FK78" s="283">
        <v>0</v>
      </c>
      <c r="FL78" s="283">
        <v>0</v>
      </c>
      <c r="FM78" s="283">
        <v>0</v>
      </c>
      <c r="FN78" s="283" t="s">
        <v>249</v>
      </c>
      <c r="FO78" s="283">
        <v>73.5</v>
      </c>
      <c r="FP78" s="283">
        <v>159.9</v>
      </c>
      <c r="FQ78" s="283" t="s">
        <v>751</v>
      </c>
      <c r="FR78" s="283" t="s">
        <v>743</v>
      </c>
      <c r="FS78" s="283">
        <v>0</v>
      </c>
      <c r="FT78" s="283">
        <v>0</v>
      </c>
      <c r="FU78" s="283">
        <v>0</v>
      </c>
      <c r="FV78" s="283" t="s">
        <v>249</v>
      </c>
      <c r="FY78" s="283">
        <v>16.399999999999999</v>
      </c>
      <c r="FZ78" s="283">
        <v>-7.6</v>
      </c>
      <c r="GF78" s="283" t="s">
        <v>752</v>
      </c>
    </row>
    <row r="79" spans="1:188" s="213" customFormat="1" x14ac:dyDescent="0.15">
      <c r="A79" s="213" t="s">
        <v>654</v>
      </c>
      <c r="B79" s="213">
        <v>4</v>
      </c>
      <c r="C79" s="213" t="s">
        <v>1171</v>
      </c>
      <c r="D79" s="213">
        <v>614389057</v>
      </c>
      <c r="E79" s="213">
        <v>92303</v>
      </c>
      <c r="F79" s="213" t="s">
        <v>795</v>
      </c>
      <c r="G79" s="213">
        <v>839032</v>
      </c>
      <c r="H79" s="213">
        <v>210012379</v>
      </c>
      <c r="I79" s="213">
        <v>6.8</v>
      </c>
      <c r="J79" s="213" t="s">
        <v>1172</v>
      </c>
      <c r="K79" s="213" t="s">
        <v>727</v>
      </c>
      <c r="L79" s="213" t="s">
        <v>797</v>
      </c>
      <c r="M79" s="213" t="s">
        <v>728</v>
      </c>
      <c r="N79" s="213" t="s">
        <v>728</v>
      </c>
      <c r="O79" s="213" t="s">
        <v>729</v>
      </c>
      <c r="P79" s="213" t="s">
        <v>249</v>
      </c>
      <c r="Q79" s="213">
        <v>24.4</v>
      </c>
      <c r="R79" s="213">
        <v>143</v>
      </c>
      <c r="S79" s="213" t="s">
        <v>249</v>
      </c>
      <c r="T79" s="213">
        <v>-9999</v>
      </c>
      <c r="U79" s="213">
        <v>191</v>
      </c>
      <c r="V79" s="213">
        <v>418</v>
      </c>
      <c r="W79" s="213">
        <v>186</v>
      </c>
      <c r="X79" s="213" t="s">
        <v>710</v>
      </c>
      <c r="Y79" s="213">
        <v>0</v>
      </c>
      <c r="Z79" s="213">
        <v>40</v>
      </c>
      <c r="AA79" s="213" t="s">
        <v>730</v>
      </c>
      <c r="AB79" s="213" t="s">
        <v>731</v>
      </c>
      <c r="AC79" s="213" t="s">
        <v>729</v>
      </c>
      <c r="AD79" s="213" t="s">
        <v>249</v>
      </c>
      <c r="AE79" s="213">
        <v>25.9</v>
      </c>
      <c r="AF79" s="213">
        <v>123</v>
      </c>
      <c r="AG79" s="213" t="s">
        <v>249</v>
      </c>
      <c r="AH79" s="213">
        <v>-9999</v>
      </c>
      <c r="AI79" s="213">
        <v>200</v>
      </c>
      <c r="AJ79" s="213">
        <v>477</v>
      </c>
      <c r="AK79" s="213">
        <v>197</v>
      </c>
      <c r="AL79" s="213" t="s">
        <v>710</v>
      </c>
      <c r="AM79" s="213">
        <v>0</v>
      </c>
      <c r="AN79" s="213">
        <v>40</v>
      </c>
      <c r="AO79" s="213" t="s">
        <v>733</v>
      </c>
      <c r="AP79" s="213" t="s">
        <v>734</v>
      </c>
      <c r="AQ79" s="213">
        <v>1</v>
      </c>
      <c r="AR79" s="213" t="s">
        <v>798</v>
      </c>
      <c r="AS79" s="213">
        <v>23.6</v>
      </c>
      <c r="AT79" s="213">
        <v>409</v>
      </c>
      <c r="AU79" s="213" t="s">
        <v>710</v>
      </c>
      <c r="AV79" s="213">
        <v>-9999</v>
      </c>
      <c r="AW79" s="213">
        <v>235</v>
      </c>
      <c r="AX79" s="213">
        <v>578</v>
      </c>
      <c r="AY79" s="213">
        <v>232</v>
      </c>
      <c r="AZ79" s="213" t="s">
        <v>710</v>
      </c>
      <c r="BA79" s="213">
        <v>0</v>
      </c>
      <c r="BB79" s="213">
        <v>40</v>
      </c>
      <c r="BC79" s="213" t="s">
        <v>736</v>
      </c>
      <c r="BD79" s="213" t="s">
        <v>734</v>
      </c>
      <c r="BE79" s="213">
        <v>2</v>
      </c>
      <c r="BF79" s="213" t="s">
        <v>798</v>
      </c>
      <c r="BG79" s="213">
        <v>24.4</v>
      </c>
      <c r="BH79" s="213">
        <v>182</v>
      </c>
      <c r="BI79" s="213" t="s">
        <v>710</v>
      </c>
      <c r="BJ79" s="213">
        <v>-9999</v>
      </c>
      <c r="BK79" s="213">
        <v>108</v>
      </c>
      <c r="BL79" s="213">
        <v>326</v>
      </c>
      <c r="BM79" s="213">
        <v>106</v>
      </c>
      <c r="BN79" s="213" t="s">
        <v>710</v>
      </c>
      <c r="BO79" s="213">
        <v>0</v>
      </c>
      <c r="BP79" s="213">
        <v>40</v>
      </c>
      <c r="BQ79" s="213" t="s">
        <v>737</v>
      </c>
      <c r="BR79" s="213" t="s">
        <v>734</v>
      </c>
      <c r="BS79" s="213">
        <v>3</v>
      </c>
      <c r="BT79" s="213" t="s">
        <v>799</v>
      </c>
      <c r="BU79" s="213">
        <v>0</v>
      </c>
      <c r="BV79" s="213">
        <v>32</v>
      </c>
      <c r="BW79" s="213" t="s">
        <v>249</v>
      </c>
      <c r="BX79" s="213">
        <v>-9999</v>
      </c>
      <c r="BY79" s="213">
        <v>182</v>
      </c>
      <c r="BZ79" s="213">
        <v>430</v>
      </c>
      <c r="CA79" s="213">
        <v>181</v>
      </c>
      <c r="CB79" s="213" t="s">
        <v>710</v>
      </c>
      <c r="CC79" s="213">
        <v>0</v>
      </c>
      <c r="CD79" s="213">
        <v>40</v>
      </c>
      <c r="CE79" s="213" t="s">
        <v>738</v>
      </c>
      <c r="CF79" s="213" t="s">
        <v>734</v>
      </c>
      <c r="CG79" s="213">
        <v>4</v>
      </c>
      <c r="CH79" s="213" t="s">
        <v>798</v>
      </c>
      <c r="CI79" s="213">
        <v>22.2</v>
      </c>
      <c r="CJ79" s="213">
        <v>400</v>
      </c>
      <c r="CK79" s="213" t="s">
        <v>710</v>
      </c>
      <c r="CL79" s="213">
        <v>-9999</v>
      </c>
      <c r="CM79" s="213">
        <v>131</v>
      </c>
      <c r="CN79" s="213">
        <v>341</v>
      </c>
      <c r="CO79" s="213">
        <v>129</v>
      </c>
      <c r="CP79" s="213" t="s">
        <v>710</v>
      </c>
      <c r="CQ79" s="213">
        <v>0</v>
      </c>
      <c r="CR79" s="213">
        <v>40</v>
      </c>
      <c r="CS79" s="213" t="s">
        <v>739</v>
      </c>
      <c r="CT79" s="213" t="s">
        <v>740</v>
      </c>
      <c r="CU79" s="213">
        <v>105</v>
      </c>
      <c r="CV79" s="213">
        <v>104</v>
      </c>
      <c r="CW79" s="213">
        <v>104</v>
      </c>
      <c r="CX79" s="213" t="s">
        <v>710</v>
      </c>
      <c r="CY79" s="213" t="s">
        <v>741</v>
      </c>
      <c r="CZ79" s="213" t="s">
        <v>740</v>
      </c>
      <c r="DA79" s="213">
        <v>120</v>
      </c>
      <c r="DB79" s="213">
        <v>119</v>
      </c>
      <c r="DC79" s="213">
        <v>120</v>
      </c>
      <c r="DD79" s="213" t="s">
        <v>710</v>
      </c>
      <c r="DE79" s="213" t="s">
        <v>742</v>
      </c>
      <c r="DF79" s="213" t="s">
        <v>743</v>
      </c>
      <c r="DG79" s="213">
        <v>0</v>
      </c>
      <c r="DH79" s="213">
        <v>0</v>
      </c>
      <c r="DI79" s="213">
        <v>0</v>
      </c>
      <c r="DJ79" s="213" t="s">
        <v>249</v>
      </c>
      <c r="DK79" s="213">
        <v>69.3</v>
      </c>
      <c r="DL79" s="213">
        <v>51.5</v>
      </c>
      <c r="DM79" s="213" t="s">
        <v>744</v>
      </c>
      <c r="DN79" s="213" t="s">
        <v>743</v>
      </c>
      <c r="DO79" s="213">
        <v>0</v>
      </c>
      <c r="DP79" s="213">
        <v>0</v>
      </c>
      <c r="DQ79" s="213">
        <v>0</v>
      </c>
      <c r="DR79" s="213" t="s">
        <v>249</v>
      </c>
      <c r="DU79" s="213" t="s">
        <v>745</v>
      </c>
      <c r="DV79" s="213" t="s">
        <v>743</v>
      </c>
      <c r="DW79" s="213">
        <v>0</v>
      </c>
      <c r="DX79" s="213">
        <v>0</v>
      </c>
      <c r="DY79" s="213">
        <v>0</v>
      </c>
      <c r="DZ79" s="213" t="s">
        <v>249</v>
      </c>
      <c r="EC79" s="213" t="s">
        <v>746</v>
      </c>
      <c r="ED79" s="213" t="s">
        <v>743</v>
      </c>
      <c r="EE79" s="213">
        <v>0</v>
      </c>
      <c r="EF79" s="213">
        <v>0</v>
      </c>
      <c r="EG79" s="213">
        <v>0</v>
      </c>
      <c r="EH79" s="213" t="s">
        <v>249</v>
      </c>
      <c r="EK79" s="213" t="s">
        <v>747</v>
      </c>
      <c r="EL79" s="213" t="s">
        <v>743</v>
      </c>
      <c r="EM79" s="213">
        <v>0</v>
      </c>
      <c r="EN79" s="213">
        <v>0</v>
      </c>
      <c r="EO79" s="213">
        <v>0</v>
      </c>
      <c r="EP79" s="213" t="s">
        <v>249</v>
      </c>
      <c r="ES79" s="213" t="s">
        <v>748</v>
      </c>
      <c r="ET79" s="213" t="s">
        <v>743</v>
      </c>
      <c r="EU79" s="213">
        <v>0</v>
      </c>
      <c r="EV79" s="213">
        <v>0</v>
      </c>
      <c r="EW79" s="213">
        <v>0</v>
      </c>
      <c r="EX79" s="213" t="s">
        <v>249</v>
      </c>
      <c r="EY79" s="213">
        <v>70</v>
      </c>
      <c r="EZ79" s="213">
        <v>49.9</v>
      </c>
      <c r="FA79" s="213" t="s">
        <v>749</v>
      </c>
      <c r="FB79" s="213" t="s">
        <v>743</v>
      </c>
      <c r="FC79" s="213">
        <v>0</v>
      </c>
      <c r="FD79" s="213">
        <v>0</v>
      </c>
      <c r="FE79" s="213">
        <v>0</v>
      </c>
      <c r="FF79" s="213" t="s">
        <v>249</v>
      </c>
      <c r="FI79" s="213" t="s">
        <v>750</v>
      </c>
      <c r="FJ79" s="213" t="s">
        <v>743</v>
      </c>
      <c r="FK79" s="213">
        <v>0</v>
      </c>
      <c r="FL79" s="213">
        <v>0</v>
      </c>
      <c r="FM79" s="213">
        <v>0</v>
      </c>
      <c r="FN79" s="213" t="s">
        <v>249</v>
      </c>
      <c r="FO79" s="213">
        <v>73.5</v>
      </c>
      <c r="FP79" s="213">
        <v>155.19999999999999</v>
      </c>
      <c r="FQ79" s="213" t="s">
        <v>751</v>
      </c>
      <c r="FR79" s="213" t="s">
        <v>743</v>
      </c>
      <c r="FS79" s="213">
        <v>0</v>
      </c>
      <c r="FT79" s="213">
        <v>0</v>
      </c>
      <c r="FU79" s="213">
        <v>0</v>
      </c>
      <c r="FV79" s="213" t="s">
        <v>249</v>
      </c>
      <c r="FY79" s="213">
        <v>18.3</v>
      </c>
      <c r="FZ79" s="213">
        <v>-7.4</v>
      </c>
      <c r="GF79" s="213" t="s">
        <v>752</v>
      </c>
    </row>
    <row r="80" spans="1:188" s="213" customFormat="1" x14ac:dyDescent="0.15">
      <c r="A80" s="213" t="s">
        <v>654</v>
      </c>
      <c r="B80" s="213">
        <v>4</v>
      </c>
      <c r="C80" s="213" t="s">
        <v>1173</v>
      </c>
      <c r="D80" s="213">
        <v>614389329</v>
      </c>
      <c r="E80" s="213">
        <v>92303</v>
      </c>
      <c r="F80" s="213" t="s">
        <v>795</v>
      </c>
      <c r="G80" s="213">
        <v>839032</v>
      </c>
      <c r="H80" s="213">
        <v>210003146</v>
      </c>
      <c r="I80" s="213">
        <v>6.8</v>
      </c>
      <c r="J80" s="213" t="s">
        <v>1174</v>
      </c>
      <c r="K80" s="213" t="s">
        <v>727</v>
      </c>
      <c r="L80" s="213" t="s">
        <v>797</v>
      </c>
      <c r="M80" s="213" t="s">
        <v>728</v>
      </c>
      <c r="N80" s="213" t="s">
        <v>728</v>
      </c>
      <c r="O80" s="213" t="s">
        <v>729</v>
      </c>
      <c r="P80" s="213" t="s">
        <v>249</v>
      </c>
      <c r="Q80" s="213">
        <v>24.2</v>
      </c>
      <c r="R80" s="213">
        <v>151</v>
      </c>
      <c r="S80" s="213" t="s">
        <v>249</v>
      </c>
      <c r="T80" s="213">
        <v>-9999</v>
      </c>
      <c r="U80" s="213">
        <v>164</v>
      </c>
      <c r="V80" s="213">
        <v>352</v>
      </c>
      <c r="W80" s="213">
        <v>159</v>
      </c>
      <c r="X80" s="213" t="s">
        <v>710</v>
      </c>
      <c r="Y80" s="213">
        <v>0</v>
      </c>
      <c r="Z80" s="213">
        <v>40</v>
      </c>
      <c r="AA80" s="213" t="s">
        <v>730</v>
      </c>
      <c r="AB80" s="213" t="s">
        <v>731</v>
      </c>
      <c r="AC80" s="213" t="s">
        <v>729</v>
      </c>
      <c r="AD80" s="213" t="s">
        <v>249</v>
      </c>
      <c r="AE80" s="213">
        <v>25.4</v>
      </c>
      <c r="AF80" s="213">
        <v>120</v>
      </c>
      <c r="AG80" s="213" t="s">
        <v>249</v>
      </c>
      <c r="AH80" s="213">
        <v>-9999</v>
      </c>
      <c r="AI80" s="213">
        <v>163</v>
      </c>
      <c r="AJ80" s="213">
        <v>391</v>
      </c>
      <c r="AK80" s="213">
        <v>161</v>
      </c>
      <c r="AL80" s="213" t="s">
        <v>710</v>
      </c>
      <c r="AM80" s="213">
        <v>0</v>
      </c>
      <c r="AN80" s="213">
        <v>40</v>
      </c>
      <c r="AO80" s="213" t="s">
        <v>733</v>
      </c>
      <c r="AP80" s="213" t="s">
        <v>734</v>
      </c>
      <c r="AQ80" s="213">
        <v>1</v>
      </c>
      <c r="AR80" s="213" t="s">
        <v>798</v>
      </c>
      <c r="AS80" s="213">
        <v>23.4</v>
      </c>
      <c r="AT80" s="213">
        <v>410</v>
      </c>
      <c r="AU80" s="213" t="s">
        <v>710</v>
      </c>
      <c r="AV80" s="213">
        <v>-9999</v>
      </c>
      <c r="AW80" s="213">
        <v>238</v>
      </c>
      <c r="AX80" s="213">
        <v>586</v>
      </c>
      <c r="AY80" s="213">
        <v>238</v>
      </c>
      <c r="AZ80" s="213" t="s">
        <v>710</v>
      </c>
      <c r="BA80" s="213">
        <v>0</v>
      </c>
      <c r="BB80" s="213">
        <v>40</v>
      </c>
      <c r="BC80" s="213" t="s">
        <v>736</v>
      </c>
      <c r="BD80" s="213" t="s">
        <v>734</v>
      </c>
      <c r="BE80" s="213">
        <v>2</v>
      </c>
      <c r="BF80" s="213" t="s">
        <v>798</v>
      </c>
      <c r="BG80" s="213">
        <v>24</v>
      </c>
      <c r="BH80" s="213">
        <v>188</v>
      </c>
      <c r="BI80" s="213" t="s">
        <v>710</v>
      </c>
      <c r="BJ80" s="213">
        <v>-9999</v>
      </c>
      <c r="BK80" s="213">
        <v>93</v>
      </c>
      <c r="BL80" s="213">
        <v>294</v>
      </c>
      <c r="BM80" s="213">
        <v>91</v>
      </c>
      <c r="BN80" s="213" t="s">
        <v>710</v>
      </c>
      <c r="BO80" s="213">
        <v>0</v>
      </c>
      <c r="BP80" s="213">
        <v>40</v>
      </c>
      <c r="BQ80" s="213" t="s">
        <v>737</v>
      </c>
      <c r="BR80" s="213" t="s">
        <v>734</v>
      </c>
      <c r="BS80" s="213">
        <v>3</v>
      </c>
      <c r="BT80" s="213" t="s">
        <v>799</v>
      </c>
      <c r="BU80" s="213">
        <v>0</v>
      </c>
      <c r="BV80" s="213">
        <v>27</v>
      </c>
      <c r="BW80" s="213" t="s">
        <v>249</v>
      </c>
      <c r="BX80" s="213">
        <v>-9999</v>
      </c>
      <c r="BY80" s="213">
        <v>150</v>
      </c>
      <c r="BZ80" s="213">
        <v>357</v>
      </c>
      <c r="CA80" s="213">
        <v>150</v>
      </c>
      <c r="CB80" s="213" t="s">
        <v>710</v>
      </c>
      <c r="CC80" s="213">
        <v>0</v>
      </c>
      <c r="CD80" s="213">
        <v>40</v>
      </c>
      <c r="CE80" s="213" t="s">
        <v>738</v>
      </c>
      <c r="CF80" s="213" t="s">
        <v>734</v>
      </c>
      <c r="CG80" s="213">
        <v>4</v>
      </c>
      <c r="CH80" s="213" t="s">
        <v>798</v>
      </c>
      <c r="CI80" s="213">
        <v>21.6</v>
      </c>
      <c r="CJ80" s="213">
        <v>417</v>
      </c>
      <c r="CK80" s="213" t="s">
        <v>710</v>
      </c>
      <c r="CL80" s="213">
        <v>-9999</v>
      </c>
      <c r="CM80" s="213">
        <v>125</v>
      </c>
      <c r="CN80" s="213">
        <v>328</v>
      </c>
      <c r="CO80" s="213">
        <v>123</v>
      </c>
      <c r="CP80" s="213" t="s">
        <v>710</v>
      </c>
      <c r="CQ80" s="213">
        <v>0</v>
      </c>
      <c r="CR80" s="213">
        <v>40</v>
      </c>
      <c r="CS80" s="213" t="s">
        <v>739</v>
      </c>
      <c r="CT80" s="213" t="s">
        <v>740</v>
      </c>
      <c r="CU80" s="213">
        <v>95</v>
      </c>
      <c r="CV80" s="213">
        <v>95</v>
      </c>
      <c r="CW80" s="213">
        <v>95</v>
      </c>
      <c r="CX80" s="213" t="s">
        <v>710</v>
      </c>
      <c r="CY80" s="213" t="s">
        <v>741</v>
      </c>
      <c r="CZ80" s="213" t="s">
        <v>740</v>
      </c>
      <c r="DA80" s="213">
        <v>89</v>
      </c>
      <c r="DB80" s="213">
        <v>89</v>
      </c>
      <c r="DC80" s="213">
        <v>89</v>
      </c>
      <c r="DD80" s="213" t="s">
        <v>710</v>
      </c>
      <c r="DE80" s="213" t="s">
        <v>742</v>
      </c>
      <c r="DF80" s="213" t="s">
        <v>743</v>
      </c>
      <c r="DG80" s="213">
        <v>0</v>
      </c>
      <c r="DH80" s="213">
        <v>0</v>
      </c>
      <c r="DI80" s="213">
        <v>0</v>
      </c>
      <c r="DJ80" s="213" t="s">
        <v>249</v>
      </c>
      <c r="DK80" s="213">
        <v>69.2</v>
      </c>
      <c r="DL80" s="213">
        <v>59.9</v>
      </c>
      <c r="DM80" s="213" t="s">
        <v>744</v>
      </c>
      <c r="DN80" s="213" t="s">
        <v>743</v>
      </c>
      <c r="DO80" s="213">
        <v>0</v>
      </c>
      <c r="DP80" s="213">
        <v>0</v>
      </c>
      <c r="DQ80" s="213">
        <v>0</v>
      </c>
      <c r="DR80" s="213" t="s">
        <v>249</v>
      </c>
      <c r="DU80" s="213" t="s">
        <v>745</v>
      </c>
      <c r="DV80" s="213" t="s">
        <v>743</v>
      </c>
      <c r="DW80" s="213">
        <v>0</v>
      </c>
      <c r="DX80" s="213">
        <v>0</v>
      </c>
      <c r="DY80" s="213">
        <v>0</v>
      </c>
      <c r="DZ80" s="213" t="s">
        <v>249</v>
      </c>
      <c r="EC80" s="213" t="s">
        <v>746</v>
      </c>
      <c r="ED80" s="213" t="s">
        <v>743</v>
      </c>
      <c r="EE80" s="213">
        <v>0</v>
      </c>
      <c r="EF80" s="213">
        <v>0</v>
      </c>
      <c r="EG80" s="213">
        <v>0</v>
      </c>
      <c r="EH80" s="213" t="s">
        <v>249</v>
      </c>
      <c r="EK80" s="213" t="s">
        <v>747</v>
      </c>
      <c r="EL80" s="213" t="s">
        <v>743</v>
      </c>
      <c r="EM80" s="213">
        <v>0</v>
      </c>
      <c r="EN80" s="213">
        <v>0</v>
      </c>
      <c r="EO80" s="213">
        <v>0</v>
      </c>
      <c r="EP80" s="213" t="s">
        <v>249</v>
      </c>
      <c r="ES80" s="213" t="s">
        <v>748</v>
      </c>
      <c r="ET80" s="213" t="s">
        <v>743</v>
      </c>
      <c r="EU80" s="213">
        <v>0</v>
      </c>
      <c r="EV80" s="213">
        <v>0</v>
      </c>
      <c r="EW80" s="213">
        <v>0</v>
      </c>
      <c r="EX80" s="213" t="s">
        <v>249</v>
      </c>
      <c r="EY80" s="213">
        <v>69.8</v>
      </c>
      <c r="EZ80" s="213">
        <v>52.9</v>
      </c>
      <c r="FA80" s="213" t="s">
        <v>749</v>
      </c>
      <c r="FB80" s="213" t="s">
        <v>743</v>
      </c>
      <c r="FC80" s="213">
        <v>0</v>
      </c>
      <c r="FD80" s="213">
        <v>0</v>
      </c>
      <c r="FE80" s="213">
        <v>0</v>
      </c>
      <c r="FF80" s="213" t="s">
        <v>249</v>
      </c>
      <c r="FI80" s="213" t="s">
        <v>750</v>
      </c>
      <c r="FJ80" s="213" t="s">
        <v>743</v>
      </c>
      <c r="FK80" s="213">
        <v>0</v>
      </c>
      <c r="FL80" s="213">
        <v>0</v>
      </c>
      <c r="FM80" s="213">
        <v>0</v>
      </c>
      <c r="FN80" s="213" t="s">
        <v>249</v>
      </c>
      <c r="FO80" s="213">
        <v>73.3</v>
      </c>
      <c r="FP80" s="213">
        <v>149</v>
      </c>
      <c r="FQ80" s="213" t="s">
        <v>751</v>
      </c>
      <c r="FR80" s="213" t="s">
        <v>743</v>
      </c>
      <c r="FS80" s="213">
        <v>0</v>
      </c>
      <c r="FT80" s="213">
        <v>0</v>
      </c>
      <c r="FU80" s="213">
        <v>0</v>
      </c>
      <c r="FV80" s="213" t="s">
        <v>249</v>
      </c>
      <c r="FY80" s="213">
        <v>20.5</v>
      </c>
      <c r="FZ80" s="213">
        <v>-8.4</v>
      </c>
      <c r="GF80" s="213" t="s">
        <v>752</v>
      </c>
    </row>
    <row r="81" spans="1:188" s="213" customFormat="1" x14ac:dyDescent="0.15">
      <c r="A81" s="213" t="s">
        <v>654</v>
      </c>
      <c r="B81" s="213">
        <v>4</v>
      </c>
      <c r="C81" s="213" t="s">
        <v>1175</v>
      </c>
      <c r="D81" s="213">
        <v>614388817</v>
      </c>
      <c r="E81" s="213">
        <v>92303</v>
      </c>
      <c r="F81" s="213" t="s">
        <v>795</v>
      </c>
      <c r="G81" s="213">
        <v>839032</v>
      </c>
      <c r="H81" s="213">
        <v>694834</v>
      </c>
      <c r="I81" s="213">
        <v>6.8</v>
      </c>
      <c r="J81" s="213" t="s">
        <v>1176</v>
      </c>
      <c r="K81" s="213" t="s">
        <v>727</v>
      </c>
      <c r="L81" s="213" t="s">
        <v>797</v>
      </c>
      <c r="M81" s="213" t="s">
        <v>728</v>
      </c>
      <c r="N81" s="213" t="s">
        <v>728</v>
      </c>
      <c r="O81" s="213" t="s">
        <v>729</v>
      </c>
      <c r="P81" s="213" t="s">
        <v>249</v>
      </c>
      <c r="Q81" s="213">
        <v>24.5</v>
      </c>
      <c r="R81" s="213">
        <v>142</v>
      </c>
      <c r="S81" s="213" t="s">
        <v>249</v>
      </c>
      <c r="T81" s="213">
        <v>-9999</v>
      </c>
      <c r="U81" s="213">
        <v>206</v>
      </c>
      <c r="V81" s="213">
        <v>439</v>
      </c>
      <c r="W81" s="213">
        <v>199</v>
      </c>
      <c r="X81" s="213" t="s">
        <v>710</v>
      </c>
      <c r="Y81" s="213">
        <v>0</v>
      </c>
      <c r="Z81" s="213">
        <v>40</v>
      </c>
      <c r="AA81" s="213" t="s">
        <v>730</v>
      </c>
      <c r="AB81" s="213" t="s">
        <v>731</v>
      </c>
      <c r="AC81" s="213" t="s">
        <v>729</v>
      </c>
      <c r="AD81" s="213" t="s">
        <v>249</v>
      </c>
      <c r="AE81" s="213">
        <v>25.5</v>
      </c>
      <c r="AF81" s="213">
        <v>111</v>
      </c>
      <c r="AG81" s="213" t="s">
        <v>249</v>
      </c>
      <c r="AH81" s="213">
        <v>-9999</v>
      </c>
      <c r="AI81" s="213">
        <v>197</v>
      </c>
      <c r="AJ81" s="213">
        <v>468</v>
      </c>
      <c r="AK81" s="213">
        <v>193</v>
      </c>
      <c r="AL81" s="213" t="s">
        <v>710</v>
      </c>
      <c r="AM81" s="213">
        <v>0</v>
      </c>
      <c r="AN81" s="213">
        <v>40</v>
      </c>
      <c r="AO81" s="213" t="s">
        <v>733</v>
      </c>
      <c r="AP81" s="213" t="s">
        <v>734</v>
      </c>
      <c r="AQ81" s="213">
        <v>1</v>
      </c>
      <c r="AR81" s="213" t="s">
        <v>798</v>
      </c>
      <c r="AS81" s="213">
        <v>23.2</v>
      </c>
      <c r="AT81" s="213">
        <v>396</v>
      </c>
      <c r="AU81" s="213" t="s">
        <v>710</v>
      </c>
      <c r="AV81" s="213">
        <v>-9999</v>
      </c>
      <c r="AW81" s="213">
        <v>262</v>
      </c>
      <c r="AX81" s="213">
        <v>641</v>
      </c>
      <c r="AY81" s="213">
        <v>259</v>
      </c>
      <c r="AZ81" s="213" t="s">
        <v>710</v>
      </c>
      <c r="BA81" s="213">
        <v>0</v>
      </c>
      <c r="BB81" s="213">
        <v>40</v>
      </c>
      <c r="BC81" s="213" t="s">
        <v>736</v>
      </c>
      <c r="BD81" s="213" t="s">
        <v>734</v>
      </c>
      <c r="BE81" s="213">
        <v>2</v>
      </c>
      <c r="BF81" s="213" t="s">
        <v>798</v>
      </c>
      <c r="BG81" s="213">
        <v>23.9</v>
      </c>
      <c r="BH81" s="213">
        <v>184</v>
      </c>
      <c r="BI81" s="213" t="s">
        <v>710</v>
      </c>
      <c r="BJ81" s="213">
        <v>-9999</v>
      </c>
      <c r="BK81" s="213">
        <v>118</v>
      </c>
      <c r="BL81" s="213">
        <v>366</v>
      </c>
      <c r="BM81" s="213">
        <v>116</v>
      </c>
      <c r="BN81" s="213" t="s">
        <v>710</v>
      </c>
      <c r="BO81" s="213">
        <v>0</v>
      </c>
      <c r="BP81" s="213">
        <v>40</v>
      </c>
      <c r="BQ81" s="213" t="s">
        <v>737</v>
      </c>
      <c r="BR81" s="213" t="s">
        <v>734</v>
      </c>
      <c r="BS81" s="213">
        <v>3</v>
      </c>
      <c r="BT81" s="213" t="s">
        <v>799</v>
      </c>
      <c r="BU81" s="213">
        <v>0</v>
      </c>
      <c r="BV81" s="213">
        <v>30</v>
      </c>
      <c r="BW81" s="213" t="s">
        <v>249</v>
      </c>
      <c r="BX81" s="213">
        <v>-9999</v>
      </c>
      <c r="BY81" s="213">
        <v>169</v>
      </c>
      <c r="BZ81" s="213">
        <v>399</v>
      </c>
      <c r="CA81" s="213">
        <v>168</v>
      </c>
      <c r="CB81" s="213" t="s">
        <v>710</v>
      </c>
      <c r="CC81" s="213">
        <v>0</v>
      </c>
      <c r="CD81" s="213">
        <v>40</v>
      </c>
      <c r="CE81" s="213" t="s">
        <v>738</v>
      </c>
      <c r="CF81" s="213" t="s">
        <v>734</v>
      </c>
      <c r="CG81" s="213">
        <v>4</v>
      </c>
      <c r="CH81" s="213" t="s">
        <v>798</v>
      </c>
      <c r="CI81" s="213">
        <v>21.5</v>
      </c>
      <c r="CJ81" s="213">
        <v>414</v>
      </c>
      <c r="CK81" s="213" t="s">
        <v>710</v>
      </c>
      <c r="CL81" s="213">
        <v>-9999</v>
      </c>
      <c r="CM81" s="213">
        <v>160</v>
      </c>
      <c r="CN81" s="213">
        <v>424</v>
      </c>
      <c r="CO81" s="213">
        <v>157</v>
      </c>
      <c r="CP81" s="213" t="s">
        <v>710</v>
      </c>
      <c r="CQ81" s="213">
        <v>0</v>
      </c>
      <c r="CR81" s="213">
        <v>40</v>
      </c>
      <c r="CS81" s="213" t="s">
        <v>739</v>
      </c>
      <c r="CT81" s="213" t="s">
        <v>740</v>
      </c>
      <c r="CU81" s="213">
        <v>123</v>
      </c>
      <c r="CV81" s="213">
        <v>123</v>
      </c>
      <c r="CW81" s="213">
        <v>122</v>
      </c>
      <c r="CX81" s="213" t="s">
        <v>710</v>
      </c>
      <c r="CY81" s="213" t="s">
        <v>741</v>
      </c>
      <c r="CZ81" s="213" t="s">
        <v>740</v>
      </c>
      <c r="DA81" s="213">
        <v>110</v>
      </c>
      <c r="DB81" s="213">
        <v>110</v>
      </c>
      <c r="DC81" s="213">
        <v>110</v>
      </c>
      <c r="DD81" s="213" t="s">
        <v>710</v>
      </c>
      <c r="DE81" s="213" t="s">
        <v>742</v>
      </c>
      <c r="DF81" s="213" t="s">
        <v>743</v>
      </c>
      <c r="DG81" s="213">
        <v>0</v>
      </c>
      <c r="DH81" s="213">
        <v>0</v>
      </c>
      <c r="DI81" s="213">
        <v>0</v>
      </c>
      <c r="DJ81" s="213" t="s">
        <v>249</v>
      </c>
      <c r="DK81" s="213">
        <v>69.3</v>
      </c>
      <c r="DL81" s="213">
        <v>53.3</v>
      </c>
      <c r="DM81" s="213" t="s">
        <v>744</v>
      </c>
      <c r="DN81" s="213" t="s">
        <v>743</v>
      </c>
      <c r="DO81" s="213">
        <v>0</v>
      </c>
      <c r="DP81" s="213">
        <v>0</v>
      </c>
      <c r="DQ81" s="213">
        <v>0</v>
      </c>
      <c r="DR81" s="213" t="s">
        <v>249</v>
      </c>
      <c r="DU81" s="213" t="s">
        <v>745</v>
      </c>
      <c r="DV81" s="213" t="s">
        <v>743</v>
      </c>
      <c r="DW81" s="213">
        <v>0</v>
      </c>
      <c r="DX81" s="213">
        <v>0</v>
      </c>
      <c r="DY81" s="213">
        <v>0</v>
      </c>
      <c r="DZ81" s="213" t="s">
        <v>249</v>
      </c>
      <c r="EC81" s="213" t="s">
        <v>746</v>
      </c>
      <c r="ED81" s="213" t="s">
        <v>743</v>
      </c>
      <c r="EE81" s="213">
        <v>0</v>
      </c>
      <c r="EF81" s="213">
        <v>0</v>
      </c>
      <c r="EG81" s="213">
        <v>0</v>
      </c>
      <c r="EH81" s="213" t="s">
        <v>249</v>
      </c>
      <c r="EK81" s="213" t="s">
        <v>747</v>
      </c>
      <c r="EL81" s="213" t="s">
        <v>743</v>
      </c>
      <c r="EM81" s="213">
        <v>0</v>
      </c>
      <c r="EN81" s="213">
        <v>0</v>
      </c>
      <c r="EO81" s="213">
        <v>0</v>
      </c>
      <c r="EP81" s="213" t="s">
        <v>249</v>
      </c>
      <c r="ES81" s="213" t="s">
        <v>748</v>
      </c>
      <c r="ET81" s="213" t="s">
        <v>743</v>
      </c>
      <c r="EU81" s="213">
        <v>0</v>
      </c>
      <c r="EV81" s="213">
        <v>0</v>
      </c>
      <c r="EW81" s="213">
        <v>0</v>
      </c>
      <c r="EX81" s="213" t="s">
        <v>249</v>
      </c>
      <c r="EY81" s="213">
        <v>69.900000000000006</v>
      </c>
      <c r="EZ81" s="213">
        <v>51.5</v>
      </c>
      <c r="FA81" s="213" t="s">
        <v>749</v>
      </c>
      <c r="FB81" s="213" t="s">
        <v>743</v>
      </c>
      <c r="FC81" s="213">
        <v>0</v>
      </c>
      <c r="FD81" s="213">
        <v>0</v>
      </c>
      <c r="FE81" s="213">
        <v>0</v>
      </c>
      <c r="FF81" s="213" t="s">
        <v>249</v>
      </c>
      <c r="FI81" s="213" t="s">
        <v>750</v>
      </c>
      <c r="FJ81" s="213" t="s">
        <v>743</v>
      </c>
      <c r="FK81" s="213">
        <v>0</v>
      </c>
      <c r="FL81" s="213">
        <v>0</v>
      </c>
      <c r="FM81" s="213">
        <v>0</v>
      </c>
      <c r="FN81" s="213" t="s">
        <v>249</v>
      </c>
      <c r="FO81" s="213">
        <v>73.5</v>
      </c>
      <c r="FP81" s="213">
        <v>166.4</v>
      </c>
      <c r="FQ81" s="213" t="s">
        <v>751</v>
      </c>
      <c r="FR81" s="213" t="s">
        <v>743</v>
      </c>
      <c r="FS81" s="213">
        <v>0</v>
      </c>
      <c r="FT81" s="213">
        <v>0</v>
      </c>
      <c r="FU81" s="213">
        <v>0</v>
      </c>
      <c r="FV81" s="213" t="s">
        <v>249</v>
      </c>
      <c r="FY81" s="213">
        <v>17.8</v>
      </c>
      <c r="FZ81" s="213">
        <v>-9.4</v>
      </c>
      <c r="GF81" s="213" t="s">
        <v>752</v>
      </c>
    </row>
    <row r="82" spans="1:188" ht="16" x14ac:dyDescent="0.15">
      <c r="A82" s="59" t="s">
        <v>605</v>
      </c>
      <c r="C82" s="86" t="s">
        <v>315</v>
      </c>
      <c r="D82" s="86"/>
      <c r="J82" s="161"/>
    </row>
    <row r="83" spans="1:188" x14ac:dyDescent="0.15">
      <c r="A83" s="59" t="s">
        <v>569</v>
      </c>
      <c r="B83" s="59" t="s">
        <v>570</v>
      </c>
      <c r="C83" s="59" t="s">
        <v>571</v>
      </c>
      <c r="D83" s="59" t="s">
        <v>572</v>
      </c>
      <c r="E83" s="59" t="s">
        <v>573</v>
      </c>
      <c r="F83" s="59" t="s">
        <v>574</v>
      </c>
      <c r="G83" s="59" t="s">
        <v>575</v>
      </c>
      <c r="H83" s="59" t="s">
        <v>576</v>
      </c>
      <c r="I83" s="59" t="s">
        <v>577</v>
      </c>
      <c r="J83" s="59" t="s">
        <v>578</v>
      </c>
      <c r="K83" s="59" t="s">
        <v>579</v>
      </c>
      <c r="L83" s="59" t="s">
        <v>580</v>
      </c>
      <c r="M83" s="59" t="s">
        <v>581</v>
      </c>
      <c r="N83" s="59" t="s">
        <v>582</v>
      </c>
      <c r="O83" s="59" t="s">
        <v>583</v>
      </c>
      <c r="P83" s="59" t="s">
        <v>584</v>
      </c>
      <c r="Q83" s="59" t="s">
        <v>585</v>
      </c>
      <c r="R83" s="59" t="s">
        <v>586</v>
      </c>
      <c r="S83" s="59" t="s">
        <v>587</v>
      </c>
      <c r="T83" s="59" t="s">
        <v>588</v>
      </c>
      <c r="U83" s="59" t="s">
        <v>589</v>
      </c>
      <c r="V83" s="59" t="s">
        <v>590</v>
      </c>
      <c r="W83" s="59" t="s">
        <v>591</v>
      </c>
      <c r="X83" s="59" t="s">
        <v>592</v>
      </c>
      <c r="Y83" s="59" t="s">
        <v>593</v>
      </c>
      <c r="Z83" s="59" t="s">
        <v>594</v>
      </c>
      <c r="AA83" s="59" t="s">
        <v>581</v>
      </c>
      <c r="AB83" s="59" t="s">
        <v>582</v>
      </c>
      <c r="AC83" s="59" t="s">
        <v>583</v>
      </c>
      <c r="AD83" s="59" t="s">
        <v>584</v>
      </c>
      <c r="AE83" s="59" t="s">
        <v>585</v>
      </c>
      <c r="AF83" s="59" t="s">
        <v>586</v>
      </c>
      <c r="AG83" s="59" t="s">
        <v>587</v>
      </c>
      <c r="AH83" s="59" t="s">
        <v>588</v>
      </c>
      <c r="AI83" s="59" t="s">
        <v>589</v>
      </c>
      <c r="AJ83" s="59" t="s">
        <v>590</v>
      </c>
      <c r="AK83" s="59" t="s">
        <v>591</v>
      </c>
      <c r="AL83" s="59" t="s">
        <v>592</v>
      </c>
      <c r="AM83" s="59" t="s">
        <v>593</v>
      </c>
      <c r="AN83" s="59" t="s">
        <v>594</v>
      </c>
      <c r="AO83" s="59" t="s">
        <v>581</v>
      </c>
      <c r="AP83" s="59" t="s">
        <v>582</v>
      </c>
      <c r="AQ83" s="59" t="s">
        <v>583</v>
      </c>
      <c r="AR83" s="59" t="s">
        <v>584</v>
      </c>
      <c r="AS83" s="59" t="s">
        <v>585</v>
      </c>
      <c r="AT83" s="59" t="s">
        <v>586</v>
      </c>
      <c r="AU83" s="59" t="s">
        <v>587</v>
      </c>
      <c r="AV83" s="59" t="s">
        <v>588</v>
      </c>
      <c r="AW83" s="59" t="s">
        <v>589</v>
      </c>
      <c r="AX83" s="59" t="s">
        <v>590</v>
      </c>
      <c r="AY83" s="59" t="s">
        <v>591</v>
      </c>
      <c r="AZ83" s="59" t="s">
        <v>592</v>
      </c>
      <c r="BA83" s="59" t="s">
        <v>593</v>
      </c>
      <c r="BB83" s="59" t="s">
        <v>594</v>
      </c>
      <c r="BC83" s="59" t="s">
        <v>581</v>
      </c>
      <c r="BD83" s="59" t="s">
        <v>582</v>
      </c>
      <c r="BE83" s="59" t="s">
        <v>583</v>
      </c>
      <c r="BF83" s="59" t="s">
        <v>584</v>
      </c>
      <c r="BG83" s="59" t="s">
        <v>585</v>
      </c>
      <c r="BH83" s="59" t="s">
        <v>586</v>
      </c>
      <c r="BI83" s="59" t="s">
        <v>587</v>
      </c>
      <c r="BJ83" s="59" t="s">
        <v>588</v>
      </c>
      <c r="BK83" s="59" t="s">
        <v>589</v>
      </c>
      <c r="BL83" s="59" t="s">
        <v>590</v>
      </c>
      <c r="BM83" s="59" t="s">
        <v>591</v>
      </c>
      <c r="BN83" s="59" t="s">
        <v>592</v>
      </c>
      <c r="BO83" s="59" t="s">
        <v>593</v>
      </c>
      <c r="BP83" s="59" t="s">
        <v>594</v>
      </c>
      <c r="BQ83" s="59" t="s">
        <v>581</v>
      </c>
      <c r="BR83" s="59" t="s">
        <v>582</v>
      </c>
      <c r="BS83" s="59" t="s">
        <v>583</v>
      </c>
      <c r="BT83" s="59" t="s">
        <v>584</v>
      </c>
      <c r="BU83" s="59" t="s">
        <v>585</v>
      </c>
      <c r="BV83" s="59" t="s">
        <v>586</v>
      </c>
      <c r="BW83" s="59" t="s">
        <v>587</v>
      </c>
      <c r="BX83" s="59" t="s">
        <v>588</v>
      </c>
      <c r="BY83" s="59" t="s">
        <v>589</v>
      </c>
      <c r="BZ83" s="59" t="s">
        <v>590</v>
      </c>
      <c r="CA83" s="59" t="s">
        <v>591</v>
      </c>
      <c r="CB83" s="59" t="s">
        <v>592</v>
      </c>
      <c r="CC83" s="59" t="s">
        <v>593</v>
      </c>
      <c r="CD83" s="59" t="s">
        <v>594</v>
      </c>
      <c r="CE83" s="59" t="s">
        <v>581</v>
      </c>
      <c r="CF83" s="59" t="s">
        <v>582</v>
      </c>
      <c r="CG83" s="59" t="s">
        <v>583</v>
      </c>
      <c r="CH83" s="59" t="s">
        <v>584</v>
      </c>
      <c r="CI83" s="59" t="s">
        <v>585</v>
      </c>
      <c r="CJ83" s="59" t="s">
        <v>586</v>
      </c>
      <c r="CK83" s="59" t="s">
        <v>587</v>
      </c>
      <c r="CL83" s="59" t="s">
        <v>588</v>
      </c>
      <c r="CM83" s="59" t="s">
        <v>589</v>
      </c>
      <c r="CN83" s="59" t="s">
        <v>590</v>
      </c>
      <c r="CO83" s="59" t="s">
        <v>591</v>
      </c>
      <c r="CP83" s="59" t="s">
        <v>592</v>
      </c>
      <c r="CQ83" s="59" t="s">
        <v>593</v>
      </c>
      <c r="CR83" s="59" t="s">
        <v>594</v>
      </c>
      <c r="CS83" s="59" t="s">
        <v>581</v>
      </c>
      <c r="CT83" s="59" t="s">
        <v>582</v>
      </c>
      <c r="CU83" s="59" t="s">
        <v>589</v>
      </c>
      <c r="CV83" s="59" t="s">
        <v>590</v>
      </c>
      <c r="CW83" s="59" t="s">
        <v>591</v>
      </c>
      <c r="CX83" s="59" t="s">
        <v>592</v>
      </c>
      <c r="CY83" s="59" t="s">
        <v>581</v>
      </c>
      <c r="CZ83" s="59" t="s">
        <v>582</v>
      </c>
      <c r="DA83" s="59" t="s">
        <v>589</v>
      </c>
      <c r="DB83" s="59" t="s">
        <v>590</v>
      </c>
      <c r="DC83" s="59" t="s">
        <v>591</v>
      </c>
      <c r="DD83" s="59" t="s">
        <v>592</v>
      </c>
      <c r="DE83" s="59" t="s">
        <v>581</v>
      </c>
      <c r="DF83" s="59" t="s">
        <v>582</v>
      </c>
      <c r="DG83" s="59" t="s">
        <v>589</v>
      </c>
      <c r="DH83" s="59" t="s">
        <v>590</v>
      </c>
      <c r="DI83" s="59" t="s">
        <v>591</v>
      </c>
      <c r="DJ83" s="59" t="s">
        <v>592</v>
      </c>
      <c r="DK83" s="59" t="s">
        <v>595</v>
      </c>
      <c r="DL83" s="59" t="s">
        <v>596</v>
      </c>
      <c r="DM83" s="59" t="s">
        <v>581</v>
      </c>
      <c r="DN83" s="59" t="s">
        <v>582</v>
      </c>
      <c r="DO83" s="59" t="s">
        <v>589</v>
      </c>
      <c r="DP83" s="59" t="s">
        <v>590</v>
      </c>
      <c r="DQ83" s="59" t="s">
        <v>591</v>
      </c>
      <c r="DR83" s="59" t="s">
        <v>592</v>
      </c>
      <c r="DS83" s="59" t="s">
        <v>595</v>
      </c>
      <c r="DT83" s="59" t="s">
        <v>596</v>
      </c>
      <c r="DU83" s="59" t="s">
        <v>581</v>
      </c>
      <c r="DV83" s="59" t="s">
        <v>582</v>
      </c>
      <c r="DW83" s="59" t="s">
        <v>589</v>
      </c>
      <c r="DX83" s="59" t="s">
        <v>590</v>
      </c>
      <c r="DY83" s="59" t="s">
        <v>591</v>
      </c>
      <c r="DZ83" s="59" t="s">
        <v>592</v>
      </c>
      <c r="EA83" s="59" t="s">
        <v>595</v>
      </c>
      <c r="EB83" s="59" t="s">
        <v>596</v>
      </c>
      <c r="EC83" s="59" t="s">
        <v>581</v>
      </c>
      <c r="ED83" s="59" t="s">
        <v>582</v>
      </c>
      <c r="EE83" s="59" t="s">
        <v>589</v>
      </c>
      <c r="EF83" s="59" t="s">
        <v>590</v>
      </c>
      <c r="EG83" s="59" t="s">
        <v>591</v>
      </c>
      <c r="EH83" s="59" t="s">
        <v>592</v>
      </c>
      <c r="EI83" s="59" t="s">
        <v>595</v>
      </c>
      <c r="EJ83" s="59" t="s">
        <v>596</v>
      </c>
      <c r="EK83" s="59" t="s">
        <v>581</v>
      </c>
      <c r="EL83" s="59" t="s">
        <v>582</v>
      </c>
      <c r="EM83" s="59" t="s">
        <v>589</v>
      </c>
      <c r="EN83" s="59" t="s">
        <v>590</v>
      </c>
      <c r="EO83" s="59" t="s">
        <v>591</v>
      </c>
      <c r="EP83" s="59" t="s">
        <v>592</v>
      </c>
      <c r="EQ83" s="59" t="s">
        <v>595</v>
      </c>
      <c r="ER83" s="59" t="s">
        <v>596</v>
      </c>
      <c r="ES83" s="59" t="s">
        <v>581</v>
      </c>
      <c r="ET83" s="59" t="s">
        <v>582</v>
      </c>
      <c r="EU83" s="59" t="s">
        <v>589</v>
      </c>
      <c r="EV83" s="59" t="s">
        <v>590</v>
      </c>
      <c r="EW83" s="59" t="s">
        <v>591</v>
      </c>
      <c r="EX83" s="59" t="s">
        <v>592</v>
      </c>
      <c r="EY83" s="59" t="s">
        <v>595</v>
      </c>
      <c r="EZ83" s="59" t="s">
        <v>596</v>
      </c>
      <c r="FA83" s="59" t="s">
        <v>581</v>
      </c>
      <c r="FB83" s="59" t="s">
        <v>582</v>
      </c>
      <c r="FC83" s="59" t="s">
        <v>589</v>
      </c>
      <c r="FD83" s="59" t="s">
        <v>590</v>
      </c>
      <c r="FE83" s="59" t="s">
        <v>591</v>
      </c>
      <c r="FF83" s="59" t="s">
        <v>592</v>
      </c>
      <c r="FG83" s="59" t="s">
        <v>595</v>
      </c>
      <c r="FH83" s="59" t="s">
        <v>596</v>
      </c>
      <c r="FI83" s="59" t="s">
        <v>581</v>
      </c>
      <c r="FJ83" s="59" t="s">
        <v>582</v>
      </c>
      <c r="FK83" s="59" t="s">
        <v>589</v>
      </c>
      <c r="FL83" s="59" t="s">
        <v>590</v>
      </c>
      <c r="FM83" s="59" t="s">
        <v>591</v>
      </c>
      <c r="FN83" s="59" t="s">
        <v>592</v>
      </c>
      <c r="FO83" s="59" t="s">
        <v>595</v>
      </c>
      <c r="FP83" s="59" t="s">
        <v>596</v>
      </c>
      <c r="FQ83" s="59" t="s">
        <v>581</v>
      </c>
      <c r="FR83" s="59" t="s">
        <v>582</v>
      </c>
      <c r="FS83" s="59" t="s">
        <v>589</v>
      </c>
      <c r="FT83" s="59" t="s">
        <v>590</v>
      </c>
      <c r="FU83" s="59" t="s">
        <v>591</v>
      </c>
      <c r="FV83" s="59" t="s">
        <v>592</v>
      </c>
      <c r="FW83" s="59" t="s">
        <v>595</v>
      </c>
      <c r="FX83" s="59" t="s">
        <v>596</v>
      </c>
      <c r="FY83" s="59" t="s">
        <v>597</v>
      </c>
      <c r="FZ83" s="59" t="s">
        <v>598</v>
      </c>
      <c r="GA83" s="59" t="s">
        <v>599</v>
      </c>
      <c r="GB83" s="59" t="s">
        <v>600</v>
      </c>
      <c r="GC83" s="59" t="s">
        <v>601</v>
      </c>
      <c r="GD83" s="59" t="s">
        <v>602</v>
      </c>
      <c r="GE83" s="59" t="s">
        <v>603</v>
      </c>
      <c r="GF83" s="59" t="s">
        <v>604</v>
      </c>
    </row>
    <row r="84" spans="1:188" x14ac:dyDescent="0.15">
      <c r="J84" s="60"/>
    </row>
    <row r="85" spans="1:188" x14ac:dyDescent="0.15">
      <c r="J85" s="60"/>
    </row>
    <row r="86" spans="1:188" x14ac:dyDescent="0.15">
      <c r="J86" s="60"/>
    </row>
    <row r="87" spans="1:188" x14ac:dyDescent="0.15">
      <c r="J87" s="60"/>
    </row>
    <row r="88" spans="1:188" x14ac:dyDescent="0.15">
      <c r="J88" s="60"/>
    </row>
    <row r="89" spans="1:188" x14ac:dyDescent="0.15">
      <c r="J89" s="60"/>
    </row>
    <row r="90" spans="1:188" x14ac:dyDescent="0.15">
      <c r="J90" s="60"/>
    </row>
    <row r="91" spans="1:188" x14ac:dyDescent="0.15">
      <c r="J91" s="60"/>
    </row>
    <row r="92" spans="1:188" x14ac:dyDescent="0.15">
      <c r="J92" s="60"/>
    </row>
    <row r="93" spans="1:188" x14ac:dyDescent="0.15">
      <c r="J93" s="60"/>
    </row>
    <row r="94" spans="1:188" x14ac:dyDescent="0.15">
      <c r="J94" s="60"/>
    </row>
    <row r="95" spans="1:188" x14ac:dyDescent="0.15">
      <c r="J95" s="60"/>
    </row>
    <row r="96" spans="1:188" x14ac:dyDescent="0.15">
      <c r="J96" s="60"/>
    </row>
    <row r="97" spans="10:10" x14ac:dyDescent="0.15">
      <c r="J97" s="60"/>
    </row>
    <row r="98" spans="10:10" x14ac:dyDescent="0.15">
      <c r="J98" s="60"/>
    </row>
    <row r="99" spans="10:10" x14ac:dyDescent="0.15">
      <c r="J99" s="60"/>
    </row>
    <row r="100" spans="10:10" x14ac:dyDescent="0.15">
      <c r="J100" s="60"/>
    </row>
    <row r="101" spans="10:10" x14ac:dyDescent="0.15">
      <c r="J101" s="60"/>
    </row>
    <row r="102" spans="10:10" x14ac:dyDescent="0.15">
      <c r="J102" s="60"/>
    </row>
    <row r="103" spans="10:10" x14ac:dyDescent="0.15">
      <c r="J103" s="60"/>
    </row>
    <row r="104" spans="10:10" x14ac:dyDescent="0.15">
      <c r="J104" s="60"/>
    </row>
    <row r="105" spans="10:10" x14ac:dyDescent="0.15">
      <c r="J105" s="60"/>
    </row>
    <row r="106" spans="10:10" x14ac:dyDescent="0.15">
      <c r="J106" s="60"/>
    </row>
    <row r="107" spans="10:10" x14ac:dyDescent="0.15">
      <c r="J107" s="60"/>
    </row>
    <row r="108" spans="10:10" x14ac:dyDescent="0.15">
      <c r="J108" s="60"/>
    </row>
    <row r="109" spans="10:10" x14ac:dyDescent="0.15">
      <c r="J109" s="60"/>
    </row>
    <row r="110" spans="10:10" x14ac:dyDescent="0.15">
      <c r="J110" s="60"/>
    </row>
    <row r="111" spans="10:10" x14ac:dyDescent="0.15">
      <c r="J111" s="60"/>
    </row>
    <row r="112" spans="10:10" x14ac:dyDescent="0.15">
      <c r="J112" s="60"/>
    </row>
    <row r="113" spans="10:10" x14ac:dyDescent="0.15">
      <c r="J113" s="60"/>
    </row>
    <row r="114" spans="10:10" x14ac:dyDescent="0.15">
      <c r="J114" s="60"/>
    </row>
    <row r="115" spans="10:10" x14ac:dyDescent="0.15">
      <c r="J115" s="60"/>
    </row>
    <row r="116" spans="10:10" x14ac:dyDescent="0.15">
      <c r="J116" s="60"/>
    </row>
    <row r="117" spans="10:10" x14ac:dyDescent="0.15">
      <c r="J117" s="60"/>
    </row>
    <row r="118" spans="10:10" x14ac:dyDescent="0.15">
      <c r="J118" s="60"/>
    </row>
    <row r="119" spans="10:10" x14ac:dyDescent="0.15">
      <c r="J119" s="60"/>
    </row>
    <row r="120" spans="10:10" x14ac:dyDescent="0.15">
      <c r="J120" s="60"/>
    </row>
    <row r="121" spans="10:10" x14ac:dyDescent="0.15">
      <c r="J121" s="60"/>
    </row>
    <row r="122" spans="10:10" x14ac:dyDescent="0.15">
      <c r="J122" s="60"/>
    </row>
    <row r="123" spans="10:10" x14ac:dyDescent="0.15">
      <c r="J123" s="60"/>
    </row>
    <row r="124" spans="10:10" x14ac:dyDescent="0.15">
      <c r="J124" s="60"/>
    </row>
    <row r="125" spans="10:10" x14ac:dyDescent="0.15">
      <c r="J125" s="60"/>
    </row>
    <row r="126" spans="10:10" x14ac:dyDescent="0.15">
      <c r="J126" s="60"/>
    </row>
    <row r="127" spans="10:10" x14ac:dyDescent="0.15">
      <c r="J127" s="60"/>
    </row>
    <row r="128" spans="10:10" x14ac:dyDescent="0.15">
      <c r="J128" s="60"/>
    </row>
    <row r="129" spans="10:10" x14ac:dyDescent="0.15">
      <c r="J129" s="60"/>
    </row>
    <row r="130" spans="10:10" x14ac:dyDescent="0.15">
      <c r="J130" s="60"/>
    </row>
    <row r="131" spans="10:10" x14ac:dyDescent="0.15">
      <c r="J131" s="60"/>
    </row>
    <row r="132" spans="10:10" x14ac:dyDescent="0.15">
      <c r="J132" s="60"/>
    </row>
    <row r="133" spans="10:10" x14ac:dyDescent="0.15">
      <c r="J133" s="60"/>
    </row>
    <row r="134" spans="10:10" x14ac:dyDescent="0.15">
      <c r="J134" s="60"/>
    </row>
    <row r="135" spans="10:10" x14ac:dyDescent="0.15">
      <c r="J135" s="60"/>
    </row>
    <row r="136" spans="10:10" x14ac:dyDescent="0.15">
      <c r="J136" s="60"/>
    </row>
    <row r="137" spans="10:10" x14ac:dyDescent="0.15">
      <c r="J137" s="60"/>
    </row>
    <row r="138" spans="10:10" x14ac:dyDescent="0.15">
      <c r="J138" s="60"/>
    </row>
    <row r="139" spans="10:10" x14ac:dyDescent="0.15">
      <c r="J139" s="60"/>
    </row>
    <row r="140" spans="10:10" x14ac:dyDescent="0.15">
      <c r="J140" s="60"/>
    </row>
    <row r="141" spans="10:10" x14ac:dyDescent="0.15">
      <c r="J141" s="60"/>
    </row>
    <row r="142" spans="10:10" x14ac:dyDescent="0.15">
      <c r="J142" s="60"/>
    </row>
    <row r="143" spans="10:10" x14ac:dyDescent="0.15">
      <c r="J143" s="60"/>
    </row>
    <row r="144" spans="10:10" x14ac:dyDescent="0.15">
      <c r="J144" s="60"/>
    </row>
    <row r="145" spans="10:10" x14ac:dyDescent="0.15">
      <c r="J145" s="60"/>
    </row>
    <row r="146" spans="10:10" x14ac:dyDescent="0.15">
      <c r="J146" s="60"/>
    </row>
    <row r="147" spans="10:10" x14ac:dyDescent="0.15">
      <c r="J147" s="60"/>
    </row>
    <row r="148" spans="10:10" x14ac:dyDescent="0.15">
      <c r="J148" s="60"/>
    </row>
    <row r="149" spans="10:10" x14ac:dyDescent="0.15">
      <c r="J149" s="60"/>
    </row>
    <row r="150" spans="10:10" x14ac:dyDescent="0.15">
      <c r="J150" s="60"/>
    </row>
    <row r="151" spans="10:10" x14ac:dyDescent="0.15">
      <c r="J151" s="60"/>
    </row>
    <row r="152" spans="10:10" x14ac:dyDescent="0.15">
      <c r="J152" s="60"/>
    </row>
    <row r="153" spans="10:10" x14ac:dyDescent="0.15">
      <c r="J153" s="60"/>
    </row>
    <row r="154" spans="10:10" x14ac:dyDescent="0.15">
      <c r="J154" s="60"/>
    </row>
    <row r="155" spans="10:10" x14ac:dyDescent="0.15">
      <c r="J155" s="60"/>
    </row>
    <row r="156" spans="10:10" x14ac:dyDescent="0.15">
      <c r="J156" s="60"/>
    </row>
    <row r="157" spans="10:10" x14ac:dyDescent="0.15">
      <c r="J157" s="60"/>
    </row>
    <row r="158" spans="10:10" x14ac:dyDescent="0.15">
      <c r="J158" s="60"/>
    </row>
    <row r="159" spans="10:10" x14ac:dyDescent="0.15">
      <c r="J159" s="60"/>
    </row>
    <row r="160" spans="10:10" x14ac:dyDescent="0.15">
      <c r="J160" s="60"/>
    </row>
    <row r="161" spans="10:10" x14ac:dyDescent="0.15">
      <c r="J161" s="60"/>
    </row>
    <row r="162" spans="10:10" x14ac:dyDescent="0.15">
      <c r="J162" s="60"/>
    </row>
    <row r="163" spans="10:10" x14ac:dyDescent="0.15">
      <c r="J163" s="60"/>
    </row>
    <row r="165" spans="10:10" x14ac:dyDescent="0.15">
      <c r="J165" s="108"/>
    </row>
    <row r="166" spans="10:10" x14ac:dyDescent="0.15">
      <c r="J166" s="108"/>
    </row>
    <row r="167" spans="10:10" x14ac:dyDescent="0.15">
      <c r="J167" s="108"/>
    </row>
    <row r="168" spans="10:10" x14ac:dyDescent="0.15">
      <c r="J168" s="108"/>
    </row>
    <row r="169" spans="10:10" x14ac:dyDescent="0.15">
      <c r="J169" s="108"/>
    </row>
    <row r="170" spans="10:10" x14ac:dyDescent="0.15">
      <c r="J170" s="108"/>
    </row>
    <row r="171" spans="10:10" x14ac:dyDescent="0.15">
      <c r="J171" s="108"/>
    </row>
    <row r="172" spans="10:10" x14ac:dyDescent="0.15">
      <c r="J172" s="108"/>
    </row>
    <row r="173" spans="10:10" x14ac:dyDescent="0.15">
      <c r="J173" s="108"/>
    </row>
    <row r="174" spans="10:10" x14ac:dyDescent="0.15">
      <c r="J174" s="108"/>
    </row>
    <row r="175" spans="10:10" x14ac:dyDescent="0.15">
      <c r="J175" s="108"/>
    </row>
    <row r="176" spans="10:10" x14ac:dyDescent="0.15">
      <c r="J176" s="60"/>
    </row>
    <row r="177" spans="10:10" x14ac:dyDescent="0.15">
      <c r="J177" s="60"/>
    </row>
    <row r="178" spans="10:10" x14ac:dyDescent="0.15">
      <c r="J178" s="60"/>
    </row>
    <row r="179" spans="10:10" x14ac:dyDescent="0.15">
      <c r="J179" s="60"/>
    </row>
    <row r="180" spans="10:10" x14ac:dyDescent="0.15">
      <c r="J180" s="60"/>
    </row>
    <row r="181" spans="10:10" x14ac:dyDescent="0.15">
      <c r="J181" s="60"/>
    </row>
    <row r="182" spans="10:10" x14ac:dyDescent="0.15">
      <c r="J182" s="60"/>
    </row>
    <row r="183" spans="10:10" x14ac:dyDescent="0.15">
      <c r="J183" s="60"/>
    </row>
    <row r="184" spans="10:10" x14ac:dyDescent="0.15">
      <c r="J184" s="60"/>
    </row>
    <row r="185" spans="10:10" x14ac:dyDescent="0.15">
      <c r="J185" s="60"/>
    </row>
    <row r="186" spans="10:10" x14ac:dyDescent="0.15">
      <c r="J186" s="60"/>
    </row>
    <row r="187" spans="10:10" x14ac:dyDescent="0.15">
      <c r="J187" s="60"/>
    </row>
    <row r="188" spans="10:10" x14ac:dyDescent="0.15">
      <c r="J188" s="60"/>
    </row>
    <row r="189" spans="10:10" x14ac:dyDescent="0.15">
      <c r="J189" s="60"/>
    </row>
    <row r="190" spans="10:10" x14ac:dyDescent="0.15">
      <c r="J190" s="60"/>
    </row>
    <row r="191" spans="10:10" x14ac:dyDescent="0.15">
      <c r="J191" s="60"/>
    </row>
    <row r="192" spans="10:10" x14ac:dyDescent="0.15">
      <c r="J192" s="60"/>
    </row>
    <row r="193" spans="10:10" x14ac:dyDescent="0.15">
      <c r="J193" s="60"/>
    </row>
    <row r="194" spans="10:10" x14ac:dyDescent="0.15">
      <c r="J194" s="60"/>
    </row>
    <row r="195" spans="10:10" x14ac:dyDescent="0.15">
      <c r="J195" s="60"/>
    </row>
    <row r="196" spans="10:10" x14ac:dyDescent="0.15">
      <c r="J196" s="60"/>
    </row>
    <row r="197" spans="10:10" x14ac:dyDescent="0.15">
      <c r="J197" s="60"/>
    </row>
    <row r="198" spans="10:10" x14ac:dyDescent="0.15">
      <c r="J198" s="60"/>
    </row>
    <row r="199" spans="10:10" x14ac:dyDescent="0.15">
      <c r="J199" s="60"/>
    </row>
    <row r="200" spans="10:10" x14ac:dyDescent="0.15">
      <c r="J200" s="60"/>
    </row>
    <row r="201" spans="10:10" x14ac:dyDescent="0.15">
      <c r="J201" s="60"/>
    </row>
    <row r="202" spans="10:10" x14ac:dyDescent="0.15">
      <c r="J202" s="60"/>
    </row>
    <row r="203" spans="10:10" x14ac:dyDescent="0.15">
      <c r="J203" s="60"/>
    </row>
    <row r="204" spans="10:10" x14ac:dyDescent="0.15">
      <c r="J204" s="60"/>
    </row>
    <row r="205" spans="10:10" x14ac:dyDescent="0.15">
      <c r="J205" s="60"/>
    </row>
    <row r="206" spans="10:10" x14ac:dyDescent="0.15">
      <c r="J206" s="60"/>
    </row>
    <row r="207" spans="10:10" x14ac:dyDescent="0.15">
      <c r="J207" s="60"/>
    </row>
    <row r="208" spans="10:10" x14ac:dyDescent="0.15">
      <c r="J208" s="60"/>
    </row>
    <row r="209" spans="10:10" x14ac:dyDescent="0.15">
      <c r="J209" s="60"/>
    </row>
    <row r="210" spans="10:10" x14ac:dyDescent="0.15">
      <c r="J210" s="60"/>
    </row>
    <row r="211" spans="10:10" x14ac:dyDescent="0.15">
      <c r="J211" s="60"/>
    </row>
    <row r="212" spans="10:10" x14ac:dyDescent="0.15">
      <c r="J212" s="60"/>
    </row>
  </sheetData>
  <phoneticPr fontId="4" type="noConversion"/>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F211"/>
  <sheetViews>
    <sheetView zoomScaleNormal="100" workbookViewId="0">
      <selection activeCell="A14" sqref="A14:XFD21"/>
    </sheetView>
  </sheetViews>
  <sheetFormatPr baseColWidth="10" defaultColWidth="9.5" defaultRowHeight="13" x14ac:dyDescent="0.15"/>
  <cols>
    <col min="1" max="1" width="25.33203125" style="59" bestFit="1" customWidth="1"/>
    <col min="2" max="2" width="13.33203125" style="59" bestFit="1" customWidth="1"/>
    <col min="3" max="3" width="21.5" style="59" bestFit="1" customWidth="1"/>
    <col min="4" max="4" width="12.1640625" style="59" bestFit="1" customWidth="1"/>
    <col min="5" max="5" width="13.5" style="59" bestFit="1" customWidth="1"/>
    <col min="6" max="6" width="15.5" style="59" bestFit="1" customWidth="1"/>
    <col min="7" max="7" width="13.5" style="59" bestFit="1" customWidth="1"/>
    <col min="8" max="8" width="10.6640625" style="59" bestFit="1" customWidth="1"/>
    <col min="9" max="9" width="11.5" style="59" bestFit="1" customWidth="1"/>
    <col min="10" max="10" width="14.5" style="59" bestFit="1" customWidth="1"/>
    <col min="11" max="11" width="6.5" style="59" bestFit="1" customWidth="1"/>
    <col min="12" max="12" width="55.1640625" style="59" bestFit="1" customWidth="1"/>
    <col min="13" max="13" width="12.6640625" style="59" bestFit="1" customWidth="1"/>
    <col min="14" max="14" width="6.33203125" style="59" bestFit="1" customWidth="1"/>
    <col min="15" max="15" width="7.6640625" style="59" bestFit="1" customWidth="1"/>
    <col min="16" max="16" width="13.33203125" style="59" bestFit="1" customWidth="1"/>
    <col min="17" max="17" width="5" style="59" bestFit="1" customWidth="1"/>
    <col min="18" max="18" width="6.1640625" style="59" bestFit="1" customWidth="1"/>
    <col min="19" max="19" width="8.33203125" style="59" bestFit="1" customWidth="1"/>
    <col min="20" max="20" width="13.5" style="59" bestFit="1" customWidth="1"/>
    <col min="21" max="23" width="9.33203125" style="59" bestFit="1" customWidth="1"/>
    <col min="24" max="24" width="17.83203125" style="59" bestFit="1" customWidth="1"/>
    <col min="25" max="25" width="19.5" style="59" bestFit="1" customWidth="1"/>
    <col min="26" max="26" width="6.6640625" style="59" bestFit="1" customWidth="1"/>
    <col min="27" max="27" width="13.1640625" style="59" bestFit="1" customWidth="1"/>
    <col min="28" max="28" width="6.33203125" style="59" bestFit="1" customWidth="1"/>
    <col min="29" max="29" width="7.6640625" style="59" bestFit="1" customWidth="1"/>
    <col min="30" max="30" width="13.33203125" style="59" bestFit="1" customWidth="1"/>
    <col min="31" max="31" width="5" style="59" bestFit="1" customWidth="1"/>
    <col min="32" max="32" width="6.1640625" style="59" bestFit="1" customWidth="1"/>
    <col min="33" max="33" width="8.33203125" style="59" bestFit="1" customWidth="1"/>
    <col min="34" max="34" width="13.5" style="59" bestFit="1" customWidth="1"/>
    <col min="35" max="37" width="9.33203125" style="59" bestFit="1" customWidth="1"/>
    <col min="38" max="38" width="17.83203125" style="59" bestFit="1" customWidth="1"/>
    <col min="39" max="39" width="19.5" style="59" bestFit="1" customWidth="1"/>
    <col min="40" max="40" width="6.6640625" style="59" bestFit="1" customWidth="1"/>
    <col min="41" max="41" width="12.6640625" style="59" bestFit="1" customWidth="1"/>
    <col min="42" max="42" width="6.33203125" style="59" bestFit="1" customWidth="1"/>
    <col min="43" max="43" width="7.6640625" style="59" bestFit="1" customWidth="1"/>
    <col min="44" max="44" width="13.33203125" style="59" bestFit="1" customWidth="1"/>
    <col min="45" max="45" width="5" style="59" bestFit="1" customWidth="1"/>
    <col min="46" max="46" width="6.1640625" style="59" bestFit="1" customWidth="1"/>
    <col min="47" max="47" width="8.33203125" style="59" bestFit="1" customWidth="1"/>
    <col min="48" max="48" width="13.5" style="59" bestFit="1" customWidth="1"/>
    <col min="49" max="51" width="9.33203125" style="59" bestFit="1" customWidth="1"/>
    <col min="52" max="52" width="17.83203125" style="59" bestFit="1" customWidth="1"/>
    <col min="53" max="53" width="19.5" style="59" bestFit="1" customWidth="1"/>
    <col min="54" max="54" width="6.6640625" style="59" bestFit="1" customWidth="1"/>
    <col min="55" max="55" width="12.6640625" style="59" bestFit="1" customWidth="1"/>
    <col min="56" max="56" width="6.33203125" style="59" bestFit="1" customWidth="1"/>
    <col min="57" max="57" width="7.6640625" style="59" bestFit="1" customWidth="1"/>
    <col min="58" max="58" width="13.33203125" style="59" bestFit="1" customWidth="1"/>
    <col min="59" max="59" width="5" style="59" bestFit="1" customWidth="1"/>
    <col min="60" max="60" width="6.1640625" style="59" bestFit="1" customWidth="1"/>
    <col min="61" max="61" width="8.33203125" style="59" bestFit="1" customWidth="1"/>
    <col min="62" max="62" width="13.5" style="59" bestFit="1" customWidth="1"/>
    <col min="63" max="65" width="9.33203125" style="59" bestFit="1" customWidth="1"/>
    <col min="66" max="66" width="17.83203125" style="59" bestFit="1" customWidth="1"/>
    <col min="67" max="67" width="19.5" style="59" bestFit="1" customWidth="1"/>
    <col min="68" max="68" width="6.6640625" style="59" bestFit="1" customWidth="1"/>
    <col min="69" max="69" width="12.6640625" style="59" bestFit="1" customWidth="1"/>
    <col min="70" max="70" width="6.33203125" style="59" bestFit="1" customWidth="1"/>
    <col min="71" max="71" width="7.6640625" style="59" bestFit="1" customWidth="1"/>
    <col min="72" max="72" width="13.33203125" style="59" bestFit="1" customWidth="1"/>
    <col min="73" max="73" width="5" style="59" bestFit="1" customWidth="1"/>
    <col min="74" max="74" width="6.1640625" style="59" bestFit="1" customWidth="1"/>
    <col min="75" max="75" width="8.33203125" style="59" bestFit="1" customWidth="1"/>
    <col min="76" max="76" width="13.5" style="59" bestFit="1" customWidth="1"/>
    <col min="77" max="79" width="9.33203125" style="59" bestFit="1" customWidth="1"/>
    <col min="80" max="80" width="17.83203125" style="59" bestFit="1" customWidth="1"/>
    <col min="81" max="81" width="19.5" style="59" bestFit="1" customWidth="1"/>
    <col min="82" max="82" width="6.6640625" style="59" bestFit="1" customWidth="1"/>
    <col min="83" max="83" width="12.6640625" style="59" bestFit="1" customWidth="1"/>
    <col min="84" max="84" width="6.33203125" style="59" bestFit="1" customWidth="1"/>
    <col min="85" max="85" width="7.6640625" style="59" bestFit="1" customWidth="1"/>
    <col min="86" max="86" width="13.33203125" style="59" bestFit="1" customWidth="1"/>
    <col min="87" max="87" width="5" style="59" bestFit="1" customWidth="1"/>
    <col min="88" max="88" width="6.1640625" style="59" bestFit="1" customWidth="1"/>
    <col min="89" max="89" width="8.33203125" style="59" bestFit="1" customWidth="1"/>
    <col min="90" max="90" width="13.5" style="59" bestFit="1" customWidth="1"/>
    <col min="91" max="93" width="9.33203125" style="59" bestFit="1" customWidth="1"/>
    <col min="94" max="94" width="17.83203125" style="59" bestFit="1" customWidth="1"/>
    <col min="95" max="95" width="19.5" style="59" bestFit="1" customWidth="1"/>
    <col min="96" max="96" width="6.6640625" style="59" bestFit="1" customWidth="1"/>
    <col min="97" max="97" width="12.6640625" style="59" bestFit="1" customWidth="1"/>
    <col min="98" max="98" width="6.33203125" style="59" bestFit="1" customWidth="1"/>
    <col min="99" max="101" width="9.33203125" style="59" bestFit="1" customWidth="1"/>
    <col min="102" max="102" width="17.83203125" style="59" bestFit="1" customWidth="1"/>
    <col min="103" max="103" width="12.6640625" style="59" bestFit="1" customWidth="1"/>
    <col min="104" max="104" width="6.33203125" style="59" bestFit="1" customWidth="1"/>
    <col min="105" max="107" width="9.33203125" style="59" bestFit="1" customWidth="1"/>
    <col min="108" max="108" width="17.83203125" style="59" bestFit="1" customWidth="1"/>
    <col min="109" max="109" width="12.6640625" style="59" bestFit="1" customWidth="1"/>
    <col min="110" max="110" width="10.33203125" style="59" bestFit="1" customWidth="1"/>
    <col min="111" max="113" width="9.33203125" style="59" bestFit="1" customWidth="1"/>
    <col min="114" max="114" width="17.83203125" style="59" bestFit="1" customWidth="1"/>
    <col min="115" max="115" width="20.5" style="59" bestFit="1" customWidth="1"/>
    <col min="116" max="116" width="15.5" style="59" bestFit="1" customWidth="1"/>
    <col min="117" max="117" width="12.6640625" style="59" bestFit="1" customWidth="1"/>
    <col min="118" max="118" width="10.33203125" style="59" bestFit="1" customWidth="1"/>
    <col min="119" max="121" width="9.33203125" style="59" bestFit="1" customWidth="1"/>
    <col min="122" max="122" width="17.83203125" style="59" bestFit="1" customWidth="1"/>
    <col min="123" max="123" width="20.5" style="59" bestFit="1" customWidth="1"/>
    <col min="124" max="124" width="15.5" style="59" bestFit="1" customWidth="1"/>
    <col min="125" max="125" width="12.6640625" style="59" bestFit="1" customWidth="1"/>
    <col min="126" max="126" width="10.33203125" style="59" bestFit="1" customWidth="1"/>
    <col min="127" max="129" width="9.33203125" style="59" bestFit="1" customWidth="1"/>
    <col min="130" max="130" width="17.83203125" style="59" bestFit="1" customWidth="1"/>
    <col min="131" max="131" width="20.5" style="59" bestFit="1" customWidth="1"/>
    <col min="132" max="132" width="15.5" style="59" bestFit="1" customWidth="1"/>
    <col min="133" max="133" width="12.6640625" style="59" bestFit="1" customWidth="1"/>
    <col min="134" max="134" width="10.33203125" style="59" bestFit="1" customWidth="1"/>
    <col min="135" max="137" width="9.33203125" style="59" bestFit="1" customWidth="1"/>
    <col min="138" max="138" width="17.83203125" style="59" bestFit="1" customWidth="1"/>
    <col min="139" max="139" width="20.5" style="59" bestFit="1" customWidth="1"/>
    <col min="140" max="140" width="15.5" style="59" bestFit="1" customWidth="1"/>
    <col min="141" max="141" width="13.83203125" style="59" bestFit="1" customWidth="1"/>
    <col min="142" max="142" width="10.33203125" style="59" bestFit="1" customWidth="1"/>
    <col min="143" max="145" width="9.33203125" style="59" bestFit="1" customWidth="1"/>
    <col min="146" max="146" width="17.83203125" style="59" bestFit="1" customWidth="1"/>
    <col min="147" max="147" width="20.5" style="59" bestFit="1" customWidth="1"/>
    <col min="148" max="148" width="15.5" style="59" bestFit="1" customWidth="1"/>
    <col min="149" max="149" width="13.83203125" style="59" bestFit="1" customWidth="1"/>
    <col min="150" max="150" width="10.33203125" style="59" bestFit="1" customWidth="1"/>
    <col min="151" max="153" width="9.33203125" style="59" bestFit="1" customWidth="1"/>
    <col min="154" max="154" width="17.83203125" style="59" bestFit="1" customWidth="1"/>
    <col min="155" max="155" width="20.5" style="59" bestFit="1" customWidth="1"/>
    <col min="156" max="156" width="15.5" style="59" bestFit="1" customWidth="1"/>
    <col min="157" max="157" width="13.83203125" style="59" bestFit="1" customWidth="1"/>
    <col min="158" max="158" width="10.33203125" style="59" bestFit="1" customWidth="1"/>
    <col min="159" max="161" width="9.33203125" style="59" bestFit="1" customWidth="1"/>
    <col min="162" max="162" width="17.83203125" style="59" bestFit="1" customWidth="1"/>
    <col min="163" max="163" width="20.5" style="59" bestFit="1" customWidth="1"/>
    <col min="164" max="164" width="15.5" style="59" bestFit="1" customWidth="1"/>
    <col min="165" max="165" width="15.6640625" style="59" bestFit="1" customWidth="1"/>
    <col min="166" max="166" width="10.33203125" style="59" bestFit="1" customWidth="1"/>
    <col min="167" max="169" width="9.33203125" style="59" bestFit="1" customWidth="1"/>
    <col min="170" max="170" width="17.83203125" style="59" bestFit="1" customWidth="1"/>
    <col min="171" max="171" width="20.5" style="59" bestFit="1" customWidth="1"/>
    <col min="172" max="172" width="15.5" style="59" bestFit="1" customWidth="1"/>
    <col min="173" max="173" width="15.6640625" style="59" bestFit="1" customWidth="1"/>
    <col min="174" max="174" width="10.33203125" style="59" bestFit="1" customWidth="1"/>
    <col min="175" max="177" width="9.33203125" style="59" bestFit="1" customWidth="1"/>
    <col min="178" max="178" width="17.83203125" style="59" bestFit="1" customWidth="1"/>
    <col min="179" max="179" width="20.5" style="59" bestFit="1" customWidth="1"/>
    <col min="180" max="180" width="15.5" style="59" bestFit="1" customWidth="1"/>
    <col min="181" max="181" width="17.5" style="59" bestFit="1" customWidth="1"/>
    <col min="182" max="182" width="16.83203125" style="59" bestFit="1" customWidth="1"/>
    <col min="183" max="183" width="5" style="59" bestFit="1" customWidth="1"/>
    <col min="184" max="184" width="9.1640625" style="59" bestFit="1" customWidth="1"/>
    <col min="185" max="185" width="16.1640625" style="59" bestFit="1" customWidth="1"/>
    <col min="186" max="186" width="14.6640625" style="59" bestFit="1" customWidth="1"/>
    <col min="187" max="187" width="16" style="59" bestFit="1" customWidth="1"/>
    <col min="188" max="188" width="20.83203125" style="59" bestFit="1" customWidth="1"/>
    <col min="189" max="189" width="9.5" style="59" customWidth="1"/>
    <col min="190" max="16384" width="9.5" style="59"/>
  </cols>
  <sheetData>
    <row r="1" spans="1:188" x14ac:dyDescent="0.15">
      <c r="A1" s="59" t="s">
        <v>569</v>
      </c>
      <c r="B1" s="59" t="s">
        <v>570</v>
      </c>
      <c r="C1" s="59" t="s">
        <v>571</v>
      </c>
      <c r="D1" s="59" t="s">
        <v>572</v>
      </c>
      <c r="E1" s="59" t="s">
        <v>573</v>
      </c>
      <c r="F1" s="59" t="s">
        <v>574</v>
      </c>
      <c r="G1" s="59" t="s">
        <v>575</v>
      </c>
      <c r="H1" s="59" t="s">
        <v>576</v>
      </c>
      <c r="I1" s="59" t="s">
        <v>577</v>
      </c>
      <c r="J1" s="59" t="s">
        <v>578</v>
      </c>
      <c r="K1" s="59" t="s">
        <v>579</v>
      </c>
      <c r="L1" s="59" t="s">
        <v>580</v>
      </c>
      <c r="M1" s="59" t="s">
        <v>581</v>
      </c>
      <c r="N1" s="59" t="s">
        <v>582</v>
      </c>
      <c r="O1" s="59" t="s">
        <v>583</v>
      </c>
      <c r="P1" s="59" t="s">
        <v>584</v>
      </c>
      <c r="Q1" s="59" t="s">
        <v>585</v>
      </c>
      <c r="R1" s="59" t="s">
        <v>586</v>
      </c>
      <c r="S1" s="59" t="s">
        <v>587</v>
      </c>
      <c r="T1" s="59" t="s">
        <v>588</v>
      </c>
      <c r="U1" s="59" t="s">
        <v>589</v>
      </c>
      <c r="V1" s="59" t="s">
        <v>590</v>
      </c>
      <c r="W1" s="59" t="s">
        <v>591</v>
      </c>
      <c r="X1" s="59" t="s">
        <v>592</v>
      </c>
      <c r="Y1" s="59" t="s">
        <v>593</v>
      </c>
      <c r="Z1" s="59" t="s">
        <v>594</v>
      </c>
      <c r="AA1" s="59" t="s">
        <v>581</v>
      </c>
      <c r="AB1" s="59" t="s">
        <v>582</v>
      </c>
      <c r="AC1" s="59" t="s">
        <v>583</v>
      </c>
      <c r="AD1" s="59" t="s">
        <v>584</v>
      </c>
      <c r="AE1" s="59" t="s">
        <v>585</v>
      </c>
      <c r="AF1" s="59" t="s">
        <v>586</v>
      </c>
      <c r="AG1" s="59" t="s">
        <v>587</v>
      </c>
      <c r="AH1" s="59" t="s">
        <v>588</v>
      </c>
      <c r="AI1" s="59" t="s">
        <v>589</v>
      </c>
      <c r="AJ1" s="59" t="s">
        <v>590</v>
      </c>
      <c r="AK1" s="59" t="s">
        <v>591</v>
      </c>
      <c r="AL1" s="59" t="s">
        <v>592</v>
      </c>
      <c r="AM1" s="59" t="s">
        <v>593</v>
      </c>
      <c r="AN1" s="59" t="s">
        <v>594</v>
      </c>
      <c r="AO1" s="59" t="s">
        <v>581</v>
      </c>
      <c r="AP1" s="59" t="s">
        <v>582</v>
      </c>
      <c r="AQ1" s="59" t="s">
        <v>583</v>
      </c>
      <c r="AR1" s="59" t="s">
        <v>584</v>
      </c>
      <c r="AS1" s="59" t="s">
        <v>585</v>
      </c>
      <c r="AT1" s="59" t="s">
        <v>586</v>
      </c>
      <c r="AU1" s="59" t="s">
        <v>587</v>
      </c>
      <c r="AV1" s="59" t="s">
        <v>588</v>
      </c>
      <c r="AW1" s="59" t="s">
        <v>589</v>
      </c>
      <c r="AX1" s="59" t="s">
        <v>590</v>
      </c>
      <c r="AY1" s="59" t="s">
        <v>591</v>
      </c>
      <c r="AZ1" s="59" t="s">
        <v>592</v>
      </c>
      <c r="BA1" s="59" t="s">
        <v>593</v>
      </c>
      <c r="BB1" s="59" t="s">
        <v>594</v>
      </c>
      <c r="BC1" s="59" t="s">
        <v>581</v>
      </c>
      <c r="BD1" s="59" t="s">
        <v>582</v>
      </c>
      <c r="BE1" s="59" t="s">
        <v>583</v>
      </c>
      <c r="BF1" s="59" t="s">
        <v>584</v>
      </c>
      <c r="BG1" s="59" t="s">
        <v>585</v>
      </c>
      <c r="BH1" s="59" t="s">
        <v>586</v>
      </c>
      <c r="BI1" s="59" t="s">
        <v>587</v>
      </c>
      <c r="BJ1" s="59" t="s">
        <v>588</v>
      </c>
      <c r="BK1" s="59" t="s">
        <v>589</v>
      </c>
      <c r="BL1" s="59" t="s">
        <v>590</v>
      </c>
      <c r="BM1" s="59" t="s">
        <v>591</v>
      </c>
      <c r="BN1" s="59" t="s">
        <v>592</v>
      </c>
      <c r="BO1" s="59" t="s">
        <v>593</v>
      </c>
      <c r="BP1" s="59" t="s">
        <v>594</v>
      </c>
      <c r="BQ1" s="59" t="s">
        <v>581</v>
      </c>
      <c r="BR1" s="59" t="s">
        <v>582</v>
      </c>
      <c r="BS1" s="59" t="s">
        <v>583</v>
      </c>
      <c r="BT1" s="59" t="s">
        <v>584</v>
      </c>
      <c r="BU1" s="59" t="s">
        <v>585</v>
      </c>
      <c r="BV1" s="59" t="s">
        <v>586</v>
      </c>
      <c r="BW1" s="59" t="s">
        <v>587</v>
      </c>
      <c r="BX1" s="59" t="s">
        <v>588</v>
      </c>
      <c r="BY1" s="59" t="s">
        <v>589</v>
      </c>
      <c r="BZ1" s="59" t="s">
        <v>590</v>
      </c>
      <c r="CA1" s="59" t="s">
        <v>591</v>
      </c>
      <c r="CB1" s="59" t="s">
        <v>592</v>
      </c>
      <c r="CC1" s="59" t="s">
        <v>593</v>
      </c>
      <c r="CD1" s="59" t="s">
        <v>594</v>
      </c>
      <c r="CE1" s="59" t="s">
        <v>581</v>
      </c>
      <c r="CF1" s="59" t="s">
        <v>582</v>
      </c>
      <c r="CG1" s="59" t="s">
        <v>583</v>
      </c>
      <c r="CH1" s="59" t="s">
        <v>584</v>
      </c>
      <c r="CI1" s="59" t="s">
        <v>585</v>
      </c>
      <c r="CJ1" s="59" t="s">
        <v>586</v>
      </c>
      <c r="CK1" s="59" t="s">
        <v>587</v>
      </c>
      <c r="CL1" s="59" t="s">
        <v>588</v>
      </c>
      <c r="CM1" s="59" t="s">
        <v>589</v>
      </c>
      <c r="CN1" s="59" t="s">
        <v>590</v>
      </c>
      <c r="CO1" s="59" t="s">
        <v>591</v>
      </c>
      <c r="CP1" s="59" t="s">
        <v>592</v>
      </c>
      <c r="CQ1" s="59" t="s">
        <v>593</v>
      </c>
      <c r="CR1" s="59" t="s">
        <v>594</v>
      </c>
      <c r="CS1" s="59" t="s">
        <v>581</v>
      </c>
      <c r="CT1" s="59" t="s">
        <v>582</v>
      </c>
      <c r="CU1" s="59" t="s">
        <v>589</v>
      </c>
      <c r="CV1" s="59" t="s">
        <v>590</v>
      </c>
      <c r="CW1" s="59" t="s">
        <v>591</v>
      </c>
      <c r="CX1" s="59" t="s">
        <v>592</v>
      </c>
      <c r="CY1" s="59" t="s">
        <v>581</v>
      </c>
      <c r="CZ1" s="59" t="s">
        <v>582</v>
      </c>
      <c r="DA1" s="59" t="s">
        <v>589</v>
      </c>
      <c r="DB1" s="59" t="s">
        <v>590</v>
      </c>
      <c r="DC1" s="59" t="s">
        <v>591</v>
      </c>
      <c r="DD1" s="59" t="s">
        <v>592</v>
      </c>
      <c r="DE1" s="59" t="s">
        <v>581</v>
      </c>
      <c r="DF1" s="59" t="s">
        <v>582</v>
      </c>
      <c r="DG1" s="59" t="s">
        <v>589</v>
      </c>
      <c r="DH1" s="59" t="s">
        <v>590</v>
      </c>
      <c r="DI1" s="59" t="s">
        <v>591</v>
      </c>
      <c r="DJ1" s="59" t="s">
        <v>592</v>
      </c>
      <c r="DK1" s="59" t="s">
        <v>595</v>
      </c>
      <c r="DL1" s="59" t="s">
        <v>596</v>
      </c>
      <c r="DM1" s="59" t="s">
        <v>581</v>
      </c>
      <c r="DN1" s="59" t="s">
        <v>582</v>
      </c>
      <c r="DO1" s="59" t="s">
        <v>589</v>
      </c>
      <c r="DP1" s="59" t="s">
        <v>590</v>
      </c>
      <c r="DQ1" s="59" t="s">
        <v>591</v>
      </c>
      <c r="DR1" s="59" t="s">
        <v>592</v>
      </c>
      <c r="DS1" s="59" t="s">
        <v>595</v>
      </c>
      <c r="DT1" s="59" t="s">
        <v>596</v>
      </c>
      <c r="DU1" s="59" t="s">
        <v>581</v>
      </c>
      <c r="DV1" s="59" t="s">
        <v>582</v>
      </c>
      <c r="DW1" s="59" t="s">
        <v>589</v>
      </c>
      <c r="DX1" s="59" t="s">
        <v>590</v>
      </c>
      <c r="DY1" s="59" t="s">
        <v>591</v>
      </c>
      <c r="DZ1" s="59" t="s">
        <v>592</v>
      </c>
      <c r="EA1" s="59" t="s">
        <v>595</v>
      </c>
      <c r="EB1" s="59" t="s">
        <v>596</v>
      </c>
      <c r="EC1" s="59" t="s">
        <v>581</v>
      </c>
      <c r="ED1" s="59" t="s">
        <v>582</v>
      </c>
      <c r="EE1" s="59" t="s">
        <v>589</v>
      </c>
      <c r="EF1" s="59" t="s">
        <v>590</v>
      </c>
      <c r="EG1" s="59" t="s">
        <v>591</v>
      </c>
      <c r="EH1" s="59" t="s">
        <v>592</v>
      </c>
      <c r="EI1" s="59" t="s">
        <v>595</v>
      </c>
      <c r="EJ1" s="59" t="s">
        <v>596</v>
      </c>
      <c r="EK1" s="59" t="s">
        <v>581</v>
      </c>
      <c r="EL1" s="59" t="s">
        <v>582</v>
      </c>
      <c r="EM1" s="59" t="s">
        <v>589</v>
      </c>
      <c r="EN1" s="59" t="s">
        <v>590</v>
      </c>
      <c r="EO1" s="59" t="s">
        <v>591</v>
      </c>
      <c r="EP1" s="59" t="s">
        <v>592</v>
      </c>
      <c r="EQ1" s="59" t="s">
        <v>595</v>
      </c>
      <c r="ER1" s="59" t="s">
        <v>596</v>
      </c>
      <c r="ES1" s="59" t="s">
        <v>581</v>
      </c>
      <c r="ET1" s="59" t="s">
        <v>582</v>
      </c>
      <c r="EU1" s="59" t="s">
        <v>589</v>
      </c>
      <c r="EV1" s="59" t="s">
        <v>590</v>
      </c>
      <c r="EW1" s="59" t="s">
        <v>591</v>
      </c>
      <c r="EX1" s="59" t="s">
        <v>592</v>
      </c>
      <c r="EY1" s="59" t="s">
        <v>595</v>
      </c>
      <c r="EZ1" s="59" t="s">
        <v>596</v>
      </c>
      <c r="FA1" s="59" t="s">
        <v>581</v>
      </c>
      <c r="FB1" s="59" t="s">
        <v>582</v>
      </c>
      <c r="FC1" s="59" t="s">
        <v>589</v>
      </c>
      <c r="FD1" s="59" t="s">
        <v>590</v>
      </c>
      <c r="FE1" s="59" t="s">
        <v>591</v>
      </c>
      <c r="FF1" s="59" t="s">
        <v>592</v>
      </c>
      <c r="FG1" s="59" t="s">
        <v>595</v>
      </c>
      <c r="FH1" s="59" t="s">
        <v>596</v>
      </c>
      <c r="FI1" s="59" t="s">
        <v>581</v>
      </c>
      <c r="FJ1" s="59" t="s">
        <v>582</v>
      </c>
      <c r="FK1" s="59" t="s">
        <v>589</v>
      </c>
      <c r="FL1" s="59" t="s">
        <v>590</v>
      </c>
      <c r="FM1" s="59" t="s">
        <v>591</v>
      </c>
      <c r="FN1" s="59" t="s">
        <v>592</v>
      </c>
      <c r="FO1" s="59" t="s">
        <v>595</v>
      </c>
      <c r="FP1" s="59" t="s">
        <v>596</v>
      </c>
      <c r="FQ1" s="59" t="s">
        <v>581</v>
      </c>
      <c r="FR1" s="59" t="s">
        <v>582</v>
      </c>
      <c r="FS1" s="59" t="s">
        <v>589</v>
      </c>
      <c r="FT1" s="59" t="s">
        <v>590</v>
      </c>
      <c r="FU1" s="59" t="s">
        <v>591</v>
      </c>
      <c r="FV1" s="59" t="s">
        <v>592</v>
      </c>
      <c r="FW1" s="59" t="s">
        <v>595</v>
      </c>
      <c r="FX1" s="59" t="s">
        <v>596</v>
      </c>
      <c r="FY1" s="59" t="s">
        <v>597</v>
      </c>
      <c r="FZ1" s="59" t="s">
        <v>598</v>
      </c>
      <c r="GA1" s="59" t="s">
        <v>599</v>
      </c>
      <c r="GB1" s="59" t="s">
        <v>600</v>
      </c>
      <c r="GC1" s="59" t="s">
        <v>601</v>
      </c>
      <c r="GD1" s="59" t="s">
        <v>602</v>
      </c>
      <c r="GE1" s="59" t="s">
        <v>603</v>
      </c>
      <c r="GF1" s="59" t="s">
        <v>604</v>
      </c>
    </row>
    <row r="2" spans="1:188" s="213" customFormat="1" x14ac:dyDescent="0.15">
      <c r="A2" s="213" t="s">
        <v>654</v>
      </c>
      <c r="B2" s="213">
        <v>4</v>
      </c>
      <c r="C2" s="213" t="s">
        <v>1088</v>
      </c>
      <c r="D2" s="213">
        <v>614332206</v>
      </c>
      <c r="E2" s="213">
        <v>92303</v>
      </c>
      <c r="F2" s="213" t="s">
        <v>1089</v>
      </c>
      <c r="G2" s="213">
        <v>802069</v>
      </c>
      <c r="H2" s="213">
        <v>656295</v>
      </c>
      <c r="I2" s="213" t="s">
        <v>1090</v>
      </c>
      <c r="J2" s="213" t="s">
        <v>1091</v>
      </c>
      <c r="K2" s="213" t="s">
        <v>727</v>
      </c>
      <c r="L2" s="213" t="s">
        <v>1092</v>
      </c>
      <c r="M2" s="213" t="s">
        <v>728</v>
      </c>
      <c r="N2" s="213" t="s">
        <v>728</v>
      </c>
      <c r="O2" s="213" t="s">
        <v>729</v>
      </c>
      <c r="P2" s="213" t="s">
        <v>249</v>
      </c>
      <c r="Q2" s="213">
        <v>24.1</v>
      </c>
      <c r="R2" s="213">
        <v>160</v>
      </c>
      <c r="S2" s="213" t="s">
        <v>249</v>
      </c>
      <c r="T2" s="213">
        <v>-9999</v>
      </c>
      <c r="U2" s="213">
        <v>205</v>
      </c>
      <c r="V2" s="213">
        <v>432</v>
      </c>
      <c r="W2" s="213">
        <v>199</v>
      </c>
      <c r="X2" s="213" t="s">
        <v>710</v>
      </c>
      <c r="Y2" s="213">
        <v>0</v>
      </c>
      <c r="Z2" s="213">
        <v>40</v>
      </c>
      <c r="AA2" s="213" t="s">
        <v>730</v>
      </c>
      <c r="AB2" s="213" t="s">
        <v>731</v>
      </c>
      <c r="AC2" s="213" t="s">
        <v>729</v>
      </c>
      <c r="AD2" s="213" t="s">
        <v>249</v>
      </c>
      <c r="AE2" s="213">
        <v>22.4</v>
      </c>
      <c r="AF2" s="213">
        <v>453</v>
      </c>
      <c r="AG2" s="213" t="s">
        <v>249</v>
      </c>
      <c r="AH2" s="213">
        <v>-9999</v>
      </c>
      <c r="AI2" s="213">
        <v>169</v>
      </c>
      <c r="AJ2" s="213">
        <v>402</v>
      </c>
      <c r="AK2" s="213">
        <v>167</v>
      </c>
      <c r="AL2" s="213" t="s">
        <v>710</v>
      </c>
      <c r="AM2" s="213">
        <v>0</v>
      </c>
      <c r="AN2" s="213">
        <v>40</v>
      </c>
      <c r="AO2" s="213" t="s">
        <v>733</v>
      </c>
      <c r="AP2" s="213" t="s">
        <v>734</v>
      </c>
      <c r="AQ2" s="213">
        <v>1</v>
      </c>
      <c r="AR2" s="213" t="s">
        <v>798</v>
      </c>
      <c r="AS2" s="213">
        <v>24.7</v>
      </c>
      <c r="AT2" s="213">
        <v>407</v>
      </c>
      <c r="AU2" s="213" t="s">
        <v>710</v>
      </c>
      <c r="AV2" s="213">
        <v>-9999</v>
      </c>
      <c r="AW2" s="213">
        <v>229</v>
      </c>
      <c r="AX2" s="213">
        <v>562</v>
      </c>
      <c r="AY2" s="213">
        <v>225</v>
      </c>
      <c r="AZ2" s="213" t="s">
        <v>710</v>
      </c>
      <c r="BA2" s="213">
        <v>0</v>
      </c>
      <c r="BB2" s="213">
        <v>40</v>
      </c>
      <c r="BC2" s="213" t="s">
        <v>736</v>
      </c>
      <c r="BD2" s="213" t="s">
        <v>734</v>
      </c>
      <c r="BE2" s="213">
        <v>2</v>
      </c>
      <c r="BF2" s="213" t="s">
        <v>798</v>
      </c>
      <c r="BG2" s="213">
        <v>25</v>
      </c>
      <c r="BH2" s="213">
        <v>253</v>
      </c>
      <c r="BI2" s="213" t="s">
        <v>710</v>
      </c>
      <c r="BJ2" s="213">
        <v>-9999</v>
      </c>
      <c r="BK2" s="213">
        <v>99</v>
      </c>
      <c r="BL2" s="213">
        <v>296</v>
      </c>
      <c r="BM2" s="213">
        <v>97</v>
      </c>
      <c r="BN2" s="213" t="s">
        <v>710</v>
      </c>
      <c r="BO2" s="213">
        <v>0</v>
      </c>
      <c r="BP2" s="213">
        <v>40</v>
      </c>
      <c r="BQ2" s="213" t="s">
        <v>737</v>
      </c>
      <c r="BR2" s="213" t="s">
        <v>734</v>
      </c>
      <c r="BS2" s="213">
        <v>3</v>
      </c>
      <c r="BT2" s="213" t="s">
        <v>798</v>
      </c>
      <c r="BU2" s="213">
        <v>25.8</v>
      </c>
      <c r="BV2" s="213">
        <v>188</v>
      </c>
      <c r="BW2" s="213" t="s">
        <v>710</v>
      </c>
      <c r="BX2" s="213">
        <v>-9999</v>
      </c>
      <c r="BY2" s="213">
        <v>153</v>
      </c>
      <c r="BZ2" s="213">
        <v>361</v>
      </c>
      <c r="CA2" s="213">
        <v>152</v>
      </c>
      <c r="CB2" s="213" t="s">
        <v>710</v>
      </c>
      <c r="CC2" s="213">
        <v>0</v>
      </c>
      <c r="CD2" s="213">
        <v>40</v>
      </c>
      <c r="CE2" s="213" t="s">
        <v>738</v>
      </c>
      <c r="CF2" s="213" t="s">
        <v>734</v>
      </c>
      <c r="CG2" s="213">
        <v>4</v>
      </c>
      <c r="CH2" s="213" t="s">
        <v>798</v>
      </c>
      <c r="CI2" s="213">
        <v>27.2</v>
      </c>
      <c r="CJ2" s="213">
        <v>138</v>
      </c>
      <c r="CK2" s="213" t="s">
        <v>710</v>
      </c>
      <c r="CL2" s="213">
        <v>-9999</v>
      </c>
      <c r="CM2" s="213">
        <v>128</v>
      </c>
      <c r="CN2" s="213">
        <v>329</v>
      </c>
      <c r="CO2" s="213">
        <v>126</v>
      </c>
      <c r="CP2" s="213" t="s">
        <v>710</v>
      </c>
      <c r="CQ2" s="213">
        <v>0</v>
      </c>
      <c r="CR2" s="213">
        <v>40</v>
      </c>
      <c r="CS2" s="213" t="s">
        <v>739</v>
      </c>
      <c r="CT2" s="213" t="s">
        <v>740</v>
      </c>
      <c r="CU2" s="213">
        <v>105</v>
      </c>
      <c r="CV2" s="213">
        <v>105</v>
      </c>
      <c r="CW2" s="213">
        <v>105</v>
      </c>
      <c r="CX2" s="213" t="s">
        <v>710</v>
      </c>
      <c r="CY2" s="213" t="s">
        <v>741</v>
      </c>
      <c r="CZ2" s="213" t="s">
        <v>740</v>
      </c>
      <c r="DA2" s="213">
        <v>97</v>
      </c>
      <c r="DB2" s="213">
        <v>96</v>
      </c>
      <c r="DC2" s="213">
        <v>96</v>
      </c>
      <c r="DD2" s="213" t="s">
        <v>710</v>
      </c>
      <c r="DE2" s="213" t="s">
        <v>742</v>
      </c>
      <c r="DF2" s="213" t="s">
        <v>743</v>
      </c>
      <c r="DG2" s="213">
        <v>0</v>
      </c>
      <c r="DH2" s="213">
        <v>0</v>
      </c>
      <c r="DI2" s="213">
        <v>0</v>
      </c>
      <c r="DJ2" s="213" t="s">
        <v>249</v>
      </c>
      <c r="DK2" s="213">
        <v>69</v>
      </c>
      <c r="DL2" s="213">
        <v>68.599999999999994</v>
      </c>
      <c r="DM2" s="213" t="s">
        <v>744</v>
      </c>
      <c r="DN2" s="213" t="s">
        <v>743</v>
      </c>
      <c r="DO2" s="213">
        <v>0</v>
      </c>
      <c r="DP2" s="213">
        <v>0</v>
      </c>
      <c r="DQ2" s="213">
        <v>0</v>
      </c>
      <c r="DR2" s="213" t="s">
        <v>249</v>
      </c>
      <c r="DS2" s="213">
        <v>72.8</v>
      </c>
      <c r="DT2" s="213">
        <v>98</v>
      </c>
      <c r="DU2" s="213" t="s">
        <v>745</v>
      </c>
      <c r="DV2" s="213" t="s">
        <v>743</v>
      </c>
      <c r="DW2" s="213">
        <v>0</v>
      </c>
      <c r="DX2" s="213">
        <v>0</v>
      </c>
      <c r="DY2" s="213">
        <v>0</v>
      </c>
      <c r="DZ2" s="213" t="s">
        <v>249</v>
      </c>
      <c r="EA2" s="213">
        <v>75.5</v>
      </c>
      <c r="EB2" s="213">
        <v>88.3</v>
      </c>
      <c r="EC2" s="213" t="s">
        <v>746</v>
      </c>
      <c r="ED2" s="213" t="s">
        <v>743</v>
      </c>
      <c r="EE2" s="213">
        <v>0</v>
      </c>
      <c r="EF2" s="213">
        <v>0</v>
      </c>
      <c r="EG2" s="213">
        <v>0</v>
      </c>
      <c r="EH2" s="213" t="s">
        <v>249</v>
      </c>
      <c r="EI2" s="213">
        <v>66.8</v>
      </c>
      <c r="EJ2" s="213">
        <v>93.1</v>
      </c>
      <c r="EK2" s="213" t="s">
        <v>747</v>
      </c>
      <c r="EL2" s="213" t="s">
        <v>743</v>
      </c>
      <c r="EM2" s="213">
        <v>0</v>
      </c>
      <c r="EN2" s="213">
        <v>0</v>
      </c>
      <c r="EO2" s="213">
        <v>0</v>
      </c>
      <c r="EP2" s="213" t="s">
        <v>249</v>
      </c>
      <c r="ES2" s="213" t="s">
        <v>748</v>
      </c>
      <c r="ET2" s="213" t="s">
        <v>743</v>
      </c>
      <c r="EU2" s="213">
        <v>0</v>
      </c>
      <c r="EV2" s="213">
        <v>0</v>
      </c>
      <c r="EW2" s="213">
        <v>0</v>
      </c>
      <c r="EX2" s="213" t="s">
        <v>249</v>
      </c>
      <c r="FA2" s="213" t="s">
        <v>749</v>
      </c>
      <c r="FB2" s="213" t="s">
        <v>743</v>
      </c>
      <c r="FC2" s="213">
        <v>0</v>
      </c>
      <c r="FD2" s="213">
        <v>0</v>
      </c>
      <c r="FE2" s="213">
        <v>0</v>
      </c>
      <c r="FF2" s="213" t="s">
        <v>249</v>
      </c>
      <c r="FI2" s="213" t="s">
        <v>750</v>
      </c>
      <c r="FJ2" s="213" t="s">
        <v>743</v>
      </c>
      <c r="FK2" s="213">
        <v>0</v>
      </c>
      <c r="FL2" s="213">
        <v>0</v>
      </c>
      <c r="FM2" s="213">
        <v>0</v>
      </c>
      <c r="FN2" s="213" t="s">
        <v>249</v>
      </c>
      <c r="FQ2" s="213" t="s">
        <v>751</v>
      </c>
      <c r="FR2" s="213" t="s">
        <v>743</v>
      </c>
      <c r="FS2" s="213">
        <v>0</v>
      </c>
      <c r="FT2" s="213">
        <v>0</v>
      </c>
      <c r="FU2" s="213">
        <v>0</v>
      </c>
      <c r="FV2" s="213" t="s">
        <v>249</v>
      </c>
      <c r="FY2" s="213">
        <v>15.6</v>
      </c>
      <c r="FZ2" s="213">
        <v>-8.1</v>
      </c>
      <c r="GF2" s="213" t="s">
        <v>752</v>
      </c>
    </row>
    <row r="3" spans="1:188" s="213" customFormat="1" x14ac:dyDescent="0.15">
      <c r="A3" s="213" t="s">
        <v>654</v>
      </c>
      <c r="B3" s="213">
        <v>4</v>
      </c>
      <c r="C3" s="213" t="s">
        <v>1093</v>
      </c>
      <c r="D3" s="213">
        <v>614332203</v>
      </c>
      <c r="E3" s="213">
        <v>92303</v>
      </c>
      <c r="F3" s="213" t="s">
        <v>1089</v>
      </c>
      <c r="G3" s="213">
        <v>802069</v>
      </c>
      <c r="H3" s="213">
        <v>624207</v>
      </c>
      <c r="I3" s="213" t="s">
        <v>1090</v>
      </c>
      <c r="J3" s="213" t="s">
        <v>1094</v>
      </c>
      <c r="K3" s="213" t="s">
        <v>727</v>
      </c>
      <c r="L3" s="213" t="s">
        <v>1092</v>
      </c>
      <c r="M3" s="213" t="s">
        <v>728</v>
      </c>
      <c r="N3" s="213" t="s">
        <v>728</v>
      </c>
      <c r="O3" s="213" t="s">
        <v>729</v>
      </c>
      <c r="P3" s="213" t="s">
        <v>249</v>
      </c>
      <c r="Q3" s="213">
        <v>24.4</v>
      </c>
      <c r="R3" s="213">
        <v>161</v>
      </c>
      <c r="S3" s="213" t="s">
        <v>249</v>
      </c>
      <c r="T3" s="213">
        <v>-9999</v>
      </c>
      <c r="U3" s="213">
        <v>189</v>
      </c>
      <c r="V3" s="213">
        <v>406</v>
      </c>
      <c r="W3" s="213">
        <v>181</v>
      </c>
      <c r="X3" s="213" t="s">
        <v>710</v>
      </c>
      <c r="Y3" s="213">
        <v>0</v>
      </c>
      <c r="Z3" s="213">
        <v>40</v>
      </c>
      <c r="AA3" s="213" t="s">
        <v>730</v>
      </c>
      <c r="AB3" s="213" t="s">
        <v>731</v>
      </c>
      <c r="AC3" s="213" t="s">
        <v>729</v>
      </c>
      <c r="AD3" s="213" t="s">
        <v>249</v>
      </c>
      <c r="AE3" s="213">
        <v>21.1</v>
      </c>
      <c r="AF3" s="213">
        <v>472</v>
      </c>
      <c r="AG3" s="213" t="s">
        <v>249</v>
      </c>
      <c r="AH3" s="213">
        <v>-9999</v>
      </c>
      <c r="AI3" s="213">
        <v>174</v>
      </c>
      <c r="AJ3" s="213">
        <v>412</v>
      </c>
      <c r="AK3" s="213">
        <v>171</v>
      </c>
      <c r="AL3" s="213" t="s">
        <v>710</v>
      </c>
      <c r="AM3" s="213">
        <v>0</v>
      </c>
      <c r="AN3" s="213">
        <v>40</v>
      </c>
      <c r="AO3" s="213" t="s">
        <v>733</v>
      </c>
      <c r="AP3" s="213" t="s">
        <v>734</v>
      </c>
      <c r="AQ3" s="213">
        <v>1</v>
      </c>
      <c r="AR3" s="213" t="s">
        <v>798</v>
      </c>
      <c r="AS3" s="213">
        <v>23.6</v>
      </c>
      <c r="AT3" s="213">
        <v>442</v>
      </c>
      <c r="AU3" s="213" t="s">
        <v>710</v>
      </c>
      <c r="AV3" s="213">
        <v>-9999</v>
      </c>
      <c r="AW3" s="213">
        <v>233</v>
      </c>
      <c r="AX3" s="213">
        <v>578</v>
      </c>
      <c r="AY3" s="213">
        <v>231</v>
      </c>
      <c r="AZ3" s="213" t="s">
        <v>710</v>
      </c>
      <c r="BA3" s="213">
        <v>0</v>
      </c>
      <c r="BB3" s="213">
        <v>40</v>
      </c>
      <c r="BC3" s="213" t="s">
        <v>736</v>
      </c>
      <c r="BD3" s="213" t="s">
        <v>734</v>
      </c>
      <c r="BE3" s="213">
        <v>2</v>
      </c>
      <c r="BF3" s="213" t="s">
        <v>798</v>
      </c>
      <c r="BG3" s="213">
        <v>23.6</v>
      </c>
      <c r="BH3" s="213">
        <v>285</v>
      </c>
      <c r="BI3" s="213" t="s">
        <v>710</v>
      </c>
      <c r="BJ3" s="213">
        <v>-9999</v>
      </c>
      <c r="BK3" s="213">
        <v>95</v>
      </c>
      <c r="BL3" s="213">
        <v>288</v>
      </c>
      <c r="BM3" s="213">
        <v>92</v>
      </c>
      <c r="BN3" s="213" t="s">
        <v>710</v>
      </c>
      <c r="BO3" s="213">
        <v>0</v>
      </c>
      <c r="BP3" s="213">
        <v>40</v>
      </c>
      <c r="BQ3" s="213" t="s">
        <v>737</v>
      </c>
      <c r="BR3" s="213" t="s">
        <v>734</v>
      </c>
      <c r="BS3" s="213">
        <v>3</v>
      </c>
      <c r="BT3" s="213" t="s">
        <v>798</v>
      </c>
      <c r="BU3" s="213">
        <v>24.7</v>
      </c>
      <c r="BV3" s="213">
        <v>205</v>
      </c>
      <c r="BW3" s="213" t="s">
        <v>710</v>
      </c>
      <c r="BX3" s="213">
        <v>-9999</v>
      </c>
      <c r="BY3" s="213">
        <v>170</v>
      </c>
      <c r="BZ3" s="213">
        <v>404</v>
      </c>
      <c r="CA3" s="213">
        <v>169</v>
      </c>
      <c r="CB3" s="213" t="s">
        <v>710</v>
      </c>
      <c r="CC3" s="213">
        <v>0</v>
      </c>
      <c r="CD3" s="213">
        <v>40</v>
      </c>
      <c r="CE3" s="213" t="s">
        <v>738</v>
      </c>
      <c r="CF3" s="213" t="s">
        <v>734</v>
      </c>
      <c r="CG3" s="213">
        <v>4</v>
      </c>
      <c r="CH3" s="213" t="s">
        <v>798</v>
      </c>
      <c r="CI3" s="213">
        <v>25.8</v>
      </c>
      <c r="CJ3" s="213">
        <v>143</v>
      </c>
      <c r="CK3" s="213" t="s">
        <v>710</v>
      </c>
      <c r="CL3" s="213">
        <v>-9999</v>
      </c>
      <c r="CM3" s="213">
        <v>129</v>
      </c>
      <c r="CN3" s="213">
        <v>342</v>
      </c>
      <c r="CO3" s="213">
        <v>126</v>
      </c>
      <c r="CP3" s="213" t="s">
        <v>710</v>
      </c>
      <c r="CQ3" s="213">
        <v>0</v>
      </c>
      <c r="CR3" s="213">
        <v>40</v>
      </c>
      <c r="CS3" s="213" t="s">
        <v>739</v>
      </c>
      <c r="CT3" s="213" t="s">
        <v>740</v>
      </c>
      <c r="CU3" s="213">
        <v>98</v>
      </c>
      <c r="CV3" s="213">
        <v>98</v>
      </c>
      <c r="CW3" s="213">
        <v>97</v>
      </c>
      <c r="CX3" s="213" t="s">
        <v>710</v>
      </c>
      <c r="CY3" s="213" t="s">
        <v>741</v>
      </c>
      <c r="CZ3" s="213" t="s">
        <v>740</v>
      </c>
      <c r="DA3" s="213">
        <v>95</v>
      </c>
      <c r="DB3" s="213">
        <v>95</v>
      </c>
      <c r="DC3" s="213">
        <v>95</v>
      </c>
      <c r="DD3" s="213" t="s">
        <v>710</v>
      </c>
      <c r="DE3" s="213" t="s">
        <v>742</v>
      </c>
      <c r="DF3" s="213" t="s">
        <v>743</v>
      </c>
      <c r="DG3" s="213">
        <v>0</v>
      </c>
      <c r="DH3" s="213">
        <v>0</v>
      </c>
      <c r="DI3" s="213">
        <v>0</v>
      </c>
      <c r="DJ3" s="213" t="s">
        <v>249</v>
      </c>
      <c r="DK3" s="213">
        <v>69</v>
      </c>
      <c r="DL3" s="213">
        <v>78.8</v>
      </c>
      <c r="DM3" s="213" t="s">
        <v>744</v>
      </c>
      <c r="DN3" s="213" t="s">
        <v>743</v>
      </c>
      <c r="DO3" s="213">
        <v>0</v>
      </c>
      <c r="DP3" s="213">
        <v>0</v>
      </c>
      <c r="DQ3" s="213">
        <v>0</v>
      </c>
      <c r="DR3" s="213" t="s">
        <v>249</v>
      </c>
      <c r="DS3" s="213">
        <v>72.8</v>
      </c>
      <c r="DT3" s="213">
        <v>98.2</v>
      </c>
      <c r="DU3" s="213" t="s">
        <v>745</v>
      </c>
      <c r="DV3" s="213" t="s">
        <v>743</v>
      </c>
      <c r="DW3" s="213">
        <v>0</v>
      </c>
      <c r="DX3" s="213">
        <v>0</v>
      </c>
      <c r="DY3" s="213">
        <v>0</v>
      </c>
      <c r="DZ3" s="213" t="s">
        <v>249</v>
      </c>
      <c r="EA3" s="213">
        <v>75.5</v>
      </c>
      <c r="EB3" s="213">
        <v>92.9</v>
      </c>
      <c r="EC3" s="213" t="s">
        <v>746</v>
      </c>
      <c r="ED3" s="213" t="s">
        <v>743</v>
      </c>
      <c r="EE3" s="213">
        <v>0</v>
      </c>
      <c r="EF3" s="213">
        <v>0</v>
      </c>
      <c r="EG3" s="213">
        <v>0</v>
      </c>
      <c r="EH3" s="213" t="s">
        <v>249</v>
      </c>
      <c r="EI3" s="213">
        <v>66.900000000000006</v>
      </c>
      <c r="EJ3" s="213">
        <v>93.8</v>
      </c>
      <c r="EK3" s="213" t="s">
        <v>747</v>
      </c>
      <c r="EL3" s="213" t="s">
        <v>743</v>
      </c>
      <c r="EM3" s="213">
        <v>0</v>
      </c>
      <c r="EN3" s="213">
        <v>0</v>
      </c>
      <c r="EO3" s="213">
        <v>0</v>
      </c>
      <c r="EP3" s="213" t="s">
        <v>249</v>
      </c>
      <c r="ES3" s="213" t="s">
        <v>748</v>
      </c>
      <c r="ET3" s="213" t="s">
        <v>743</v>
      </c>
      <c r="EU3" s="213">
        <v>0</v>
      </c>
      <c r="EV3" s="213">
        <v>0</v>
      </c>
      <c r="EW3" s="213">
        <v>0</v>
      </c>
      <c r="EX3" s="213" t="s">
        <v>249</v>
      </c>
      <c r="FA3" s="213" t="s">
        <v>749</v>
      </c>
      <c r="FB3" s="213" t="s">
        <v>743</v>
      </c>
      <c r="FC3" s="213">
        <v>0</v>
      </c>
      <c r="FD3" s="213">
        <v>0</v>
      </c>
      <c r="FE3" s="213">
        <v>0</v>
      </c>
      <c r="FF3" s="213" t="s">
        <v>249</v>
      </c>
      <c r="FI3" s="213" t="s">
        <v>750</v>
      </c>
      <c r="FJ3" s="213" t="s">
        <v>743</v>
      </c>
      <c r="FK3" s="213">
        <v>0</v>
      </c>
      <c r="FL3" s="213">
        <v>0</v>
      </c>
      <c r="FM3" s="213">
        <v>0</v>
      </c>
      <c r="FN3" s="213" t="s">
        <v>249</v>
      </c>
      <c r="FQ3" s="213" t="s">
        <v>751</v>
      </c>
      <c r="FR3" s="213" t="s">
        <v>743</v>
      </c>
      <c r="FS3" s="213">
        <v>0</v>
      </c>
      <c r="FT3" s="213">
        <v>0</v>
      </c>
      <c r="FU3" s="213">
        <v>0</v>
      </c>
      <c r="FV3" s="213" t="s">
        <v>249</v>
      </c>
      <c r="FY3" s="213">
        <v>20.8</v>
      </c>
      <c r="FZ3" s="213">
        <v>-8.4</v>
      </c>
      <c r="GF3" s="213" t="s">
        <v>752</v>
      </c>
    </row>
    <row r="4" spans="1:188" s="213" customFormat="1" x14ac:dyDescent="0.15">
      <c r="A4" s="213" t="s">
        <v>654</v>
      </c>
      <c r="B4" s="213">
        <v>4</v>
      </c>
      <c r="C4" s="213" t="s">
        <v>1095</v>
      </c>
      <c r="D4" s="213">
        <v>614334366</v>
      </c>
      <c r="E4" s="213">
        <v>92303</v>
      </c>
      <c r="F4" s="213" t="s">
        <v>1089</v>
      </c>
      <c r="G4" s="213">
        <v>802069</v>
      </c>
      <c r="H4" s="213">
        <v>642168</v>
      </c>
      <c r="I4" s="213" t="s">
        <v>1090</v>
      </c>
      <c r="J4" s="213" t="s">
        <v>1096</v>
      </c>
      <c r="K4" s="213" t="s">
        <v>727</v>
      </c>
      <c r="L4" s="213" t="s">
        <v>1092</v>
      </c>
      <c r="M4" s="213" t="s">
        <v>728</v>
      </c>
      <c r="N4" s="213" t="s">
        <v>728</v>
      </c>
      <c r="O4" s="213" t="s">
        <v>729</v>
      </c>
      <c r="P4" s="213" t="s">
        <v>249</v>
      </c>
      <c r="Q4" s="213">
        <v>24.9</v>
      </c>
      <c r="R4" s="213">
        <v>160</v>
      </c>
      <c r="S4" s="213" t="s">
        <v>249</v>
      </c>
      <c r="T4" s="213">
        <v>-9999</v>
      </c>
      <c r="U4" s="213">
        <v>214</v>
      </c>
      <c r="V4" s="213">
        <v>460</v>
      </c>
      <c r="W4" s="213">
        <v>206</v>
      </c>
      <c r="X4" s="213" t="s">
        <v>710</v>
      </c>
      <c r="Y4" s="213">
        <v>0</v>
      </c>
      <c r="Z4" s="213">
        <v>40</v>
      </c>
      <c r="AA4" s="213" t="s">
        <v>730</v>
      </c>
      <c r="AB4" s="213" t="s">
        <v>731</v>
      </c>
      <c r="AC4" s="213" t="s">
        <v>729</v>
      </c>
      <c r="AD4" s="213" t="s">
        <v>249</v>
      </c>
      <c r="AE4" s="213">
        <v>23.1</v>
      </c>
      <c r="AF4" s="213">
        <v>483</v>
      </c>
      <c r="AG4" s="213" t="s">
        <v>249</v>
      </c>
      <c r="AH4" s="213">
        <v>-9999</v>
      </c>
      <c r="AI4" s="213">
        <v>154</v>
      </c>
      <c r="AJ4" s="213">
        <v>362</v>
      </c>
      <c r="AK4" s="213">
        <v>152</v>
      </c>
      <c r="AL4" s="213" t="s">
        <v>710</v>
      </c>
      <c r="AM4" s="213">
        <v>0</v>
      </c>
      <c r="AN4" s="213">
        <v>40</v>
      </c>
      <c r="AO4" s="213" t="s">
        <v>733</v>
      </c>
      <c r="AP4" s="213" t="s">
        <v>734</v>
      </c>
      <c r="AQ4" s="213">
        <v>1</v>
      </c>
      <c r="AR4" s="213" t="s">
        <v>798</v>
      </c>
      <c r="AS4" s="213">
        <v>25</v>
      </c>
      <c r="AT4" s="213">
        <v>441</v>
      </c>
      <c r="AU4" s="213" t="s">
        <v>710</v>
      </c>
      <c r="AV4" s="213">
        <v>-9999</v>
      </c>
      <c r="AW4" s="213">
        <v>256</v>
      </c>
      <c r="AX4" s="213">
        <v>633</v>
      </c>
      <c r="AY4" s="213">
        <v>250</v>
      </c>
      <c r="AZ4" s="213" t="s">
        <v>710</v>
      </c>
      <c r="BA4" s="213">
        <v>0</v>
      </c>
      <c r="BB4" s="213">
        <v>40</v>
      </c>
      <c r="BC4" s="213" t="s">
        <v>736</v>
      </c>
      <c r="BD4" s="213" t="s">
        <v>734</v>
      </c>
      <c r="BE4" s="213">
        <v>2</v>
      </c>
      <c r="BF4" s="213" t="s">
        <v>798</v>
      </c>
      <c r="BG4" s="213">
        <v>25.1</v>
      </c>
      <c r="BH4" s="213">
        <v>285</v>
      </c>
      <c r="BI4" s="213" t="s">
        <v>710</v>
      </c>
      <c r="BJ4" s="213">
        <v>-9999</v>
      </c>
      <c r="BK4" s="213">
        <v>90</v>
      </c>
      <c r="BL4" s="213">
        <v>284</v>
      </c>
      <c r="BM4" s="213">
        <v>89</v>
      </c>
      <c r="BN4" s="213" t="s">
        <v>710</v>
      </c>
      <c r="BO4" s="213">
        <v>0</v>
      </c>
      <c r="BP4" s="213">
        <v>40</v>
      </c>
      <c r="BQ4" s="213" t="s">
        <v>737</v>
      </c>
      <c r="BR4" s="213" t="s">
        <v>734</v>
      </c>
      <c r="BS4" s="213">
        <v>3</v>
      </c>
      <c r="BT4" s="213" t="s">
        <v>798</v>
      </c>
      <c r="BU4" s="213">
        <v>26.4</v>
      </c>
      <c r="BV4" s="213">
        <v>191</v>
      </c>
      <c r="BW4" s="213" t="s">
        <v>710</v>
      </c>
      <c r="BX4" s="213">
        <v>-9999</v>
      </c>
      <c r="BY4" s="213">
        <v>162</v>
      </c>
      <c r="BZ4" s="213">
        <v>397</v>
      </c>
      <c r="CA4" s="213">
        <v>162</v>
      </c>
      <c r="CB4" s="213" t="s">
        <v>710</v>
      </c>
      <c r="CC4" s="213">
        <v>0</v>
      </c>
      <c r="CD4" s="213">
        <v>40</v>
      </c>
      <c r="CE4" s="213" t="s">
        <v>738</v>
      </c>
      <c r="CF4" s="213" t="s">
        <v>734</v>
      </c>
      <c r="CG4" s="213">
        <v>4</v>
      </c>
      <c r="CH4" s="213" t="s">
        <v>798</v>
      </c>
      <c r="CI4" s="213">
        <v>27.4</v>
      </c>
      <c r="CJ4" s="213">
        <v>148</v>
      </c>
      <c r="CK4" s="213" t="s">
        <v>710</v>
      </c>
      <c r="CL4" s="213">
        <v>-9999</v>
      </c>
      <c r="CM4" s="213">
        <v>123</v>
      </c>
      <c r="CN4" s="213">
        <v>324</v>
      </c>
      <c r="CO4" s="213">
        <v>119</v>
      </c>
      <c r="CP4" s="213" t="s">
        <v>710</v>
      </c>
      <c r="CQ4" s="213">
        <v>0</v>
      </c>
      <c r="CR4" s="213">
        <v>40</v>
      </c>
      <c r="CS4" s="213" t="s">
        <v>739</v>
      </c>
      <c r="CT4" s="213" t="s">
        <v>740</v>
      </c>
      <c r="CU4" s="213">
        <v>96</v>
      </c>
      <c r="CV4" s="213">
        <v>95</v>
      </c>
      <c r="CW4" s="213">
        <v>95</v>
      </c>
      <c r="CX4" s="213" t="s">
        <v>710</v>
      </c>
      <c r="CY4" s="213" t="s">
        <v>741</v>
      </c>
      <c r="CZ4" s="213" t="s">
        <v>740</v>
      </c>
      <c r="DA4" s="213">
        <v>103</v>
      </c>
      <c r="DB4" s="213">
        <v>103</v>
      </c>
      <c r="DC4" s="213">
        <v>103</v>
      </c>
      <c r="DD4" s="213" t="s">
        <v>710</v>
      </c>
      <c r="DE4" s="213" t="s">
        <v>742</v>
      </c>
      <c r="DF4" s="213" t="s">
        <v>743</v>
      </c>
      <c r="DG4" s="213">
        <v>0</v>
      </c>
      <c r="DH4" s="213">
        <v>0</v>
      </c>
      <c r="DI4" s="213">
        <v>0</v>
      </c>
      <c r="DJ4" s="213" t="s">
        <v>249</v>
      </c>
      <c r="DK4" s="213">
        <v>69.3</v>
      </c>
      <c r="DL4" s="213">
        <v>68.3</v>
      </c>
      <c r="DM4" s="213" t="s">
        <v>744</v>
      </c>
      <c r="DN4" s="213" t="s">
        <v>743</v>
      </c>
      <c r="DO4" s="213">
        <v>0</v>
      </c>
      <c r="DP4" s="213">
        <v>0</v>
      </c>
      <c r="DQ4" s="213">
        <v>0</v>
      </c>
      <c r="DR4" s="213" t="s">
        <v>249</v>
      </c>
      <c r="DS4" s="213">
        <v>73</v>
      </c>
      <c r="DT4" s="213">
        <v>92.3</v>
      </c>
      <c r="DU4" s="213" t="s">
        <v>745</v>
      </c>
      <c r="DV4" s="213" t="s">
        <v>743</v>
      </c>
      <c r="DW4" s="213">
        <v>0</v>
      </c>
      <c r="DX4" s="213">
        <v>0</v>
      </c>
      <c r="DY4" s="213">
        <v>0</v>
      </c>
      <c r="DZ4" s="213" t="s">
        <v>249</v>
      </c>
      <c r="EA4" s="213">
        <v>75.8</v>
      </c>
      <c r="EB4" s="213">
        <v>89.1</v>
      </c>
      <c r="EC4" s="213" t="s">
        <v>746</v>
      </c>
      <c r="ED4" s="213" t="s">
        <v>743</v>
      </c>
      <c r="EE4" s="213">
        <v>0</v>
      </c>
      <c r="EF4" s="213">
        <v>0</v>
      </c>
      <c r="EG4" s="213">
        <v>0</v>
      </c>
      <c r="EH4" s="213" t="s">
        <v>249</v>
      </c>
      <c r="EI4" s="213">
        <v>67</v>
      </c>
      <c r="EJ4" s="213">
        <v>98.9</v>
      </c>
      <c r="EK4" s="213" t="s">
        <v>747</v>
      </c>
      <c r="EL4" s="213" t="s">
        <v>743</v>
      </c>
      <c r="EM4" s="213">
        <v>0</v>
      </c>
      <c r="EN4" s="213">
        <v>0</v>
      </c>
      <c r="EO4" s="213">
        <v>0</v>
      </c>
      <c r="EP4" s="213" t="s">
        <v>249</v>
      </c>
      <c r="ES4" s="213" t="s">
        <v>748</v>
      </c>
      <c r="ET4" s="213" t="s">
        <v>743</v>
      </c>
      <c r="EU4" s="213">
        <v>0</v>
      </c>
      <c r="EV4" s="213">
        <v>0</v>
      </c>
      <c r="EW4" s="213">
        <v>0</v>
      </c>
      <c r="EX4" s="213" t="s">
        <v>249</v>
      </c>
      <c r="FA4" s="213" t="s">
        <v>749</v>
      </c>
      <c r="FB4" s="213" t="s">
        <v>743</v>
      </c>
      <c r="FC4" s="213">
        <v>0</v>
      </c>
      <c r="FD4" s="213">
        <v>0</v>
      </c>
      <c r="FE4" s="213">
        <v>0</v>
      </c>
      <c r="FF4" s="213" t="s">
        <v>249</v>
      </c>
      <c r="FI4" s="213" t="s">
        <v>750</v>
      </c>
      <c r="FJ4" s="213" t="s">
        <v>743</v>
      </c>
      <c r="FK4" s="213">
        <v>0</v>
      </c>
      <c r="FL4" s="213">
        <v>0</v>
      </c>
      <c r="FM4" s="213">
        <v>0</v>
      </c>
      <c r="FN4" s="213" t="s">
        <v>249</v>
      </c>
      <c r="FQ4" s="213" t="s">
        <v>751</v>
      </c>
      <c r="FR4" s="213" t="s">
        <v>743</v>
      </c>
      <c r="FS4" s="213">
        <v>0</v>
      </c>
      <c r="FT4" s="213">
        <v>0</v>
      </c>
      <c r="FU4" s="213">
        <v>0</v>
      </c>
      <c r="FV4" s="213" t="s">
        <v>249</v>
      </c>
      <c r="FY4" s="213">
        <v>18.7</v>
      </c>
      <c r="FZ4" s="213">
        <v>-8.1999999999999993</v>
      </c>
      <c r="GF4" s="213" t="s">
        <v>752</v>
      </c>
    </row>
    <row r="5" spans="1:188" s="213" customFormat="1" x14ac:dyDescent="0.15">
      <c r="A5" s="213" t="s">
        <v>654</v>
      </c>
      <c r="B5" s="213">
        <v>4</v>
      </c>
      <c r="C5" s="213" t="s">
        <v>1097</v>
      </c>
      <c r="D5" s="213">
        <v>614334511</v>
      </c>
      <c r="E5" s="213">
        <v>92303</v>
      </c>
      <c r="F5" s="213" t="s">
        <v>1089</v>
      </c>
      <c r="G5" s="213">
        <v>802069</v>
      </c>
      <c r="H5" s="213">
        <v>775844</v>
      </c>
      <c r="I5" s="213" t="s">
        <v>1090</v>
      </c>
      <c r="J5" s="213" t="s">
        <v>1098</v>
      </c>
      <c r="K5" s="213" t="s">
        <v>727</v>
      </c>
      <c r="L5" s="213" t="s">
        <v>1092</v>
      </c>
      <c r="M5" s="213" t="s">
        <v>728</v>
      </c>
      <c r="N5" s="213" t="s">
        <v>728</v>
      </c>
      <c r="O5" s="213" t="s">
        <v>729</v>
      </c>
      <c r="P5" s="213" t="s">
        <v>249</v>
      </c>
      <c r="Q5" s="213">
        <v>25.1</v>
      </c>
      <c r="R5" s="213">
        <v>137</v>
      </c>
      <c r="S5" s="213" t="s">
        <v>249</v>
      </c>
      <c r="T5" s="213">
        <v>-9999</v>
      </c>
      <c r="U5" s="213">
        <v>191</v>
      </c>
      <c r="V5" s="213">
        <v>411</v>
      </c>
      <c r="W5" s="213">
        <v>187</v>
      </c>
      <c r="X5" s="213" t="s">
        <v>710</v>
      </c>
      <c r="Y5" s="213">
        <v>0</v>
      </c>
      <c r="Z5" s="213">
        <v>40</v>
      </c>
      <c r="AA5" s="213" t="s">
        <v>730</v>
      </c>
      <c r="AB5" s="213" t="s">
        <v>731</v>
      </c>
      <c r="AC5" s="213" t="s">
        <v>729</v>
      </c>
      <c r="AD5" s="213" t="s">
        <v>249</v>
      </c>
      <c r="AE5" s="213">
        <v>23.8</v>
      </c>
      <c r="AF5" s="213">
        <v>484</v>
      </c>
      <c r="AG5" s="213" t="s">
        <v>249</v>
      </c>
      <c r="AH5" s="213">
        <v>-9999</v>
      </c>
      <c r="AI5" s="213">
        <v>163</v>
      </c>
      <c r="AJ5" s="213">
        <v>389</v>
      </c>
      <c r="AK5" s="213">
        <v>161</v>
      </c>
      <c r="AL5" s="213" t="s">
        <v>710</v>
      </c>
      <c r="AM5" s="213">
        <v>0</v>
      </c>
      <c r="AN5" s="213">
        <v>40</v>
      </c>
      <c r="AO5" s="213" t="s">
        <v>733</v>
      </c>
      <c r="AP5" s="213" t="s">
        <v>734</v>
      </c>
      <c r="AQ5" s="213">
        <v>1</v>
      </c>
      <c r="AR5" s="213" t="s">
        <v>798</v>
      </c>
      <c r="AS5" s="213">
        <v>26.1</v>
      </c>
      <c r="AT5" s="213">
        <v>379</v>
      </c>
      <c r="AU5" s="213" t="s">
        <v>710</v>
      </c>
      <c r="AV5" s="213">
        <v>-9999</v>
      </c>
      <c r="AW5" s="213">
        <v>232</v>
      </c>
      <c r="AX5" s="213">
        <v>563</v>
      </c>
      <c r="AY5" s="213">
        <v>230</v>
      </c>
      <c r="AZ5" s="213" t="s">
        <v>710</v>
      </c>
      <c r="BA5" s="213">
        <v>0</v>
      </c>
      <c r="BB5" s="213">
        <v>40</v>
      </c>
      <c r="BC5" s="213" t="s">
        <v>736</v>
      </c>
      <c r="BD5" s="213" t="s">
        <v>734</v>
      </c>
      <c r="BE5" s="213">
        <v>2</v>
      </c>
      <c r="BF5" s="213" t="s">
        <v>798</v>
      </c>
      <c r="BG5" s="213">
        <v>26.3</v>
      </c>
      <c r="BH5" s="213">
        <v>242</v>
      </c>
      <c r="BI5" s="213" t="s">
        <v>710</v>
      </c>
      <c r="BJ5" s="213">
        <v>-9999</v>
      </c>
      <c r="BK5" s="213">
        <v>91</v>
      </c>
      <c r="BL5" s="213">
        <v>301</v>
      </c>
      <c r="BM5" s="213">
        <v>89</v>
      </c>
      <c r="BN5" s="213" t="s">
        <v>710</v>
      </c>
      <c r="BO5" s="213">
        <v>0</v>
      </c>
      <c r="BP5" s="213">
        <v>40</v>
      </c>
      <c r="BQ5" s="213" t="s">
        <v>737</v>
      </c>
      <c r="BR5" s="213" t="s">
        <v>734</v>
      </c>
      <c r="BS5" s="213">
        <v>3</v>
      </c>
      <c r="BT5" s="213" t="s">
        <v>798</v>
      </c>
      <c r="BU5" s="213">
        <v>27.8</v>
      </c>
      <c r="BV5" s="213">
        <v>154</v>
      </c>
      <c r="BW5" s="213" t="s">
        <v>710</v>
      </c>
      <c r="BX5" s="213">
        <v>-9999</v>
      </c>
      <c r="BY5" s="213">
        <v>175</v>
      </c>
      <c r="BZ5" s="213">
        <v>414</v>
      </c>
      <c r="CA5" s="213">
        <v>175</v>
      </c>
      <c r="CB5" s="213" t="s">
        <v>710</v>
      </c>
      <c r="CC5" s="213">
        <v>0</v>
      </c>
      <c r="CD5" s="213">
        <v>40</v>
      </c>
      <c r="CE5" s="213" t="s">
        <v>738</v>
      </c>
      <c r="CF5" s="213" t="s">
        <v>734</v>
      </c>
      <c r="CG5" s="213">
        <v>4</v>
      </c>
      <c r="CH5" s="213" t="s">
        <v>798</v>
      </c>
      <c r="CI5" s="213">
        <v>28.7</v>
      </c>
      <c r="CJ5" s="213">
        <v>119</v>
      </c>
      <c r="CK5" s="213" t="s">
        <v>710</v>
      </c>
      <c r="CL5" s="213">
        <v>-9999</v>
      </c>
      <c r="CM5" s="213">
        <v>152</v>
      </c>
      <c r="CN5" s="213">
        <v>397</v>
      </c>
      <c r="CO5" s="213">
        <v>150</v>
      </c>
      <c r="CP5" s="213" t="s">
        <v>710</v>
      </c>
      <c r="CQ5" s="213">
        <v>0</v>
      </c>
      <c r="CR5" s="213">
        <v>40</v>
      </c>
      <c r="CS5" s="213" t="s">
        <v>739</v>
      </c>
      <c r="CT5" s="213" t="s">
        <v>740</v>
      </c>
      <c r="CU5" s="213">
        <v>108</v>
      </c>
      <c r="CV5" s="213">
        <v>108</v>
      </c>
      <c r="CW5" s="213">
        <v>108</v>
      </c>
      <c r="CX5" s="213" t="s">
        <v>710</v>
      </c>
      <c r="CY5" s="213" t="s">
        <v>741</v>
      </c>
      <c r="CZ5" s="213" t="s">
        <v>740</v>
      </c>
      <c r="DA5" s="213">
        <v>99</v>
      </c>
      <c r="DB5" s="213">
        <v>99</v>
      </c>
      <c r="DC5" s="213">
        <v>99</v>
      </c>
      <c r="DD5" s="213" t="s">
        <v>710</v>
      </c>
      <c r="DE5" s="213" t="s">
        <v>742</v>
      </c>
      <c r="DF5" s="213" t="s">
        <v>743</v>
      </c>
      <c r="DG5" s="213">
        <v>0</v>
      </c>
      <c r="DH5" s="213">
        <v>0</v>
      </c>
      <c r="DI5" s="213">
        <v>0</v>
      </c>
      <c r="DJ5" s="213" t="s">
        <v>249</v>
      </c>
      <c r="DK5" s="213">
        <v>69</v>
      </c>
      <c r="DL5" s="213">
        <v>71.8</v>
      </c>
      <c r="DM5" s="213" t="s">
        <v>744</v>
      </c>
      <c r="DN5" s="213" t="s">
        <v>743</v>
      </c>
      <c r="DO5" s="213">
        <v>0</v>
      </c>
      <c r="DP5" s="213">
        <v>0</v>
      </c>
      <c r="DQ5" s="213">
        <v>0</v>
      </c>
      <c r="DR5" s="213" t="s">
        <v>249</v>
      </c>
      <c r="DS5" s="213">
        <v>72.7</v>
      </c>
      <c r="DT5" s="213">
        <v>98.3</v>
      </c>
      <c r="DU5" s="213" t="s">
        <v>745</v>
      </c>
      <c r="DV5" s="213" t="s">
        <v>743</v>
      </c>
      <c r="DW5" s="213">
        <v>0</v>
      </c>
      <c r="DX5" s="213">
        <v>0</v>
      </c>
      <c r="DY5" s="213">
        <v>0</v>
      </c>
      <c r="DZ5" s="213" t="s">
        <v>249</v>
      </c>
      <c r="EA5" s="213">
        <v>75.400000000000006</v>
      </c>
      <c r="EB5" s="213">
        <v>86.9</v>
      </c>
      <c r="EC5" s="213" t="s">
        <v>746</v>
      </c>
      <c r="ED5" s="213" t="s">
        <v>743</v>
      </c>
      <c r="EE5" s="213">
        <v>0</v>
      </c>
      <c r="EF5" s="213">
        <v>0</v>
      </c>
      <c r="EG5" s="213">
        <v>0</v>
      </c>
      <c r="EH5" s="213" t="s">
        <v>249</v>
      </c>
      <c r="EI5" s="213">
        <v>66.599999999999994</v>
      </c>
      <c r="EJ5" s="213">
        <v>103.6</v>
      </c>
      <c r="EK5" s="213" t="s">
        <v>747</v>
      </c>
      <c r="EL5" s="213" t="s">
        <v>743</v>
      </c>
      <c r="EM5" s="213">
        <v>0</v>
      </c>
      <c r="EN5" s="213">
        <v>0</v>
      </c>
      <c r="EO5" s="213">
        <v>0</v>
      </c>
      <c r="EP5" s="213" t="s">
        <v>249</v>
      </c>
      <c r="ES5" s="213" t="s">
        <v>748</v>
      </c>
      <c r="ET5" s="213" t="s">
        <v>743</v>
      </c>
      <c r="EU5" s="213">
        <v>0</v>
      </c>
      <c r="EV5" s="213">
        <v>0</v>
      </c>
      <c r="EW5" s="213">
        <v>0</v>
      </c>
      <c r="EX5" s="213" t="s">
        <v>249</v>
      </c>
      <c r="FA5" s="213" t="s">
        <v>749</v>
      </c>
      <c r="FB5" s="213" t="s">
        <v>743</v>
      </c>
      <c r="FC5" s="213">
        <v>0</v>
      </c>
      <c r="FD5" s="213">
        <v>0</v>
      </c>
      <c r="FE5" s="213">
        <v>0</v>
      </c>
      <c r="FF5" s="213" t="s">
        <v>249</v>
      </c>
      <c r="FI5" s="213" t="s">
        <v>750</v>
      </c>
      <c r="FJ5" s="213" t="s">
        <v>743</v>
      </c>
      <c r="FK5" s="213">
        <v>0</v>
      </c>
      <c r="FL5" s="213">
        <v>0</v>
      </c>
      <c r="FM5" s="213">
        <v>0</v>
      </c>
      <c r="FN5" s="213" t="s">
        <v>249</v>
      </c>
      <c r="FQ5" s="213" t="s">
        <v>751</v>
      </c>
      <c r="FR5" s="213" t="s">
        <v>743</v>
      </c>
      <c r="FS5" s="213">
        <v>0</v>
      </c>
      <c r="FT5" s="213">
        <v>0</v>
      </c>
      <c r="FU5" s="213">
        <v>0</v>
      </c>
      <c r="FV5" s="213" t="s">
        <v>249</v>
      </c>
      <c r="FY5" s="213">
        <v>21.9</v>
      </c>
      <c r="FZ5" s="213">
        <v>-12.3</v>
      </c>
      <c r="GF5" s="213" t="s">
        <v>752</v>
      </c>
    </row>
    <row r="6" spans="1:188" s="283" customFormat="1" x14ac:dyDescent="0.15">
      <c r="A6" s="213" t="s">
        <v>654</v>
      </c>
      <c r="B6" s="213">
        <v>4</v>
      </c>
      <c r="C6" s="213" t="s">
        <v>1099</v>
      </c>
      <c r="D6" s="213">
        <v>614337470</v>
      </c>
      <c r="E6" s="213">
        <v>92303</v>
      </c>
      <c r="F6" s="213" t="s">
        <v>1089</v>
      </c>
      <c r="G6" s="213">
        <v>802069</v>
      </c>
      <c r="H6" s="213">
        <v>635193</v>
      </c>
      <c r="I6" s="213" t="s">
        <v>1090</v>
      </c>
      <c r="J6" s="213" t="s">
        <v>1100</v>
      </c>
      <c r="K6" s="213" t="s">
        <v>1193</v>
      </c>
      <c r="L6" s="213" t="s">
        <v>1194</v>
      </c>
      <c r="M6" s="213" t="s">
        <v>728</v>
      </c>
      <c r="N6" s="213" t="s">
        <v>728</v>
      </c>
      <c r="O6" s="213" t="s">
        <v>729</v>
      </c>
      <c r="P6" s="213" t="s">
        <v>249</v>
      </c>
      <c r="Q6" s="213">
        <v>24.6</v>
      </c>
      <c r="R6" s="213">
        <v>154</v>
      </c>
      <c r="S6" s="213" t="s">
        <v>249</v>
      </c>
      <c r="T6" s="213">
        <v>-9999</v>
      </c>
      <c r="U6" s="213">
        <v>208</v>
      </c>
      <c r="V6" s="213">
        <v>438</v>
      </c>
      <c r="W6" s="213">
        <v>203</v>
      </c>
      <c r="X6" s="213" t="s">
        <v>710</v>
      </c>
      <c r="Y6" s="213">
        <v>0</v>
      </c>
      <c r="Z6" s="213">
        <v>40</v>
      </c>
      <c r="AA6" s="213" t="s">
        <v>730</v>
      </c>
      <c r="AB6" s="213" t="s">
        <v>731</v>
      </c>
      <c r="AC6" s="213" t="s">
        <v>729</v>
      </c>
      <c r="AD6" s="213" t="s">
        <v>249</v>
      </c>
      <c r="AE6" s="213">
        <v>23.6</v>
      </c>
      <c r="AF6" s="213">
        <v>481</v>
      </c>
      <c r="AG6" s="213" t="s">
        <v>249</v>
      </c>
      <c r="AH6" s="213">
        <v>-9999</v>
      </c>
      <c r="AI6" s="213">
        <v>209</v>
      </c>
      <c r="AJ6" s="213">
        <v>499</v>
      </c>
      <c r="AK6" s="213">
        <v>207</v>
      </c>
      <c r="AL6" s="213" t="s">
        <v>710</v>
      </c>
      <c r="AM6" s="213">
        <v>0</v>
      </c>
      <c r="AN6" s="213">
        <v>40</v>
      </c>
      <c r="AO6" s="213" t="s">
        <v>733</v>
      </c>
      <c r="AP6" s="213" t="s">
        <v>734</v>
      </c>
      <c r="AQ6" s="213">
        <v>1</v>
      </c>
      <c r="AR6" s="213" t="s">
        <v>798</v>
      </c>
      <c r="AS6" s="213">
        <v>25.2</v>
      </c>
      <c r="AT6" s="213">
        <v>427</v>
      </c>
      <c r="AU6" s="213" t="s">
        <v>710</v>
      </c>
      <c r="AV6" s="213">
        <v>-9999</v>
      </c>
      <c r="AW6" s="213">
        <v>306</v>
      </c>
      <c r="AX6" s="213">
        <v>761</v>
      </c>
      <c r="AY6" s="213">
        <v>303</v>
      </c>
      <c r="AZ6" s="213" t="s">
        <v>710</v>
      </c>
      <c r="BA6" s="213">
        <v>0</v>
      </c>
      <c r="BB6" s="213">
        <v>40</v>
      </c>
      <c r="BC6" s="213" t="s">
        <v>736</v>
      </c>
      <c r="BD6" s="213" t="s">
        <v>734</v>
      </c>
      <c r="BE6" s="213">
        <v>2</v>
      </c>
      <c r="BF6" s="213" t="s">
        <v>798</v>
      </c>
      <c r="BG6" s="213">
        <v>25.2</v>
      </c>
      <c r="BH6" s="213">
        <v>273</v>
      </c>
      <c r="BI6" s="213" t="s">
        <v>710</v>
      </c>
      <c r="BJ6" s="213">
        <v>-9999</v>
      </c>
      <c r="BK6" s="213">
        <v>116</v>
      </c>
      <c r="BL6" s="213">
        <v>353</v>
      </c>
      <c r="BM6" s="213">
        <v>115</v>
      </c>
      <c r="BN6" s="213" t="s">
        <v>710</v>
      </c>
      <c r="BO6" s="213">
        <v>0</v>
      </c>
      <c r="BP6" s="213">
        <v>40</v>
      </c>
      <c r="BQ6" s="213" t="s">
        <v>737</v>
      </c>
      <c r="BR6" s="213" t="s">
        <v>734</v>
      </c>
      <c r="BS6" s="213">
        <v>3</v>
      </c>
      <c r="BT6" s="213" t="s">
        <v>798</v>
      </c>
      <c r="BU6" s="213">
        <v>26.3</v>
      </c>
      <c r="BV6" s="213">
        <v>190</v>
      </c>
      <c r="BW6" s="213" t="s">
        <v>710</v>
      </c>
      <c r="BX6" s="213">
        <v>-9999</v>
      </c>
      <c r="BY6" s="213">
        <v>154</v>
      </c>
      <c r="BZ6" s="213">
        <v>374</v>
      </c>
      <c r="CA6" s="213">
        <v>155</v>
      </c>
      <c r="CB6" s="213" t="s">
        <v>710</v>
      </c>
      <c r="CC6" s="213">
        <v>0</v>
      </c>
      <c r="CD6" s="213">
        <v>40</v>
      </c>
      <c r="CE6" s="213" t="s">
        <v>738</v>
      </c>
      <c r="CF6" s="213" t="s">
        <v>734</v>
      </c>
      <c r="CG6" s="213">
        <v>4</v>
      </c>
      <c r="CH6" s="213" t="s">
        <v>798</v>
      </c>
      <c r="CI6" s="213">
        <v>27.9</v>
      </c>
      <c r="CJ6" s="213">
        <v>132</v>
      </c>
      <c r="CK6" s="213" t="s">
        <v>710</v>
      </c>
      <c r="CL6" s="213">
        <v>-9999</v>
      </c>
      <c r="CM6" s="213">
        <v>142</v>
      </c>
      <c r="CN6" s="213">
        <v>372</v>
      </c>
      <c r="CO6" s="213">
        <v>140</v>
      </c>
      <c r="CP6" s="213" t="s">
        <v>710</v>
      </c>
      <c r="CQ6" s="213">
        <v>0</v>
      </c>
      <c r="CR6" s="213">
        <v>40</v>
      </c>
      <c r="CS6" s="213" t="s">
        <v>739</v>
      </c>
      <c r="CT6" s="213" t="s">
        <v>740</v>
      </c>
      <c r="CU6" s="213">
        <v>113</v>
      </c>
      <c r="CV6" s="213">
        <v>113</v>
      </c>
      <c r="CW6" s="213">
        <v>113</v>
      </c>
      <c r="CX6" s="213" t="s">
        <v>710</v>
      </c>
      <c r="CY6" s="213" t="s">
        <v>741</v>
      </c>
      <c r="CZ6" s="213" t="s">
        <v>740</v>
      </c>
      <c r="DA6" s="213">
        <v>93</v>
      </c>
      <c r="DB6" s="213">
        <v>92</v>
      </c>
      <c r="DC6" s="213">
        <v>92</v>
      </c>
      <c r="DD6" s="213" t="s">
        <v>710</v>
      </c>
      <c r="DE6" s="213" t="s">
        <v>742</v>
      </c>
      <c r="DF6" s="213" t="s">
        <v>743</v>
      </c>
      <c r="DG6" s="213">
        <v>0</v>
      </c>
      <c r="DH6" s="213">
        <v>0</v>
      </c>
      <c r="DI6" s="213">
        <v>0</v>
      </c>
      <c r="DJ6" s="213" t="s">
        <v>249</v>
      </c>
      <c r="DK6" s="213">
        <v>69.2</v>
      </c>
      <c r="DL6" s="213">
        <v>81.3</v>
      </c>
      <c r="DM6" s="213" t="s">
        <v>744</v>
      </c>
      <c r="DN6" s="213" t="s">
        <v>743</v>
      </c>
      <c r="DO6" s="213">
        <v>0</v>
      </c>
      <c r="DP6" s="213">
        <v>0</v>
      </c>
      <c r="DQ6" s="213">
        <v>0</v>
      </c>
      <c r="DR6" s="213" t="s">
        <v>249</v>
      </c>
      <c r="DS6" s="213">
        <v>72.900000000000006</v>
      </c>
      <c r="DT6" s="213">
        <v>106.2</v>
      </c>
      <c r="DU6" s="213" t="s">
        <v>745</v>
      </c>
      <c r="DV6" s="213" t="s">
        <v>743</v>
      </c>
      <c r="DW6" s="213">
        <v>0</v>
      </c>
      <c r="DX6" s="213">
        <v>0</v>
      </c>
      <c r="DY6" s="213">
        <v>0</v>
      </c>
      <c r="DZ6" s="213" t="s">
        <v>249</v>
      </c>
      <c r="EA6" s="213">
        <v>75.7</v>
      </c>
      <c r="EB6" s="213">
        <v>93.6</v>
      </c>
      <c r="EC6" s="213" t="s">
        <v>746</v>
      </c>
      <c r="ED6" s="213" t="s">
        <v>743</v>
      </c>
      <c r="EE6" s="213">
        <v>0</v>
      </c>
      <c r="EF6" s="213">
        <v>0</v>
      </c>
      <c r="EG6" s="213">
        <v>0</v>
      </c>
      <c r="EH6" s="213" t="s">
        <v>249</v>
      </c>
      <c r="EI6" s="213">
        <v>66.900000000000006</v>
      </c>
      <c r="EJ6" s="213">
        <v>107.8</v>
      </c>
      <c r="EK6" s="213" t="s">
        <v>747</v>
      </c>
      <c r="EL6" s="213" t="s">
        <v>743</v>
      </c>
      <c r="EM6" s="213">
        <v>0</v>
      </c>
      <c r="EN6" s="213">
        <v>0</v>
      </c>
      <c r="EO6" s="213">
        <v>0</v>
      </c>
      <c r="EP6" s="213" t="s">
        <v>249</v>
      </c>
      <c r="ES6" s="283" t="s">
        <v>748</v>
      </c>
      <c r="ET6" s="283" t="s">
        <v>743</v>
      </c>
      <c r="EU6" s="283">
        <v>0</v>
      </c>
      <c r="EV6" s="283">
        <v>0</v>
      </c>
      <c r="EW6" s="283">
        <v>0</v>
      </c>
      <c r="EX6" s="283" t="s">
        <v>249</v>
      </c>
      <c r="FA6" s="283" t="s">
        <v>749</v>
      </c>
      <c r="FB6" s="283" t="s">
        <v>743</v>
      </c>
      <c r="FC6" s="283">
        <v>0</v>
      </c>
      <c r="FD6" s="283">
        <v>0</v>
      </c>
      <c r="FE6" s="283">
        <v>0</v>
      </c>
      <c r="FF6" s="283" t="s">
        <v>249</v>
      </c>
      <c r="FI6" s="283" t="s">
        <v>750</v>
      </c>
      <c r="FJ6" s="283" t="s">
        <v>743</v>
      </c>
      <c r="FK6" s="283">
        <v>0</v>
      </c>
      <c r="FL6" s="283">
        <v>0</v>
      </c>
      <c r="FM6" s="283">
        <v>0</v>
      </c>
      <c r="FN6" s="283" t="s">
        <v>249</v>
      </c>
      <c r="FQ6" s="283" t="s">
        <v>751</v>
      </c>
      <c r="FR6" s="283" t="s">
        <v>743</v>
      </c>
      <c r="FS6" s="283">
        <v>0</v>
      </c>
      <c r="FT6" s="283">
        <v>0</v>
      </c>
      <c r="FU6" s="283">
        <v>0</v>
      </c>
      <c r="FV6" s="283" t="s">
        <v>249</v>
      </c>
      <c r="FY6" s="283">
        <v>20</v>
      </c>
      <c r="FZ6" s="283">
        <v>-8.9</v>
      </c>
      <c r="GA6" s="283" t="s">
        <v>1195</v>
      </c>
      <c r="GF6" s="283" t="s">
        <v>752</v>
      </c>
    </row>
    <row r="7" spans="1:188" s="213" customFormat="1" x14ac:dyDescent="0.15">
      <c r="A7" s="213" t="s">
        <v>654</v>
      </c>
      <c r="B7" s="213">
        <v>4</v>
      </c>
      <c r="C7" s="213" t="s">
        <v>1101</v>
      </c>
      <c r="D7" s="213">
        <v>614337317</v>
      </c>
      <c r="E7" s="213">
        <v>92303</v>
      </c>
      <c r="F7" s="213" t="s">
        <v>1089</v>
      </c>
      <c r="G7" s="213">
        <v>802069</v>
      </c>
      <c r="H7" s="213">
        <v>786669</v>
      </c>
      <c r="I7" s="213" t="s">
        <v>1090</v>
      </c>
      <c r="J7" s="213" t="s">
        <v>1102</v>
      </c>
      <c r="K7" s="213" t="s">
        <v>727</v>
      </c>
      <c r="L7" s="213" t="s">
        <v>1092</v>
      </c>
      <c r="M7" s="213" t="s">
        <v>728</v>
      </c>
      <c r="N7" s="213" t="s">
        <v>728</v>
      </c>
      <c r="O7" s="213" t="s">
        <v>729</v>
      </c>
      <c r="P7" s="213" t="s">
        <v>249</v>
      </c>
      <c r="Q7" s="213">
        <v>24.4</v>
      </c>
      <c r="R7" s="213">
        <v>167</v>
      </c>
      <c r="S7" s="213" t="s">
        <v>249</v>
      </c>
      <c r="T7" s="213">
        <v>-9999</v>
      </c>
      <c r="U7" s="213">
        <v>185</v>
      </c>
      <c r="V7" s="213">
        <v>405</v>
      </c>
      <c r="W7" s="213">
        <v>177</v>
      </c>
      <c r="X7" s="213" t="s">
        <v>710</v>
      </c>
      <c r="Y7" s="213">
        <v>0</v>
      </c>
      <c r="Z7" s="213">
        <v>40</v>
      </c>
      <c r="AA7" s="213" t="s">
        <v>730</v>
      </c>
      <c r="AB7" s="213" t="s">
        <v>731</v>
      </c>
      <c r="AC7" s="213" t="s">
        <v>729</v>
      </c>
      <c r="AD7" s="213" t="s">
        <v>249</v>
      </c>
      <c r="AE7" s="213">
        <v>24.4</v>
      </c>
      <c r="AF7" s="213">
        <v>456</v>
      </c>
      <c r="AG7" s="213" t="s">
        <v>249</v>
      </c>
      <c r="AH7" s="213">
        <v>-9999</v>
      </c>
      <c r="AI7" s="213">
        <v>183</v>
      </c>
      <c r="AJ7" s="213">
        <v>434</v>
      </c>
      <c r="AK7" s="213">
        <v>180</v>
      </c>
      <c r="AL7" s="213" t="s">
        <v>710</v>
      </c>
      <c r="AM7" s="213">
        <v>0</v>
      </c>
      <c r="AN7" s="213">
        <v>40</v>
      </c>
      <c r="AO7" s="213" t="s">
        <v>733</v>
      </c>
      <c r="AP7" s="213" t="s">
        <v>734</v>
      </c>
      <c r="AQ7" s="213">
        <v>1</v>
      </c>
      <c r="AR7" s="213" t="s">
        <v>798</v>
      </c>
      <c r="AS7" s="213">
        <v>25.2</v>
      </c>
      <c r="AT7" s="213">
        <v>423</v>
      </c>
      <c r="AU7" s="213" t="s">
        <v>710</v>
      </c>
      <c r="AV7" s="213">
        <v>-9999</v>
      </c>
      <c r="AW7" s="213">
        <v>245</v>
      </c>
      <c r="AX7" s="213">
        <v>611</v>
      </c>
      <c r="AY7" s="213">
        <v>242</v>
      </c>
      <c r="AZ7" s="213" t="s">
        <v>710</v>
      </c>
      <c r="BA7" s="213">
        <v>0</v>
      </c>
      <c r="BB7" s="213">
        <v>40</v>
      </c>
      <c r="BC7" s="213" t="s">
        <v>736</v>
      </c>
      <c r="BD7" s="213" t="s">
        <v>734</v>
      </c>
      <c r="BE7" s="213">
        <v>2</v>
      </c>
      <c r="BF7" s="213" t="s">
        <v>798</v>
      </c>
      <c r="BG7" s="213">
        <v>25.2</v>
      </c>
      <c r="BH7" s="213">
        <v>271</v>
      </c>
      <c r="BI7" s="213" t="s">
        <v>710</v>
      </c>
      <c r="BJ7" s="213">
        <v>-9999</v>
      </c>
      <c r="BK7" s="213">
        <v>109</v>
      </c>
      <c r="BL7" s="213">
        <v>328</v>
      </c>
      <c r="BM7" s="213">
        <v>106</v>
      </c>
      <c r="BN7" s="213" t="s">
        <v>710</v>
      </c>
      <c r="BO7" s="213">
        <v>0</v>
      </c>
      <c r="BP7" s="213">
        <v>40</v>
      </c>
      <c r="BQ7" s="213" t="s">
        <v>737</v>
      </c>
      <c r="BR7" s="213" t="s">
        <v>734</v>
      </c>
      <c r="BS7" s="213">
        <v>3</v>
      </c>
      <c r="BT7" s="213" t="s">
        <v>798</v>
      </c>
      <c r="BU7" s="213">
        <v>26.1</v>
      </c>
      <c r="BV7" s="213">
        <v>192</v>
      </c>
      <c r="BW7" s="213" t="s">
        <v>710</v>
      </c>
      <c r="BX7" s="213">
        <v>-9999</v>
      </c>
      <c r="BY7" s="213">
        <v>158</v>
      </c>
      <c r="BZ7" s="213">
        <v>381</v>
      </c>
      <c r="CA7" s="213">
        <v>157</v>
      </c>
      <c r="CB7" s="213" t="s">
        <v>710</v>
      </c>
      <c r="CC7" s="213">
        <v>0</v>
      </c>
      <c r="CD7" s="213">
        <v>40</v>
      </c>
      <c r="CE7" s="213" t="s">
        <v>738</v>
      </c>
      <c r="CF7" s="213" t="s">
        <v>734</v>
      </c>
      <c r="CG7" s="213">
        <v>4</v>
      </c>
      <c r="CH7" s="213" t="s">
        <v>798</v>
      </c>
      <c r="CI7" s="213">
        <v>27.4</v>
      </c>
      <c r="CJ7" s="213">
        <v>134</v>
      </c>
      <c r="CK7" s="213" t="s">
        <v>710</v>
      </c>
      <c r="CL7" s="213">
        <v>-9999</v>
      </c>
      <c r="CM7" s="213">
        <v>127</v>
      </c>
      <c r="CN7" s="213">
        <v>328</v>
      </c>
      <c r="CO7" s="213">
        <v>124</v>
      </c>
      <c r="CP7" s="213" t="s">
        <v>710</v>
      </c>
      <c r="CQ7" s="213">
        <v>0</v>
      </c>
      <c r="CR7" s="213">
        <v>40</v>
      </c>
      <c r="CS7" s="213" t="s">
        <v>739</v>
      </c>
      <c r="CT7" s="213" t="s">
        <v>740</v>
      </c>
      <c r="CU7" s="213">
        <v>97</v>
      </c>
      <c r="CV7" s="213">
        <v>97</v>
      </c>
      <c r="CW7" s="213">
        <v>96</v>
      </c>
      <c r="CX7" s="213" t="s">
        <v>710</v>
      </c>
      <c r="CY7" s="213" t="s">
        <v>741</v>
      </c>
      <c r="CZ7" s="213" t="s">
        <v>740</v>
      </c>
      <c r="DA7" s="213">
        <v>95</v>
      </c>
      <c r="DB7" s="213">
        <v>94</v>
      </c>
      <c r="DC7" s="213">
        <v>94</v>
      </c>
      <c r="DD7" s="213" t="s">
        <v>710</v>
      </c>
      <c r="DE7" s="213" t="s">
        <v>742</v>
      </c>
      <c r="DF7" s="213" t="s">
        <v>743</v>
      </c>
      <c r="DG7" s="213">
        <v>0</v>
      </c>
      <c r="DH7" s="213">
        <v>0</v>
      </c>
      <c r="DI7" s="213">
        <v>0</v>
      </c>
      <c r="DJ7" s="213" t="s">
        <v>249</v>
      </c>
      <c r="DK7" s="213">
        <v>69.2</v>
      </c>
      <c r="DL7" s="213">
        <v>67.3</v>
      </c>
      <c r="DM7" s="213" t="s">
        <v>744</v>
      </c>
      <c r="DN7" s="213" t="s">
        <v>743</v>
      </c>
      <c r="DO7" s="213">
        <v>0</v>
      </c>
      <c r="DP7" s="213">
        <v>0</v>
      </c>
      <c r="DQ7" s="213">
        <v>0</v>
      </c>
      <c r="DR7" s="213" t="s">
        <v>249</v>
      </c>
      <c r="DS7" s="213">
        <v>73</v>
      </c>
      <c r="DT7" s="213">
        <v>92.9</v>
      </c>
      <c r="DU7" s="213" t="s">
        <v>745</v>
      </c>
      <c r="DV7" s="213" t="s">
        <v>743</v>
      </c>
      <c r="DW7" s="213">
        <v>0</v>
      </c>
      <c r="DX7" s="213">
        <v>0</v>
      </c>
      <c r="DY7" s="213">
        <v>0</v>
      </c>
      <c r="DZ7" s="213" t="s">
        <v>249</v>
      </c>
      <c r="EA7" s="213">
        <v>75.7</v>
      </c>
      <c r="EB7" s="213">
        <v>85.2</v>
      </c>
      <c r="EC7" s="213" t="s">
        <v>746</v>
      </c>
      <c r="ED7" s="213" t="s">
        <v>743</v>
      </c>
      <c r="EE7" s="213">
        <v>0</v>
      </c>
      <c r="EF7" s="213">
        <v>0</v>
      </c>
      <c r="EG7" s="213">
        <v>0</v>
      </c>
      <c r="EH7" s="213" t="s">
        <v>249</v>
      </c>
      <c r="EI7" s="213">
        <v>67</v>
      </c>
      <c r="EJ7" s="213">
        <v>77.7</v>
      </c>
      <c r="EK7" s="213" t="s">
        <v>747</v>
      </c>
      <c r="EL7" s="213" t="s">
        <v>743</v>
      </c>
      <c r="EM7" s="213">
        <v>0</v>
      </c>
      <c r="EN7" s="213">
        <v>0</v>
      </c>
      <c r="EO7" s="213">
        <v>0</v>
      </c>
      <c r="EP7" s="213" t="s">
        <v>249</v>
      </c>
      <c r="ES7" s="213" t="s">
        <v>748</v>
      </c>
      <c r="ET7" s="213" t="s">
        <v>743</v>
      </c>
      <c r="EU7" s="213">
        <v>0</v>
      </c>
      <c r="EV7" s="213">
        <v>0</v>
      </c>
      <c r="EW7" s="213">
        <v>0</v>
      </c>
      <c r="EX7" s="213" t="s">
        <v>249</v>
      </c>
      <c r="FA7" s="213" t="s">
        <v>749</v>
      </c>
      <c r="FB7" s="213" t="s">
        <v>743</v>
      </c>
      <c r="FC7" s="213">
        <v>0</v>
      </c>
      <c r="FD7" s="213">
        <v>0</v>
      </c>
      <c r="FE7" s="213">
        <v>0</v>
      </c>
      <c r="FF7" s="213" t="s">
        <v>249</v>
      </c>
      <c r="FI7" s="213" t="s">
        <v>750</v>
      </c>
      <c r="FJ7" s="213" t="s">
        <v>743</v>
      </c>
      <c r="FK7" s="213">
        <v>0</v>
      </c>
      <c r="FL7" s="213">
        <v>0</v>
      </c>
      <c r="FM7" s="213">
        <v>0</v>
      </c>
      <c r="FN7" s="213" t="s">
        <v>249</v>
      </c>
      <c r="FQ7" s="213" t="s">
        <v>751</v>
      </c>
      <c r="FR7" s="213" t="s">
        <v>743</v>
      </c>
      <c r="FS7" s="213">
        <v>0</v>
      </c>
      <c r="FT7" s="213">
        <v>0</v>
      </c>
      <c r="FU7" s="213">
        <v>0</v>
      </c>
      <c r="FV7" s="213" t="s">
        <v>249</v>
      </c>
      <c r="FY7" s="213">
        <v>20.8</v>
      </c>
      <c r="FZ7" s="213">
        <v>-15</v>
      </c>
      <c r="GF7" s="213" t="s">
        <v>752</v>
      </c>
    </row>
    <row r="8" spans="1:188" s="283" customFormat="1" x14ac:dyDescent="0.15">
      <c r="A8" s="213" t="s">
        <v>654</v>
      </c>
      <c r="B8" s="213">
        <v>4</v>
      </c>
      <c r="C8" s="213" t="s">
        <v>1103</v>
      </c>
      <c r="D8" s="213">
        <v>614341778</v>
      </c>
      <c r="E8" s="213">
        <v>92303</v>
      </c>
      <c r="F8" s="213" t="s">
        <v>1089</v>
      </c>
      <c r="G8" s="213">
        <v>802069</v>
      </c>
      <c r="H8" s="213">
        <v>659869</v>
      </c>
      <c r="I8" s="213" t="s">
        <v>1090</v>
      </c>
      <c r="J8" s="213" t="s">
        <v>1104</v>
      </c>
      <c r="K8" s="213" t="s">
        <v>727</v>
      </c>
      <c r="L8" s="213" t="s">
        <v>1092</v>
      </c>
      <c r="M8" s="213" t="s">
        <v>728</v>
      </c>
      <c r="N8" s="213" t="s">
        <v>728</v>
      </c>
      <c r="O8" s="213" t="s">
        <v>729</v>
      </c>
      <c r="P8" s="213" t="s">
        <v>249</v>
      </c>
      <c r="Q8" s="213">
        <v>0</v>
      </c>
      <c r="R8" s="213">
        <v>144</v>
      </c>
      <c r="S8" s="213" t="s">
        <v>249</v>
      </c>
      <c r="T8" s="213">
        <v>-9999</v>
      </c>
      <c r="U8" s="213">
        <v>235</v>
      </c>
      <c r="V8" s="213">
        <v>499</v>
      </c>
      <c r="W8" s="213">
        <v>227</v>
      </c>
      <c r="X8" s="213" t="s">
        <v>710</v>
      </c>
      <c r="Y8" s="213">
        <v>0</v>
      </c>
      <c r="Z8" s="213">
        <v>40</v>
      </c>
      <c r="AA8" s="213" t="s">
        <v>730</v>
      </c>
      <c r="AB8" s="213" t="s">
        <v>731</v>
      </c>
      <c r="AC8" s="213" t="s">
        <v>729</v>
      </c>
      <c r="AD8" s="213" t="s">
        <v>249</v>
      </c>
      <c r="AE8" s="213">
        <v>23.2</v>
      </c>
      <c r="AF8" s="213">
        <v>467</v>
      </c>
      <c r="AG8" s="213" t="s">
        <v>249</v>
      </c>
      <c r="AH8" s="213">
        <v>-9999</v>
      </c>
      <c r="AI8" s="213">
        <v>171</v>
      </c>
      <c r="AJ8" s="213">
        <v>406</v>
      </c>
      <c r="AK8" s="213">
        <v>170</v>
      </c>
      <c r="AL8" s="213" t="s">
        <v>710</v>
      </c>
      <c r="AM8" s="213">
        <v>0</v>
      </c>
      <c r="AN8" s="213">
        <v>40</v>
      </c>
      <c r="AO8" s="213" t="s">
        <v>733</v>
      </c>
      <c r="AP8" s="213" t="s">
        <v>734</v>
      </c>
      <c r="AQ8" s="213">
        <v>1</v>
      </c>
      <c r="AR8" s="213" t="s">
        <v>798</v>
      </c>
      <c r="AS8" s="213">
        <v>24.5</v>
      </c>
      <c r="AT8" s="213">
        <v>420</v>
      </c>
      <c r="AU8" s="213" t="s">
        <v>710</v>
      </c>
      <c r="AV8" s="213">
        <v>-9999</v>
      </c>
      <c r="AW8" s="213">
        <v>245</v>
      </c>
      <c r="AX8" s="213">
        <v>603</v>
      </c>
      <c r="AY8" s="213">
        <v>243</v>
      </c>
      <c r="AZ8" s="213" t="s">
        <v>710</v>
      </c>
      <c r="BA8" s="213">
        <v>0</v>
      </c>
      <c r="BB8" s="213">
        <v>40</v>
      </c>
      <c r="BC8" s="213" t="s">
        <v>736</v>
      </c>
      <c r="BD8" s="213" t="s">
        <v>734</v>
      </c>
      <c r="BE8" s="213">
        <v>2</v>
      </c>
      <c r="BF8" s="213" t="s">
        <v>798</v>
      </c>
      <c r="BG8" s="213">
        <v>24.3</v>
      </c>
      <c r="BH8" s="213">
        <v>277</v>
      </c>
      <c r="BI8" s="213" t="s">
        <v>710</v>
      </c>
      <c r="BJ8" s="213">
        <v>-9999</v>
      </c>
      <c r="BK8" s="213">
        <v>107</v>
      </c>
      <c r="BL8" s="213">
        <v>322</v>
      </c>
      <c r="BM8" s="213">
        <v>105</v>
      </c>
      <c r="BN8" s="213" t="s">
        <v>710</v>
      </c>
      <c r="BO8" s="213">
        <v>0</v>
      </c>
      <c r="BP8" s="213">
        <v>40</v>
      </c>
      <c r="BQ8" s="213" t="s">
        <v>737</v>
      </c>
      <c r="BR8" s="213" t="s">
        <v>734</v>
      </c>
      <c r="BS8" s="213">
        <v>3</v>
      </c>
      <c r="BT8" s="213" t="s">
        <v>798</v>
      </c>
      <c r="BU8" s="213">
        <v>25.4</v>
      </c>
      <c r="BV8" s="213">
        <v>191</v>
      </c>
      <c r="BW8" s="213" t="s">
        <v>710</v>
      </c>
      <c r="BX8" s="213">
        <v>-9999</v>
      </c>
      <c r="BY8" s="213">
        <v>159</v>
      </c>
      <c r="BZ8" s="213">
        <v>370</v>
      </c>
      <c r="CA8" s="213">
        <v>159</v>
      </c>
      <c r="CB8" s="213" t="s">
        <v>710</v>
      </c>
      <c r="CC8" s="213">
        <v>0</v>
      </c>
      <c r="CD8" s="213">
        <v>40</v>
      </c>
      <c r="CE8" s="213" t="s">
        <v>738</v>
      </c>
      <c r="CF8" s="213" t="s">
        <v>734</v>
      </c>
      <c r="CG8" s="213">
        <v>4</v>
      </c>
      <c r="CH8" s="213" t="s">
        <v>798</v>
      </c>
      <c r="CI8" s="213">
        <v>26.8</v>
      </c>
      <c r="CJ8" s="213">
        <v>130</v>
      </c>
      <c r="CK8" s="213" t="s">
        <v>710</v>
      </c>
      <c r="CL8" s="213">
        <v>-9999</v>
      </c>
      <c r="CM8" s="213">
        <v>139</v>
      </c>
      <c r="CN8" s="213">
        <v>361</v>
      </c>
      <c r="CO8" s="213">
        <v>137</v>
      </c>
      <c r="CP8" s="213" t="s">
        <v>710</v>
      </c>
      <c r="CQ8" s="213">
        <v>0</v>
      </c>
      <c r="CR8" s="213">
        <v>40</v>
      </c>
      <c r="CS8" s="213" t="s">
        <v>739</v>
      </c>
      <c r="CT8" s="213" t="s">
        <v>740</v>
      </c>
      <c r="CU8" s="213">
        <v>111</v>
      </c>
      <c r="CV8" s="213">
        <v>110</v>
      </c>
      <c r="CW8" s="213">
        <v>110</v>
      </c>
      <c r="CX8" s="213" t="s">
        <v>710</v>
      </c>
      <c r="CY8" s="213" t="s">
        <v>741</v>
      </c>
      <c r="CZ8" s="213" t="s">
        <v>740</v>
      </c>
      <c r="DA8" s="213">
        <v>94</v>
      </c>
      <c r="DB8" s="213">
        <v>94</v>
      </c>
      <c r="DC8" s="213">
        <v>94</v>
      </c>
      <c r="DD8" s="213" t="s">
        <v>710</v>
      </c>
      <c r="DE8" s="213" t="s">
        <v>742</v>
      </c>
      <c r="DF8" s="213" t="s">
        <v>743</v>
      </c>
      <c r="DG8" s="213">
        <v>0</v>
      </c>
      <c r="DH8" s="213">
        <v>0</v>
      </c>
      <c r="DI8" s="213">
        <v>0</v>
      </c>
      <c r="DJ8" s="213" t="s">
        <v>249</v>
      </c>
      <c r="DK8" s="213">
        <v>69</v>
      </c>
      <c r="DL8" s="213">
        <v>75.2</v>
      </c>
      <c r="DM8" s="213" t="s">
        <v>744</v>
      </c>
      <c r="DN8" s="213" t="s">
        <v>743</v>
      </c>
      <c r="DO8" s="213">
        <v>0</v>
      </c>
      <c r="DP8" s="213">
        <v>0</v>
      </c>
      <c r="DQ8" s="213">
        <v>0</v>
      </c>
      <c r="DR8" s="213" t="s">
        <v>249</v>
      </c>
      <c r="DS8" s="213">
        <v>72.7</v>
      </c>
      <c r="DT8" s="213">
        <v>98.9</v>
      </c>
      <c r="DU8" s="213" t="s">
        <v>745</v>
      </c>
      <c r="DV8" s="213" t="s">
        <v>743</v>
      </c>
      <c r="DW8" s="213">
        <v>0</v>
      </c>
      <c r="DX8" s="213">
        <v>0</v>
      </c>
      <c r="DY8" s="213">
        <v>0</v>
      </c>
      <c r="DZ8" s="213" t="s">
        <v>249</v>
      </c>
      <c r="EA8" s="213">
        <v>75.400000000000006</v>
      </c>
      <c r="EB8" s="213">
        <v>83.3</v>
      </c>
      <c r="EC8" s="213" t="s">
        <v>746</v>
      </c>
      <c r="ED8" s="213" t="s">
        <v>743</v>
      </c>
      <c r="EE8" s="213">
        <v>0</v>
      </c>
      <c r="EF8" s="213">
        <v>0</v>
      </c>
      <c r="EG8" s="213">
        <v>0</v>
      </c>
      <c r="EH8" s="213" t="s">
        <v>249</v>
      </c>
      <c r="EI8" s="213">
        <v>66.8</v>
      </c>
      <c r="EJ8" s="213">
        <v>85.4</v>
      </c>
      <c r="EK8" s="213" t="s">
        <v>747</v>
      </c>
      <c r="EL8" s="213" t="s">
        <v>743</v>
      </c>
      <c r="EM8" s="213">
        <v>0</v>
      </c>
      <c r="EN8" s="213">
        <v>0</v>
      </c>
      <c r="EO8" s="213">
        <v>0</v>
      </c>
      <c r="EP8" s="213" t="s">
        <v>249</v>
      </c>
      <c r="ES8" s="283" t="s">
        <v>748</v>
      </c>
      <c r="ET8" s="283" t="s">
        <v>743</v>
      </c>
      <c r="EU8" s="283">
        <v>0</v>
      </c>
      <c r="EV8" s="283">
        <v>0</v>
      </c>
      <c r="EW8" s="283">
        <v>0</v>
      </c>
      <c r="EX8" s="283" t="s">
        <v>249</v>
      </c>
      <c r="FA8" s="283" t="s">
        <v>749</v>
      </c>
      <c r="FB8" s="283" t="s">
        <v>743</v>
      </c>
      <c r="FC8" s="283">
        <v>0</v>
      </c>
      <c r="FD8" s="283">
        <v>0</v>
      </c>
      <c r="FE8" s="283">
        <v>0</v>
      </c>
      <c r="FF8" s="283" t="s">
        <v>249</v>
      </c>
      <c r="FI8" s="283" t="s">
        <v>750</v>
      </c>
      <c r="FJ8" s="283" t="s">
        <v>743</v>
      </c>
      <c r="FK8" s="283">
        <v>0</v>
      </c>
      <c r="FL8" s="283">
        <v>0</v>
      </c>
      <c r="FM8" s="283">
        <v>0</v>
      </c>
      <c r="FN8" s="283" t="s">
        <v>249</v>
      </c>
      <c r="FQ8" s="283" t="s">
        <v>751</v>
      </c>
      <c r="FR8" s="283" t="s">
        <v>743</v>
      </c>
      <c r="FS8" s="283">
        <v>0</v>
      </c>
      <c r="FT8" s="283">
        <v>0</v>
      </c>
      <c r="FU8" s="283">
        <v>0</v>
      </c>
      <c r="FV8" s="283" t="s">
        <v>249</v>
      </c>
      <c r="FY8" s="283">
        <v>19.7</v>
      </c>
      <c r="FZ8" s="283">
        <v>-6.9</v>
      </c>
      <c r="GF8" s="283" t="s">
        <v>752</v>
      </c>
    </row>
    <row r="9" spans="1:188" s="213" customFormat="1" x14ac:dyDescent="0.15">
      <c r="A9" s="213" t="s">
        <v>654</v>
      </c>
      <c r="B9" s="213">
        <v>4</v>
      </c>
      <c r="C9" s="213" t="s">
        <v>1105</v>
      </c>
      <c r="D9" s="213">
        <v>614341609</v>
      </c>
      <c r="E9" s="213">
        <v>92303</v>
      </c>
      <c r="F9" s="213" t="s">
        <v>1089</v>
      </c>
      <c r="G9" s="213">
        <v>802069</v>
      </c>
      <c r="H9" s="213">
        <v>210052215</v>
      </c>
      <c r="I9" s="213" t="s">
        <v>1090</v>
      </c>
      <c r="J9" s="213" t="s">
        <v>1106</v>
      </c>
      <c r="K9" s="213" t="s">
        <v>727</v>
      </c>
      <c r="L9" s="213" t="s">
        <v>1092</v>
      </c>
      <c r="M9" s="213" t="s">
        <v>728</v>
      </c>
      <c r="N9" s="213" t="s">
        <v>728</v>
      </c>
      <c r="O9" s="213" t="s">
        <v>729</v>
      </c>
      <c r="P9" s="213" t="s">
        <v>249</v>
      </c>
      <c r="Q9" s="213">
        <v>26</v>
      </c>
      <c r="R9" s="213">
        <v>154</v>
      </c>
      <c r="S9" s="213" t="s">
        <v>249</v>
      </c>
      <c r="T9" s="213">
        <v>-9999</v>
      </c>
      <c r="U9" s="213">
        <v>185</v>
      </c>
      <c r="V9" s="213">
        <v>397</v>
      </c>
      <c r="W9" s="213">
        <v>178</v>
      </c>
      <c r="X9" s="213" t="s">
        <v>710</v>
      </c>
      <c r="Y9" s="213">
        <v>0</v>
      </c>
      <c r="Z9" s="213">
        <v>40</v>
      </c>
      <c r="AA9" s="213" t="s">
        <v>730</v>
      </c>
      <c r="AB9" s="213" t="s">
        <v>731</v>
      </c>
      <c r="AC9" s="213" t="s">
        <v>729</v>
      </c>
      <c r="AD9" s="213" t="s">
        <v>249</v>
      </c>
      <c r="AE9" s="213">
        <v>23</v>
      </c>
      <c r="AF9" s="213">
        <v>461</v>
      </c>
      <c r="AG9" s="213" t="s">
        <v>249</v>
      </c>
      <c r="AH9" s="213">
        <v>-9999</v>
      </c>
      <c r="AI9" s="213">
        <v>162</v>
      </c>
      <c r="AJ9" s="213">
        <v>387</v>
      </c>
      <c r="AK9" s="213">
        <v>161</v>
      </c>
      <c r="AL9" s="213" t="s">
        <v>710</v>
      </c>
      <c r="AM9" s="213">
        <v>0</v>
      </c>
      <c r="AN9" s="213">
        <v>40</v>
      </c>
      <c r="AO9" s="213" t="s">
        <v>733</v>
      </c>
      <c r="AP9" s="213" t="s">
        <v>734</v>
      </c>
      <c r="AQ9" s="213">
        <v>1</v>
      </c>
      <c r="AR9" s="213" t="s">
        <v>798</v>
      </c>
      <c r="AS9" s="213">
        <v>25.2</v>
      </c>
      <c r="AT9" s="213">
        <v>403</v>
      </c>
      <c r="AU9" s="213" t="s">
        <v>710</v>
      </c>
      <c r="AV9" s="213">
        <v>-9999</v>
      </c>
      <c r="AW9" s="213">
        <v>225</v>
      </c>
      <c r="AX9" s="213">
        <v>549</v>
      </c>
      <c r="AY9" s="213">
        <v>223</v>
      </c>
      <c r="AZ9" s="213" t="s">
        <v>710</v>
      </c>
      <c r="BA9" s="213">
        <v>0</v>
      </c>
      <c r="BB9" s="213">
        <v>40</v>
      </c>
      <c r="BC9" s="213" t="s">
        <v>736</v>
      </c>
      <c r="BD9" s="213" t="s">
        <v>734</v>
      </c>
      <c r="BE9" s="213">
        <v>2</v>
      </c>
      <c r="BF9" s="213" t="s">
        <v>798</v>
      </c>
      <c r="BG9" s="213">
        <v>25.1</v>
      </c>
      <c r="BH9" s="213">
        <v>265</v>
      </c>
      <c r="BI9" s="213" t="s">
        <v>710</v>
      </c>
      <c r="BJ9" s="213">
        <v>-9999</v>
      </c>
      <c r="BK9" s="213">
        <v>104</v>
      </c>
      <c r="BL9" s="213">
        <v>317</v>
      </c>
      <c r="BM9" s="213">
        <v>102</v>
      </c>
      <c r="BN9" s="213" t="s">
        <v>710</v>
      </c>
      <c r="BO9" s="213">
        <v>0</v>
      </c>
      <c r="BP9" s="213">
        <v>40</v>
      </c>
      <c r="BQ9" s="213" t="s">
        <v>737</v>
      </c>
      <c r="BR9" s="213" t="s">
        <v>734</v>
      </c>
      <c r="BS9" s="213">
        <v>3</v>
      </c>
      <c r="BT9" s="213" t="s">
        <v>798</v>
      </c>
      <c r="BU9" s="213">
        <v>26.1</v>
      </c>
      <c r="BV9" s="213">
        <v>183</v>
      </c>
      <c r="BW9" s="213" t="s">
        <v>710</v>
      </c>
      <c r="BX9" s="213">
        <v>-9999</v>
      </c>
      <c r="BY9" s="213">
        <v>146</v>
      </c>
      <c r="BZ9" s="213">
        <v>343</v>
      </c>
      <c r="CA9" s="213">
        <v>146</v>
      </c>
      <c r="CB9" s="213" t="s">
        <v>710</v>
      </c>
      <c r="CC9" s="213">
        <v>0</v>
      </c>
      <c r="CD9" s="213">
        <v>40</v>
      </c>
      <c r="CE9" s="213" t="s">
        <v>738</v>
      </c>
      <c r="CF9" s="213" t="s">
        <v>734</v>
      </c>
      <c r="CG9" s="213">
        <v>4</v>
      </c>
      <c r="CH9" s="213" t="s">
        <v>798</v>
      </c>
      <c r="CI9" s="213">
        <v>26.6</v>
      </c>
      <c r="CJ9" s="213">
        <v>146</v>
      </c>
      <c r="CK9" s="213" t="s">
        <v>710</v>
      </c>
      <c r="CL9" s="213">
        <v>-9999</v>
      </c>
      <c r="CM9" s="213">
        <v>124</v>
      </c>
      <c r="CN9" s="213">
        <v>321</v>
      </c>
      <c r="CO9" s="213">
        <v>123</v>
      </c>
      <c r="CP9" s="213" t="s">
        <v>710</v>
      </c>
      <c r="CQ9" s="213">
        <v>0</v>
      </c>
      <c r="CR9" s="213">
        <v>40</v>
      </c>
      <c r="CS9" s="213" t="s">
        <v>739</v>
      </c>
      <c r="CT9" s="213" t="s">
        <v>740</v>
      </c>
      <c r="CU9" s="213">
        <v>107</v>
      </c>
      <c r="CV9" s="213">
        <v>106</v>
      </c>
      <c r="CW9" s="213">
        <v>106</v>
      </c>
      <c r="CX9" s="213" t="s">
        <v>710</v>
      </c>
      <c r="CY9" s="213" t="s">
        <v>741</v>
      </c>
      <c r="CZ9" s="213" t="s">
        <v>740</v>
      </c>
      <c r="DA9" s="213">
        <v>82</v>
      </c>
      <c r="DB9" s="213">
        <v>82</v>
      </c>
      <c r="DC9" s="213">
        <v>82</v>
      </c>
      <c r="DD9" s="213" t="s">
        <v>710</v>
      </c>
      <c r="DE9" s="213" t="s">
        <v>742</v>
      </c>
      <c r="DF9" s="213" t="s">
        <v>743</v>
      </c>
      <c r="DG9" s="213">
        <v>0</v>
      </c>
      <c r="DH9" s="213">
        <v>0</v>
      </c>
      <c r="DI9" s="213">
        <v>0</v>
      </c>
      <c r="DJ9" s="213" t="s">
        <v>249</v>
      </c>
      <c r="DK9" s="213">
        <v>69.099999999999994</v>
      </c>
      <c r="DL9" s="213">
        <v>66.2</v>
      </c>
      <c r="DM9" s="213" t="s">
        <v>744</v>
      </c>
      <c r="DN9" s="213" t="s">
        <v>743</v>
      </c>
      <c r="DO9" s="213">
        <v>0</v>
      </c>
      <c r="DP9" s="213">
        <v>0</v>
      </c>
      <c r="DQ9" s="213">
        <v>0</v>
      </c>
      <c r="DR9" s="213" t="s">
        <v>249</v>
      </c>
      <c r="DS9" s="213">
        <v>72.8</v>
      </c>
      <c r="DT9" s="213">
        <v>94.8</v>
      </c>
      <c r="DU9" s="213" t="s">
        <v>745</v>
      </c>
      <c r="DV9" s="213" t="s">
        <v>743</v>
      </c>
      <c r="DW9" s="213">
        <v>0</v>
      </c>
      <c r="DX9" s="213">
        <v>0</v>
      </c>
      <c r="DY9" s="213">
        <v>0</v>
      </c>
      <c r="DZ9" s="213" t="s">
        <v>249</v>
      </c>
      <c r="EA9" s="213">
        <v>75.599999999999994</v>
      </c>
      <c r="EB9" s="213">
        <v>76.099999999999994</v>
      </c>
      <c r="EC9" s="213" t="s">
        <v>746</v>
      </c>
      <c r="ED9" s="213" t="s">
        <v>743</v>
      </c>
      <c r="EE9" s="213">
        <v>0</v>
      </c>
      <c r="EF9" s="213">
        <v>0</v>
      </c>
      <c r="EG9" s="213">
        <v>0</v>
      </c>
      <c r="EH9" s="213" t="s">
        <v>249</v>
      </c>
      <c r="EI9" s="213">
        <v>66.8</v>
      </c>
      <c r="EJ9" s="213">
        <v>79</v>
      </c>
      <c r="EK9" s="213" t="s">
        <v>747</v>
      </c>
      <c r="EL9" s="213" t="s">
        <v>743</v>
      </c>
      <c r="EM9" s="213">
        <v>0</v>
      </c>
      <c r="EN9" s="213">
        <v>0</v>
      </c>
      <c r="EO9" s="213">
        <v>0</v>
      </c>
      <c r="EP9" s="213" t="s">
        <v>249</v>
      </c>
      <c r="ES9" s="213" t="s">
        <v>748</v>
      </c>
      <c r="ET9" s="213" t="s">
        <v>743</v>
      </c>
      <c r="EU9" s="213">
        <v>0</v>
      </c>
      <c r="EV9" s="213">
        <v>0</v>
      </c>
      <c r="EW9" s="213">
        <v>0</v>
      </c>
      <c r="EX9" s="213" t="s">
        <v>249</v>
      </c>
      <c r="FA9" s="213" t="s">
        <v>749</v>
      </c>
      <c r="FB9" s="213" t="s">
        <v>743</v>
      </c>
      <c r="FC9" s="213">
        <v>0</v>
      </c>
      <c r="FD9" s="213">
        <v>0</v>
      </c>
      <c r="FE9" s="213">
        <v>0</v>
      </c>
      <c r="FF9" s="213" t="s">
        <v>249</v>
      </c>
      <c r="FI9" s="213" t="s">
        <v>750</v>
      </c>
      <c r="FJ9" s="213" t="s">
        <v>743</v>
      </c>
      <c r="FK9" s="213">
        <v>0</v>
      </c>
      <c r="FL9" s="213">
        <v>0</v>
      </c>
      <c r="FM9" s="213">
        <v>0</v>
      </c>
      <c r="FN9" s="213" t="s">
        <v>249</v>
      </c>
      <c r="FQ9" s="213" t="s">
        <v>751</v>
      </c>
      <c r="FR9" s="213" t="s">
        <v>743</v>
      </c>
      <c r="FS9" s="213">
        <v>0</v>
      </c>
      <c r="FT9" s="213">
        <v>0</v>
      </c>
      <c r="FU9" s="213">
        <v>0</v>
      </c>
      <c r="FV9" s="213" t="s">
        <v>249</v>
      </c>
      <c r="FY9" s="213">
        <v>20.9</v>
      </c>
      <c r="FZ9" s="213">
        <v>-9</v>
      </c>
      <c r="GF9" s="213" t="s">
        <v>752</v>
      </c>
    </row>
    <row r="10" spans="1:188" s="213" customFormat="1" x14ac:dyDescent="0.15">
      <c r="A10" s="213" t="s">
        <v>654</v>
      </c>
      <c r="B10" s="213">
        <v>4</v>
      </c>
      <c r="C10" s="213" t="s">
        <v>1107</v>
      </c>
      <c r="D10" s="213">
        <v>614344026</v>
      </c>
      <c r="E10" s="213">
        <v>92303</v>
      </c>
      <c r="F10" s="213" t="s">
        <v>1089</v>
      </c>
      <c r="G10" s="213">
        <v>802069</v>
      </c>
      <c r="H10" s="213">
        <v>903819</v>
      </c>
      <c r="I10" s="213" t="s">
        <v>1090</v>
      </c>
      <c r="J10" s="213" t="s">
        <v>1108</v>
      </c>
      <c r="K10" s="213" t="s">
        <v>727</v>
      </c>
      <c r="L10" s="213" t="s">
        <v>1092</v>
      </c>
      <c r="M10" s="213" t="s">
        <v>728</v>
      </c>
      <c r="N10" s="213" t="s">
        <v>728</v>
      </c>
      <c r="O10" s="213" t="s">
        <v>729</v>
      </c>
      <c r="P10" s="213" t="s">
        <v>249</v>
      </c>
      <c r="Q10" s="213">
        <v>24</v>
      </c>
      <c r="R10" s="213">
        <v>138</v>
      </c>
      <c r="S10" s="213" t="s">
        <v>249</v>
      </c>
      <c r="T10" s="213">
        <v>-9999</v>
      </c>
      <c r="U10" s="213">
        <v>228</v>
      </c>
      <c r="V10" s="213">
        <v>481</v>
      </c>
      <c r="W10" s="213">
        <v>220</v>
      </c>
      <c r="X10" s="213" t="s">
        <v>710</v>
      </c>
      <c r="Y10" s="213">
        <v>0</v>
      </c>
      <c r="Z10" s="213">
        <v>40</v>
      </c>
      <c r="AA10" s="213" t="s">
        <v>730</v>
      </c>
      <c r="AB10" s="213" t="s">
        <v>731</v>
      </c>
      <c r="AC10" s="213" t="s">
        <v>729</v>
      </c>
      <c r="AD10" s="213" t="s">
        <v>249</v>
      </c>
      <c r="AE10" s="213">
        <v>22.7</v>
      </c>
      <c r="AF10" s="213">
        <v>456</v>
      </c>
      <c r="AG10" s="213" t="s">
        <v>249</v>
      </c>
      <c r="AH10" s="213">
        <v>-9999</v>
      </c>
      <c r="AI10" s="213">
        <v>191</v>
      </c>
      <c r="AJ10" s="213">
        <v>449</v>
      </c>
      <c r="AK10" s="213">
        <v>186</v>
      </c>
      <c r="AL10" s="213" t="s">
        <v>710</v>
      </c>
      <c r="AM10" s="213">
        <v>0</v>
      </c>
      <c r="AN10" s="213">
        <v>40</v>
      </c>
      <c r="AO10" s="213" t="s">
        <v>733</v>
      </c>
      <c r="AP10" s="213" t="s">
        <v>734</v>
      </c>
      <c r="AQ10" s="213">
        <v>1</v>
      </c>
      <c r="AR10" s="213" t="s">
        <v>798</v>
      </c>
      <c r="AS10" s="213">
        <v>24.3</v>
      </c>
      <c r="AT10" s="213">
        <v>421</v>
      </c>
      <c r="AU10" s="213" t="s">
        <v>710</v>
      </c>
      <c r="AV10" s="213">
        <v>-9999</v>
      </c>
      <c r="AW10" s="213">
        <v>257</v>
      </c>
      <c r="AX10" s="213">
        <v>629</v>
      </c>
      <c r="AY10" s="213">
        <v>251</v>
      </c>
      <c r="AZ10" s="213" t="s">
        <v>710</v>
      </c>
      <c r="BA10" s="213">
        <v>0</v>
      </c>
      <c r="BB10" s="213">
        <v>40</v>
      </c>
      <c r="BC10" s="213" t="s">
        <v>736</v>
      </c>
      <c r="BD10" s="213" t="s">
        <v>734</v>
      </c>
      <c r="BE10" s="213">
        <v>2</v>
      </c>
      <c r="BF10" s="213" t="s">
        <v>798</v>
      </c>
      <c r="BG10" s="213">
        <v>24.5</v>
      </c>
      <c r="BH10" s="213">
        <v>267</v>
      </c>
      <c r="BI10" s="213" t="s">
        <v>710</v>
      </c>
      <c r="BJ10" s="213">
        <v>-9999</v>
      </c>
      <c r="BK10" s="213">
        <v>114</v>
      </c>
      <c r="BL10" s="213">
        <v>348</v>
      </c>
      <c r="BM10" s="213">
        <v>110</v>
      </c>
      <c r="BN10" s="213" t="s">
        <v>710</v>
      </c>
      <c r="BO10" s="213">
        <v>0</v>
      </c>
      <c r="BP10" s="213">
        <v>40</v>
      </c>
      <c r="BQ10" s="213" t="s">
        <v>737</v>
      </c>
      <c r="BR10" s="213" t="s">
        <v>734</v>
      </c>
      <c r="BS10" s="213">
        <v>3</v>
      </c>
      <c r="BT10" s="213" t="s">
        <v>798</v>
      </c>
      <c r="BU10" s="213">
        <v>25.8</v>
      </c>
      <c r="BV10" s="213">
        <v>179</v>
      </c>
      <c r="BW10" s="213" t="s">
        <v>710</v>
      </c>
      <c r="BX10" s="213">
        <v>-9999</v>
      </c>
      <c r="BY10" s="213">
        <v>165</v>
      </c>
      <c r="BZ10" s="213">
        <v>392</v>
      </c>
      <c r="CA10" s="213">
        <v>163</v>
      </c>
      <c r="CB10" s="213" t="s">
        <v>710</v>
      </c>
      <c r="CC10" s="213">
        <v>0</v>
      </c>
      <c r="CD10" s="213">
        <v>40</v>
      </c>
      <c r="CE10" s="213" t="s">
        <v>738</v>
      </c>
      <c r="CF10" s="213" t="s">
        <v>734</v>
      </c>
      <c r="CG10" s="213">
        <v>4</v>
      </c>
      <c r="CH10" s="213" t="s">
        <v>798</v>
      </c>
      <c r="CI10" s="213">
        <v>26.7</v>
      </c>
      <c r="CJ10" s="213">
        <v>137</v>
      </c>
      <c r="CK10" s="213" t="s">
        <v>710</v>
      </c>
      <c r="CL10" s="213">
        <v>-9999</v>
      </c>
      <c r="CM10" s="213">
        <v>124</v>
      </c>
      <c r="CN10" s="213">
        <v>321</v>
      </c>
      <c r="CO10" s="213">
        <v>121</v>
      </c>
      <c r="CP10" s="213" t="s">
        <v>710</v>
      </c>
      <c r="CQ10" s="213">
        <v>0</v>
      </c>
      <c r="CR10" s="213">
        <v>40</v>
      </c>
      <c r="CS10" s="213" t="s">
        <v>739</v>
      </c>
      <c r="CT10" s="213" t="s">
        <v>740</v>
      </c>
      <c r="CU10" s="213">
        <v>108</v>
      </c>
      <c r="CV10" s="213">
        <v>107</v>
      </c>
      <c r="CW10" s="213">
        <v>107</v>
      </c>
      <c r="CX10" s="213" t="s">
        <v>710</v>
      </c>
      <c r="CY10" s="213" t="s">
        <v>741</v>
      </c>
      <c r="CZ10" s="213" t="s">
        <v>740</v>
      </c>
      <c r="DA10" s="213">
        <v>105</v>
      </c>
      <c r="DB10" s="213">
        <v>105</v>
      </c>
      <c r="DC10" s="213">
        <v>105</v>
      </c>
      <c r="DD10" s="213" t="s">
        <v>710</v>
      </c>
      <c r="DE10" s="213" t="s">
        <v>742</v>
      </c>
      <c r="DF10" s="213" t="s">
        <v>743</v>
      </c>
      <c r="DG10" s="213">
        <v>0</v>
      </c>
      <c r="DH10" s="213">
        <v>0</v>
      </c>
      <c r="DI10" s="213">
        <v>0</v>
      </c>
      <c r="DJ10" s="213" t="s">
        <v>249</v>
      </c>
      <c r="DK10" s="213">
        <v>69.2</v>
      </c>
      <c r="DL10" s="213">
        <v>73.099999999999994</v>
      </c>
      <c r="DM10" s="213" t="s">
        <v>744</v>
      </c>
      <c r="DN10" s="213" t="s">
        <v>743</v>
      </c>
      <c r="DO10" s="213">
        <v>0</v>
      </c>
      <c r="DP10" s="213">
        <v>0</v>
      </c>
      <c r="DQ10" s="213">
        <v>0</v>
      </c>
      <c r="DR10" s="213" t="s">
        <v>249</v>
      </c>
      <c r="DS10" s="213">
        <v>73</v>
      </c>
      <c r="DT10" s="213">
        <v>102.9</v>
      </c>
      <c r="DU10" s="213" t="s">
        <v>745</v>
      </c>
      <c r="DV10" s="213" t="s">
        <v>743</v>
      </c>
      <c r="DW10" s="213">
        <v>0</v>
      </c>
      <c r="DX10" s="213">
        <v>0</v>
      </c>
      <c r="DY10" s="213">
        <v>0</v>
      </c>
      <c r="DZ10" s="213" t="s">
        <v>249</v>
      </c>
      <c r="EA10" s="213">
        <v>75.7</v>
      </c>
      <c r="EB10" s="213">
        <v>84.4</v>
      </c>
      <c r="EC10" s="213" t="s">
        <v>746</v>
      </c>
      <c r="ED10" s="213" t="s">
        <v>743</v>
      </c>
      <c r="EE10" s="213">
        <v>0</v>
      </c>
      <c r="EF10" s="213">
        <v>0</v>
      </c>
      <c r="EG10" s="213">
        <v>0</v>
      </c>
      <c r="EH10" s="213" t="s">
        <v>249</v>
      </c>
      <c r="EI10" s="213">
        <v>67</v>
      </c>
      <c r="EJ10" s="213">
        <v>85.6</v>
      </c>
      <c r="EK10" s="213" t="s">
        <v>747</v>
      </c>
      <c r="EL10" s="213" t="s">
        <v>743</v>
      </c>
      <c r="EM10" s="213">
        <v>0</v>
      </c>
      <c r="EN10" s="213">
        <v>0</v>
      </c>
      <c r="EO10" s="213">
        <v>0</v>
      </c>
      <c r="EP10" s="213" t="s">
        <v>249</v>
      </c>
      <c r="ES10" s="213" t="s">
        <v>748</v>
      </c>
      <c r="ET10" s="213" t="s">
        <v>743</v>
      </c>
      <c r="EU10" s="213">
        <v>0</v>
      </c>
      <c r="EV10" s="213">
        <v>0</v>
      </c>
      <c r="EW10" s="213">
        <v>0</v>
      </c>
      <c r="EX10" s="213" t="s">
        <v>249</v>
      </c>
      <c r="FA10" s="213" t="s">
        <v>749</v>
      </c>
      <c r="FB10" s="213" t="s">
        <v>743</v>
      </c>
      <c r="FC10" s="213">
        <v>0</v>
      </c>
      <c r="FD10" s="213">
        <v>0</v>
      </c>
      <c r="FE10" s="213">
        <v>0</v>
      </c>
      <c r="FF10" s="213" t="s">
        <v>249</v>
      </c>
      <c r="FI10" s="213" t="s">
        <v>750</v>
      </c>
      <c r="FJ10" s="213" t="s">
        <v>743</v>
      </c>
      <c r="FK10" s="213">
        <v>0</v>
      </c>
      <c r="FL10" s="213">
        <v>0</v>
      </c>
      <c r="FM10" s="213">
        <v>0</v>
      </c>
      <c r="FN10" s="213" t="s">
        <v>249</v>
      </c>
      <c r="FQ10" s="213" t="s">
        <v>751</v>
      </c>
      <c r="FR10" s="213" t="s">
        <v>743</v>
      </c>
      <c r="FS10" s="213">
        <v>0</v>
      </c>
      <c r="FT10" s="213">
        <v>0</v>
      </c>
      <c r="FU10" s="213">
        <v>0</v>
      </c>
      <c r="FV10" s="213" t="s">
        <v>249</v>
      </c>
      <c r="FY10" s="213">
        <v>18.3</v>
      </c>
      <c r="FZ10" s="213">
        <v>-7.3</v>
      </c>
      <c r="GF10" s="213" t="s">
        <v>752</v>
      </c>
    </row>
    <row r="11" spans="1:188" s="213" customFormat="1" x14ac:dyDescent="0.15">
      <c r="A11" s="213" t="s">
        <v>654</v>
      </c>
      <c r="B11" s="213">
        <v>4</v>
      </c>
      <c r="C11" s="213" t="s">
        <v>1109</v>
      </c>
      <c r="D11" s="213">
        <v>614345151</v>
      </c>
      <c r="E11" s="213">
        <v>92303</v>
      </c>
      <c r="F11" s="213" t="s">
        <v>1089</v>
      </c>
      <c r="G11" s="213">
        <v>802069</v>
      </c>
      <c r="H11" s="213">
        <v>805086</v>
      </c>
      <c r="I11" s="213" t="s">
        <v>1090</v>
      </c>
      <c r="J11" s="213" t="s">
        <v>1110</v>
      </c>
      <c r="K11" s="213" t="s">
        <v>727</v>
      </c>
      <c r="L11" s="213" t="s">
        <v>1092</v>
      </c>
      <c r="M11" s="213" t="s">
        <v>728</v>
      </c>
      <c r="N11" s="213" t="s">
        <v>728</v>
      </c>
      <c r="O11" s="213" t="s">
        <v>729</v>
      </c>
      <c r="P11" s="213" t="s">
        <v>249</v>
      </c>
      <c r="Q11" s="213">
        <v>24.7</v>
      </c>
      <c r="R11" s="213">
        <v>164</v>
      </c>
      <c r="S11" s="213" t="s">
        <v>249</v>
      </c>
      <c r="T11" s="213">
        <v>-9999</v>
      </c>
      <c r="U11" s="213">
        <v>173</v>
      </c>
      <c r="V11" s="213">
        <v>379</v>
      </c>
      <c r="W11" s="213">
        <v>166</v>
      </c>
      <c r="X11" s="213" t="s">
        <v>710</v>
      </c>
      <c r="Y11" s="213">
        <v>0</v>
      </c>
      <c r="Z11" s="213">
        <v>40</v>
      </c>
      <c r="AA11" s="213" t="s">
        <v>730</v>
      </c>
      <c r="AB11" s="213" t="s">
        <v>731</v>
      </c>
      <c r="AC11" s="213" t="s">
        <v>729</v>
      </c>
      <c r="AD11" s="213" t="s">
        <v>249</v>
      </c>
      <c r="AE11" s="213">
        <v>23</v>
      </c>
      <c r="AF11" s="213">
        <v>466</v>
      </c>
      <c r="AG11" s="213" t="s">
        <v>249</v>
      </c>
      <c r="AH11" s="213">
        <v>-9999</v>
      </c>
      <c r="AI11" s="213">
        <v>166</v>
      </c>
      <c r="AJ11" s="213">
        <v>395</v>
      </c>
      <c r="AK11" s="213">
        <v>164</v>
      </c>
      <c r="AL11" s="213" t="s">
        <v>710</v>
      </c>
      <c r="AM11" s="213">
        <v>0</v>
      </c>
      <c r="AN11" s="213">
        <v>40</v>
      </c>
      <c r="AO11" s="213" t="s">
        <v>733</v>
      </c>
      <c r="AP11" s="213" t="s">
        <v>734</v>
      </c>
      <c r="AQ11" s="213">
        <v>1</v>
      </c>
      <c r="AR11" s="213" t="s">
        <v>798</v>
      </c>
      <c r="AS11" s="213">
        <v>25.1</v>
      </c>
      <c r="AT11" s="213">
        <v>410</v>
      </c>
      <c r="AU11" s="213" t="s">
        <v>710</v>
      </c>
      <c r="AV11" s="213">
        <v>-9999</v>
      </c>
      <c r="AW11" s="213">
        <v>234</v>
      </c>
      <c r="AX11" s="213">
        <v>580</v>
      </c>
      <c r="AY11" s="213">
        <v>232</v>
      </c>
      <c r="AZ11" s="213" t="s">
        <v>710</v>
      </c>
      <c r="BA11" s="213">
        <v>0</v>
      </c>
      <c r="BB11" s="213">
        <v>40</v>
      </c>
      <c r="BC11" s="213" t="s">
        <v>736</v>
      </c>
      <c r="BD11" s="213" t="s">
        <v>734</v>
      </c>
      <c r="BE11" s="213">
        <v>2</v>
      </c>
      <c r="BF11" s="213" t="s">
        <v>798</v>
      </c>
      <c r="BG11" s="213">
        <v>24.8</v>
      </c>
      <c r="BH11" s="213">
        <v>269</v>
      </c>
      <c r="BI11" s="213" t="s">
        <v>710</v>
      </c>
      <c r="BJ11" s="213">
        <v>-9999</v>
      </c>
      <c r="BK11" s="213">
        <v>108</v>
      </c>
      <c r="BL11" s="213">
        <v>333</v>
      </c>
      <c r="BM11" s="213">
        <v>107</v>
      </c>
      <c r="BN11" s="213" t="s">
        <v>710</v>
      </c>
      <c r="BO11" s="213">
        <v>0</v>
      </c>
      <c r="BP11" s="213">
        <v>40</v>
      </c>
      <c r="BQ11" s="213" t="s">
        <v>737</v>
      </c>
      <c r="BR11" s="213" t="s">
        <v>734</v>
      </c>
      <c r="BS11" s="213">
        <v>3</v>
      </c>
      <c r="BT11" s="213" t="s">
        <v>798</v>
      </c>
      <c r="BU11" s="213">
        <v>25.7</v>
      </c>
      <c r="BV11" s="213">
        <v>191</v>
      </c>
      <c r="BW11" s="213" t="s">
        <v>710</v>
      </c>
      <c r="BX11" s="213">
        <v>-9999</v>
      </c>
      <c r="BY11" s="213">
        <v>159</v>
      </c>
      <c r="BZ11" s="213">
        <v>377</v>
      </c>
      <c r="CA11" s="213">
        <v>158</v>
      </c>
      <c r="CB11" s="213" t="s">
        <v>710</v>
      </c>
      <c r="CC11" s="213">
        <v>0</v>
      </c>
      <c r="CD11" s="213">
        <v>40</v>
      </c>
      <c r="CE11" s="213" t="s">
        <v>738</v>
      </c>
      <c r="CF11" s="213" t="s">
        <v>734</v>
      </c>
      <c r="CG11" s="213">
        <v>4</v>
      </c>
      <c r="CH11" s="213" t="s">
        <v>798</v>
      </c>
      <c r="CI11" s="213">
        <v>27.2</v>
      </c>
      <c r="CJ11" s="213">
        <v>135</v>
      </c>
      <c r="CK11" s="213" t="s">
        <v>710</v>
      </c>
      <c r="CL11" s="213">
        <v>-9999</v>
      </c>
      <c r="CM11" s="213">
        <v>132</v>
      </c>
      <c r="CN11" s="213">
        <v>347</v>
      </c>
      <c r="CO11" s="213">
        <v>130</v>
      </c>
      <c r="CP11" s="213" t="s">
        <v>710</v>
      </c>
      <c r="CQ11" s="213">
        <v>0</v>
      </c>
      <c r="CR11" s="213">
        <v>40</v>
      </c>
      <c r="CS11" s="213" t="s">
        <v>739</v>
      </c>
      <c r="CT11" s="213" t="s">
        <v>740</v>
      </c>
      <c r="CU11" s="213">
        <v>110</v>
      </c>
      <c r="CV11" s="213">
        <v>110</v>
      </c>
      <c r="CW11" s="213">
        <v>109</v>
      </c>
      <c r="CX11" s="213" t="s">
        <v>710</v>
      </c>
      <c r="CY11" s="213" t="s">
        <v>741</v>
      </c>
      <c r="CZ11" s="213" t="s">
        <v>740</v>
      </c>
      <c r="DA11" s="213">
        <v>100</v>
      </c>
      <c r="DB11" s="213">
        <v>100</v>
      </c>
      <c r="DC11" s="213">
        <v>99</v>
      </c>
      <c r="DD11" s="213" t="s">
        <v>710</v>
      </c>
      <c r="DE11" s="213" t="s">
        <v>742</v>
      </c>
      <c r="DF11" s="213" t="s">
        <v>743</v>
      </c>
      <c r="DG11" s="213">
        <v>0</v>
      </c>
      <c r="DH11" s="213">
        <v>0</v>
      </c>
      <c r="DI11" s="213">
        <v>0</v>
      </c>
      <c r="DJ11" s="213" t="s">
        <v>249</v>
      </c>
      <c r="DK11" s="213">
        <v>69.2</v>
      </c>
      <c r="DL11" s="213">
        <v>66.8</v>
      </c>
      <c r="DM11" s="213" t="s">
        <v>744</v>
      </c>
      <c r="DN11" s="213" t="s">
        <v>743</v>
      </c>
      <c r="DO11" s="213">
        <v>0</v>
      </c>
      <c r="DP11" s="213">
        <v>0</v>
      </c>
      <c r="DQ11" s="213">
        <v>0</v>
      </c>
      <c r="DR11" s="213" t="s">
        <v>249</v>
      </c>
      <c r="DS11" s="213">
        <v>73</v>
      </c>
      <c r="DT11" s="213">
        <v>98.4</v>
      </c>
      <c r="DU11" s="213" t="s">
        <v>745</v>
      </c>
      <c r="DV11" s="213" t="s">
        <v>743</v>
      </c>
      <c r="DW11" s="213">
        <v>0</v>
      </c>
      <c r="DX11" s="213">
        <v>0</v>
      </c>
      <c r="DY11" s="213">
        <v>0</v>
      </c>
      <c r="DZ11" s="213" t="s">
        <v>249</v>
      </c>
      <c r="EA11" s="213">
        <v>75.7</v>
      </c>
      <c r="EB11" s="213">
        <v>84.2</v>
      </c>
      <c r="EC11" s="213" t="s">
        <v>746</v>
      </c>
      <c r="ED11" s="213" t="s">
        <v>743</v>
      </c>
      <c r="EE11" s="213">
        <v>0</v>
      </c>
      <c r="EF11" s="213">
        <v>0</v>
      </c>
      <c r="EG11" s="213">
        <v>0</v>
      </c>
      <c r="EH11" s="213" t="s">
        <v>249</v>
      </c>
      <c r="EI11" s="213">
        <v>66.900000000000006</v>
      </c>
      <c r="EJ11" s="213">
        <v>88.4</v>
      </c>
      <c r="EK11" s="213" t="s">
        <v>747</v>
      </c>
      <c r="EL11" s="213" t="s">
        <v>743</v>
      </c>
      <c r="EM11" s="213">
        <v>0</v>
      </c>
      <c r="EN11" s="213">
        <v>0</v>
      </c>
      <c r="EO11" s="213">
        <v>0</v>
      </c>
      <c r="EP11" s="213" t="s">
        <v>249</v>
      </c>
      <c r="ES11" s="213" t="s">
        <v>748</v>
      </c>
      <c r="ET11" s="213" t="s">
        <v>743</v>
      </c>
      <c r="EU11" s="213">
        <v>0</v>
      </c>
      <c r="EV11" s="213">
        <v>0</v>
      </c>
      <c r="EW11" s="213">
        <v>0</v>
      </c>
      <c r="EX11" s="213" t="s">
        <v>249</v>
      </c>
      <c r="FA11" s="213" t="s">
        <v>749</v>
      </c>
      <c r="FB11" s="213" t="s">
        <v>743</v>
      </c>
      <c r="FC11" s="213">
        <v>0</v>
      </c>
      <c r="FD11" s="213">
        <v>0</v>
      </c>
      <c r="FE11" s="213">
        <v>0</v>
      </c>
      <c r="FF11" s="213" t="s">
        <v>249</v>
      </c>
      <c r="FI11" s="213" t="s">
        <v>750</v>
      </c>
      <c r="FJ11" s="213" t="s">
        <v>743</v>
      </c>
      <c r="FK11" s="213">
        <v>0</v>
      </c>
      <c r="FL11" s="213">
        <v>0</v>
      </c>
      <c r="FM11" s="213">
        <v>0</v>
      </c>
      <c r="FN11" s="213" t="s">
        <v>249</v>
      </c>
      <c r="FQ11" s="213" t="s">
        <v>751</v>
      </c>
      <c r="FR11" s="213" t="s">
        <v>743</v>
      </c>
      <c r="FS11" s="213">
        <v>0</v>
      </c>
      <c r="FT11" s="213">
        <v>0</v>
      </c>
      <c r="FU11" s="213">
        <v>0</v>
      </c>
      <c r="FV11" s="213" t="s">
        <v>249</v>
      </c>
      <c r="FY11" s="213">
        <v>21.3</v>
      </c>
      <c r="FZ11" s="213">
        <v>-8.6999999999999993</v>
      </c>
      <c r="GF11" s="213" t="s">
        <v>752</v>
      </c>
    </row>
    <row r="12" spans="1:188" s="213" customFormat="1" x14ac:dyDescent="0.15">
      <c r="A12" s="213" t="s">
        <v>654</v>
      </c>
      <c r="B12" s="213">
        <v>4</v>
      </c>
      <c r="C12" s="213" t="s">
        <v>1111</v>
      </c>
      <c r="D12" s="213">
        <v>614348164</v>
      </c>
      <c r="E12" s="213">
        <v>92303</v>
      </c>
      <c r="F12" s="213" t="s">
        <v>1089</v>
      </c>
      <c r="G12" s="213">
        <v>802069</v>
      </c>
      <c r="H12" s="213">
        <v>621821</v>
      </c>
      <c r="I12" s="213" t="s">
        <v>1090</v>
      </c>
      <c r="J12" s="213" t="s">
        <v>1112</v>
      </c>
      <c r="K12" s="213" t="s">
        <v>727</v>
      </c>
      <c r="L12" s="213" t="s">
        <v>1092</v>
      </c>
      <c r="M12" s="213" t="s">
        <v>728</v>
      </c>
      <c r="N12" s="213" t="s">
        <v>728</v>
      </c>
      <c r="O12" s="213" t="s">
        <v>729</v>
      </c>
      <c r="P12" s="213" t="s">
        <v>249</v>
      </c>
      <c r="Q12" s="213">
        <v>23.6</v>
      </c>
      <c r="R12" s="213">
        <v>155</v>
      </c>
      <c r="S12" s="213" t="s">
        <v>249</v>
      </c>
      <c r="T12" s="213">
        <v>-9999</v>
      </c>
      <c r="U12" s="213">
        <v>173</v>
      </c>
      <c r="V12" s="213">
        <v>379</v>
      </c>
      <c r="W12" s="213">
        <v>167</v>
      </c>
      <c r="X12" s="213" t="s">
        <v>710</v>
      </c>
      <c r="Y12" s="213">
        <v>0</v>
      </c>
      <c r="Z12" s="213">
        <v>40</v>
      </c>
      <c r="AA12" s="213" t="s">
        <v>730</v>
      </c>
      <c r="AB12" s="213" t="s">
        <v>731</v>
      </c>
      <c r="AC12" s="213" t="s">
        <v>729</v>
      </c>
      <c r="AD12" s="213" t="s">
        <v>249</v>
      </c>
      <c r="AE12" s="213">
        <v>24</v>
      </c>
      <c r="AF12" s="213">
        <v>455</v>
      </c>
      <c r="AG12" s="213" t="s">
        <v>249</v>
      </c>
      <c r="AH12" s="213">
        <v>-9999</v>
      </c>
      <c r="AI12" s="213">
        <v>165</v>
      </c>
      <c r="AJ12" s="213">
        <v>392</v>
      </c>
      <c r="AK12" s="213">
        <v>162</v>
      </c>
      <c r="AL12" s="213" t="s">
        <v>710</v>
      </c>
      <c r="AM12" s="213">
        <v>0</v>
      </c>
      <c r="AN12" s="213">
        <v>40</v>
      </c>
      <c r="AO12" s="213" t="s">
        <v>733</v>
      </c>
      <c r="AP12" s="213" t="s">
        <v>734</v>
      </c>
      <c r="AQ12" s="213">
        <v>1</v>
      </c>
      <c r="AR12" s="213" t="s">
        <v>798</v>
      </c>
      <c r="AS12" s="213">
        <v>25.4</v>
      </c>
      <c r="AT12" s="213">
        <v>396</v>
      </c>
      <c r="AU12" s="213" t="s">
        <v>710</v>
      </c>
      <c r="AV12" s="213">
        <v>-9999</v>
      </c>
      <c r="AW12" s="213">
        <v>251</v>
      </c>
      <c r="AX12" s="213">
        <v>618</v>
      </c>
      <c r="AY12" s="213">
        <v>249</v>
      </c>
      <c r="AZ12" s="213" t="s">
        <v>710</v>
      </c>
      <c r="BA12" s="213">
        <v>0</v>
      </c>
      <c r="BB12" s="213">
        <v>40</v>
      </c>
      <c r="BC12" s="213" t="s">
        <v>736</v>
      </c>
      <c r="BD12" s="213" t="s">
        <v>734</v>
      </c>
      <c r="BE12" s="213">
        <v>2</v>
      </c>
      <c r="BF12" s="213" t="s">
        <v>798</v>
      </c>
      <c r="BG12" s="213">
        <v>25.3</v>
      </c>
      <c r="BH12" s="213">
        <v>264</v>
      </c>
      <c r="BI12" s="213" t="s">
        <v>710</v>
      </c>
      <c r="BJ12" s="213">
        <v>-9999</v>
      </c>
      <c r="BK12" s="213">
        <v>102</v>
      </c>
      <c r="BL12" s="213">
        <v>320</v>
      </c>
      <c r="BM12" s="213">
        <v>99</v>
      </c>
      <c r="BN12" s="213" t="s">
        <v>710</v>
      </c>
      <c r="BO12" s="213">
        <v>0</v>
      </c>
      <c r="BP12" s="213">
        <v>40</v>
      </c>
      <c r="BQ12" s="213" t="s">
        <v>737</v>
      </c>
      <c r="BR12" s="213" t="s">
        <v>734</v>
      </c>
      <c r="BS12" s="213">
        <v>3</v>
      </c>
      <c r="BT12" s="213" t="s">
        <v>798</v>
      </c>
      <c r="BU12" s="213">
        <v>26.3</v>
      </c>
      <c r="BV12" s="213">
        <v>184</v>
      </c>
      <c r="BW12" s="213" t="s">
        <v>710</v>
      </c>
      <c r="BX12" s="213">
        <v>-9999</v>
      </c>
      <c r="BY12" s="213">
        <v>169</v>
      </c>
      <c r="BZ12" s="213">
        <v>404</v>
      </c>
      <c r="CA12" s="213">
        <v>168</v>
      </c>
      <c r="CB12" s="213" t="s">
        <v>710</v>
      </c>
      <c r="CC12" s="213">
        <v>0</v>
      </c>
      <c r="CD12" s="213">
        <v>40</v>
      </c>
      <c r="CE12" s="213" t="s">
        <v>738</v>
      </c>
      <c r="CF12" s="213" t="s">
        <v>734</v>
      </c>
      <c r="CG12" s="213">
        <v>4</v>
      </c>
      <c r="CH12" s="213" t="s">
        <v>798</v>
      </c>
      <c r="CI12" s="213">
        <v>26.8</v>
      </c>
      <c r="CJ12" s="213">
        <v>162</v>
      </c>
      <c r="CK12" s="213" t="s">
        <v>710</v>
      </c>
      <c r="CL12" s="213">
        <v>-9999</v>
      </c>
      <c r="CM12" s="213">
        <v>126</v>
      </c>
      <c r="CN12" s="213">
        <v>332</v>
      </c>
      <c r="CO12" s="213">
        <v>123</v>
      </c>
      <c r="CP12" s="213" t="s">
        <v>710</v>
      </c>
      <c r="CQ12" s="213">
        <v>0</v>
      </c>
      <c r="CR12" s="213">
        <v>40</v>
      </c>
      <c r="CS12" s="213" t="s">
        <v>739</v>
      </c>
      <c r="CT12" s="213" t="s">
        <v>740</v>
      </c>
      <c r="CU12" s="213">
        <v>98</v>
      </c>
      <c r="CV12" s="213">
        <v>97</v>
      </c>
      <c r="CW12" s="213">
        <v>96</v>
      </c>
      <c r="CX12" s="213" t="s">
        <v>710</v>
      </c>
      <c r="CY12" s="213" t="s">
        <v>741</v>
      </c>
      <c r="CZ12" s="213" t="s">
        <v>740</v>
      </c>
      <c r="DA12" s="213">
        <v>110</v>
      </c>
      <c r="DB12" s="213">
        <v>110</v>
      </c>
      <c r="DC12" s="213">
        <v>110</v>
      </c>
      <c r="DD12" s="213" t="s">
        <v>710</v>
      </c>
      <c r="DE12" s="213" t="s">
        <v>742</v>
      </c>
      <c r="DF12" s="213" t="s">
        <v>743</v>
      </c>
      <c r="DG12" s="213">
        <v>0</v>
      </c>
      <c r="DH12" s="213">
        <v>0</v>
      </c>
      <c r="DI12" s="213">
        <v>0</v>
      </c>
      <c r="DJ12" s="213" t="s">
        <v>249</v>
      </c>
      <c r="DK12" s="213">
        <v>69.3</v>
      </c>
      <c r="DL12" s="213">
        <v>55.1</v>
      </c>
      <c r="DM12" s="213" t="s">
        <v>744</v>
      </c>
      <c r="DN12" s="213" t="s">
        <v>743</v>
      </c>
      <c r="DO12" s="213">
        <v>0</v>
      </c>
      <c r="DP12" s="213">
        <v>0</v>
      </c>
      <c r="DQ12" s="213">
        <v>0</v>
      </c>
      <c r="DR12" s="213" t="s">
        <v>249</v>
      </c>
      <c r="DS12" s="213">
        <v>72.900000000000006</v>
      </c>
      <c r="DT12" s="213">
        <v>39.9</v>
      </c>
      <c r="DU12" s="213" t="s">
        <v>745</v>
      </c>
      <c r="DV12" s="213" t="s">
        <v>743</v>
      </c>
      <c r="DW12" s="213">
        <v>0</v>
      </c>
      <c r="DX12" s="213">
        <v>0</v>
      </c>
      <c r="DY12" s="213">
        <v>0</v>
      </c>
      <c r="DZ12" s="213" t="s">
        <v>249</v>
      </c>
      <c r="EA12" s="213">
        <v>75.7</v>
      </c>
      <c r="EB12" s="213">
        <v>52.7</v>
      </c>
      <c r="EC12" s="213" t="s">
        <v>746</v>
      </c>
      <c r="ED12" s="213" t="s">
        <v>743</v>
      </c>
      <c r="EE12" s="213">
        <v>0</v>
      </c>
      <c r="EF12" s="213">
        <v>0</v>
      </c>
      <c r="EG12" s="213">
        <v>0</v>
      </c>
      <c r="EH12" s="213" t="s">
        <v>249</v>
      </c>
      <c r="EI12" s="213">
        <v>66.8</v>
      </c>
      <c r="EJ12" s="213">
        <v>50.5</v>
      </c>
      <c r="EK12" s="213" t="s">
        <v>747</v>
      </c>
      <c r="EL12" s="213" t="s">
        <v>743</v>
      </c>
      <c r="EM12" s="213">
        <v>0</v>
      </c>
      <c r="EN12" s="213">
        <v>0</v>
      </c>
      <c r="EO12" s="213">
        <v>0</v>
      </c>
      <c r="EP12" s="213" t="s">
        <v>249</v>
      </c>
      <c r="ES12" s="213" t="s">
        <v>748</v>
      </c>
      <c r="ET12" s="213" t="s">
        <v>743</v>
      </c>
      <c r="EU12" s="213">
        <v>0</v>
      </c>
      <c r="EV12" s="213">
        <v>0</v>
      </c>
      <c r="EW12" s="213">
        <v>0</v>
      </c>
      <c r="EX12" s="213" t="s">
        <v>249</v>
      </c>
      <c r="FA12" s="213" t="s">
        <v>749</v>
      </c>
      <c r="FB12" s="213" t="s">
        <v>743</v>
      </c>
      <c r="FC12" s="213">
        <v>0</v>
      </c>
      <c r="FD12" s="213">
        <v>0</v>
      </c>
      <c r="FE12" s="213">
        <v>0</v>
      </c>
      <c r="FF12" s="213" t="s">
        <v>249</v>
      </c>
      <c r="FI12" s="213" t="s">
        <v>750</v>
      </c>
      <c r="FJ12" s="213" t="s">
        <v>743</v>
      </c>
      <c r="FK12" s="213">
        <v>0</v>
      </c>
      <c r="FL12" s="213">
        <v>0</v>
      </c>
      <c r="FM12" s="213">
        <v>0</v>
      </c>
      <c r="FN12" s="213" t="s">
        <v>249</v>
      </c>
      <c r="FQ12" s="213" t="s">
        <v>751</v>
      </c>
      <c r="FR12" s="213" t="s">
        <v>743</v>
      </c>
      <c r="FS12" s="213">
        <v>0</v>
      </c>
      <c r="FT12" s="213">
        <v>0</v>
      </c>
      <c r="FU12" s="213">
        <v>0</v>
      </c>
      <c r="FV12" s="213" t="s">
        <v>249</v>
      </c>
      <c r="FY12" s="213">
        <v>26.5</v>
      </c>
      <c r="FZ12" s="213">
        <v>-13.5</v>
      </c>
      <c r="GF12" s="213" t="s">
        <v>752</v>
      </c>
    </row>
    <row r="13" spans="1:188" s="284" customFormat="1" x14ac:dyDescent="0.15">
      <c r="A13" s="283" t="s">
        <v>654</v>
      </c>
      <c r="B13" s="283">
        <v>4</v>
      </c>
      <c r="C13" s="284" t="s">
        <v>1016</v>
      </c>
      <c r="D13" s="284">
        <v>0</v>
      </c>
      <c r="E13" s="284">
        <v>92303</v>
      </c>
      <c r="J13" s="285"/>
      <c r="L13" s="284" t="s">
        <v>1017</v>
      </c>
    </row>
    <row r="14" spans="1:188" s="213" customFormat="1" x14ac:dyDescent="0.15">
      <c r="A14" s="213" t="s">
        <v>654</v>
      </c>
      <c r="B14" s="213">
        <v>4</v>
      </c>
      <c r="C14" s="213" t="s">
        <v>1113</v>
      </c>
      <c r="D14" s="213">
        <v>614348958</v>
      </c>
      <c r="E14" s="213">
        <v>92303</v>
      </c>
      <c r="F14" s="213" t="s">
        <v>1089</v>
      </c>
      <c r="G14" s="213">
        <v>802069</v>
      </c>
      <c r="H14" s="213">
        <v>884165</v>
      </c>
      <c r="I14" s="213" t="s">
        <v>1090</v>
      </c>
      <c r="J14" s="213" t="s">
        <v>1114</v>
      </c>
      <c r="K14" s="213" t="s">
        <v>727</v>
      </c>
      <c r="L14" s="213" t="s">
        <v>1092</v>
      </c>
      <c r="M14" s="213" t="s">
        <v>728</v>
      </c>
      <c r="N14" s="213" t="s">
        <v>728</v>
      </c>
      <c r="O14" s="213" t="s">
        <v>729</v>
      </c>
      <c r="P14" s="213" t="s">
        <v>249</v>
      </c>
      <c r="Q14" s="213">
        <v>24.6</v>
      </c>
      <c r="R14" s="213">
        <v>162</v>
      </c>
      <c r="S14" s="213" t="s">
        <v>249</v>
      </c>
      <c r="T14" s="213">
        <v>-9999</v>
      </c>
      <c r="U14" s="213">
        <v>166</v>
      </c>
      <c r="V14" s="213">
        <v>362</v>
      </c>
      <c r="W14" s="213">
        <v>159</v>
      </c>
      <c r="X14" s="213" t="s">
        <v>710</v>
      </c>
      <c r="Y14" s="213">
        <v>0</v>
      </c>
      <c r="Z14" s="213">
        <v>40</v>
      </c>
      <c r="AA14" s="213" t="s">
        <v>730</v>
      </c>
      <c r="AB14" s="213" t="s">
        <v>731</v>
      </c>
      <c r="AC14" s="213" t="s">
        <v>729</v>
      </c>
      <c r="AD14" s="213" t="s">
        <v>249</v>
      </c>
      <c r="AE14" s="213">
        <v>23</v>
      </c>
      <c r="AF14" s="213">
        <v>477</v>
      </c>
      <c r="AG14" s="213" t="s">
        <v>249</v>
      </c>
      <c r="AH14" s="213">
        <v>-9999</v>
      </c>
      <c r="AI14" s="213">
        <v>165</v>
      </c>
      <c r="AJ14" s="213">
        <v>393</v>
      </c>
      <c r="AK14" s="213">
        <v>162</v>
      </c>
      <c r="AL14" s="213" t="s">
        <v>710</v>
      </c>
      <c r="AM14" s="213">
        <v>0</v>
      </c>
      <c r="AN14" s="213">
        <v>40</v>
      </c>
      <c r="AO14" s="213" t="s">
        <v>733</v>
      </c>
      <c r="AP14" s="213" t="s">
        <v>734</v>
      </c>
      <c r="AQ14" s="213">
        <v>1</v>
      </c>
      <c r="AR14" s="213" t="s">
        <v>798</v>
      </c>
      <c r="AS14" s="213">
        <v>24.6</v>
      </c>
      <c r="AT14" s="213">
        <v>422</v>
      </c>
      <c r="AU14" s="213" t="s">
        <v>710</v>
      </c>
      <c r="AV14" s="213">
        <v>-9999</v>
      </c>
      <c r="AW14" s="213">
        <v>240</v>
      </c>
      <c r="AX14" s="213">
        <v>596</v>
      </c>
      <c r="AY14" s="213">
        <v>237</v>
      </c>
      <c r="AZ14" s="213" t="s">
        <v>710</v>
      </c>
      <c r="BA14" s="213">
        <v>0</v>
      </c>
      <c r="BB14" s="213">
        <v>40</v>
      </c>
      <c r="BC14" s="213" t="s">
        <v>736</v>
      </c>
      <c r="BD14" s="213" t="s">
        <v>734</v>
      </c>
      <c r="BE14" s="213">
        <v>2</v>
      </c>
      <c r="BF14" s="213" t="s">
        <v>798</v>
      </c>
      <c r="BG14" s="213">
        <v>24.7</v>
      </c>
      <c r="BH14" s="213">
        <v>262</v>
      </c>
      <c r="BI14" s="213" t="s">
        <v>710</v>
      </c>
      <c r="BJ14" s="213">
        <v>-9999</v>
      </c>
      <c r="BK14" s="213">
        <v>96</v>
      </c>
      <c r="BL14" s="213">
        <v>293</v>
      </c>
      <c r="BM14" s="213">
        <v>94</v>
      </c>
      <c r="BN14" s="213" t="s">
        <v>710</v>
      </c>
      <c r="BO14" s="213">
        <v>0</v>
      </c>
      <c r="BP14" s="213">
        <v>40</v>
      </c>
      <c r="BQ14" s="213" t="s">
        <v>737</v>
      </c>
      <c r="BR14" s="213" t="s">
        <v>734</v>
      </c>
      <c r="BS14" s="213">
        <v>3</v>
      </c>
      <c r="BT14" s="213" t="s">
        <v>798</v>
      </c>
      <c r="BU14" s="213">
        <v>25.8</v>
      </c>
      <c r="BV14" s="213">
        <v>183</v>
      </c>
      <c r="BW14" s="213" t="s">
        <v>710</v>
      </c>
      <c r="BX14" s="213">
        <v>-9999</v>
      </c>
      <c r="BY14" s="213">
        <v>153</v>
      </c>
      <c r="BZ14" s="213">
        <v>345</v>
      </c>
      <c r="CA14" s="213">
        <v>152</v>
      </c>
      <c r="CB14" s="213" t="s">
        <v>710</v>
      </c>
      <c r="CC14" s="213">
        <v>0</v>
      </c>
      <c r="CD14" s="213">
        <v>40</v>
      </c>
      <c r="CE14" s="213" t="s">
        <v>738</v>
      </c>
      <c r="CF14" s="213" t="s">
        <v>734</v>
      </c>
      <c r="CG14" s="213">
        <v>4</v>
      </c>
      <c r="CH14" s="213" t="s">
        <v>798</v>
      </c>
      <c r="CI14" s="213">
        <v>27.4</v>
      </c>
      <c r="CJ14" s="213">
        <v>129</v>
      </c>
      <c r="CK14" s="213" t="s">
        <v>710</v>
      </c>
      <c r="CL14" s="213">
        <v>-9999</v>
      </c>
      <c r="CM14" s="213">
        <v>122</v>
      </c>
      <c r="CN14" s="213">
        <v>313</v>
      </c>
      <c r="CO14" s="213">
        <v>119</v>
      </c>
      <c r="CP14" s="213" t="s">
        <v>710</v>
      </c>
      <c r="CQ14" s="213">
        <v>0</v>
      </c>
      <c r="CR14" s="213">
        <v>40</v>
      </c>
      <c r="CS14" s="213" t="s">
        <v>739</v>
      </c>
      <c r="CT14" s="213" t="s">
        <v>740</v>
      </c>
      <c r="CU14" s="213">
        <v>98</v>
      </c>
      <c r="CV14" s="213">
        <v>98</v>
      </c>
      <c r="CW14" s="213">
        <v>98</v>
      </c>
      <c r="CX14" s="213" t="s">
        <v>710</v>
      </c>
      <c r="CY14" s="213" t="s">
        <v>741</v>
      </c>
      <c r="CZ14" s="213" t="s">
        <v>740</v>
      </c>
      <c r="DA14" s="213">
        <v>96</v>
      </c>
      <c r="DB14" s="213">
        <v>95</v>
      </c>
      <c r="DC14" s="213">
        <v>95</v>
      </c>
      <c r="DD14" s="213" t="s">
        <v>710</v>
      </c>
      <c r="DE14" s="213" t="s">
        <v>742</v>
      </c>
      <c r="DF14" s="213" t="s">
        <v>743</v>
      </c>
      <c r="DG14" s="213">
        <v>0</v>
      </c>
      <c r="DH14" s="213">
        <v>0</v>
      </c>
      <c r="DI14" s="213">
        <v>0</v>
      </c>
      <c r="DJ14" s="213" t="s">
        <v>249</v>
      </c>
      <c r="DK14" s="213">
        <v>69.2</v>
      </c>
      <c r="DL14" s="213">
        <v>72.900000000000006</v>
      </c>
      <c r="DM14" s="213" t="s">
        <v>744</v>
      </c>
      <c r="DN14" s="213" t="s">
        <v>743</v>
      </c>
      <c r="DO14" s="213">
        <v>0</v>
      </c>
      <c r="DP14" s="213">
        <v>0</v>
      </c>
      <c r="DQ14" s="213">
        <v>0</v>
      </c>
      <c r="DR14" s="213" t="s">
        <v>249</v>
      </c>
      <c r="DS14" s="213">
        <v>73</v>
      </c>
      <c r="DT14" s="213">
        <v>86.9</v>
      </c>
      <c r="DU14" s="213" t="s">
        <v>745</v>
      </c>
      <c r="DV14" s="213" t="s">
        <v>743</v>
      </c>
      <c r="DW14" s="213">
        <v>0</v>
      </c>
      <c r="DX14" s="213">
        <v>0</v>
      </c>
      <c r="DY14" s="213">
        <v>0</v>
      </c>
      <c r="DZ14" s="213" t="s">
        <v>249</v>
      </c>
      <c r="EA14" s="213">
        <v>75.7</v>
      </c>
      <c r="EB14" s="213">
        <v>82.9</v>
      </c>
      <c r="EC14" s="213" t="s">
        <v>746</v>
      </c>
      <c r="ED14" s="213" t="s">
        <v>743</v>
      </c>
      <c r="EE14" s="213">
        <v>0</v>
      </c>
      <c r="EF14" s="213">
        <v>0</v>
      </c>
      <c r="EG14" s="213">
        <v>0</v>
      </c>
      <c r="EH14" s="213" t="s">
        <v>249</v>
      </c>
      <c r="EI14" s="213">
        <v>67</v>
      </c>
      <c r="EJ14" s="213">
        <v>81.400000000000006</v>
      </c>
      <c r="EK14" s="213" t="s">
        <v>747</v>
      </c>
      <c r="EL14" s="213" t="s">
        <v>743</v>
      </c>
      <c r="EM14" s="213">
        <v>0</v>
      </c>
      <c r="EN14" s="213">
        <v>0</v>
      </c>
      <c r="EO14" s="213">
        <v>0</v>
      </c>
      <c r="EP14" s="213" t="s">
        <v>249</v>
      </c>
      <c r="ES14" s="213" t="s">
        <v>748</v>
      </c>
      <c r="ET14" s="213" t="s">
        <v>743</v>
      </c>
      <c r="EU14" s="213">
        <v>0</v>
      </c>
      <c r="EV14" s="213">
        <v>0</v>
      </c>
      <c r="EW14" s="213">
        <v>0</v>
      </c>
      <c r="EX14" s="213" t="s">
        <v>249</v>
      </c>
      <c r="FA14" s="213" t="s">
        <v>749</v>
      </c>
      <c r="FB14" s="213" t="s">
        <v>743</v>
      </c>
      <c r="FC14" s="213">
        <v>0</v>
      </c>
      <c r="FD14" s="213">
        <v>0</v>
      </c>
      <c r="FE14" s="213">
        <v>0</v>
      </c>
      <c r="FF14" s="213" t="s">
        <v>249</v>
      </c>
      <c r="FI14" s="213" t="s">
        <v>750</v>
      </c>
      <c r="FJ14" s="213" t="s">
        <v>743</v>
      </c>
      <c r="FK14" s="213">
        <v>0</v>
      </c>
      <c r="FL14" s="213">
        <v>0</v>
      </c>
      <c r="FM14" s="213">
        <v>0</v>
      </c>
      <c r="FN14" s="213" t="s">
        <v>249</v>
      </c>
      <c r="FQ14" s="213" t="s">
        <v>751</v>
      </c>
      <c r="FR14" s="213" t="s">
        <v>743</v>
      </c>
      <c r="FS14" s="213">
        <v>0</v>
      </c>
      <c r="FT14" s="213">
        <v>0</v>
      </c>
      <c r="FU14" s="213">
        <v>0</v>
      </c>
      <c r="FV14" s="213" t="s">
        <v>249</v>
      </c>
      <c r="FY14" s="213">
        <v>25.6</v>
      </c>
      <c r="FZ14" s="213">
        <v>-12.3</v>
      </c>
      <c r="GF14" s="213" t="s">
        <v>752</v>
      </c>
    </row>
    <row r="15" spans="1:188" s="213" customFormat="1" x14ac:dyDescent="0.15">
      <c r="A15" s="213" t="s">
        <v>654</v>
      </c>
      <c r="B15" s="213">
        <v>4</v>
      </c>
      <c r="C15" s="213" t="s">
        <v>1115</v>
      </c>
      <c r="D15" s="213">
        <v>614349611</v>
      </c>
      <c r="E15" s="213">
        <v>92303</v>
      </c>
      <c r="F15" s="213" t="s">
        <v>1089</v>
      </c>
      <c r="G15" s="213">
        <v>802069</v>
      </c>
      <c r="H15" s="213">
        <v>869520</v>
      </c>
      <c r="I15" s="213" t="s">
        <v>1090</v>
      </c>
      <c r="J15" s="213" t="s">
        <v>1116</v>
      </c>
      <c r="K15" s="213" t="s">
        <v>727</v>
      </c>
      <c r="L15" s="213" t="s">
        <v>1092</v>
      </c>
      <c r="M15" s="213" t="s">
        <v>728</v>
      </c>
      <c r="N15" s="213" t="s">
        <v>728</v>
      </c>
      <c r="O15" s="213" t="s">
        <v>729</v>
      </c>
      <c r="P15" s="213" t="s">
        <v>249</v>
      </c>
      <c r="Q15" s="213">
        <v>23.4</v>
      </c>
      <c r="R15" s="213">
        <v>168</v>
      </c>
      <c r="S15" s="213" t="s">
        <v>249</v>
      </c>
      <c r="T15" s="213">
        <v>-9999</v>
      </c>
      <c r="U15" s="213">
        <v>138</v>
      </c>
      <c r="V15" s="213">
        <v>304</v>
      </c>
      <c r="W15" s="213">
        <v>136</v>
      </c>
      <c r="X15" s="213" t="s">
        <v>710</v>
      </c>
      <c r="Y15" s="213">
        <v>0</v>
      </c>
      <c r="Z15" s="213">
        <v>40</v>
      </c>
      <c r="AA15" s="213" t="s">
        <v>730</v>
      </c>
      <c r="AB15" s="213" t="s">
        <v>731</v>
      </c>
      <c r="AC15" s="213" t="s">
        <v>729</v>
      </c>
      <c r="AD15" s="213" t="s">
        <v>249</v>
      </c>
      <c r="AE15" s="213">
        <v>23.1</v>
      </c>
      <c r="AF15" s="213">
        <v>484</v>
      </c>
      <c r="AG15" s="213" t="s">
        <v>249</v>
      </c>
      <c r="AH15" s="213">
        <v>-9999</v>
      </c>
      <c r="AI15" s="213">
        <v>181</v>
      </c>
      <c r="AJ15" s="213">
        <v>432</v>
      </c>
      <c r="AK15" s="213">
        <v>181</v>
      </c>
      <c r="AL15" s="213" t="s">
        <v>710</v>
      </c>
      <c r="AM15" s="213">
        <v>0</v>
      </c>
      <c r="AN15" s="213">
        <v>40</v>
      </c>
      <c r="AO15" s="213" t="s">
        <v>733</v>
      </c>
      <c r="AP15" s="213" t="s">
        <v>734</v>
      </c>
      <c r="AQ15" s="213">
        <v>1</v>
      </c>
      <c r="AR15" s="213" t="s">
        <v>798</v>
      </c>
      <c r="AS15" s="213">
        <v>25.1</v>
      </c>
      <c r="AT15" s="213">
        <v>432</v>
      </c>
      <c r="AU15" s="213" t="s">
        <v>710</v>
      </c>
      <c r="AV15" s="213">
        <v>-9999</v>
      </c>
      <c r="AW15" s="213">
        <v>211</v>
      </c>
      <c r="AX15" s="213">
        <v>531</v>
      </c>
      <c r="AY15" s="213">
        <v>211</v>
      </c>
      <c r="AZ15" s="213" t="s">
        <v>710</v>
      </c>
      <c r="BA15" s="213">
        <v>0</v>
      </c>
      <c r="BB15" s="213">
        <v>40</v>
      </c>
      <c r="BC15" s="213" t="s">
        <v>736</v>
      </c>
      <c r="BD15" s="213" t="s">
        <v>734</v>
      </c>
      <c r="BE15" s="213">
        <v>2</v>
      </c>
      <c r="BF15" s="213" t="s">
        <v>798</v>
      </c>
      <c r="BG15" s="213">
        <v>25</v>
      </c>
      <c r="BH15" s="213">
        <v>284</v>
      </c>
      <c r="BI15" s="213" t="s">
        <v>710</v>
      </c>
      <c r="BJ15" s="213">
        <v>-9999</v>
      </c>
      <c r="BK15" s="213">
        <v>99</v>
      </c>
      <c r="BL15" s="213">
        <v>315</v>
      </c>
      <c r="BM15" s="213">
        <v>97</v>
      </c>
      <c r="BN15" s="213" t="s">
        <v>710</v>
      </c>
      <c r="BO15" s="213">
        <v>0</v>
      </c>
      <c r="BP15" s="213">
        <v>40</v>
      </c>
      <c r="BQ15" s="213" t="s">
        <v>737</v>
      </c>
      <c r="BR15" s="213" t="s">
        <v>734</v>
      </c>
      <c r="BS15" s="213">
        <v>3</v>
      </c>
      <c r="BT15" s="213" t="s">
        <v>798</v>
      </c>
      <c r="BU15" s="213">
        <v>26.2</v>
      </c>
      <c r="BV15" s="213">
        <v>191</v>
      </c>
      <c r="BW15" s="213" t="s">
        <v>710</v>
      </c>
      <c r="BX15" s="213">
        <v>-9999</v>
      </c>
      <c r="BY15" s="213">
        <v>159</v>
      </c>
      <c r="BZ15" s="213">
        <v>376</v>
      </c>
      <c r="CA15" s="213">
        <v>159</v>
      </c>
      <c r="CB15" s="213" t="s">
        <v>710</v>
      </c>
      <c r="CC15" s="213">
        <v>0</v>
      </c>
      <c r="CD15" s="213">
        <v>40</v>
      </c>
      <c r="CE15" s="213" t="s">
        <v>738</v>
      </c>
      <c r="CF15" s="213" t="s">
        <v>734</v>
      </c>
      <c r="CG15" s="213">
        <v>4</v>
      </c>
      <c r="CH15" s="213" t="s">
        <v>798</v>
      </c>
      <c r="CI15" s="213">
        <v>27.6</v>
      </c>
      <c r="CJ15" s="213">
        <v>135</v>
      </c>
      <c r="CK15" s="213" t="s">
        <v>710</v>
      </c>
      <c r="CL15" s="213">
        <v>-9999</v>
      </c>
      <c r="CM15" s="213">
        <v>130</v>
      </c>
      <c r="CN15" s="213">
        <v>344</v>
      </c>
      <c r="CO15" s="213">
        <v>129</v>
      </c>
      <c r="CP15" s="213" t="s">
        <v>710</v>
      </c>
      <c r="CQ15" s="213">
        <v>0</v>
      </c>
      <c r="CR15" s="213">
        <v>40</v>
      </c>
      <c r="CS15" s="213" t="s">
        <v>739</v>
      </c>
      <c r="CT15" s="213" t="s">
        <v>740</v>
      </c>
      <c r="CU15" s="213">
        <v>105</v>
      </c>
      <c r="CV15" s="213">
        <v>104</v>
      </c>
      <c r="CW15" s="213">
        <v>104</v>
      </c>
      <c r="CX15" s="213" t="s">
        <v>710</v>
      </c>
      <c r="CY15" s="213" t="s">
        <v>741</v>
      </c>
      <c r="CZ15" s="213" t="s">
        <v>740</v>
      </c>
      <c r="DA15" s="213">
        <v>93</v>
      </c>
      <c r="DB15" s="213">
        <v>93</v>
      </c>
      <c r="DC15" s="213">
        <v>92</v>
      </c>
      <c r="DD15" s="213" t="s">
        <v>710</v>
      </c>
      <c r="DE15" s="213" t="s">
        <v>742</v>
      </c>
      <c r="DF15" s="213" t="s">
        <v>743</v>
      </c>
      <c r="DG15" s="213">
        <v>0</v>
      </c>
      <c r="DH15" s="213">
        <v>0</v>
      </c>
      <c r="DI15" s="213">
        <v>0</v>
      </c>
      <c r="DJ15" s="213" t="s">
        <v>249</v>
      </c>
      <c r="DK15" s="213">
        <v>69.099999999999994</v>
      </c>
      <c r="DL15" s="213">
        <v>63.6</v>
      </c>
      <c r="DM15" s="213" t="s">
        <v>744</v>
      </c>
      <c r="DN15" s="213" t="s">
        <v>743</v>
      </c>
      <c r="DO15" s="213">
        <v>0</v>
      </c>
      <c r="DP15" s="213">
        <v>0</v>
      </c>
      <c r="DQ15" s="213">
        <v>0</v>
      </c>
      <c r="DR15" s="213" t="s">
        <v>249</v>
      </c>
      <c r="DS15" s="213">
        <v>72.900000000000006</v>
      </c>
      <c r="DT15" s="213">
        <v>97.8</v>
      </c>
      <c r="DU15" s="213" t="s">
        <v>745</v>
      </c>
      <c r="DV15" s="213" t="s">
        <v>743</v>
      </c>
      <c r="DW15" s="213">
        <v>0</v>
      </c>
      <c r="DX15" s="213">
        <v>0</v>
      </c>
      <c r="DY15" s="213">
        <v>0</v>
      </c>
      <c r="DZ15" s="213" t="s">
        <v>249</v>
      </c>
      <c r="EA15" s="213">
        <v>75.599999999999994</v>
      </c>
      <c r="EB15" s="213">
        <v>85.6</v>
      </c>
      <c r="EC15" s="213" t="s">
        <v>746</v>
      </c>
      <c r="ED15" s="213" t="s">
        <v>743</v>
      </c>
      <c r="EE15" s="213">
        <v>0</v>
      </c>
      <c r="EF15" s="213">
        <v>0</v>
      </c>
      <c r="EG15" s="213">
        <v>0</v>
      </c>
      <c r="EH15" s="213" t="s">
        <v>249</v>
      </c>
      <c r="EI15" s="213">
        <v>66.900000000000006</v>
      </c>
      <c r="EJ15" s="213">
        <v>88.9</v>
      </c>
      <c r="EK15" s="213" t="s">
        <v>747</v>
      </c>
      <c r="EL15" s="213" t="s">
        <v>743</v>
      </c>
      <c r="EM15" s="213">
        <v>0</v>
      </c>
      <c r="EN15" s="213">
        <v>0</v>
      </c>
      <c r="EO15" s="213">
        <v>0</v>
      </c>
      <c r="EP15" s="213" t="s">
        <v>249</v>
      </c>
      <c r="ES15" s="213" t="s">
        <v>748</v>
      </c>
      <c r="ET15" s="213" t="s">
        <v>743</v>
      </c>
      <c r="EU15" s="213">
        <v>0</v>
      </c>
      <c r="EV15" s="213">
        <v>0</v>
      </c>
      <c r="EW15" s="213">
        <v>0</v>
      </c>
      <c r="EX15" s="213" t="s">
        <v>249</v>
      </c>
      <c r="FA15" s="213" t="s">
        <v>749</v>
      </c>
      <c r="FB15" s="213" t="s">
        <v>743</v>
      </c>
      <c r="FC15" s="213">
        <v>0</v>
      </c>
      <c r="FD15" s="213">
        <v>0</v>
      </c>
      <c r="FE15" s="213">
        <v>0</v>
      </c>
      <c r="FF15" s="213" t="s">
        <v>249</v>
      </c>
      <c r="FI15" s="213" t="s">
        <v>750</v>
      </c>
      <c r="FJ15" s="213" t="s">
        <v>743</v>
      </c>
      <c r="FK15" s="213">
        <v>0</v>
      </c>
      <c r="FL15" s="213">
        <v>0</v>
      </c>
      <c r="FM15" s="213">
        <v>0</v>
      </c>
      <c r="FN15" s="213" t="s">
        <v>249</v>
      </c>
      <c r="FQ15" s="213" t="s">
        <v>751</v>
      </c>
      <c r="FR15" s="213" t="s">
        <v>743</v>
      </c>
      <c r="FS15" s="213">
        <v>0</v>
      </c>
      <c r="FT15" s="213">
        <v>0</v>
      </c>
      <c r="FU15" s="213">
        <v>0</v>
      </c>
      <c r="FV15" s="213" t="s">
        <v>249</v>
      </c>
      <c r="FY15" s="213">
        <v>30</v>
      </c>
      <c r="FZ15" s="213">
        <v>-16.5</v>
      </c>
      <c r="GF15" s="213" t="s">
        <v>752</v>
      </c>
    </row>
    <row r="16" spans="1:188" s="213" customFormat="1" x14ac:dyDescent="0.15">
      <c r="A16" s="213" t="s">
        <v>654</v>
      </c>
      <c r="B16" s="213">
        <v>4</v>
      </c>
      <c r="C16" s="213" t="s">
        <v>1117</v>
      </c>
      <c r="D16" s="213">
        <v>614383062</v>
      </c>
      <c r="E16" s="213">
        <v>92303</v>
      </c>
      <c r="F16" s="213" t="s">
        <v>1089</v>
      </c>
      <c r="G16" s="213">
        <v>802069</v>
      </c>
      <c r="H16" s="213">
        <v>656453</v>
      </c>
      <c r="I16" s="213" t="s">
        <v>1090</v>
      </c>
      <c r="J16" s="213" t="s">
        <v>1118</v>
      </c>
      <c r="K16" s="213" t="s">
        <v>727</v>
      </c>
      <c r="L16" s="213" t="s">
        <v>1092</v>
      </c>
      <c r="M16" s="213" t="s">
        <v>728</v>
      </c>
      <c r="N16" s="213" t="s">
        <v>728</v>
      </c>
      <c r="O16" s="213" t="s">
        <v>729</v>
      </c>
      <c r="P16" s="213" t="s">
        <v>249</v>
      </c>
      <c r="Q16" s="213">
        <v>25.3</v>
      </c>
      <c r="R16" s="213">
        <v>133</v>
      </c>
      <c r="S16" s="213" t="s">
        <v>249</v>
      </c>
      <c r="T16" s="213">
        <v>-9999</v>
      </c>
      <c r="U16" s="213">
        <v>177</v>
      </c>
      <c r="V16" s="213">
        <v>378</v>
      </c>
      <c r="W16" s="213">
        <v>173</v>
      </c>
      <c r="X16" s="213" t="s">
        <v>710</v>
      </c>
      <c r="Y16" s="213">
        <v>0</v>
      </c>
      <c r="Z16" s="213">
        <v>40</v>
      </c>
      <c r="AA16" s="213" t="s">
        <v>730</v>
      </c>
      <c r="AB16" s="213" t="s">
        <v>731</v>
      </c>
      <c r="AC16" s="213" t="s">
        <v>729</v>
      </c>
      <c r="AD16" s="213" t="s">
        <v>249</v>
      </c>
      <c r="AE16" s="213">
        <v>23.7</v>
      </c>
      <c r="AF16" s="213">
        <v>479</v>
      </c>
      <c r="AG16" s="213" t="s">
        <v>249</v>
      </c>
      <c r="AH16" s="213">
        <v>-9999</v>
      </c>
      <c r="AI16" s="213">
        <v>166</v>
      </c>
      <c r="AJ16" s="213">
        <v>393</v>
      </c>
      <c r="AK16" s="213">
        <v>164</v>
      </c>
      <c r="AL16" s="213" t="s">
        <v>710</v>
      </c>
      <c r="AM16" s="213">
        <v>0</v>
      </c>
      <c r="AN16" s="213">
        <v>40</v>
      </c>
      <c r="AO16" s="213" t="s">
        <v>733</v>
      </c>
      <c r="AP16" s="213" t="s">
        <v>734</v>
      </c>
      <c r="AQ16" s="213">
        <v>1</v>
      </c>
      <c r="AR16" s="213" t="s">
        <v>798</v>
      </c>
      <c r="AS16" s="213">
        <v>26.8</v>
      </c>
      <c r="AT16" s="213">
        <v>364</v>
      </c>
      <c r="AU16" s="213" t="s">
        <v>710</v>
      </c>
      <c r="AV16" s="213">
        <v>-9999</v>
      </c>
      <c r="AW16" s="213">
        <v>222</v>
      </c>
      <c r="AX16" s="213">
        <v>547</v>
      </c>
      <c r="AY16" s="213">
        <v>220</v>
      </c>
      <c r="AZ16" s="213" t="s">
        <v>710</v>
      </c>
      <c r="BA16" s="213">
        <v>0</v>
      </c>
      <c r="BB16" s="213">
        <v>40</v>
      </c>
      <c r="BC16" s="213" t="s">
        <v>736</v>
      </c>
      <c r="BD16" s="213" t="s">
        <v>734</v>
      </c>
      <c r="BE16" s="213">
        <v>2</v>
      </c>
      <c r="BF16" s="213" t="s">
        <v>798</v>
      </c>
      <c r="BG16" s="213">
        <v>26.9</v>
      </c>
      <c r="BH16" s="213">
        <v>241</v>
      </c>
      <c r="BI16" s="213" t="s">
        <v>710</v>
      </c>
      <c r="BJ16" s="213">
        <v>-9999</v>
      </c>
      <c r="BK16" s="213">
        <v>89</v>
      </c>
      <c r="BL16" s="213">
        <v>284</v>
      </c>
      <c r="BM16" s="213">
        <v>87</v>
      </c>
      <c r="BN16" s="213" t="s">
        <v>710</v>
      </c>
      <c r="BO16" s="213">
        <v>0</v>
      </c>
      <c r="BP16" s="213">
        <v>40</v>
      </c>
      <c r="BQ16" s="213" t="s">
        <v>737</v>
      </c>
      <c r="BR16" s="213" t="s">
        <v>734</v>
      </c>
      <c r="BS16" s="213">
        <v>3</v>
      </c>
      <c r="BT16" s="213" t="s">
        <v>798</v>
      </c>
      <c r="BU16" s="213">
        <v>28.1</v>
      </c>
      <c r="BV16" s="213">
        <v>164</v>
      </c>
      <c r="BW16" s="213" t="s">
        <v>710</v>
      </c>
      <c r="BX16" s="213">
        <v>-9999</v>
      </c>
      <c r="BY16" s="213">
        <v>145</v>
      </c>
      <c r="BZ16" s="213">
        <v>339</v>
      </c>
      <c r="CA16" s="213">
        <v>144</v>
      </c>
      <c r="CB16" s="213" t="s">
        <v>710</v>
      </c>
      <c r="CC16" s="213">
        <v>0</v>
      </c>
      <c r="CD16" s="213">
        <v>40</v>
      </c>
      <c r="CE16" s="213" t="s">
        <v>738</v>
      </c>
      <c r="CF16" s="213" t="s">
        <v>734</v>
      </c>
      <c r="CG16" s="213">
        <v>4</v>
      </c>
      <c r="CH16" s="213" t="s">
        <v>798</v>
      </c>
      <c r="CI16" s="213">
        <v>29.3</v>
      </c>
      <c r="CJ16" s="213">
        <v>131</v>
      </c>
      <c r="CK16" s="213" t="s">
        <v>710</v>
      </c>
      <c r="CL16" s="213">
        <v>-9999</v>
      </c>
      <c r="CM16" s="213">
        <v>111</v>
      </c>
      <c r="CN16" s="213">
        <v>293</v>
      </c>
      <c r="CO16" s="213">
        <v>108</v>
      </c>
      <c r="CP16" s="213" t="s">
        <v>710</v>
      </c>
      <c r="CQ16" s="213">
        <v>0</v>
      </c>
      <c r="CR16" s="213">
        <v>40</v>
      </c>
      <c r="CS16" s="213" t="s">
        <v>739</v>
      </c>
      <c r="CT16" s="213" t="s">
        <v>740</v>
      </c>
      <c r="CU16" s="213">
        <v>85</v>
      </c>
      <c r="CV16" s="213">
        <v>85</v>
      </c>
      <c r="CW16" s="213">
        <v>84</v>
      </c>
      <c r="CX16" s="213" t="s">
        <v>710</v>
      </c>
      <c r="CY16" s="213" t="s">
        <v>741</v>
      </c>
      <c r="CZ16" s="213" t="s">
        <v>740</v>
      </c>
      <c r="DA16" s="213">
        <v>97</v>
      </c>
      <c r="DB16" s="213">
        <v>96</v>
      </c>
      <c r="DC16" s="213">
        <v>96</v>
      </c>
      <c r="DD16" s="213" t="s">
        <v>710</v>
      </c>
      <c r="DE16" s="213" t="s">
        <v>742</v>
      </c>
      <c r="DF16" s="213" t="s">
        <v>743</v>
      </c>
      <c r="DG16" s="213">
        <v>0</v>
      </c>
      <c r="DH16" s="213">
        <v>0</v>
      </c>
      <c r="DI16" s="213">
        <v>0</v>
      </c>
      <c r="DJ16" s="213" t="s">
        <v>249</v>
      </c>
      <c r="DK16" s="213">
        <v>69.099999999999994</v>
      </c>
      <c r="DL16" s="213">
        <v>59.7</v>
      </c>
      <c r="DM16" s="213" t="s">
        <v>744</v>
      </c>
      <c r="DN16" s="213" t="s">
        <v>743</v>
      </c>
      <c r="DO16" s="213">
        <v>0</v>
      </c>
      <c r="DP16" s="213">
        <v>0</v>
      </c>
      <c r="DQ16" s="213">
        <v>0</v>
      </c>
      <c r="DR16" s="213" t="s">
        <v>249</v>
      </c>
      <c r="DS16" s="213">
        <v>72.900000000000006</v>
      </c>
      <c r="DT16" s="213">
        <v>83</v>
      </c>
      <c r="DU16" s="213" t="s">
        <v>745</v>
      </c>
      <c r="DV16" s="213" t="s">
        <v>743</v>
      </c>
      <c r="DW16" s="213">
        <v>0</v>
      </c>
      <c r="DX16" s="213">
        <v>0</v>
      </c>
      <c r="DY16" s="213">
        <v>0</v>
      </c>
      <c r="DZ16" s="213" t="s">
        <v>249</v>
      </c>
      <c r="EA16" s="213">
        <v>75.599999999999994</v>
      </c>
      <c r="EB16" s="213">
        <v>76.3</v>
      </c>
      <c r="EC16" s="213" t="s">
        <v>746</v>
      </c>
      <c r="ED16" s="213" t="s">
        <v>743</v>
      </c>
      <c r="EE16" s="213">
        <v>0</v>
      </c>
      <c r="EF16" s="213">
        <v>0</v>
      </c>
      <c r="EG16" s="213">
        <v>0</v>
      </c>
      <c r="EH16" s="213" t="s">
        <v>249</v>
      </c>
      <c r="EI16" s="213">
        <v>66.900000000000006</v>
      </c>
      <c r="EJ16" s="213">
        <v>81.400000000000006</v>
      </c>
      <c r="EK16" s="213" t="s">
        <v>747</v>
      </c>
      <c r="EL16" s="213" t="s">
        <v>743</v>
      </c>
      <c r="EM16" s="213">
        <v>0</v>
      </c>
      <c r="EN16" s="213">
        <v>0</v>
      </c>
      <c r="EO16" s="213">
        <v>0</v>
      </c>
      <c r="EP16" s="213" t="s">
        <v>249</v>
      </c>
      <c r="ES16" s="213" t="s">
        <v>748</v>
      </c>
      <c r="ET16" s="213" t="s">
        <v>743</v>
      </c>
      <c r="EU16" s="213">
        <v>0</v>
      </c>
      <c r="EV16" s="213">
        <v>0</v>
      </c>
      <c r="EW16" s="213">
        <v>0</v>
      </c>
      <c r="EX16" s="213" t="s">
        <v>249</v>
      </c>
      <c r="FA16" s="213" t="s">
        <v>749</v>
      </c>
      <c r="FB16" s="213" t="s">
        <v>743</v>
      </c>
      <c r="FC16" s="213">
        <v>0</v>
      </c>
      <c r="FD16" s="213">
        <v>0</v>
      </c>
      <c r="FE16" s="213">
        <v>0</v>
      </c>
      <c r="FF16" s="213" t="s">
        <v>249</v>
      </c>
      <c r="FI16" s="213" t="s">
        <v>750</v>
      </c>
      <c r="FJ16" s="213" t="s">
        <v>743</v>
      </c>
      <c r="FK16" s="213">
        <v>0</v>
      </c>
      <c r="FL16" s="213">
        <v>0</v>
      </c>
      <c r="FM16" s="213">
        <v>0</v>
      </c>
      <c r="FN16" s="213" t="s">
        <v>249</v>
      </c>
      <c r="FQ16" s="213" t="s">
        <v>751</v>
      </c>
      <c r="FR16" s="213" t="s">
        <v>743</v>
      </c>
      <c r="FS16" s="213">
        <v>0</v>
      </c>
      <c r="FT16" s="213">
        <v>0</v>
      </c>
      <c r="FU16" s="213">
        <v>0</v>
      </c>
      <c r="FV16" s="213" t="s">
        <v>249</v>
      </c>
      <c r="FY16" s="213">
        <v>20</v>
      </c>
      <c r="FZ16" s="213">
        <v>-10.5</v>
      </c>
      <c r="GF16" s="213" t="s">
        <v>752</v>
      </c>
    </row>
    <row r="17" spans="1:188" s="213" customFormat="1" x14ac:dyDescent="0.15">
      <c r="A17" s="213" t="s">
        <v>654</v>
      </c>
      <c r="B17" s="213">
        <v>4</v>
      </c>
      <c r="C17" s="213" t="s">
        <v>1119</v>
      </c>
      <c r="D17" s="213">
        <v>614382995</v>
      </c>
      <c r="E17" s="213">
        <v>92303</v>
      </c>
      <c r="F17" s="213" t="s">
        <v>1089</v>
      </c>
      <c r="G17" s="213">
        <v>802069</v>
      </c>
      <c r="H17" s="213">
        <v>719652</v>
      </c>
      <c r="I17" s="213" t="s">
        <v>1090</v>
      </c>
      <c r="J17" s="213" t="s">
        <v>1120</v>
      </c>
      <c r="K17" s="213" t="s">
        <v>727</v>
      </c>
      <c r="L17" s="213" t="s">
        <v>1092</v>
      </c>
      <c r="M17" s="213" t="s">
        <v>728</v>
      </c>
      <c r="N17" s="213" t="s">
        <v>728</v>
      </c>
      <c r="O17" s="213" t="s">
        <v>729</v>
      </c>
      <c r="P17" s="213" t="s">
        <v>249</v>
      </c>
      <c r="Q17" s="213">
        <v>23.4</v>
      </c>
      <c r="R17" s="213">
        <v>145</v>
      </c>
      <c r="S17" s="213" t="s">
        <v>249</v>
      </c>
      <c r="T17" s="213">
        <v>-9999</v>
      </c>
      <c r="U17" s="213">
        <v>213</v>
      </c>
      <c r="V17" s="213">
        <v>444</v>
      </c>
      <c r="W17" s="213">
        <v>206</v>
      </c>
      <c r="X17" s="213" t="s">
        <v>710</v>
      </c>
      <c r="Y17" s="213">
        <v>0</v>
      </c>
      <c r="Z17" s="213">
        <v>40</v>
      </c>
      <c r="AA17" s="213" t="s">
        <v>730</v>
      </c>
      <c r="AB17" s="213" t="s">
        <v>731</v>
      </c>
      <c r="AC17" s="213" t="s">
        <v>729</v>
      </c>
      <c r="AD17" s="213" t="s">
        <v>249</v>
      </c>
      <c r="AE17" s="213">
        <v>22.6</v>
      </c>
      <c r="AF17" s="213">
        <v>465</v>
      </c>
      <c r="AG17" s="213" t="s">
        <v>249</v>
      </c>
      <c r="AH17" s="213">
        <v>-9999</v>
      </c>
      <c r="AI17" s="213">
        <v>184</v>
      </c>
      <c r="AJ17" s="213">
        <v>442</v>
      </c>
      <c r="AK17" s="213">
        <v>182</v>
      </c>
      <c r="AL17" s="213" t="s">
        <v>710</v>
      </c>
      <c r="AM17" s="213">
        <v>0</v>
      </c>
      <c r="AN17" s="213">
        <v>40</v>
      </c>
      <c r="AO17" s="213" t="s">
        <v>733</v>
      </c>
      <c r="AP17" s="213" t="s">
        <v>734</v>
      </c>
      <c r="AQ17" s="213">
        <v>1</v>
      </c>
      <c r="AR17" s="213" t="s">
        <v>798</v>
      </c>
      <c r="AS17" s="213">
        <v>24.6</v>
      </c>
      <c r="AT17" s="213">
        <v>380</v>
      </c>
      <c r="AU17" s="213" t="s">
        <v>710</v>
      </c>
      <c r="AV17" s="213">
        <v>-9999</v>
      </c>
      <c r="AW17" s="213">
        <v>251</v>
      </c>
      <c r="AX17" s="213">
        <v>619</v>
      </c>
      <c r="AY17" s="213">
        <v>250</v>
      </c>
      <c r="AZ17" s="213" t="s">
        <v>710</v>
      </c>
      <c r="BA17" s="213">
        <v>0</v>
      </c>
      <c r="BB17" s="213">
        <v>40</v>
      </c>
      <c r="BC17" s="213" t="s">
        <v>736</v>
      </c>
      <c r="BD17" s="213" t="s">
        <v>734</v>
      </c>
      <c r="BE17" s="213">
        <v>2</v>
      </c>
      <c r="BF17" s="213" t="s">
        <v>798</v>
      </c>
      <c r="BG17" s="213">
        <v>23.9</v>
      </c>
      <c r="BH17" s="213">
        <v>269</v>
      </c>
      <c r="BI17" s="213" t="s">
        <v>710</v>
      </c>
      <c r="BJ17" s="213">
        <v>-9999</v>
      </c>
      <c r="BK17" s="213">
        <v>98</v>
      </c>
      <c r="BL17" s="213">
        <v>303</v>
      </c>
      <c r="BM17" s="213">
        <v>96</v>
      </c>
      <c r="BN17" s="213" t="s">
        <v>710</v>
      </c>
      <c r="BO17" s="213">
        <v>0</v>
      </c>
      <c r="BP17" s="213">
        <v>40</v>
      </c>
      <c r="BQ17" s="213" t="s">
        <v>737</v>
      </c>
      <c r="BR17" s="213" t="s">
        <v>734</v>
      </c>
      <c r="BS17" s="213">
        <v>3</v>
      </c>
      <c r="BT17" s="213" t="s">
        <v>798</v>
      </c>
      <c r="BU17" s="213">
        <v>25.1</v>
      </c>
      <c r="BV17" s="213">
        <v>186</v>
      </c>
      <c r="BW17" s="213" t="s">
        <v>710</v>
      </c>
      <c r="BX17" s="213">
        <v>-9999</v>
      </c>
      <c r="BY17" s="213">
        <v>161</v>
      </c>
      <c r="BZ17" s="213">
        <v>367</v>
      </c>
      <c r="CA17" s="213">
        <v>160</v>
      </c>
      <c r="CB17" s="213" t="s">
        <v>710</v>
      </c>
      <c r="CC17" s="213">
        <v>0</v>
      </c>
      <c r="CD17" s="213">
        <v>40</v>
      </c>
      <c r="CE17" s="213" t="s">
        <v>738</v>
      </c>
      <c r="CF17" s="213" t="s">
        <v>734</v>
      </c>
      <c r="CG17" s="213">
        <v>4</v>
      </c>
      <c r="CH17" s="213" t="s">
        <v>798</v>
      </c>
      <c r="CI17" s="213">
        <v>26.7</v>
      </c>
      <c r="CJ17" s="213">
        <v>125</v>
      </c>
      <c r="CK17" s="213" t="s">
        <v>710</v>
      </c>
      <c r="CL17" s="213">
        <v>-9999</v>
      </c>
      <c r="CM17" s="213">
        <v>142</v>
      </c>
      <c r="CN17" s="213">
        <v>373</v>
      </c>
      <c r="CO17" s="213">
        <v>140</v>
      </c>
      <c r="CP17" s="213" t="s">
        <v>710</v>
      </c>
      <c r="CQ17" s="213">
        <v>0</v>
      </c>
      <c r="CR17" s="213">
        <v>40</v>
      </c>
      <c r="CS17" s="213" t="s">
        <v>739</v>
      </c>
      <c r="CT17" s="213" t="s">
        <v>740</v>
      </c>
      <c r="CU17" s="213">
        <v>119</v>
      </c>
      <c r="CV17" s="213">
        <v>119</v>
      </c>
      <c r="CW17" s="213">
        <v>118</v>
      </c>
      <c r="CX17" s="213" t="s">
        <v>710</v>
      </c>
      <c r="CY17" s="213" t="s">
        <v>741</v>
      </c>
      <c r="CZ17" s="213" t="s">
        <v>740</v>
      </c>
      <c r="DA17" s="213">
        <v>109</v>
      </c>
      <c r="DB17" s="213">
        <v>109</v>
      </c>
      <c r="DC17" s="213">
        <v>108</v>
      </c>
      <c r="DD17" s="213" t="s">
        <v>710</v>
      </c>
      <c r="DE17" s="213" t="s">
        <v>742</v>
      </c>
      <c r="DF17" s="213" t="s">
        <v>743</v>
      </c>
      <c r="DG17" s="213">
        <v>0</v>
      </c>
      <c r="DH17" s="213">
        <v>0</v>
      </c>
      <c r="DI17" s="213">
        <v>0</v>
      </c>
      <c r="DJ17" s="213" t="s">
        <v>249</v>
      </c>
      <c r="DK17" s="213">
        <v>69.099999999999994</v>
      </c>
      <c r="DL17" s="213">
        <v>72.400000000000006</v>
      </c>
      <c r="DM17" s="213" t="s">
        <v>744</v>
      </c>
      <c r="DN17" s="213" t="s">
        <v>743</v>
      </c>
      <c r="DO17" s="213">
        <v>0</v>
      </c>
      <c r="DP17" s="213">
        <v>0</v>
      </c>
      <c r="DQ17" s="213">
        <v>0</v>
      </c>
      <c r="DR17" s="213" t="s">
        <v>249</v>
      </c>
      <c r="DS17" s="213">
        <v>72.7</v>
      </c>
      <c r="DT17" s="213">
        <v>80.900000000000006</v>
      </c>
      <c r="DU17" s="213" t="s">
        <v>745</v>
      </c>
      <c r="DV17" s="213" t="s">
        <v>743</v>
      </c>
      <c r="DW17" s="213">
        <v>0</v>
      </c>
      <c r="DX17" s="213">
        <v>0</v>
      </c>
      <c r="DY17" s="213">
        <v>0</v>
      </c>
      <c r="DZ17" s="213" t="s">
        <v>249</v>
      </c>
      <c r="EA17" s="213">
        <v>75.400000000000006</v>
      </c>
      <c r="EB17" s="213">
        <v>74.099999999999994</v>
      </c>
      <c r="EC17" s="213" t="s">
        <v>746</v>
      </c>
      <c r="ED17" s="213" t="s">
        <v>743</v>
      </c>
      <c r="EE17" s="213">
        <v>0</v>
      </c>
      <c r="EF17" s="213">
        <v>0</v>
      </c>
      <c r="EG17" s="213">
        <v>0</v>
      </c>
      <c r="EH17" s="213" t="s">
        <v>249</v>
      </c>
      <c r="EI17" s="213">
        <v>66.7</v>
      </c>
      <c r="EJ17" s="213">
        <v>75.5</v>
      </c>
      <c r="EK17" s="213" t="s">
        <v>747</v>
      </c>
      <c r="EL17" s="213" t="s">
        <v>743</v>
      </c>
      <c r="EM17" s="213">
        <v>0</v>
      </c>
      <c r="EN17" s="213">
        <v>0</v>
      </c>
      <c r="EO17" s="213">
        <v>0</v>
      </c>
      <c r="EP17" s="213" t="s">
        <v>249</v>
      </c>
      <c r="ES17" s="213" t="s">
        <v>748</v>
      </c>
      <c r="ET17" s="213" t="s">
        <v>743</v>
      </c>
      <c r="EU17" s="213">
        <v>0</v>
      </c>
      <c r="EV17" s="213">
        <v>0</v>
      </c>
      <c r="EW17" s="213">
        <v>0</v>
      </c>
      <c r="EX17" s="213" t="s">
        <v>249</v>
      </c>
      <c r="FA17" s="213" t="s">
        <v>749</v>
      </c>
      <c r="FB17" s="213" t="s">
        <v>743</v>
      </c>
      <c r="FC17" s="213">
        <v>0</v>
      </c>
      <c r="FD17" s="213">
        <v>0</v>
      </c>
      <c r="FE17" s="213">
        <v>0</v>
      </c>
      <c r="FF17" s="213" t="s">
        <v>249</v>
      </c>
      <c r="FI17" s="213" t="s">
        <v>750</v>
      </c>
      <c r="FJ17" s="213" t="s">
        <v>743</v>
      </c>
      <c r="FK17" s="213">
        <v>0</v>
      </c>
      <c r="FL17" s="213">
        <v>0</v>
      </c>
      <c r="FM17" s="213">
        <v>0</v>
      </c>
      <c r="FN17" s="213" t="s">
        <v>249</v>
      </c>
      <c r="FQ17" s="213" t="s">
        <v>751</v>
      </c>
      <c r="FR17" s="213" t="s">
        <v>743</v>
      </c>
      <c r="FS17" s="213">
        <v>0</v>
      </c>
      <c r="FT17" s="213">
        <v>0</v>
      </c>
      <c r="FU17" s="213">
        <v>0</v>
      </c>
      <c r="FV17" s="213" t="s">
        <v>249</v>
      </c>
      <c r="FY17" s="213">
        <v>23.7</v>
      </c>
      <c r="FZ17" s="213">
        <v>-13.4</v>
      </c>
      <c r="GF17" s="213" t="s">
        <v>752</v>
      </c>
    </row>
    <row r="18" spans="1:188" s="213" customFormat="1" x14ac:dyDescent="0.15">
      <c r="A18" s="213" t="s">
        <v>654</v>
      </c>
      <c r="B18" s="213">
        <v>4</v>
      </c>
      <c r="C18" s="213" t="s">
        <v>1121</v>
      </c>
      <c r="D18" s="213">
        <v>614385874</v>
      </c>
      <c r="E18" s="213">
        <v>92303</v>
      </c>
      <c r="F18" s="213" t="s">
        <v>1089</v>
      </c>
      <c r="G18" s="213">
        <v>802069</v>
      </c>
      <c r="H18" s="213">
        <v>679144</v>
      </c>
      <c r="I18" s="213" t="s">
        <v>1090</v>
      </c>
      <c r="J18" s="213" t="s">
        <v>1122</v>
      </c>
      <c r="K18" s="213" t="s">
        <v>727</v>
      </c>
      <c r="L18" s="213" t="s">
        <v>1092</v>
      </c>
      <c r="M18" s="213" t="s">
        <v>728</v>
      </c>
      <c r="N18" s="213" t="s">
        <v>728</v>
      </c>
      <c r="O18" s="213" t="s">
        <v>729</v>
      </c>
      <c r="P18" s="213" t="s">
        <v>249</v>
      </c>
      <c r="Q18" s="213">
        <v>23.5</v>
      </c>
      <c r="R18" s="213">
        <v>163</v>
      </c>
      <c r="S18" s="213" t="s">
        <v>249</v>
      </c>
      <c r="T18" s="213">
        <v>-9999</v>
      </c>
      <c r="U18" s="213">
        <v>160</v>
      </c>
      <c r="V18" s="213">
        <v>340</v>
      </c>
      <c r="W18" s="213">
        <v>153</v>
      </c>
      <c r="X18" s="213" t="s">
        <v>710</v>
      </c>
      <c r="Y18" s="213">
        <v>0</v>
      </c>
      <c r="Z18" s="213">
        <v>40</v>
      </c>
      <c r="AA18" s="213" t="s">
        <v>730</v>
      </c>
      <c r="AB18" s="213" t="s">
        <v>731</v>
      </c>
      <c r="AC18" s="213" t="s">
        <v>729</v>
      </c>
      <c r="AD18" s="213" t="s">
        <v>249</v>
      </c>
      <c r="AE18" s="213">
        <v>21.9</v>
      </c>
      <c r="AF18" s="213">
        <v>450</v>
      </c>
      <c r="AG18" s="213" t="s">
        <v>249</v>
      </c>
      <c r="AH18" s="213">
        <v>-9999</v>
      </c>
      <c r="AI18" s="213">
        <v>172</v>
      </c>
      <c r="AJ18" s="213">
        <v>406</v>
      </c>
      <c r="AK18" s="213">
        <v>167</v>
      </c>
      <c r="AL18" s="213" t="s">
        <v>710</v>
      </c>
      <c r="AM18" s="213">
        <v>0</v>
      </c>
      <c r="AN18" s="213">
        <v>40</v>
      </c>
      <c r="AO18" s="213" t="s">
        <v>733</v>
      </c>
      <c r="AP18" s="213" t="s">
        <v>734</v>
      </c>
      <c r="AQ18" s="213">
        <v>1</v>
      </c>
      <c r="AR18" s="213" t="s">
        <v>798</v>
      </c>
      <c r="AS18" s="213">
        <v>24.1</v>
      </c>
      <c r="AT18" s="213">
        <v>414</v>
      </c>
      <c r="AU18" s="213" t="s">
        <v>710</v>
      </c>
      <c r="AV18" s="213">
        <v>-9999</v>
      </c>
      <c r="AW18" s="213">
        <v>219</v>
      </c>
      <c r="AX18" s="213">
        <v>534</v>
      </c>
      <c r="AY18" s="213">
        <v>215</v>
      </c>
      <c r="AZ18" s="213" t="s">
        <v>710</v>
      </c>
      <c r="BA18" s="213">
        <v>0</v>
      </c>
      <c r="BB18" s="213">
        <v>40</v>
      </c>
      <c r="BC18" s="213" t="s">
        <v>736</v>
      </c>
      <c r="BD18" s="213" t="s">
        <v>734</v>
      </c>
      <c r="BE18" s="213">
        <v>2</v>
      </c>
      <c r="BF18" s="213" t="s">
        <v>798</v>
      </c>
      <c r="BG18" s="213">
        <v>23.9</v>
      </c>
      <c r="BH18" s="213">
        <v>275</v>
      </c>
      <c r="BI18" s="213" t="s">
        <v>710</v>
      </c>
      <c r="BJ18" s="213">
        <v>-9999</v>
      </c>
      <c r="BK18" s="213">
        <v>100</v>
      </c>
      <c r="BL18" s="213">
        <v>300</v>
      </c>
      <c r="BM18" s="213">
        <v>96</v>
      </c>
      <c r="BN18" s="213" t="s">
        <v>710</v>
      </c>
      <c r="BO18" s="213">
        <v>0</v>
      </c>
      <c r="BP18" s="213">
        <v>40</v>
      </c>
      <c r="BQ18" s="213" t="s">
        <v>737</v>
      </c>
      <c r="BR18" s="213" t="s">
        <v>734</v>
      </c>
      <c r="BS18" s="213">
        <v>3</v>
      </c>
      <c r="BT18" s="213" t="s">
        <v>798</v>
      </c>
      <c r="BU18" s="213">
        <v>25.1</v>
      </c>
      <c r="BV18" s="213">
        <v>190</v>
      </c>
      <c r="BW18" s="213" t="s">
        <v>710</v>
      </c>
      <c r="BX18" s="213">
        <v>-9999</v>
      </c>
      <c r="BY18" s="213">
        <v>157</v>
      </c>
      <c r="BZ18" s="213">
        <v>363</v>
      </c>
      <c r="CA18" s="213">
        <v>155</v>
      </c>
      <c r="CB18" s="213" t="s">
        <v>710</v>
      </c>
      <c r="CC18" s="213">
        <v>0</v>
      </c>
      <c r="CD18" s="213">
        <v>40</v>
      </c>
      <c r="CE18" s="213" t="s">
        <v>738</v>
      </c>
      <c r="CF18" s="213" t="s">
        <v>734</v>
      </c>
      <c r="CG18" s="213">
        <v>4</v>
      </c>
      <c r="CH18" s="213" t="s">
        <v>798</v>
      </c>
      <c r="CI18" s="213">
        <v>25.8</v>
      </c>
      <c r="CJ18" s="213">
        <v>141</v>
      </c>
      <c r="CK18" s="213" t="s">
        <v>710</v>
      </c>
      <c r="CL18" s="213">
        <v>-9999</v>
      </c>
      <c r="CM18" s="213">
        <v>126</v>
      </c>
      <c r="CN18" s="213">
        <v>325</v>
      </c>
      <c r="CO18" s="213">
        <v>122</v>
      </c>
      <c r="CP18" s="213" t="s">
        <v>710</v>
      </c>
      <c r="CQ18" s="213">
        <v>0</v>
      </c>
      <c r="CR18" s="213">
        <v>40</v>
      </c>
      <c r="CS18" s="213" t="s">
        <v>739</v>
      </c>
      <c r="CT18" s="213" t="s">
        <v>740</v>
      </c>
      <c r="CU18" s="213">
        <v>108</v>
      </c>
      <c r="CV18" s="213">
        <v>107</v>
      </c>
      <c r="CW18" s="213">
        <v>107</v>
      </c>
      <c r="CX18" s="213" t="s">
        <v>710</v>
      </c>
      <c r="CY18" s="213" t="s">
        <v>741</v>
      </c>
      <c r="CZ18" s="213" t="s">
        <v>740</v>
      </c>
      <c r="DA18" s="213">
        <v>106</v>
      </c>
      <c r="DB18" s="213">
        <v>106</v>
      </c>
      <c r="DC18" s="213">
        <v>105</v>
      </c>
      <c r="DD18" s="213" t="s">
        <v>710</v>
      </c>
      <c r="DE18" s="213" t="s">
        <v>742</v>
      </c>
      <c r="DF18" s="213" t="s">
        <v>743</v>
      </c>
      <c r="DG18" s="213">
        <v>0</v>
      </c>
      <c r="DH18" s="213">
        <v>0</v>
      </c>
      <c r="DI18" s="213">
        <v>0</v>
      </c>
      <c r="DJ18" s="213" t="s">
        <v>249</v>
      </c>
      <c r="DK18" s="213">
        <v>69.099999999999994</v>
      </c>
      <c r="DL18" s="213">
        <v>65.900000000000006</v>
      </c>
      <c r="DM18" s="213" t="s">
        <v>744</v>
      </c>
      <c r="DN18" s="213" t="s">
        <v>743</v>
      </c>
      <c r="DO18" s="213">
        <v>0</v>
      </c>
      <c r="DP18" s="213">
        <v>0</v>
      </c>
      <c r="DQ18" s="213">
        <v>0</v>
      </c>
      <c r="DR18" s="213" t="s">
        <v>249</v>
      </c>
      <c r="DS18" s="213">
        <v>72.8</v>
      </c>
      <c r="DT18" s="213">
        <v>92.9</v>
      </c>
      <c r="DU18" s="213" t="s">
        <v>745</v>
      </c>
      <c r="DV18" s="213" t="s">
        <v>743</v>
      </c>
      <c r="DW18" s="213">
        <v>0</v>
      </c>
      <c r="DX18" s="213">
        <v>0</v>
      </c>
      <c r="DY18" s="213">
        <v>0</v>
      </c>
      <c r="DZ18" s="213" t="s">
        <v>249</v>
      </c>
      <c r="EA18" s="213">
        <v>75.5</v>
      </c>
      <c r="EB18" s="213">
        <v>81.5</v>
      </c>
      <c r="EC18" s="213" t="s">
        <v>746</v>
      </c>
      <c r="ED18" s="213" t="s">
        <v>743</v>
      </c>
      <c r="EE18" s="213">
        <v>0</v>
      </c>
      <c r="EF18" s="213">
        <v>0</v>
      </c>
      <c r="EG18" s="213">
        <v>0</v>
      </c>
      <c r="EH18" s="213" t="s">
        <v>249</v>
      </c>
      <c r="EI18" s="213">
        <v>66.900000000000006</v>
      </c>
      <c r="EJ18" s="213">
        <v>84.6</v>
      </c>
      <c r="EK18" s="213" t="s">
        <v>747</v>
      </c>
      <c r="EL18" s="213" t="s">
        <v>743</v>
      </c>
      <c r="EM18" s="213">
        <v>0</v>
      </c>
      <c r="EN18" s="213">
        <v>0</v>
      </c>
      <c r="EO18" s="213">
        <v>0</v>
      </c>
      <c r="EP18" s="213" t="s">
        <v>249</v>
      </c>
      <c r="ES18" s="213" t="s">
        <v>748</v>
      </c>
      <c r="ET18" s="213" t="s">
        <v>743</v>
      </c>
      <c r="EU18" s="213">
        <v>0</v>
      </c>
      <c r="EV18" s="213">
        <v>0</v>
      </c>
      <c r="EW18" s="213">
        <v>0</v>
      </c>
      <c r="EX18" s="213" t="s">
        <v>249</v>
      </c>
      <c r="FA18" s="213" t="s">
        <v>749</v>
      </c>
      <c r="FB18" s="213" t="s">
        <v>743</v>
      </c>
      <c r="FC18" s="213">
        <v>0</v>
      </c>
      <c r="FD18" s="213">
        <v>0</v>
      </c>
      <c r="FE18" s="213">
        <v>0</v>
      </c>
      <c r="FF18" s="213" t="s">
        <v>249</v>
      </c>
      <c r="FI18" s="213" t="s">
        <v>750</v>
      </c>
      <c r="FJ18" s="213" t="s">
        <v>743</v>
      </c>
      <c r="FK18" s="213">
        <v>0</v>
      </c>
      <c r="FL18" s="213">
        <v>0</v>
      </c>
      <c r="FM18" s="213">
        <v>0</v>
      </c>
      <c r="FN18" s="213" t="s">
        <v>249</v>
      </c>
      <c r="FQ18" s="213" t="s">
        <v>751</v>
      </c>
      <c r="FR18" s="213" t="s">
        <v>743</v>
      </c>
      <c r="FS18" s="213">
        <v>0</v>
      </c>
      <c r="FT18" s="213">
        <v>0</v>
      </c>
      <c r="FU18" s="213">
        <v>0</v>
      </c>
      <c r="FV18" s="213" t="s">
        <v>249</v>
      </c>
      <c r="FY18" s="213">
        <v>20.2</v>
      </c>
      <c r="FZ18" s="213">
        <v>-6.8</v>
      </c>
      <c r="GF18" s="213" t="s">
        <v>752</v>
      </c>
    </row>
    <row r="19" spans="1:188" s="213" customFormat="1" x14ac:dyDescent="0.15">
      <c r="A19" s="213" t="s">
        <v>654</v>
      </c>
      <c r="B19" s="213">
        <v>4</v>
      </c>
      <c r="C19" s="213" t="s">
        <v>1123</v>
      </c>
      <c r="D19" s="213">
        <v>614386021</v>
      </c>
      <c r="E19" s="213">
        <v>92303</v>
      </c>
      <c r="F19" s="213" t="s">
        <v>1089</v>
      </c>
      <c r="G19" s="213">
        <v>802069</v>
      </c>
      <c r="H19" s="213">
        <v>686014</v>
      </c>
      <c r="I19" s="213" t="s">
        <v>1090</v>
      </c>
      <c r="J19" s="213" t="s">
        <v>1124</v>
      </c>
      <c r="K19" s="213" t="s">
        <v>727</v>
      </c>
      <c r="L19" s="213" t="s">
        <v>1092</v>
      </c>
      <c r="M19" s="213" t="s">
        <v>728</v>
      </c>
      <c r="N19" s="213" t="s">
        <v>728</v>
      </c>
      <c r="O19" s="213" t="s">
        <v>729</v>
      </c>
      <c r="P19" s="213" t="s">
        <v>249</v>
      </c>
      <c r="Q19" s="213">
        <v>23.9</v>
      </c>
      <c r="R19" s="213">
        <v>152</v>
      </c>
      <c r="S19" s="213" t="s">
        <v>249</v>
      </c>
      <c r="T19" s="213">
        <v>-9999</v>
      </c>
      <c r="U19" s="213">
        <v>193</v>
      </c>
      <c r="V19" s="213">
        <v>427</v>
      </c>
      <c r="W19" s="213">
        <v>189</v>
      </c>
      <c r="X19" s="213" t="s">
        <v>710</v>
      </c>
      <c r="Y19" s="213">
        <v>0</v>
      </c>
      <c r="Z19" s="213">
        <v>40</v>
      </c>
      <c r="AA19" s="213" t="s">
        <v>730</v>
      </c>
      <c r="AB19" s="213" t="s">
        <v>731</v>
      </c>
      <c r="AC19" s="213" t="s">
        <v>729</v>
      </c>
      <c r="AD19" s="213" t="s">
        <v>249</v>
      </c>
      <c r="AE19" s="213">
        <v>21.5</v>
      </c>
      <c r="AF19" s="213">
        <v>454</v>
      </c>
      <c r="AG19" s="213" t="s">
        <v>249</v>
      </c>
      <c r="AH19" s="213">
        <v>-9999</v>
      </c>
      <c r="AI19" s="213">
        <v>215</v>
      </c>
      <c r="AJ19" s="213">
        <v>511</v>
      </c>
      <c r="AK19" s="213">
        <v>214</v>
      </c>
      <c r="AL19" s="213" t="s">
        <v>710</v>
      </c>
      <c r="AM19" s="213">
        <v>0</v>
      </c>
      <c r="AN19" s="213">
        <v>40</v>
      </c>
      <c r="AO19" s="213" t="s">
        <v>733</v>
      </c>
      <c r="AP19" s="213" t="s">
        <v>734</v>
      </c>
      <c r="AQ19" s="213">
        <v>1</v>
      </c>
      <c r="AR19" s="213" t="s">
        <v>798</v>
      </c>
      <c r="AS19" s="213">
        <v>24.2</v>
      </c>
      <c r="AT19" s="213">
        <v>410</v>
      </c>
      <c r="AU19" s="213" t="s">
        <v>710</v>
      </c>
      <c r="AV19" s="213">
        <v>-9999</v>
      </c>
      <c r="AW19" s="213">
        <v>287</v>
      </c>
      <c r="AX19" s="213">
        <v>718</v>
      </c>
      <c r="AY19" s="213">
        <v>286</v>
      </c>
      <c r="AZ19" s="213" t="s">
        <v>710</v>
      </c>
      <c r="BA19" s="213">
        <v>0</v>
      </c>
      <c r="BB19" s="213">
        <v>40</v>
      </c>
      <c r="BC19" s="213" t="s">
        <v>736</v>
      </c>
      <c r="BD19" s="213" t="s">
        <v>734</v>
      </c>
      <c r="BE19" s="213">
        <v>2</v>
      </c>
      <c r="BF19" s="213" t="s">
        <v>798</v>
      </c>
      <c r="BG19" s="213">
        <v>23.7</v>
      </c>
      <c r="BH19" s="213">
        <v>289</v>
      </c>
      <c r="BI19" s="213" t="s">
        <v>710</v>
      </c>
      <c r="BJ19" s="213">
        <v>-9999</v>
      </c>
      <c r="BK19" s="213">
        <v>94</v>
      </c>
      <c r="BL19" s="213">
        <v>296</v>
      </c>
      <c r="BM19" s="213">
        <v>92</v>
      </c>
      <c r="BN19" s="213" t="s">
        <v>710</v>
      </c>
      <c r="BO19" s="213">
        <v>0</v>
      </c>
      <c r="BP19" s="213">
        <v>40</v>
      </c>
      <c r="BQ19" s="213" t="s">
        <v>737</v>
      </c>
      <c r="BR19" s="213" t="s">
        <v>734</v>
      </c>
      <c r="BS19" s="213">
        <v>3</v>
      </c>
      <c r="BT19" s="213" t="s">
        <v>798</v>
      </c>
      <c r="BU19" s="213">
        <v>25.1</v>
      </c>
      <c r="BV19" s="213">
        <v>191</v>
      </c>
      <c r="BW19" s="213" t="s">
        <v>710</v>
      </c>
      <c r="BX19" s="213">
        <v>-9999</v>
      </c>
      <c r="BY19" s="213">
        <v>163</v>
      </c>
      <c r="BZ19" s="213">
        <v>398</v>
      </c>
      <c r="CA19" s="213">
        <v>163</v>
      </c>
      <c r="CB19" s="213" t="s">
        <v>710</v>
      </c>
      <c r="CC19" s="213">
        <v>0</v>
      </c>
      <c r="CD19" s="213">
        <v>40</v>
      </c>
      <c r="CE19" s="213" t="s">
        <v>738</v>
      </c>
      <c r="CF19" s="213" t="s">
        <v>734</v>
      </c>
      <c r="CG19" s="213">
        <v>4</v>
      </c>
      <c r="CH19" s="213" t="s">
        <v>798</v>
      </c>
      <c r="CI19" s="213">
        <v>26.5</v>
      </c>
      <c r="CJ19" s="213">
        <v>136</v>
      </c>
      <c r="CK19" s="213" t="s">
        <v>710</v>
      </c>
      <c r="CL19" s="213">
        <v>-9999</v>
      </c>
      <c r="CM19" s="213">
        <v>135</v>
      </c>
      <c r="CN19" s="213">
        <v>354</v>
      </c>
      <c r="CO19" s="213">
        <v>133</v>
      </c>
      <c r="CP19" s="213" t="s">
        <v>710</v>
      </c>
      <c r="CQ19" s="213">
        <v>0</v>
      </c>
      <c r="CR19" s="213">
        <v>40</v>
      </c>
      <c r="CS19" s="213" t="s">
        <v>739</v>
      </c>
      <c r="CT19" s="213" t="s">
        <v>740</v>
      </c>
      <c r="CU19" s="213">
        <v>110</v>
      </c>
      <c r="CV19" s="213">
        <v>110</v>
      </c>
      <c r="CW19" s="213">
        <v>110</v>
      </c>
      <c r="CX19" s="213" t="s">
        <v>710</v>
      </c>
      <c r="CY19" s="213" t="s">
        <v>741</v>
      </c>
      <c r="CZ19" s="213" t="s">
        <v>740</v>
      </c>
      <c r="DA19" s="213">
        <v>115</v>
      </c>
      <c r="DB19" s="213">
        <v>115</v>
      </c>
      <c r="DC19" s="213">
        <v>115</v>
      </c>
      <c r="DD19" s="213" t="s">
        <v>710</v>
      </c>
      <c r="DE19" s="213" t="s">
        <v>742</v>
      </c>
      <c r="DF19" s="213" t="s">
        <v>743</v>
      </c>
      <c r="DG19" s="213">
        <v>0</v>
      </c>
      <c r="DH19" s="213">
        <v>0</v>
      </c>
      <c r="DI19" s="213">
        <v>0</v>
      </c>
      <c r="DJ19" s="213" t="s">
        <v>249</v>
      </c>
      <c r="DK19" s="213">
        <v>69.2</v>
      </c>
      <c r="DL19" s="213">
        <v>80.3</v>
      </c>
      <c r="DM19" s="213" t="s">
        <v>744</v>
      </c>
      <c r="DN19" s="213" t="s">
        <v>743</v>
      </c>
      <c r="DO19" s="213">
        <v>0</v>
      </c>
      <c r="DP19" s="213">
        <v>0</v>
      </c>
      <c r="DQ19" s="213">
        <v>0</v>
      </c>
      <c r="DR19" s="213" t="s">
        <v>249</v>
      </c>
      <c r="DS19" s="213">
        <v>72.900000000000006</v>
      </c>
      <c r="DT19" s="213">
        <v>84.1</v>
      </c>
      <c r="DU19" s="213" t="s">
        <v>745</v>
      </c>
      <c r="DV19" s="213" t="s">
        <v>743</v>
      </c>
      <c r="DW19" s="213">
        <v>0</v>
      </c>
      <c r="DX19" s="213">
        <v>0</v>
      </c>
      <c r="DY19" s="213">
        <v>0</v>
      </c>
      <c r="DZ19" s="213" t="s">
        <v>249</v>
      </c>
      <c r="EA19" s="213">
        <v>75.7</v>
      </c>
      <c r="EB19" s="213">
        <v>84.1</v>
      </c>
      <c r="EC19" s="213" t="s">
        <v>746</v>
      </c>
      <c r="ED19" s="213" t="s">
        <v>743</v>
      </c>
      <c r="EE19" s="213">
        <v>0</v>
      </c>
      <c r="EF19" s="213">
        <v>0</v>
      </c>
      <c r="EG19" s="213">
        <v>0</v>
      </c>
      <c r="EH19" s="213" t="s">
        <v>249</v>
      </c>
      <c r="EI19" s="213">
        <v>67</v>
      </c>
      <c r="EJ19" s="213">
        <v>81</v>
      </c>
      <c r="EK19" s="213" t="s">
        <v>747</v>
      </c>
      <c r="EL19" s="213" t="s">
        <v>743</v>
      </c>
      <c r="EM19" s="213">
        <v>0</v>
      </c>
      <c r="EN19" s="213">
        <v>0</v>
      </c>
      <c r="EO19" s="213">
        <v>0</v>
      </c>
      <c r="EP19" s="213" t="s">
        <v>249</v>
      </c>
      <c r="ES19" s="213" t="s">
        <v>748</v>
      </c>
      <c r="ET19" s="213" t="s">
        <v>743</v>
      </c>
      <c r="EU19" s="213">
        <v>0</v>
      </c>
      <c r="EV19" s="213">
        <v>0</v>
      </c>
      <c r="EW19" s="213">
        <v>0</v>
      </c>
      <c r="EX19" s="213" t="s">
        <v>249</v>
      </c>
      <c r="FA19" s="213" t="s">
        <v>749</v>
      </c>
      <c r="FB19" s="213" t="s">
        <v>743</v>
      </c>
      <c r="FC19" s="213">
        <v>0</v>
      </c>
      <c r="FD19" s="213">
        <v>0</v>
      </c>
      <c r="FE19" s="213">
        <v>0</v>
      </c>
      <c r="FF19" s="213" t="s">
        <v>249</v>
      </c>
      <c r="FI19" s="213" t="s">
        <v>750</v>
      </c>
      <c r="FJ19" s="213" t="s">
        <v>743</v>
      </c>
      <c r="FK19" s="213">
        <v>0</v>
      </c>
      <c r="FL19" s="213">
        <v>0</v>
      </c>
      <c r="FM19" s="213">
        <v>0</v>
      </c>
      <c r="FN19" s="213" t="s">
        <v>249</v>
      </c>
      <c r="FQ19" s="213" t="s">
        <v>751</v>
      </c>
      <c r="FR19" s="213" t="s">
        <v>743</v>
      </c>
      <c r="FS19" s="213">
        <v>0</v>
      </c>
      <c r="FT19" s="213">
        <v>0</v>
      </c>
      <c r="FU19" s="213">
        <v>0</v>
      </c>
      <c r="FV19" s="213" t="s">
        <v>249</v>
      </c>
      <c r="FY19" s="213">
        <v>20.5</v>
      </c>
      <c r="FZ19" s="213">
        <v>-11.1</v>
      </c>
      <c r="GF19" s="213" t="s">
        <v>752</v>
      </c>
    </row>
    <row r="20" spans="1:188" s="213" customFormat="1" x14ac:dyDescent="0.15">
      <c r="A20" s="213" t="s">
        <v>654</v>
      </c>
      <c r="B20" s="213">
        <v>4</v>
      </c>
      <c r="C20" s="213" t="s">
        <v>1177</v>
      </c>
      <c r="D20" s="213">
        <v>614388340</v>
      </c>
      <c r="E20" s="213">
        <v>92303</v>
      </c>
      <c r="F20" s="213" t="s">
        <v>1089</v>
      </c>
      <c r="G20" s="213">
        <v>839032</v>
      </c>
      <c r="H20" s="213">
        <v>681294</v>
      </c>
      <c r="I20" s="213">
        <v>6.8</v>
      </c>
      <c r="J20" s="213" t="s">
        <v>1178</v>
      </c>
      <c r="K20" s="213" t="s">
        <v>727</v>
      </c>
      <c r="L20" s="213" t="s">
        <v>1092</v>
      </c>
      <c r="M20" s="213" t="s">
        <v>728</v>
      </c>
      <c r="N20" s="213" t="s">
        <v>728</v>
      </c>
      <c r="O20" s="213" t="s">
        <v>729</v>
      </c>
      <c r="P20" s="213" t="s">
        <v>249</v>
      </c>
      <c r="Q20" s="213">
        <v>25.4</v>
      </c>
      <c r="R20" s="213">
        <v>143</v>
      </c>
      <c r="S20" s="213" t="s">
        <v>249</v>
      </c>
      <c r="T20" s="213">
        <v>-9999</v>
      </c>
      <c r="U20" s="213">
        <v>192</v>
      </c>
      <c r="V20" s="213">
        <v>418</v>
      </c>
      <c r="W20" s="213">
        <v>186</v>
      </c>
      <c r="X20" s="213" t="s">
        <v>710</v>
      </c>
      <c r="Y20" s="213">
        <v>0</v>
      </c>
      <c r="Z20" s="213">
        <v>40</v>
      </c>
      <c r="AA20" s="213" t="s">
        <v>730</v>
      </c>
      <c r="AB20" s="213" t="s">
        <v>731</v>
      </c>
      <c r="AC20" s="213" t="s">
        <v>729</v>
      </c>
      <c r="AD20" s="213" t="s">
        <v>249</v>
      </c>
      <c r="AE20" s="213">
        <v>21.8</v>
      </c>
      <c r="AF20" s="213">
        <v>432</v>
      </c>
      <c r="AG20" s="213" t="s">
        <v>249</v>
      </c>
      <c r="AH20" s="213">
        <v>-9999</v>
      </c>
      <c r="AI20" s="213">
        <v>196</v>
      </c>
      <c r="AJ20" s="213">
        <v>465</v>
      </c>
      <c r="AK20" s="213">
        <v>194</v>
      </c>
      <c r="AL20" s="213" t="s">
        <v>710</v>
      </c>
      <c r="AM20" s="213">
        <v>0</v>
      </c>
      <c r="AN20" s="213">
        <v>40</v>
      </c>
      <c r="AO20" s="213" t="s">
        <v>733</v>
      </c>
      <c r="AP20" s="213" t="s">
        <v>734</v>
      </c>
      <c r="AQ20" s="213">
        <v>1</v>
      </c>
      <c r="AR20" s="213" t="s">
        <v>798</v>
      </c>
      <c r="AS20" s="213">
        <v>24.8</v>
      </c>
      <c r="AT20" s="213">
        <v>360</v>
      </c>
      <c r="AU20" s="213" t="s">
        <v>710</v>
      </c>
      <c r="AV20" s="213">
        <v>-9999</v>
      </c>
      <c r="AW20" s="213">
        <v>281</v>
      </c>
      <c r="AX20" s="213">
        <v>691</v>
      </c>
      <c r="AY20" s="213">
        <v>278</v>
      </c>
      <c r="AZ20" s="213" t="s">
        <v>710</v>
      </c>
      <c r="BA20" s="213">
        <v>0</v>
      </c>
      <c r="BB20" s="213">
        <v>40</v>
      </c>
      <c r="BC20" s="213" t="s">
        <v>736</v>
      </c>
      <c r="BD20" s="213" t="s">
        <v>734</v>
      </c>
      <c r="BE20" s="213">
        <v>2</v>
      </c>
      <c r="BF20" s="213" t="s">
        <v>798</v>
      </c>
      <c r="BG20" s="213">
        <v>23.2</v>
      </c>
      <c r="BH20" s="213">
        <v>300</v>
      </c>
      <c r="BI20" s="213" t="s">
        <v>710</v>
      </c>
      <c r="BJ20" s="213">
        <v>-9999</v>
      </c>
      <c r="BK20" s="213">
        <v>129</v>
      </c>
      <c r="BL20" s="213">
        <v>395</v>
      </c>
      <c r="BM20" s="213">
        <v>127</v>
      </c>
      <c r="BN20" s="213" t="s">
        <v>710</v>
      </c>
      <c r="BO20" s="213">
        <v>0</v>
      </c>
      <c r="BP20" s="213">
        <v>40</v>
      </c>
      <c r="BQ20" s="213" t="s">
        <v>737</v>
      </c>
      <c r="BR20" s="213" t="s">
        <v>734</v>
      </c>
      <c r="BS20" s="213">
        <v>3</v>
      </c>
      <c r="BT20" s="213" t="s">
        <v>798</v>
      </c>
      <c r="BU20" s="213">
        <v>25.3</v>
      </c>
      <c r="BV20" s="213">
        <v>183</v>
      </c>
      <c r="BW20" s="213" t="s">
        <v>710</v>
      </c>
      <c r="BX20" s="213">
        <v>-9999</v>
      </c>
      <c r="BY20" s="213">
        <v>163</v>
      </c>
      <c r="BZ20" s="213">
        <v>395</v>
      </c>
      <c r="CA20" s="213">
        <v>162</v>
      </c>
      <c r="CB20" s="213" t="s">
        <v>710</v>
      </c>
      <c r="CC20" s="213">
        <v>0</v>
      </c>
      <c r="CD20" s="213">
        <v>40</v>
      </c>
      <c r="CE20" s="213" t="s">
        <v>738</v>
      </c>
      <c r="CF20" s="213" t="s">
        <v>734</v>
      </c>
      <c r="CG20" s="213">
        <v>4</v>
      </c>
      <c r="CH20" s="213" t="s">
        <v>798</v>
      </c>
      <c r="CI20" s="213">
        <v>26.5</v>
      </c>
      <c r="CJ20" s="213">
        <v>127</v>
      </c>
      <c r="CK20" s="213" t="s">
        <v>710</v>
      </c>
      <c r="CL20" s="213">
        <v>-9999</v>
      </c>
      <c r="CM20" s="213">
        <v>130</v>
      </c>
      <c r="CN20" s="213">
        <v>341</v>
      </c>
      <c r="CO20" s="213">
        <v>128</v>
      </c>
      <c r="CP20" s="213" t="s">
        <v>710</v>
      </c>
      <c r="CQ20" s="213">
        <v>0</v>
      </c>
      <c r="CR20" s="213">
        <v>40</v>
      </c>
      <c r="CS20" s="213" t="s">
        <v>739</v>
      </c>
      <c r="CT20" s="213" t="s">
        <v>740</v>
      </c>
      <c r="CU20" s="213">
        <v>107</v>
      </c>
      <c r="CV20" s="213">
        <v>107</v>
      </c>
      <c r="CW20" s="213">
        <v>107</v>
      </c>
      <c r="CX20" s="213" t="s">
        <v>710</v>
      </c>
      <c r="CY20" s="213" t="s">
        <v>741</v>
      </c>
      <c r="CZ20" s="213" t="s">
        <v>740</v>
      </c>
      <c r="DA20" s="213">
        <v>99</v>
      </c>
      <c r="DB20" s="213">
        <v>98</v>
      </c>
      <c r="DC20" s="213">
        <v>98</v>
      </c>
      <c r="DD20" s="213" t="s">
        <v>710</v>
      </c>
      <c r="DE20" s="213" t="s">
        <v>742</v>
      </c>
      <c r="DF20" s="213" t="s">
        <v>743</v>
      </c>
      <c r="DG20" s="213">
        <v>0</v>
      </c>
      <c r="DH20" s="213">
        <v>0</v>
      </c>
      <c r="DI20" s="213">
        <v>0</v>
      </c>
      <c r="DJ20" s="213" t="s">
        <v>249</v>
      </c>
      <c r="DK20" s="213">
        <v>69.099999999999994</v>
      </c>
      <c r="DL20" s="213">
        <v>91.9</v>
      </c>
      <c r="DM20" s="213" t="s">
        <v>744</v>
      </c>
      <c r="DN20" s="213" t="s">
        <v>743</v>
      </c>
      <c r="DO20" s="213">
        <v>0</v>
      </c>
      <c r="DP20" s="213">
        <v>0</v>
      </c>
      <c r="DQ20" s="213">
        <v>0</v>
      </c>
      <c r="DR20" s="213" t="s">
        <v>249</v>
      </c>
      <c r="DS20" s="213">
        <v>72.900000000000006</v>
      </c>
      <c r="DT20" s="213">
        <v>143.9</v>
      </c>
      <c r="DU20" s="213" t="s">
        <v>745</v>
      </c>
      <c r="DV20" s="213" t="s">
        <v>743</v>
      </c>
      <c r="DW20" s="213">
        <v>0</v>
      </c>
      <c r="DX20" s="213">
        <v>0</v>
      </c>
      <c r="DY20" s="213">
        <v>0</v>
      </c>
      <c r="DZ20" s="213" t="s">
        <v>249</v>
      </c>
      <c r="EA20" s="213">
        <v>75.599999999999994</v>
      </c>
      <c r="EB20" s="213">
        <v>95.2</v>
      </c>
      <c r="EC20" s="213" t="s">
        <v>746</v>
      </c>
      <c r="ED20" s="213" t="s">
        <v>743</v>
      </c>
      <c r="EE20" s="213">
        <v>0</v>
      </c>
      <c r="EF20" s="213">
        <v>0</v>
      </c>
      <c r="EG20" s="213">
        <v>0</v>
      </c>
      <c r="EH20" s="213" t="s">
        <v>249</v>
      </c>
      <c r="EI20" s="213">
        <v>67</v>
      </c>
      <c r="EJ20" s="213">
        <v>86.4</v>
      </c>
      <c r="EK20" s="213" t="s">
        <v>747</v>
      </c>
      <c r="EL20" s="213" t="s">
        <v>743</v>
      </c>
      <c r="EM20" s="213">
        <v>0</v>
      </c>
      <c r="EN20" s="213">
        <v>0</v>
      </c>
      <c r="EO20" s="213">
        <v>0</v>
      </c>
      <c r="EP20" s="213" t="s">
        <v>249</v>
      </c>
      <c r="ES20" s="213" t="s">
        <v>748</v>
      </c>
      <c r="ET20" s="213" t="s">
        <v>743</v>
      </c>
      <c r="EU20" s="213">
        <v>0</v>
      </c>
      <c r="EV20" s="213">
        <v>0</v>
      </c>
      <c r="EW20" s="213">
        <v>0</v>
      </c>
      <c r="EX20" s="213" t="s">
        <v>249</v>
      </c>
      <c r="FA20" s="213" t="s">
        <v>749</v>
      </c>
      <c r="FB20" s="213" t="s">
        <v>743</v>
      </c>
      <c r="FC20" s="213">
        <v>0</v>
      </c>
      <c r="FD20" s="213">
        <v>0</v>
      </c>
      <c r="FE20" s="213">
        <v>0</v>
      </c>
      <c r="FF20" s="213" t="s">
        <v>249</v>
      </c>
      <c r="FI20" s="213" t="s">
        <v>750</v>
      </c>
      <c r="FJ20" s="213" t="s">
        <v>743</v>
      </c>
      <c r="FK20" s="213">
        <v>0</v>
      </c>
      <c r="FL20" s="213">
        <v>0</v>
      </c>
      <c r="FM20" s="213">
        <v>0</v>
      </c>
      <c r="FN20" s="213" t="s">
        <v>249</v>
      </c>
      <c r="FQ20" s="213" t="s">
        <v>751</v>
      </c>
      <c r="FR20" s="213" t="s">
        <v>743</v>
      </c>
      <c r="FS20" s="213">
        <v>0</v>
      </c>
      <c r="FT20" s="213">
        <v>0</v>
      </c>
      <c r="FU20" s="213">
        <v>0</v>
      </c>
      <c r="FV20" s="213" t="s">
        <v>249</v>
      </c>
      <c r="FY20" s="213">
        <v>15.4</v>
      </c>
      <c r="FZ20" s="213">
        <v>-13.2</v>
      </c>
      <c r="GF20" s="213" t="s">
        <v>752</v>
      </c>
    </row>
    <row r="21" spans="1:188" s="213" customFormat="1" x14ac:dyDescent="0.15">
      <c r="A21" s="213" t="s">
        <v>654</v>
      </c>
      <c r="B21" s="213">
        <v>4</v>
      </c>
      <c r="C21" s="213" t="s">
        <v>1179</v>
      </c>
      <c r="D21" s="213">
        <v>614388439</v>
      </c>
      <c r="E21" s="213">
        <v>92303</v>
      </c>
      <c r="F21" s="213" t="s">
        <v>1089</v>
      </c>
      <c r="G21" s="213">
        <v>839032</v>
      </c>
      <c r="H21" s="213">
        <v>210058622</v>
      </c>
      <c r="I21" s="213">
        <v>6.8</v>
      </c>
      <c r="J21" s="213" t="s">
        <v>1180</v>
      </c>
      <c r="K21" s="213" t="s">
        <v>727</v>
      </c>
      <c r="L21" s="213" t="s">
        <v>1092</v>
      </c>
      <c r="M21" s="213" t="s">
        <v>728</v>
      </c>
      <c r="N21" s="213" t="s">
        <v>728</v>
      </c>
      <c r="O21" s="213" t="s">
        <v>729</v>
      </c>
      <c r="P21" s="213" t="s">
        <v>249</v>
      </c>
      <c r="Q21" s="213">
        <v>24</v>
      </c>
      <c r="R21" s="213">
        <v>185</v>
      </c>
      <c r="S21" s="213" t="s">
        <v>249</v>
      </c>
      <c r="T21" s="213">
        <v>-9999</v>
      </c>
      <c r="U21" s="213">
        <v>152</v>
      </c>
      <c r="V21" s="213">
        <v>335</v>
      </c>
      <c r="W21" s="213">
        <v>146</v>
      </c>
      <c r="X21" s="213" t="s">
        <v>710</v>
      </c>
      <c r="Y21" s="213">
        <v>0</v>
      </c>
      <c r="Z21" s="213">
        <v>40</v>
      </c>
      <c r="AA21" s="213" t="s">
        <v>730</v>
      </c>
      <c r="AB21" s="213" t="s">
        <v>731</v>
      </c>
      <c r="AC21" s="213" t="s">
        <v>729</v>
      </c>
      <c r="AD21" s="213" t="s">
        <v>249</v>
      </c>
      <c r="AE21" s="213">
        <v>21.9</v>
      </c>
      <c r="AF21" s="213">
        <v>480</v>
      </c>
      <c r="AG21" s="213" t="s">
        <v>249</v>
      </c>
      <c r="AH21" s="213">
        <v>-9999</v>
      </c>
      <c r="AI21" s="213">
        <v>195</v>
      </c>
      <c r="AJ21" s="213">
        <v>464</v>
      </c>
      <c r="AK21" s="213">
        <v>193</v>
      </c>
      <c r="AL21" s="213" t="s">
        <v>710</v>
      </c>
      <c r="AM21" s="213">
        <v>0</v>
      </c>
      <c r="AN21" s="213">
        <v>40</v>
      </c>
      <c r="AO21" s="213" t="s">
        <v>733</v>
      </c>
      <c r="AP21" s="213" t="s">
        <v>734</v>
      </c>
      <c r="AQ21" s="213">
        <v>1</v>
      </c>
      <c r="AR21" s="213" t="s">
        <v>798</v>
      </c>
      <c r="AS21" s="213">
        <v>23.1</v>
      </c>
      <c r="AT21" s="213">
        <v>494</v>
      </c>
      <c r="AU21" s="213" t="s">
        <v>710</v>
      </c>
      <c r="AV21" s="213">
        <v>-9999</v>
      </c>
      <c r="AW21" s="213">
        <v>250</v>
      </c>
      <c r="AX21" s="213">
        <v>623</v>
      </c>
      <c r="AY21" s="213">
        <v>249</v>
      </c>
      <c r="AZ21" s="213" t="s">
        <v>710</v>
      </c>
      <c r="BA21" s="213">
        <v>0</v>
      </c>
      <c r="BB21" s="213">
        <v>40</v>
      </c>
      <c r="BC21" s="213" t="s">
        <v>736</v>
      </c>
      <c r="BD21" s="213" t="s">
        <v>734</v>
      </c>
      <c r="BE21" s="213">
        <v>2</v>
      </c>
      <c r="BF21" s="213" t="s">
        <v>798</v>
      </c>
      <c r="BG21" s="213">
        <v>23.3</v>
      </c>
      <c r="BH21" s="213">
        <v>305</v>
      </c>
      <c r="BI21" s="213" t="s">
        <v>710</v>
      </c>
      <c r="BJ21" s="213">
        <v>-9999</v>
      </c>
      <c r="BK21" s="213">
        <v>116</v>
      </c>
      <c r="BL21" s="213">
        <v>357</v>
      </c>
      <c r="BM21" s="213">
        <v>114</v>
      </c>
      <c r="BN21" s="213" t="s">
        <v>710</v>
      </c>
      <c r="BO21" s="213">
        <v>0</v>
      </c>
      <c r="BP21" s="213">
        <v>40</v>
      </c>
      <c r="BQ21" s="213" t="s">
        <v>737</v>
      </c>
      <c r="BR21" s="213" t="s">
        <v>734</v>
      </c>
      <c r="BS21" s="213">
        <v>3</v>
      </c>
      <c r="BT21" s="213" t="s">
        <v>798</v>
      </c>
      <c r="BU21" s="213">
        <v>24.2</v>
      </c>
      <c r="BV21" s="213">
        <v>224</v>
      </c>
      <c r="BW21" s="213" t="s">
        <v>710</v>
      </c>
      <c r="BX21" s="213">
        <v>-9999</v>
      </c>
      <c r="BY21" s="213">
        <v>164</v>
      </c>
      <c r="BZ21" s="213">
        <v>395</v>
      </c>
      <c r="CA21" s="213">
        <v>164</v>
      </c>
      <c r="CB21" s="213" t="s">
        <v>710</v>
      </c>
      <c r="CC21" s="213">
        <v>0</v>
      </c>
      <c r="CD21" s="213">
        <v>40</v>
      </c>
      <c r="CE21" s="213" t="s">
        <v>738</v>
      </c>
      <c r="CF21" s="213" t="s">
        <v>734</v>
      </c>
      <c r="CG21" s="213">
        <v>4</v>
      </c>
      <c r="CH21" s="213" t="s">
        <v>798</v>
      </c>
      <c r="CI21" s="213">
        <v>25.4</v>
      </c>
      <c r="CJ21" s="213">
        <v>159</v>
      </c>
      <c r="CK21" s="213" t="s">
        <v>710</v>
      </c>
      <c r="CL21" s="213">
        <v>-9999</v>
      </c>
      <c r="CM21" s="213">
        <v>158</v>
      </c>
      <c r="CN21" s="213">
        <v>413</v>
      </c>
      <c r="CO21" s="213">
        <v>155</v>
      </c>
      <c r="CP21" s="213" t="s">
        <v>710</v>
      </c>
      <c r="CQ21" s="213">
        <v>0</v>
      </c>
      <c r="CR21" s="213">
        <v>40</v>
      </c>
      <c r="CS21" s="213" t="s">
        <v>739</v>
      </c>
      <c r="CT21" s="213" t="s">
        <v>740</v>
      </c>
      <c r="CU21" s="213">
        <v>126</v>
      </c>
      <c r="CV21" s="213">
        <v>126</v>
      </c>
      <c r="CW21" s="213">
        <v>126</v>
      </c>
      <c r="CX21" s="213" t="s">
        <v>710</v>
      </c>
      <c r="CY21" s="213" t="s">
        <v>741</v>
      </c>
      <c r="CZ21" s="213" t="s">
        <v>740</v>
      </c>
      <c r="DA21" s="213">
        <v>109</v>
      </c>
      <c r="DB21" s="213">
        <v>109</v>
      </c>
      <c r="DC21" s="213">
        <v>109</v>
      </c>
      <c r="DD21" s="213" t="s">
        <v>710</v>
      </c>
      <c r="DE21" s="213" t="s">
        <v>742</v>
      </c>
      <c r="DF21" s="213" t="s">
        <v>743</v>
      </c>
      <c r="DG21" s="213">
        <v>0</v>
      </c>
      <c r="DH21" s="213">
        <v>0</v>
      </c>
      <c r="DI21" s="213">
        <v>0</v>
      </c>
      <c r="DJ21" s="213" t="s">
        <v>249</v>
      </c>
      <c r="DK21" s="213">
        <v>69.2</v>
      </c>
      <c r="DL21" s="213">
        <v>70.8</v>
      </c>
      <c r="DM21" s="213" t="s">
        <v>744</v>
      </c>
      <c r="DN21" s="213" t="s">
        <v>743</v>
      </c>
      <c r="DO21" s="213">
        <v>0</v>
      </c>
      <c r="DP21" s="213">
        <v>0</v>
      </c>
      <c r="DQ21" s="213">
        <v>0</v>
      </c>
      <c r="DR21" s="213" t="s">
        <v>249</v>
      </c>
      <c r="DS21" s="213">
        <v>73.099999999999994</v>
      </c>
      <c r="DT21" s="213">
        <v>110.1</v>
      </c>
      <c r="DU21" s="213" t="s">
        <v>745</v>
      </c>
      <c r="DV21" s="213" t="s">
        <v>743</v>
      </c>
      <c r="DW21" s="213">
        <v>0</v>
      </c>
      <c r="DX21" s="213">
        <v>0</v>
      </c>
      <c r="DY21" s="213">
        <v>0</v>
      </c>
      <c r="DZ21" s="213" t="s">
        <v>249</v>
      </c>
      <c r="EA21" s="213">
        <v>75.8</v>
      </c>
      <c r="EB21" s="213">
        <v>95.4</v>
      </c>
      <c r="EC21" s="213" t="s">
        <v>746</v>
      </c>
      <c r="ED21" s="213" t="s">
        <v>743</v>
      </c>
      <c r="EE21" s="213">
        <v>0</v>
      </c>
      <c r="EF21" s="213">
        <v>0</v>
      </c>
      <c r="EG21" s="213">
        <v>0</v>
      </c>
      <c r="EH21" s="213" t="s">
        <v>249</v>
      </c>
      <c r="EI21" s="213">
        <v>67.099999999999994</v>
      </c>
      <c r="EJ21" s="213">
        <v>114.4</v>
      </c>
      <c r="EK21" s="213" t="s">
        <v>747</v>
      </c>
      <c r="EL21" s="213" t="s">
        <v>743</v>
      </c>
      <c r="EM21" s="213">
        <v>0</v>
      </c>
      <c r="EN21" s="213">
        <v>0</v>
      </c>
      <c r="EO21" s="213">
        <v>0</v>
      </c>
      <c r="EP21" s="213" t="s">
        <v>249</v>
      </c>
      <c r="ES21" s="213" t="s">
        <v>748</v>
      </c>
      <c r="ET21" s="213" t="s">
        <v>743</v>
      </c>
      <c r="EU21" s="213">
        <v>0</v>
      </c>
      <c r="EV21" s="213">
        <v>0</v>
      </c>
      <c r="EW21" s="213">
        <v>0</v>
      </c>
      <c r="EX21" s="213" t="s">
        <v>249</v>
      </c>
      <c r="FA21" s="213" t="s">
        <v>749</v>
      </c>
      <c r="FB21" s="213" t="s">
        <v>743</v>
      </c>
      <c r="FC21" s="213">
        <v>0</v>
      </c>
      <c r="FD21" s="213">
        <v>0</v>
      </c>
      <c r="FE21" s="213">
        <v>0</v>
      </c>
      <c r="FF21" s="213" t="s">
        <v>249</v>
      </c>
      <c r="FI21" s="213" t="s">
        <v>750</v>
      </c>
      <c r="FJ21" s="213" t="s">
        <v>743</v>
      </c>
      <c r="FK21" s="213">
        <v>0</v>
      </c>
      <c r="FL21" s="213">
        <v>0</v>
      </c>
      <c r="FM21" s="213">
        <v>0</v>
      </c>
      <c r="FN21" s="213" t="s">
        <v>249</v>
      </c>
      <c r="FQ21" s="213" t="s">
        <v>751</v>
      </c>
      <c r="FR21" s="213" t="s">
        <v>743</v>
      </c>
      <c r="FS21" s="213">
        <v>0</v>
      </c>
      <c r="FT21" s="213">
        <v>0</v>
      </c>
      <c r="FU21" s="213">
        <v>0</v>
      </c>
      <c r="FV21" s="213" t="s">
        <v>249</v>
      </c>
      <c r="FY21" s="213">
        <v>17.5</v>
      </c>
      <c r="FZ21" s="213">
        <v>-7.1</v>
      </c>
      <c r="GF21" s="213" t="s">
        <v>752</v>
      </c>
    </row>
    <row r="22" spans="1:188" ht="16" x14ac:dyDescent="0.15">
      <c r="A22" s="59" t="s">
        <v>605</v>
      </c>
      <c r="C22" s="86" t="s">
        <v>315</v>
      </c>
      <c r="D22" s="86"/>
      <c r="J22" s="161"/>
    </row>
    <row r="23" spans="1:188" x14ac:dyDescent="0.15">
      <c r="A23" s="59" t="s">
        <v>569</v>
      </c>
      <c r="B23" s="59" t="s">
        <v>570</v>
      </c>
      <c r="C23" s="59" t="s">
        <v>571</v>
      </c>
      <c r="D23" s="59" t="s">
        <v>572</v>
      </c>
      <c r="E23" s="59" t="s">
        <v>573</v>
      </c>
      <c r="F23" s="59" t="s">
        <v>574</v>
      </c>
      <c r="G23" s="59" t="s">
        <v>575</v>
      </c>
      <c r="H23" s="59" t="s">
        <v>576</v>
      </c>
      <c r="I23" s="59" t="s">
        <v>577</v>
      </c>
      <c r="J23" s="59" t="s">
        <v>578</v>
      </c>
      <c r="K23" s="59" t="s">
        <v>579</v>
      </c>
      <c r="L23" s="59" t="s">
        <v>580</v>
      </c>
      <c r="M23" s="59" t="s">
        <v>581</v>
      </c>
      <c r="N23" s="59" t="s">
        <v>582</v>
      </c>
      <c r="O23" s="59" t="s">
        <v>583</v>
      </c>
      <c r="P23" s="59" t="s">
        <v>584</v>
      </c>
      <c r="Q23" s="59" t="s">
        <v>585</v>
      </c>
      <c r="R23" s="59" t="s">
        <v>586</v>
      </c>
      <c r="S23" s="59" t="s">
        <v>587</v>
      </c>
      <c r="T23" s="59" t="s">
        <v>588</v>
      </c>
      <c r="U23" s="59" t="s">
        <v>589</v>
      </c>
      <c r="V23" s="59" t="s">
        <v>590</v>
      </c>
      <c r="W23" s="59" t="s">
        <v>591</v>
      </c>
      <c r="X23" s="59" t="s">
        <v>592</v>
      </c>
      <c r="Y23" s="59" t="s">
        <v>593</v>
      </c>
      <c r="Z23" s="59" t="s">
        <v>594</v>
      </c>
      <c r="AA23" s="59" t="s">
        <v>581</v>
      </c>
      <c r="AB23" s="59" t="s">
        <v>582</v>
      </c>
      <c r="AC23" s="59" t="s">
        <v>583</v>
      </c>
      <c r="AD23" s="59" t="s">
        <v>584</v>
      </c>
      <c r="AE23" s="59" t="s">
        <v>585</v>
      </c>
      <c r="AF23" s="59" t="s">
        <v>586</v>
      </c>
      <c r="AG23" s="59" t="s">
        <v>587</v>
      </c>
      <c r="AH23" s="59" t="s">
        <v>588</v>
      </c>
      <c r="AI23" s="59" t="s">
        <v>589</v>
      </c>
      <c r="AJ23" s="59" t="s">
        <v>590</v>
      </c>
      <c r="AK23" s="59" t="s">
        <v>591</v>
      </c>
      <c r="AL23" s="59" t="s">
        <v>592</v>
      </c>
      <c r="AM23" s="59" t="s">
        <v>593</v>
      </c>
      <c r="AN23" s="59" t="s">
        <v>594</v>
      </c>
      <c r="AO23" s="59" t="s">
        <v>581</v>
      </c>
      <c r="AP23" s="59" t="s">
        <v>582</v>
      </c>
      <c r="AQ23" s="59" t="s">
        <v>583</v>
      </c>
      <c r="AR23" s="59" t="s">
        <v>584</v>
      </c>
      <c r="AS23" s="59" t="s">
        <v>585</v>
      </c>
      <c r="AT23" s="59" t="s">
        <v>586</v>
      </c>
      <c r="AU23" s="59" t="s">
        <v>587</v>
      </c>
      <c r="AV23" s="59" t="s">
        <v>588</v>
      </c>
      <c r="AW23" s="59" t="s">
        <v>589</v>
      </c>
      <c r="AX23" s="59" t="s">
        <v>590</v>
      </c>
      <c r="AY23" s="59" t="s">
        <v>591</v>
      </c>
      <c r="AZ23" s="59" t="s">
        <v>592</v>
      </c>
      <c r="BA23" s="59" t="s">
        <v>593</v>
      </c>
      <c r="BB23" s="59" t="s">
        <v>594</v>
      </c>
      <c r="BC23" s="59" t="s">
        <v>581</v>
      </c>
      <c r="BD23" s="59" t="s">
        <v>582</v>
      </c>
      <c r="BE23" s="59" t="s">
        <v>583</v>
      </c>
      <c r="BF23" s="59" t="s">
        <v>584</v>
      </c>
      <c r="BG23" s="59" t="s">
        <v>585</v>
      </c>
      <c r="BH23" s="59" t="s">
        <v>586</v>
      </c>
      <c r="BI23" s="59" t="s">
        <v>587</v>
      </c>
      <c r="BJ23" s="59" t="s">
        <v>588</v>
      </c>
      <c r="BK23" s="59" t="s">
        <v>589</v>
      </c>
      <c r="BL23" s="59" t="s">
        <v>590</v>
      </c>
      <c r="BM23" s="59" t="s">
        <v>591</v>
      </c>
      <c r="BN23" s="59" t="s">
        <v>592</v>
      </c>
      <c r="BO23" s="59" t="s">
        <v>593</v>
      </c>
      <c r="BP23" s="59" t="s">
        <v>594</v>
      </c>
      <c r="BQ23" s="59" t="s">
        <v>581</v>
      </c>
      <c r="BR23" s="59" t="s">
        <v>582</v>
      </c>
      <c r="BS23" s="59" t="s">
        <v>583</v>
      </c>
      <c r="BT23" s="59" t="s">
        <v>584</v>
      </c>
      <c r="BU23" s="59" t="s">
        <v>585</v>
      </c>
      <c r="BV23" s="59" t="s">
        <v>586</v>
      </c>
      <c r="BW23" s="59" t="s">
        <v>587</v>
      </c>
      <c r="BX23" s="59" t="s">
        <v>588</v>
      </c>
      <c r="BY23" s="59" t="s">
        <v>589</v>
      </c>
      <c r="BZ23" s="59" t="s">
        <v>590</v>
      </c>
      <c r="CA23" s="59" t="s">
        <v>591</v>
      </c>
      <c r="CB23" s="59" t="s">
        <v>592</v>
      </c>
      <c r="CC23" s="59" t="s">
        <v>593</v>
      </c>
      <c r="CD23" s="59" t="s">
        <v>594</v>
      </c>
      <c r="CE23" s="59" t="s">
        <v>581</v>
      </c>
      <c r="CF23" s="59" t="s">
        <v>582</v>
      </c>
      <c r="CG23" s="59" t="s">
        <v>583</v>
      </c>
      <c r="CH23" s="59" t="s">
        <v>584</v>
      </c>
      <c r="CI23" s="59" t="s">
        <v>585</v>
      </c>
      <c r="CJ23" s="59" t="s">
        <v>586</v>
      </c>
      <c r="CK23" s="59" t="s">
        <v>587</v>
      </c>
      <c r="CL23" s="59" t="s">
        <v>588</v>
      </c>
      <c r="CM23" s="59" t="s">
        <v>589</v>
      </c>
      <c r="CN23" s="59" t="s">
        <v>590</v>
      </c>
      <c r="CO23" s="59" t="s">
        <v>591</v>
      </c>
      <c r="CP23" s="59" t="s">
        <v>592</v>
      </c>
      <c r="CQ23" s="59" t="s">
        <v>593</v>
      </c>
      <c r="CR23" s="59" t="s">
        <v>594</v>
      </c>
      <c r="CS23" s="59" t="s">
        <v>581</v>
      </c>
      <c r="CT23" s="59" t="s">
        <v>582</v>
      </c>
      <c r="CU23" s="59" t="s">
        <v>589</v>
      </c>
      <c r="CV23" s="59" t="s">
        <v>590</v>
      </c>
      <c r="CW23" s="59" t="s">
        <v>591</v>
      </c>
      <c r="CX23" s="59" t="s">
        <v>592</v>
      </c>
      <c r="CY23" s="59" t="s">
        <v>581</v>
      </c>
      <c r="CZ23" s="59" t="s">
        <v>582</v>
      </c>
      <c r="DA23" s="59" t="s">
        <v>589</v>
      </c>
      <c r="DB23" s="59" t="s">
        <v>590</v>
      </c>
      <c r="DC23" s="59" t="s">
        <v>591</v>
      </c>
      <c r="DD23" s="59" t="s">
        <v>592</v>
      </c>
      <c r="DE23" s="59" t="s">
        <v>581</v>
      </c>
      <c r="DF23" s="59" t="s">
        <v>582</v>
      </c>
      <c r="DG23" s="59" t="s">
        <v>589</v>
      </c>
      <c r="DH23" s="59" t="s">
        <v>590</v>
      </c>
      <c r="DI23" s="59" t="s">
        <v>591</v>
      </c>
      <c r="DJ23" s="59" t="s">
        <v>592</v>
      </c>
      <c r="DK23" s="59" t="s">
        <v>595</v>
      </c>
      <c r="DL23" s="59" t="s">
        <v>596</v>
      </c>
      <c r="DM23" s="59" t="s">
        <v>581</v>
      </c>
      <c r="DN23" s="59" t="s">
        <v>582</v>
      </c>
      <c r="DO23" s="59" t="s">
        <v>589</v>
      </c>
      <c r="DP23" s="59" t="s">
        <v>590</v>
      </c>
      <c r="DQ23" s="59" t="s">
        <v>591</v>
      </c>
      <c r="DR23" s="59" t="s">
        <v>592</v>
      </c>
      <c r="DS23" s="59" t="s">
        <v>595</v>
      </c>
      <c r="DT23" s="59" t="s">
        <v>596</v>
      </c>
      <c r="DU23" s="59" t="s">
        <v>581</v>
      </c>
      <c r="DV23" s="59" t="s">
        <v>582</v>
      </c>
      <c r="DW23" s="59" t="s">
        <v>589</v>
      </c>
      <c r="DX23" s="59" t="s">
        <v>590</v>
      </c>
      <c r="DY23" s="59" t="s">
        <v>591</v>
      </c>
      <c r="DZ23" s="59" t="s">
        <v>592</v>
      </c>
      <c r="EA23" s="59" t="s">
        <v>595</v>
      </c>
      <c r="EB23" s="59" t="s">
        <v>596</v>
      </c>
      <c r="EC23" s="59" t="s">
        <v>581</v>
      </c>
      <c r="ED23" s="59" t="s">
        <v>582</v>
      </c>
      <c r="EE23" s="59" t="s">
        <v>589</v>
      </c>
      <c r="EF23" s="59" t="s">
        <v>590</v>
      </c>
      <c r="EG23" s="59" t="s">
        <v>591</v>
      </c>
      <c r="EH23" s="59" t="s">
        <v>592</v>
      </c>
      <c r="EI23" s="59" t="s">
        <v>595</v>
      </c>
      <c r="EJ23" s="59" t="s">
        <v>596</v>
      </c>
      <c r="EK23" s="59" t="s">
        <v>581</v>
      </c>
      <c r="EL23" s="59" t="s">
        <v>582</v>
      </c>
      <c r="EM23" s="59" t="s">
        <v>589</v>
      </c>
      <c r="EN23" s="59" t="s">
        <v>590</v>
      </c>
      <c r="EO23" s="59" t="s">
        <v>591</v>
      </c>
      <c r="EP23" s="59" t="s">
        <v>592</v>
      </c>
      <c r="EQ23" s="59" t="s">
        <v>595</v>
      </c>
      <c r="ER23" s="59" t="s">
        <v>596</v>
      </c>
      <c r="ES23" s="59" t="s">
        <v>581</v>
      </c>
      <c r="ET23" s="59" t="s">
        <v>582</v>
      </c>
      <c r="EU23" s="59" t="s">
        <v>589</v>
      </c>
      <c r="EV23" s="59" t="s">
        <v>590</v>
      </c>
      <c r="EW23" s="59" t="s">
        <v>591</v>
      </c>
      <c r="EX23" s="59" t="s">
        <v>592</v>
      </c>
      <c r="EY23" s="59" t="s">
        <v>595</v>
      </c>
      <c r="EZ23" s="59" t="s">
        <v>596</v>
      </c>
      <c r="FA23" s="59" t="s">
        <v>581</v>
      </c>
      <c r="FB23" s="59" t="s">
        <v>582</v>
      </c>
      <c r="FC23" s="59" t="s">
        <v>589</v>
      </c>
      <c r="FD23" s="59" t="s">
        <v>590</v>
      </c>
      <c r="FE23" s="59" t="s">
        <v>591</v>
      </c>
      <c r="FF23" s="59" t="s">
        <v>592</v>
      </c>
      <c r="FG23" s="59" t="s">
        <v>595</v>
      </c>
      <c r="FH23" s="59" t="s">
        <v>596</v>
      </c>
      <c r="FI23" s="59" t="s">
        <v>581</v>
      </c>
      <c r="FJ23" s="59" t="s">
        <v>582</v>
      </c>
      <c r="FK23" s="59" t="s">
        <v>589</v>
      </c>
      <c r="FL23" s="59" t="s">
        <v>590</v>
      </c>
      <c r="FM23" s="59" t="s">
        <v>591</v>
      </c>
      <c r="FN23" s="59" t="s">
        <v>592</v>
      </c>
      <c r="FO23" s="59" t="s">
        <v>595</v>
      </c>
      <c r="FP23" s="59" t="s">
        <v>596</v>
      </c>
      <c r="FQ23" s="59" t="s">
        <v>581</v>
      </c>
      <c r="FR23" s="59" t="s">
        <v>582</v>
      </c>
      <c r="FS23" s="59" t="s">
        <v>589</v>
      </c>
      <c r="FT23" s="59" t="s">
        <v>590</v>
      </c>
      <c r="FU23" s="59" t="s">
        <v>591</v>
      </c>
      <c r="FV23" s="59" t="s">
        <v>592</v>
      </c>
      <c r="FW23" s="59" t="s">
        <v>595</v>
      </c>
      <c r="FX23" s="59" t="s">
        <v>596</v>
      </c>
      <c r="FY23" s="59" t="s">
        <v>597</v>
      </c>
      <c r="FZ23" s="59" t="s">
        <v>598</v>
      </c>
      <c r="GA23" s="59" t="s">
        <v>599</v>
      </c>
      <c r="GB23" s="59" t="s">
        <v>600</v>
      </c>
      <c r="GC23" s="59" t="s">
        <v>601</v>
      </c>
      <c r="GD23" s="59" t="s">
        <v>602</v>
      </c>
      <c r="GE23" s="59" t="s">
        <v>603</v>
      </c>
      <c r="GF23" s="59" t="s">
        <v>604</v>
      </c>
    </row>
    <row r="24" spans="1:188" x14ac:dyDescent="0.15">
      <c r="J24" s="60"/>
    </row>
    <row r="25" spans="1:188" x14ac:dyDescent="0.15">
      <c r="J25" s="60"/>
    </row>
    <row r="26" spans="1:188" x14ac:dyDescent="0.15">
      <c r="J26" s="60"/>
    </row>
    <row r="27" spans="1:188" x14ac:dyDescent="0.15">
      <c r="J27" s="60"/>
    </row>
    <row r="28" spans="1:188" x14ac:dyDescent="0.15">
      <c r="J28" s="60"/>
    </row>
    <row r="29" spans="1:188" x14ac:dyDescent="0.15">
      <c r="J29" s="60"/>
    </row>
    <row r="30" spans="1:188" x14ac:dyDescent="0.15">
      <c r="J30" s="60"/>
    </row>
    <row r="31" spans="1:188" x14ac:dyDescent="0.15">
      <c r="J31" s="60"/>
    </row>
    <row r="32" spans="1:188" x14ac:dyDescent="0.15">
      <c r="J32" s="60"/>
    </row>
    <row r="33" spans="10:10" x14ac:dyDescent="0.15">
      <c r="J33" s="60"/>
    </row>
    <row r="34" spans="10:10" x14ac:dyDescent="0.15">
      <c r="J34" s="60"/>
    </row>
    <row r="35" spans="10:10" x14ac:dyDescent="0.15">
      <c r="J35" s="60"/>
    </row>
    <row r="36" spans="10:10" x14ac:dyDescent="0.15">
      <c r="J36" s="60"/>
    </row>
    <row r="37" spans="10:10" x14ac:dyDescent="0.15">
      <c r="J37" s="60"/>
    </row>
    <row r="38" spans="10:10" x14ac:dyDescent="0.15">
      <c r="J38" s="60"/>
    </row>
    <row r="39" spans="10:10" x14ac:dyDescent="0.15">
      <c r="J39" s="60"/>
    </row>
    <row r="40" spans="10:10" x14ac:dyDescent="0.15">
      <c r="J40" s="60"/>
    </row>
    <row r="41" spans="10:10" x14ac:dyDescent="0.15">
      <c r="J41" s="60"/>
    </row>
    <row r="42" spans="10:10" x14ac:dyDescent="0.15">
      <c r="J42" s="60"/>
    </row>
    <row r="43" spans="10:10" x14ac:dyDescent="0.15">
      <c r="J43" s="60"/>
    </row>
    <row r="44" spans="10:10" x14ac:dyDescent="0.15">
      <c r="J44" s="161"/>
    </row>
    <row r="45" spans="10:10" x14ac:dyDescent="0.15">
      <c r="J45" s="161"/>
    </row>
    <row r="46" spans="10:10" x14ac:dyDescent="0.15">
      <c r="J46" s="161"/>
    </row>
    <row r="47" spans="10:10" x14ac:dyDescent="0.15">
      <c r="J47" s="161"/>
    </row>
    <row r="48" spans="10:10" x14ac:dyDescent="0.15">
      <c r="J48" s="161"/>
    </row>
    <row r="49" spans="10:10" x14ac:dyDescent="0.15">
      <c r="J49" s="161"/>
    </row>
    <row r="50" spans="10:10" x14ac:dyDescent="0.15">
      <c r="J50" s="161"/>
    </row>
    <row r="51" spans="10:10" x14ac:dyDescent="0.15">
      <c r="J51" s="161"/>
    </row>
    <row r="52" spans="10:10" x14ac:dyDescent="0.15">
      <c r="J52" s="161"/>
    </row>
    <row r="53" spans="10:10" x14ac:dyDescent="0.15">
      <c r="J53" s="161"/>
    </row>
    <row r="54" spans="10:10" x14ac:dyDescent="0.15">
      <c r="J54" s="161"/>
    </row>
    <row r="55" spans="10:10" x14ac:dyDescent="0.15">
      <c r="J55" s="161"/>
    </row>
    <row r="56" spans="10:10" x14ac:dyDescent="0.15">
      <c r="J56" s="161"/>
    </row>
    <row r="57" spans="10:10" x14ac:dyDescent="0.15">
      <c r="J57" s="161"/>
    </row>
    <row r="58" spans="10:10" x14ac:dyDescent="0.15">
      <c r="J58" s="161"/>
    </row>
    <row r="59" spans="10:10" x14ac:dyDescent="0.15">
      <c r="J59" s="161"/>
    </row>
    <row r="60" spans="10:10" x14ac:dyDescent="0.15">
      <c r="J60" s="161"/>
    </row>
    <row r="61" spans="10:10" x14ac:dyDescent="0.15">
      <c r="J61" s="161"/>
    </row>
    <row r="62" spans="10:10" x14ac:dyDescent="0.15">
      <c r="J62" s="161"/>
    </row>
    <row r="63" spans="10:10" x14ac:dyDescent="0.15">
      <c r="J63" s="161"/>
    </row>
    <row r="64" spans="10:10" x14ac:dyDescent="0.15">
      <c r="J64" s="161"/>
    </row>
    <row r="65" spans="10:10" x14ac:dyDescent="0.15">
      <c r="J65" s="161"/>
    </row>
    <row r="66" spans="10:10" x14ac:dyDescent="0.15">
      <c r="J66" s="161"/>
    </row>
    <row r="67" spans="10:10" x14ac:dyDescent="0.15">
      <c r="J67" s="161"/>
    </row>
    <row r="68" spans="10:10" x14ac:dyDescent="0.15">
      <c r="J68" s="161"/>
    </row>
    <row r="69" spans="10:10" x14ac:dyDescent="0.15">
      <c r="J69" s="161"/>
    </row>
    <row r="70" spans="10:10" x14ac:dyDescent="0.15">
      <c r="J70" s="161"/>
    </row>
    <row r="71" spans="10:10" x14ac:dyDescent="0.15">
      <c r="J71" s="161"/>
    </row>
    <row r="72" spans="10:10" x14ac:dyDescent="0.15">
      <c r="J72" s="161"/>
    </row>
    <row r="73" spans="10:10" x14ac:dyDescent="0.15">
      <c r="J73" s="161"/>
    </row>
    <row r="74" spans="10:10" x14ac:dyDescent="0.15">
      <c r="J74" s="161"/>
    </row>
    <row r="75" spans="10:10" x14ac:dyDescent="0.15">
      <c r="J75" s="161"/>
    </row>
    <row r="76" spans="10:10" x14ac:dyDescent="0.15">
      <c r="J76" s="161"/>
    </row>
    <row r="77" spans="10:10" x14ac:dyDescent="0.15">
      <c r="J77" s="161"/>
    </row>
    <row r="78" spans="10:10" x14ac:dyDescent="0.15">
      <c r="J78" s="161"/>
    </row>
    <row r="79" spans="10:10" x14ac:dyDescent="0.15">
      <c r="J79" s="161"/>
    </row>
    <row r="80" spans="10:10" x14ac:dyDescent="0.15">
      <c r="J80" s="161"/>
    </row>
    <row r="81" spans="10:10" x14ac:dyDescent="0.15">
      <c r="J81" s="161"/>
    </row>
    <row r="82" spans="10:10" x14ac:dyDescent="0.15">
      <c r="J82" s="161"/>
    </row>
    <row r="83" spans="10:10" x14ac:dyDescent="0.15">
      <c r="J83" s="161"/>
    </row>
    <row r="84" spans="10:10" x14ac:dyDescent="0.15">
      <c r="J84" s="60"/>
    </row>
    <row r="85" spans="10:10" x14ac:dyDescent="0.15">
      <c r="J85" s="60"/>
    </row>
    <row r="86" spans="10:10" x14ac:dyDescent="0.15">
      <c r="J86" s="60"/>
    </row>
    <row r="87" spans="10:10" x14ac:dyDescent="0.15">
      <c r="J87" s="60"/>
    </row>
    <row r="88" spans="10:10" x14ac:dyDescent="0.15">
      <c r="J88" s="60"/>
    </row>
    <row r="89" spans="10:10" x14ac:dyDescent="0.15">
      <c r="J89" s="60"/>
    </row>
    <row r="90" spans="10:10" x14ac:dyDescent="0.15">
      <c r="J90" s="60"/>
    </row>
    <row r="91" spans="10:10" x14ac:dyDescent="0.15">
      <c r="J91" s="60"/>
    </row>
    <row r="92" spans="10:10" x14ac:dyDescent="0.15">
      <c r="J92" s="60"/>
    </row>
    <row r="93" spans="10:10" x14ac:dyDescent="0.15">
      <c r="J93" s="60"/>
    </row>
    <row r="94" spans="10:10" x14ac:dyDescent="0.15">
      <c r="J94" s="60"/>
    </row>
    <row r="95" spans="10:10" x14ac:dyDescent="0.15">
      <c r="J95" s="60"/>
    </row>
    <row r="96" spans="10:10" x14ac:dyDescent="0.15">
      <c r="J96" s="60"/>
    </row>
    <row r="97" spans="1:90" x14ac:dyDescent="0.15">
      <c r="J97" s="60"/>
    </row>
    <row r="98" spans="1:90" x14ac:dyDescent="0.15">
      <c r="J98" s="60"/>
    </row>
    <row r="99" spans="1:90" x14ac:dyDescent="0.15">
      <c r="J99" s="60"/>
    </row>
    <row r="100" spans="1:90" x14ac:dyDescent="0.15">
      <c r="J100" s="60"/>
    </row>
    <row r="101" spans="1:90" x14ac:dyDescent="0.15">
      <c r="J101" s="60"/>
    </row>
    <row r="102" spans="1:90" x14ac:dyDescent="0.15">
      <c r="J102" s="60"/>
    </row>
    <row r="103" spans="1:90" x14ac:dyDescent="0.15">
      <c r="J103" s="60"/>
    </row>
    <row r="104" spans="1:90" x14ac:dyDescent="0.15">
      <c r="A104" s="107"/>
      <c r="B104" s="107"/>
      <c r="C104" s="107"/>
      <c r="D104" s="107"/>
      <c r="E104" s="107"/>
      <c r="F104" s="107"/>
      <c r="G104" s="107"/>
      <c r="H104" s="107"/>
      <c r="I104" s="107"/>
      <c r="J104" s="108"/>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7"/>
      <c r="BK104" s="107"/>
      <c r="BL104" s="107"/>
      <c r="BM104" s="107"/>
      <c r="BN104" s="107"/>
      <c r="BO104" s="107"/>
      <c r="BP104" s="107"/>
      <c r="BQ104" s="107"/>
      <c r="BR104" s="107"/>
      <c r="BS104" s="107"/>
      <c r="BT104" s="107"/>
      <c r="BU104" s="107"/>
      <c r="BV104" s="107"/>
      <c r="BW104" s="107"/>
      <c r="BX104" s="107"/>
      <c r="BY104" s="107"/>
      <c r="BZ104" s="107"/>
      <c r="CA104" s="107"/>
      <c r="CB104" s="107"/>
      <c r="CC104" s="107"/>
      <c r="CD104" s="107"/>
      <c r="CE104" s="107"/>
      <c r="CF104" s="107"/>
      <c r="CG104" s="107"/>
      <c r="CH104" s="107"/>
      <c r="CI104" s="107"/>
      <c r="CJ104" s="107"/>
      <c r="CK104" s="107"/>
      <c r="CL104" s="107"/>
    </row>
    <row r="105" spans="1:90" x14ac:dyDescent="0.15">
      <c r="A105" s="107"/>
      <c r="B105" s="107"/>
      <c r="C105" s="107"/>
      <c r="D105" s="107"/>
      <c r="E105" s="107"/>
      <c r="F105" s="107"/>
      <c r="G105" s="107"/>
      <c r="H105" s="107"/>
      <c r="I105" s="107"/>
      <c r="J105" s="108"/>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c r="BP105" s="107"/>
      <c r="BQ105" s="107"/>
      <c r="BR105" s="107"/>
      <c r="BS105" s="107"/>
      <c r="BT105" s="107"/>
      <c r="BU105" s="107"/>
      <c r="BV105" s="107"/>
      <c r="BW105" s="107"/>
      <c r="BX105" s="107"/>
      <c r="BY105" s="107"/>
      <c r="BZ105" s="107"/>
      <c r="CA105" s="107"/>
      <c r="CB105" s="107"/>
      <c r="CC105" s="107"/>
      <c r="CD105" s="107"/>
      <c r="CE105" s="107"/>
      <c r="CF105" s="107"/>
      <c r="CG105" s="107"/>
      <c r="CH105" s="107"/>
      <c r="CI105" s="107"/>
      <c r="CJ105" s="107"/>
      <c r="CK105" s="107"/>
      <c r="CL105" s="107"/>
    </row>
    <row r="106" spans="1:90" x14ac:dyDescent="0.15">
      <c r="A106" s="107"/>
      <c r="B106" s="107"/>
      <c r="C106" s="107"/>
      <c r="D106" s="107"/>
      <c r="E106" s="107"/>
      <c r="F106" s="107"/>
      <c r="G106" s="107"/>
      <c r="H106" s="107"/>
      <c r="I106" s="107"/>
      <c r="J106" s="108"/>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c r="CC106" s="107"/>
      <c r="CD106" s="107"/>
      <c r="CE106" s="107"/>
      <c r="CF106" s="107"/>
      <c r="CG106" s="107"/>
      <c r="CH106" s="107"/>
      <c r="CI106" s="107"/>
      <c r="CJ106" s="107"/>
      <c r="CK106" s="107"/>
      <c r="CL106" s="107"/>
    </row>
    <row r="107" spans="1:90" x14ac:dyDescent="0.15">
      <c r="A107" s="107"/>
      <c r="B107" s="107"/>
      <c r="C107" s="107"/>
      <c r="D107" s="107"/>
      <c r="E107" s="107"/>
      <c r="F107" s="107"/>
      <c r="G107" s="107"/>
      <c r="H107" s="107"/>
      <c r="I107" s="107"/>
      <c r="J107" s="108"/>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c r="BO107" s="107"/>
      <c r="BP107" s="107"/>
      <c r="BQ107" s="107"/>
      <c r="BR107" s="107"/>
      <c r="BS107" s="107"/>
      <c r="BT107" s="107"/>
      <c r="BU107" s="107"/>
      <c r="BV107" s="107"/>
      <c r="BW107" s="107"/>
      <c r="BX107" s="107"/>
      <c r="BY107" s="107"/>
      <c r="BZ107" s="107"/>
      <c r="CA107" s="107"/>
      <c r="CB107" s="107"/>
      <c r="CC107" s="107"/>
      <c r="CD107" s="107"/>
      <c r="CE107" s="107"/>
      <c r="CF107" s="107"/>
      <c r="CG107" s="107"/>
      <c r="CH107" s="107"/>
      <c r="CI107" s="107"/>
      <c r="CJ107" s="107"/>
      <c r="CK107" s="107"/>
      <c r="CL107" s="107"/>
    </row>
    <row r="108" spans="1:90" x14ac:dyDescent="0.15">
      <c r="A108" s="107"/>
      <c r="B108" s="107"/>
      <c r="C108" s="107"/>
      <c r="D108" s="107"/>
      <c r="E108" s="107"/>
      <c r="F108" s="107"/>
      <c r="G108" s="107"/>
      <c r="H108" s="107"/>
      <c r="I108" s="107"/>
      <c r="J108" s="108"/>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c r="CC108" s="107"/>
      <c r="CD108" s="107"/>
      <c r="CE108" s="107"/>
      <c r="CF108" s="107"/>
      <c r="CG108" s="107"/>
      <c r="CH108" s="107"/>
      <c r="CI108" s="107"/>
      <c r="CJ108" s="107"/>
      <c r="CK108" s="107"/>
      <c r="CL108" s="107"/>
    </row>
    <row r="109" spans="1:90" x14ac:dyDescent="0.15">
      <c r="A109" s="107"/>
      <c r="B109" s="107"/>
      <c r="C109" s="107"/>
      <c r="D109" s="107"/>
      <c r="E109" s="107"/>
      <c r="F109" s="107"/>
      <c r="G109" s="107"/>
      <c r="H109" s="107"/>
      <c r="I109" s="107"/>
      <c r="J109" s="108"/>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c r="CC109" s="107"/>
      <c r="CD109" s="107"/>
      <c r="CE109" s="107"/>
      <c r="CF109" s="107"/>
      <c r="CG109" s="107"/>
      <c r="CH109" s="107"/>
      <c r="CI109" s="107"/>
      <c r="CJ109" s="107"/>
      <c r="CK109" s="107"/>
      <c r="CL109" s="107"/>
    </row>
    <row r="110" spans="1:90" x14ac:dyDescent="0.15">
      <c r="A110" s="107"/>
      <c r="B110" s="107"/>
      <c r="C110" s="107"/>
      <c r="D110" s="107"/>
      <c r="E110" s="107"/>
      <c r="F110" s="107"/>
      <c r="G110" s="107"/>
      <c r="H110" s="107"/>
      <c r="I110" s="107"/>
      <c r="J110" s="108"/>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c r="CC110" s="107"/>
      <c r="CD110" s="107"/>
      <c r="CE110" s="107"/>
      <c r="CF110" s="107"/>
      <c r="CG110" s="107"/>
      <c r="CH110" s="107"/>
      <c r="CI110" s="107"/>
      <c r="CJ110" s="107"/>
      <c r="CK110" s="107"/>
      <c r="CL110" s="107"/>
    </row>
    <row r="111" spans="1:90" x14ac:dyDescent="0.15">
      <c r="A111" s="107"/>
      <c r="B111" s="107"/>
      <c r="C111" s="107"/>
      <c r="D111" s="107"/>
      <c r="E111" s="107"/>
      <c r="F111" s="107"/>
      <c r="G111" s="107"/>
      <c r="H111" s="107"/>
      <c r="I111" s="107"/>
      <c r="J111" s="108"/>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7"/>
      <c r="BU111" s="107"/>
      <c r="BV111" s="107"/>
      <c r="BW111" s="107"/>
      <c r="BX111" s="107"/>
      <c r="BY111" s="107"/>
      <c r="BZ111" s="107"/>
      <c r="CA111" s="107"/>
      <c r="CB111" s="107"/>
      <c r="CC111" s="107"/>
      <c r="CD111" s="107"/>
      <c r="CE111" s="107"/>
      <c r="CF111" s="107"/>
      <c r="CG111" s="107"/>
      <c r="CH111" s="107"/>
      <c r="CI111" s="107"/>
      <c r="CJ111" s="107"/>
      <c r="CK111" s="107"/>
      <c r="CL111" s="107"/>
    </row>
    <row r="112" spans="1:90" x14ac:dyDescent="0.15">
      <c r="A112" s="107"/>
      <c r="B112" s="107"/>
      <c r="C112" s="107"/>
      <c r="D112" s="107"/>
      <c r="E112" s="107"/>
      <c r="F112" s="107"/>
      <c r="G112" s="107"/>
      <c r="H112" s="107"/>
      <c r="I112" s="107"/>
      <c r="J112" s="108"/>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c r="CA112" s="107"/>
      <c r="CB112" s="107"/>
      <c r="CC112" s="107"/>
      <c r="CD112" s="107"/>
      <c r="CE112" s="107"/>
      <c r="CF112" s="107"/>
      <c r="CG112" s="107"/>
      <c r="CH112" s="107"/>
      <c r="CI112" s="107"/>
      <c r="CJ112" s="107"/>
      <c r="CK112" s="107"/>
      <c r="CL112" s="107"/>
    </row>
    <row r="113" spans="1:90" x14ac:dyDescent="0.15">
      <c r="A113" s="107"/>
      <c r="B113" s="107"/>
      <c r="C113" s="107"/>
      <c r="D113" s="107"/>
      <c r="E113" s="107"/>
      <c r="F113" s="107"/>
      <c r="G113" s="107"/>
      <c r="H113" s="107"/>
      <c r="I113" s="107"/>
      <c r="J113" s="108"/>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c r="BM113" s="107"/>
      <c r="BN113" s="107"/>
      <c r="BO113" s="107"/>
      <c r="BP113" s="107"/>
      <c r="BQ113" s="107"/>
      <c r="BR113" s="107"/>
      <c r="BS113" s="107"/>
      <c r="BT113" s="107"/>
      <c r="BU113" s="107"/>
      <c r="BV113" s="107"/>
      <c r="BW113" s="107"/>
      <c r="BX113" s="107"/>
      <c r="BY113" s="107"/>
      <c r="BZ113" s="107"/>
      <c r="CA113" s="107"/>
      <c r="CB113" s="107"/>
      <c r="CC113" s="107"/>
      <c r="CD113" s="107"/>
      <c r="CE113" s="107"/>
      <c r="CF113" s="107"/>
      <c r="CG113" s="107"/>
      <c r="CH113" s="107"/>
      <c r="CI113" s="107"/>
      <c r="CJ113" s="107"/>
      <c r="CK113" s="107"/>
      <c r="CL113" s="107"/>
    </row>
    <row r="114" spans="1:90" x14ac:dyDescent="0.15">
      <c r="A114" s="107"/>
      <c r="B114" s="107"/>
      <c r="C114" s="107"/>
      <c r="D114" s="107"/>
      <c r="E114" s="107"/>
      <c r="F114" s="107"/>
      <c r="G114" s="107"/>
      <c r="H114" s="107"/>
      <c r="I114" s="107"/>
      <c r="J114" s="108"/>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c r="CC114" s="107"/>
      <c r="CD114" s="107"/>
      <c r="CE114" s="107"/>
      <c r="CF114" s="107"/>
      <c r="CG114" s="107"/>
      <c r="CH114" s="107"/>
      <c r="CI114" s="107"/>
      <c r="CJ114" s="107"/>
      <c r="CK114" s="107"/>
      <c r="CL114" s="107"/>
    </row>
    <row r="115" spans="1:90" x14ac:dyDescent="0.15">
      <c r="J115" s="108"/>
    </row>
    <row r="116" spans="1:90" x14ac:dyDescent="0.15">
      <c r="J116" s="108"/>
    </row>
    <row r="117" spans="1:90" x14ac:dyDescent="0.15">
      <c r="J117" s="108"/>
    </row>
    <row r="118" spans="1:90" x14ac:dyDescent="0.15">
      <c r="J118" s="108"/>
    </row>
    <row r="119" spans="1:90" x14ac:dyDescent="0.15">
      <c r="J119" s="108"/>
    </row>
    <row r="120" spans="1:90" x14ac:dyDescent="0.15">
      <c r="J120" s="108"/>
    </row>
    <row r="121" spans="1:90" x14ac:dyDescent="0.15">
      <c r="J121" s="108"/>
    </row>
    <row r="122" spans="1:90" x14ac:dyDescent="0.15">
      <c r="J122" s="108"/>
    </row>
    <row r="123" spans="1:90" x14ac:dyDescent="0.15">
      <c r="J123" s="108"/>
    </row>
    <row r="124" spans="1:90" x14ac:dyDescent="0.15">
      <c r="J124" s="108"/>
    </row>
    <row r="125" spans="1:90" x14ac:dyDescent="0.15">
      <c r="J125" s="108"/>
    </row>
    <row r="126" spans="1:90" x14ac:dyDescent="0.15">
      <c r="J126" s="108"/>
    </row>
    <row r="127" spans="1:90" x14ac:dyDescent="0.15">
      <c r="J127" s="108"/>
    </row>
    <row r="128" spans="1:90" x14ac:dyDescent="0.15">
      <c r="J128" s="108"/>
    </row>
    <row r="129" spans="10:10" x14ac:dyDescent="0.15">
      <c r="J129" s="108"/>
    </row>
    <row r="130" spans="10:10" x14ac:dyDescent="0.15">
      <c r="J130" s="108"/>
    </row>
    <row r="131" spans="10:10" x14ac:dyDescent="0.15">
      <c r="J131" s="108"/>
    </row>
    <row r="132" spans="10:10" x14ac:dyDescent="0.15">
      <c r="J132" s="108"/>
    </row>
    <row r="133" spans="10:10" x14ac:dyDescent="0.15">
      <c r="J133" s="108"/>
    </row>
    <row r="134" spans="10:10" x14ac:dyDescent="0.15">
      <c r="J134" s="108"/>
    </row>
    <row r="135" spans="10:10" x14ac:dyDescent="0.15">
      <c r="J135" s="108"/>
    </row>
    <row r="136" spans="10:10" x14ac:dyDescent="0.15">
      <c r="J136" s="108"/>
    </row>
    <row r="137" spans="10:10" x14ac:dyDescent="0.15">
      <c r="J137" s="108"/>
    </row>
    <row r="138" spans="10:10" x14ac:dyDescent="0.15">
      <c r="J138" s="108"/>
    </row>
    <row r="139" spans="10:10" x14ac:dyDescent="0.15">
      <c r="J139" s="108"/>
    </row>
    <row r="140" spans="10:10" x14ac:dyDescent="0.15">
      <c r="J140" s="108"/>
    </row>
    <row r="141" spans="10:10" x14ac:dyDescent="0.15">
      <c r="J141" s="108"/>
    </row>
    <row r="142" spans="10:10" x14ac:dyDescent="0.15">
      <c r="J142" s="108"/>
    </row>
    <row r="143" spans="10:10" x14ac:dyDescent="0.15">
      <c r="J143" s="108"/>
    </row>
    <row r="144" spans="10:10" x14ac:dyDescent="0.15">
      <c r="J144" s="108"/>
    </row>
    <row r="145" spans="10:10" x14ac:dyDescent="0.15">
      <c r="J145" s="108"/>
    </row>
    <row r="146" spans="10:10" x14ac:dyDescent="0.15">
      <c r="J146" s="108"/>
    </row>
    <row r="147" spans="10:10" x14ac:dyDescent="0.15">
      <c r="J147" s="108"/>
    </row>
    <row r="148" spans="10:10" x14ac:dyDescent="0.15">
      <c r="J148" s="108"/>
    </row>
    <row r="149" spans="10:10" x14ac:dyDescent="0.15">
      <c r="J149" s="108"/>
    </row>
    <row r="150" spans="10:10" x14ac:dyDescent="0.15">
      <c r="J150" s="108"/>
    </row>
    <row r="151" spans="10:10" x14ac:dyDescent="0.15">
      <c r="J151" s="108"/>
    </row>
    <row r="152" spans="10:10" x14ac:dyDescent="0.15">
      <c r="J152" s="108"/>
    </row>
    <row r="153" spans="10:10" x14ac:dyDescent="0.15">
      <c r="J153" s="108"/>
    </row>
    <row r="154" spans="10:10" x14ac:dyDescent="0.15">
      <c r="J154" s="108"/>
    </row>
    <row r="155" spans="10:10" x14ac:dyDescent="0.15">
      <c r="J155" s="108"/>
    </row>
    <row r="156" spans="10:10" x14ac:dyDescent="0.15">
      <c r="J156" s="108"/>
    </row>
    <row r="157" spans="10:10" x14ac:dyDescent="0.15">
      <c r="J157" s="108"/>
    </row>
    <row r="158" spans="10:10" x14ac:dyDescent="0.15">
      <c r="J158" s="108"/>
    </row>
    <row r="159" spans="10:10" x14ac:dyDescent="0.15">
      <c r="J159" s="108"/>
    </row>
    <row r="160" spans="10:10" x14ac:dyDescent="0.15">
      <c r="J160" s="108"/>
    </row>
    <row r="161" spans="10:10" x14ac:dyDescent="0.15">
      <c r="J161" s="108"/>
    </row>
    <row r="162" spans="10:10" x14ac:dyDescent="0.15">
      <c r="J162" s="108"/>
    </row>
    <row r="163" spans="10:10" x14ac:dyDescent="0.15">
      <c r="J163" s="108"/>
    </row>
    <row r="164" spans="10:10" x14ac:dyDescent="0.15">
      <c r="J164" s="108"/>
    </row>
    <row r="165" spans="10:10" x14ac:dyDescent="0.15">
      <c r="J165" s="108"/>
    </row>
    <row r="166" spans="10:10" x14ac:dyDescent="0.15">
      <c r="J166" s="108"/>
    </row>
    <row r="167" spans="10:10" x14ac:dyDescent="0.15">
      <c r="J167" s="108"/>
    </row>
    <row r="168" spans="10:10" x14ac:dyDescent="0.15">
      <c r="J168" s="108"/>
    </row>
    <row r="169" spans="10:10" x14ac:dyDescent="0.15">
      <c r="J169" s="108"/>
    </row>
    <row r="170" spans="10:10" x14ac:dyDescent="0.15">
      <c r="J170" s="108"/>
    </row>
    <row r="171" spans="10:10" x14ac:dyDescent="0.15">
      <c r="J171" s="108"/>
    </row>
    <row r="172" spans="10:10" x14ac:dyDescent="0.15">
      <c r="J172" s="108"/>
    </row>
    <row r="173" spans="10:10" x14ac:dyDescent="0.15">
      <c r="J173" s="108"/>
    </row>
    <row r="174" spans="10:10" x14ac:dyDescent="0.15">
      <c r="J174" s="108"/>
    </row>
    <row r="175" spans="10:10" x14ac:dyDescent="0.15">
      <c r="J175" s="60"/>
    </row>
    <row r="176" spans="10:10" x14ac:dyDescent="0.15">
      <c r="J176" s="60"/>
    </row>
    <row r="177" spans="10:10" x14ac:dyDescent="0.15">
      <c r="J177" s="60"/>
    </row>
    <row r="178" spans="10:10" x14ac:dyDescent="0.15">
      <c r="J178" s="60"/>
    </row>
    <row r="179" spans="10:10" x14ac:dyDescent="0.15">
      <c r="J179" s="60"/>
    </row>
    <row r="180" spans="10:10" x14ac:dyDescent="0.15">
      <c r="J180" s="60"/>
    </row>
    <row r="181" spans="10:10" x14ac:dyDescent="0.15">
      <c r="J181" s="60"/>
    </row>
    <row r="182" spans="10:10" x14ac:dyDescent="0.15">
      <c r="J182" s="60"/>
    </row>
    <row r="183" spans="10:10" x14ac:dyDescent="0.15">
      <c r="J183" s="60"/>
    </row>
    <row r="184" spans="10:10" x14ac:dyDescent="0.15">
      <c r="J184" s="60"/>
    </row>
    <row r="185" spans="10:10" x14ac:dyDescent="0.15">
      <c r="J185" s="60"/>
    </row>
    <row r="186" spans="10:10" x14ac:dyDescent="0.15">
      <c r="J186" s="60"/>
    </row>
    <row r="187" spans="10:10" x14ac:dyDescent="0.15">
      <c r="J187" s="60"/>
    </row>
    <row r="188" spans="10:10" x14ac:dyDescent="0.15">
      <c r="J188" s="60"/>
    </row>
    <row r="189" spans="10:10" x14ac:dyDescent="0.15">
      <c r="J189" s="60"/>
    </row>
    <row r="190" spans="10:10" x14ac:dyDescent="0.15">
      <c r="J190" s="60"/>
    </row>
    <row r="191" spans="10:10" x14ac:dyDescent="0.15">
      <c r="J191" s="60"/>
    </row>
    <row r="192" spans="10:10" x14ac:dyDescent="0.15">
      <c r="J192" s="60"/>
    </row>
    <row r="193" spans="10:10" x14ac:dyDescent="0.15">
      <c r="J193" s="60"/>
    </row>
    <row r="194" spans="10:10" x14ac:dyDescent="0.15">
      <c r="J194" s="60"/>
    </row>
    <row r="195" spans="10:10" x14ac:dyDescent="0.15">
      <c r="J195" s="60"/>
    </row>
    <row r="196" spans="10:10" x14ac:dyDescent="0.15">
      <c r="J196" s="60"/>
    </row>
    <row r="197" spans="10:10" x14ac:dyDescent="0.15">
      <c r="J197" s="60"/>
    </row>
    <row r="198" spans="10:10" x14ac:dyDescent="0.15">
      <c r="J198" s="60"/>
    </row>
    <row r="199" spans="10:10" x14ac:dyDescent="0.15">
      <c r="J199" s="60"/>
    </row>
    <row r="200" spans="10:10" x14ac:dyDescent="0.15">
      <c r="J200" s="60"/>
    </row>
    <row r="201" spans="10:10" x14ac:dyDescent="0.15">
      <c r="J201" s="60"/>
    </row>
    <row r="202" spans="10:10" x14ac:dyDescent="0.15">
      <c r="J202" s="60"/>
    </row>
    <row r="203" spans="10:10" x14ac:dyDescent="0.15">
      <c r="J203" s="60"/>
    </row>
    <row r="204" spans="10:10" x14ac:dyDescent="0.15">
      <c r="J204" s="60"/>
    </row>
    <row r="205" spans="10:10" x14ac:dyDescent="0.15">
      <c r="J205" s="60"/>
    </row>
    <row r="206" spans="10:10" x14ac:dyDescent="0.15">
      <c r="J206" s="60"/>
    </row>
    <row r="207" spans="10:10" x14ac:dyDescent="0.15">
      <c r="J207" s="60"/>
    </row>
    <row r="208" spans="10:10" x14ac:dyDescent="0.15">
      <c r="J208" s="60"/>
    </row>
    <row r="209" spans="10:10" x14ac:dyDescent="0.15">
      <c r="J209" s="60"/>
    </row>
    <row r="210" spans="10:10" x14ac:dyDescent="0.15">
      <c r="J210" s="60"/>
    </row>
    <row r="211" spans="10:10" x14ac:dyDescent="0.15">
      <c r="J211" s="60"/>
    </row>
  </sheetData>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F8"/>
  <sheetViews>
    <sheetView zoomScaleNormal="100" workbookViewId="0">
      <selection activeCell="L9" sqref="L9"/>
    </sheetView>
  </sheetViews>
  <sheetFormatPr baseColWidth="10" defaultColWidth="9.5" defaultRowHeight="13" x14ac:dyDescent="0.15"/>
  <cols>
    <col min="1" max="1" width="16.6640625" style="59" bestFit="1" customWidth="1"/>
    <col min="2" max="2" width="12.1640625" style="59" bestFit="1" customWidth="1"/>
    <col min="3" max="3" width="21.83203125" style="59" bestFit="1" customWidth="1"/>
    <col min="4" max="4" width="11.5" style="59" bestFit="1" customWidth="1"/>
    <col min="5" max="5" width="13" style="59" bestFit="1" customWidth="1"/>
    <col min="6" max="6" width="14.6640625" style="59" bestFit="1" customWidth="1"/>
    <col min="7" max="7" width="12.6640625" style="59" bestFit="1" customWidth="1"/>
    <col min="8" max="8" width="10.1640625" style="59" bestFit="1" customWidth="1"/>
    <col min="9" max="9" width="10.6640625" style="59" bestFit="1" customWidth="1"/>
    <col min="10" max="10" width="23.5" style="59" bestFit="1" customWidth="1"/>
    <col min="11" max="11" width="7.33203125" style="59" bestFit="1" customWidth="1"/>
    <col min="12" max="12" width="9.83203125" style="59" bestFit="1" customWidth="1"/>
    <col min="13" max="13" width="12" style="59" bestFit="1" customWidth="1"/>
    <col min="14" max="14" width="6.1640625" style="59" bestFit="1" customWidth="1"/>
    <col min="15" max="15" width="7.6640625" style="59" bestFit="1" customWidth="1"/>
    <col min="16" max="16" width="12.33203125" style="59" bestFit="1" customWidth="1"/>
    <col min="17" max="17" width="5.1640625" style="59" bestFit="1" customWidth="1"/>
    <col min="18" max="18" width="6" style="59" bestFit="1" customWidth="1"/>
    <col min="19" max="19" width="8" style="59" bestFit="1" customWidth="1"/>
    <col min="20" max="20" width="12.83203125" style="59" bestFit="1" customWidth="1"/>
    <col min="21" max="23" width="8.83203125" style="59" bestFit="1" customWidth="1"/>
    <col min="24" max="24" width="16.6640625" style="59" bestFit="1" customWidth="1"/>
    <col min="25" max="25" width="18.6640625" style="59" bestFit="1" customWidth="1"/>
    <col min="26" max="26" width="6.1640625" style="59" bestFit="1" customWidth="1"/>
    <col min="27" max="27" width="13" style="59" bestFit="1" customWidth="1"/>
    <col min="28" max="28" width="6.1640625" style="59" bestFit="1" customWidth="1"/>
    <col min="29" max="29" width="7.6640625" style="59" bestFit="1" customWidth="1"/>
    <col min="30" max="30" width="12.33203125" style="59" bestFit="1" customWidth="1"/>
    <col min="31" max="31" width="5.1640625" style="59" bestFit="1" customWidth="1"/>
    <col min="32" max="32" width="6" style="59" bestFit="1" customWidth="1"/>
    <col min="33" max="33" width="8" style="59" bestFit="1" customWidth="1"/>
    <col min="34" max="34" width="12.83203125" style="59" bestFit="1" customWidth="1"/>
    <col min="35" max="37" width="8.83203125" style="59" bestFit="1" customWidth="1"/>
    <col min="38" max="38" width="16.6640625" style="59" bestFit="1" customWidth="1"/>
    <col min="39" max="39" width="18.6640625" style="59" bestFit="1" customWidth="1"/>
    <col min="40" max="40" width="6.1640625" style="59" bestFit="1" customWidth="1"/>
    <col min="41" max="41" width="12" style="59" bestFit="1" customWidth="1"/>
    <col min="42" max="42" width="6.1640625" style="59" bestFit="1" customWidth="1"/>
    <col min="43" max="43" width="7.6640625" style="59" bestFit="1" customWidth="1"/>
    <col min="44" max="44" width="12.33203125" style="59" bestFit="1" customWidth="1"/>
    <col min="45" max="45" width="5.1640625" style="59" bestFit="1" customWidth="1"/>
    <col min="46" max="46" width="6" style="59" bestFit="1" customWidth="1"/>
    <col min="47" max="47" width="8" style="59" bestFit="1" customWidth="1"/>
    <col min="48" max="48" width="12.83203125" style="59" bestFit="1" customWidth="1"/>
    <col min="49" max="51" width="8.83203125" style="59" bestFit="1" customWidth="1"/>
    <col min="52" max="52" width="16.6640625" style="59" bestFit="1" customWidth="1"/>
    <col min="53" max="53" width="18.6640625" style="59" bestFit="1" customWidth="1"/>
    <col min="54" max="54" width="6.1640625" style="59" bestFit="1" customWidth="1"/>
    <col min="55" max="55" width="12" style="59" bestFit="1" customWidth="1"/>
    <col min="56" max="56" width="6.1640625" style="59" bestFit="1" customWidth="1"/>
    <col min="57" max="57" width="7.6640625" style="59" bestFit="1" customWidth="1"/>
    <col min="58" max="58" width="12.33203125" style="59" bestFit="1" customWidth="1"/>
    <col min="59" max="59" width="5.1640625" style="59" bestFit="1" customWidth="1"/>
    <col min="60" max="60" width="6" style="59" bestFit="1" customWidth="1"/>
    <col min="61" max="61" width="8" style="59" bestFit="1" customWidth="1"/>
    <col min="62" max="62" width="12.83203125" style="59" bestFit="1" customWidth="1"/>
    <col min="63" max="65" width="8.83203125" style="59" bestFit="1" customWidth="1"/>
    <col min="66" max="66" width="16.6640625" style="59" bestFit="1" customWidth="1"/>
    <col min="67" max="67" width="18.6640625" style="59" bestFit="1" customWidth="1"/>
    <col min="68" max="68" width="6.1640625" style="59" bestFit="1" customWidth="1"/>
    <col min="69" max="69" width="12" style="59" bestFit="1" customWidth="1"/>
    <col min="70" max="70" width="6.1640625" style="59" bestFit="1" customWidth="1"/>
    <col min="71" max="71" width="7.6640625" style="59" bestFit="1" customWidth="1"/>
    <col min="72" max="72" width="12.33203125" style="59" bestFit="1" customWidth="1"/>
    <col min="73" max="73" width="2.83203125" style="59" bestFit="1" customWidth="1"/>
    <col min="74" max="74" width="6" style="59" bestFit="1" customWidth="1"/>
    <col min="75" max="75" width="8" style="59" bestFit="1" customWidth="1"/>
    <col min="76" max="76" width="12.83203125" style="59" bestFit="1" customWidth="1"/>
    <col min="77" max="79" width="8.83203125" style="59" bestFit="1" customWidth="1"/>
    <col min="80" max="80" width="16.6640625" style="59" bestFit="1" customWidth="1"/>
    <col min="81" max="81" width="18.6640625" style="59" bestFit="1" customWidth="1"/>
    <col min="82" max="82" width="6.1640625" style="59" bestFit="1" customWidth="1"/>
    <col min="83" max="83" width="12" style="59" bestFit="1" customWidth="1"/>
    <col min="84" max="84" width="6.1640625" style="59" bestFit="1" customWidth="1"/>
    <col min="85" max="85" width="7.6640625" style="59" bestFit="1" customWidth="1"/>
    <col min="86" max="86" width="12.33203125" style="59" bestFit="1" customWidth="1"/>
    <col min="87" max="87" width="5.1640625" style="59" bestFit="1" customWidth="1"/>
    <col min="88" max="88" width="6" style="59" bestFit="1" customWidth="1"/>
    <col min="89" max="89" width="8" style="59" bestFit="1" customWidth="1"/>
    <col min="90" max="90" width="12.83203125" style="59" bestFit="1" customWidth="1"/>
    <col min="91" max="93" width="8.83203125" style="59" bestFit="1" customWidth="1"/>
    <col min="94" max="94" width="16.6640625" style="59" bestFit="1" customWidth="1"/>
    <col min="95" max="95" width="18.6640625" style="59" bestFit="1" customWidth="1"/>
    <col min="96" max="96" width="6.1640625" style="59" bestFit="1" customWidth="1"/>
    <col min="97" max="97" width="12" style="59" bestFit="1" customWidth="1"/>
    <col min="98" max="98" width="6.1640625" style="59" bestFit="1" customWidth="1"/>
    <col min="99" max="101" width="8.83203125" style="59" bestFit="1" customWidth="1"/>
    <col min="102" max="102" width="16.6640625" style="59" bestFit="1" customWidth="1"/>
    <col min="103" max="103" width="12" style="59" bestFit="1" customWidth="1"/>
    <col min="104" max="104" width="6.1640625" style="59" bestFit="1" customWidth="1"/>
    <col min="105" max="107" width="8.83203125" style="59" bestFit="1" customWidth="1"/>
    <col min="108" max="108" width="16.6640625" style="59" bestFit="1" customWidth="1"/>
    <col min="109" max="109" width="12" style="59" bestFit="1" customWidth="1"/>
    <col min="110" max="110" width="9.83203125" style="59" bestFit="1" customWidth="1"/>
    <col min="111" max="113" width="8.83203125" style="59" bestFit="1" customWidth="1"/>
    <col min="114" max="114" width="16.6640625" style="59" bestFit="1" customWidth="1"/>
    <col min="115" max="115" width="19.33203125" style="59" bestFit="1" customWidth="1"/>
    <col min="116" max="116" width="14.33203125" style="59" bestFit="1" customWidth="1"/>
    <col min="117" max="117" width="12" style="59" bestFit="1" customWidth="1"/>
    <col min="118" max="118" width="9.83203125" style="59" bestFit="1" customWidth="1"/>
    <col min="119" max="121" width="8.83203125" style="59" bestFit="1" customWidth="1"/>
    <col min="122" max="122" width="16.6640625" style="59" bestFit="1" customWidth="1"/>
    <col min="123" max="123" width="19.33203125" style="59" bestFit="1" customWidth="1"/>
    <col min="124" max="124" width="14.33203125" style="59" bestFit="1" customWidth="1"/>
    <col min="125" max="125" width="12" style="59" bestFit="1" customWidth="1"/>
    <col min="126" max="126" width="9.83203125" style="59" bestFit="1" customWidth="1"/>
    <col min="127" max="129" width="8.83203125" style="59" bestFit="1" customWidth="1"/>
    <col min="130" max="130" width="16.6640625" style="59" bestFit="1" customWidth="1"/>
    <col min="131" max="131" width="19.33203125" style="59" bestFit="1" customWidth="1"/>
    <col min="132" max="132" width="14.33203125" style="59" bestFit="1" customWidth="1"/>
    <col min="133" max="133" width="12" style="59" bestFit="1" customWidth="1"/>
    <col min="134" max="134" width="9.83203125" style="59" bestFit="1" customWidth="1"/>
    <col min="135" max="137" width="8.83203125" style="59" bestFit="1" customWidth="1"/>
    <col min="138" max="138" width="16.6640625" style="59" bestFit="1" customWidth="1"/>
    <col min="139" max="139" width="19.33203125" style="59" bestFit="1" customWidth="1"/>
    <col min="140" max="140" width="14.33203125" style="59" bestFit="1" customWidth="1"/>
    <col min="141" max="141" width="12.83203125" style="59" bestFit="1" customWidth="1"/>
    <col min="142" max="142" width="9.83203125" style="59" bestFit="1" customWidth="1"/>
    <col min="143" max="145" width="8.83203125" style="59" bestFit="1" customWidth="1"/>
    <col min="146" max="146" width="16.6640625" style="59" bestFit="1" customWidth="1"/>
    <col min="147" max="147" width="19.33203125" style="59" bestFit="1" customWidth="1"/>
    <col min="148" max="148" width="14.33203125" style="59" bestFit="1" customWidth="1"/>
    <col min="149" max="149" width="12.83203125" style="59" bestFit="1" customWidth="1"/>
    <col min="150" max="150" width="9.83203125" style="59" bestFit="1" customWidth="1"/>
    <col min="151" max="153" width="8.83203125" style="59" bestFit="1" customWidth="1"/>
    <col min="154" max="154" width="16.6640625" style="59" bestFit="1" customWidth="1"/>
    <col min="155" max="155" width="19.33203125" style="59" bestFit="1" customWidth="1"/>
    <col min="156" max="156" width="14.33203125" style="59" bestFit="1" customWidth="1"/>
    <col min="157" max="157" width="12.83203125" style="59" bestFit="1" customWidth="1"/>
    <col min="158" max="158" width="9.83203125" style="59" bestFit="1" customWidth="1"/>
    <col min="159" max="161" width="8.83203125" style="59" bestFit="1" customWidth="1"/>
    <col min="162" max="162" width="16.6640625" style="59" bestFit="1" customWidth="1"/>
    <col min="163" max="163" width="19.33203125" style="59" bestFit="1" customWidth="1"/>
    <col min="164" max="164" width="14.33203125" style="59" bestFit="1" customWidth="1"/>
    <col min="165" max="165" width="14.5" style="59" bestFit="1" customWidth="1"/>
    <col min="166" max="166" width="9.83203125" style="59" bestFit="1" customWidth="1"/>
    <col min="167" max="169" width="8.83203125" style="59" bestFit="1" customWidth="1"/>
    <col min="170" max="170" width="16.6640625" style="59" bestFit="1" customWidth="1"/>
    <col min="171" max="171" width="19.33203125" style="59" bestFit="1" customWidth="1"/>
    <col min="172" max="172" width="14.33203125" style="59" bestFit="1" customWidth="1"/>
    <col min="173" max="173" width="14.5" style="59" bestFit="1" customWidth="1"/>
    <col min="174" max="174" width="9.83203125" style="59" bestFit="1" customWidth="1"/>
    <col min="175" max="177" width="8.83203125" style="59" bestFit="1" customWidth="1"/>
    <col min="178" max="178" width="16.6640625" style="59" bestFit="1" customWidth="1"/>
    <col min="179" max="179" width="19.33203125" style="59" bestFit="1" customWidth="1"/>
    <col min="180" max="180" width="14.33203125" style="59" bestFit="1" customWidth="1"/>
    <col min="181" max="181" width="16" style="59" bestFit="1" customWidth="1"/>
    <col min="182" max="182" width="15.5" style="59" bestFit="1" customWidth="1"/>
    <col min="183" max="183" width="255.83203125" style="59" bestFit="1" customWidth="1"/>
    <col min="184" max="184" width="8.83203125" style="59" bestFit="1" customWidth="1"/>
    <col min="185" max="185" width="15.5" style="59" bestFit="1" customWidth="1"/>
    <col min="186" max="186" width="14" style="59" bestFit="1" customWidth="1"/>
    <col min="187" max="187" width="15.33203125" style="59" bestFit="1" customWidth="1"/>
    <col min="188" max="188" width="7.33203125" style="59" bestFit="1" customWidth="1"/>
    <col min="189" max="16384" width="9.5" style="59"/>
  </cols>
  <sheetData>
    <row r="1" spans="1:188" x14ac:dyDescent="0.15">
      <c r="A1" s="59" t="s">
        <v>569</v>
      </c>
      <c r="B1" s="59" t="s">
        <v>570</v>
      </c>
      <c r="C1" s="59" t="s">
        <v>571</v>
      </c>
      <c r="D1" s="59" t="s">
        <v>572</v>
      </c>
      <c r="E1" s="59" t="s">
        <v>573</v>
      </c>
      <c r="F1" s="59" t="s">
        <v>574</v>
      </c>
      <c r="G1" s="59" t="s">
        <v>575</v>
      </c>
      <c r="H1" s="59" t="s">
        <v>576</v>
      </c>
      <c r="I1" s="59" t="s">
        <v>577</v>
      </c>
      <c r="J1" s="59" t="s">
        <v>578</v>
      </c>
      <c r="K1" s="59" t="s">
        <v>579</v>
      </c>
      <c r="L1" s="59" t="s">
        <v>580</v>
      </c>
      <c r="M1" s="59" t="s">
        <v>581</v>
      </c>
      <c r="N1" s="59" t="s">
        <v>582</v>
      </c>
      <c r="O1" s="59" t="s">
        <v>583</v>
      </c>
      <c r="P1" s="59" t="s">
        <v>584</v>
      </c>
      <c r="Q1" s="59" t="s">
        <v>585</v>
      </c>
      <c r="R1" s="59" t="s">
        <v>586</v>
      </c>
      <c r="S1" s="59" t="s">
        <v>587</v>
      </c>
      <c r="T1" s="59" t="s">
        <v>588</v>
      </c>
      <c r="U1" s="59" t="s">
        <v>589</v>
      </c>
      <c r="V1" s="59" t="s">
        <v>590</v>
      </c>
      <c r="W1" s="59" t="s">
        <v>591</v>
      </c>
      <c r="X1" s="59" t="s">
        <v>592</v>
      </c>
      <c r="Y1" s="59" t="s">
        <v>593</v>
      </c>
      <c r="Z1" s="59" t="s">
        <v>594</v>
      </c>
      <c r="AA1" s="59" t="s">
        <v>581</v>
      </c>
      <c r="AB1" s="59" t="s">
        <v>582</v>
      </c>
      <c r="AC1" s="59" t="s">
        <v>583</v>
      </c>
      <c r="AD1" s="59" t="s">
        <v>584</v>
      </c>
      <c r="AE1" s="59" t="s">
        <v>585</v>
      </c>
      <c r="AF1" s="59" t="s">
        <v>586</v>
      </c>
      <c r="AG1" s="59" t="s">
        <v>587</v>
      </c>
      <c r="AH1" s="59" t="s">
        <v>588</v>
      </c>
      <c r="AI1" s="59" t="s">
        <v>589</v>
      </c>
      <c r="AJ1" s="59" t="s">
        <v>590</v>
      </c>
      <c r="AK1" s="59" t="s">
        <v>591</v>
      </c>
      <c r="AL1" s="59" t="s">
        <v>592</v>
      </c>
      <c r="AM1" s="59" t="s">
        <v>593</v>
      </c>
      <c r="AN1" s="59" t="s">
        <v>594</v>
      </c>
      <c r="AO1" s="59" t="s">
        <v>581</v>
      </c>
      <c r="AP1" s="59" t="s">
        <v>582</v>
      </c>
      <c r="AQ1" s="59" t="s">
        <v>583</v>
      </c>
      <c r="AR1" s="59" t="s">
        <v>584</v>
      </c>
      <c r="AS1" s="59" t="s">
        <v>585</v>
      </c>
      <c r="AT1" s="59" t="s">
        <v>586</v>
      </c>
      <c r="AU1" s="59" t="s">
        <v>587</v>
      </c>
      <c r="AV1" s="59" t="s">
        <v>588</v>
      </c>
      <c r="AW1" s="59" t="s">
        <v>589</v>
      </c>
      <c r="AX1" s="59" t="s">
        <v>590</v>
      </c>
      <c r="AY1" s="59" t="s">
        <v>591</v>
      </c>
      <c r="AZ1" s="59" t="s">
        <v>592</v>
      </c>
      <c r="BA1" s="59" t="s">
        <v>593</v>
      </c>
      <c r="BB1" s="59" t="s">
        <v>594</v>
      </c>
      <c r="BC1" s="59" t="s">
        <v>581</v>
      </c>
      <c r="BD1" s="59" t="s">
        <v>582</v>
      </c>
      <c r="BE1" s="59" t="s">
        <v>583</v>
      </c>
      <c r="BF1" s="59" t="s">
        <v>584</v>
      </c>
      <c r="BG1" s="59" t="s">
        <v>585</v>
      </c>
      <c r="BH1" s="59" t="s">
        <v>586</v>
      </c>
      <c r="BI1" s="59" t="s">
        <v>587</v>
      </c>
      <c r="BJ1" s="59" t="s">
        <v>588</v>
      </c>
      <c r="BK1" s="59" t="s">
        <v>589</v>
      </c>
      <c r="BL1" s="59" t="s">
        <v>590</v>
      </c>
      <c r="BM1" s="59" t="s">
        <v>591</v>
      </c>
      <c r="BN1" s="59" t="s">
        <v>592</v>
      </c>
      <c r="BO1" s="59" t="s">
        <v>593</v>
      </c>
      <c r="BP1" s="59" t="s">
        <v>594</v>
      </c>
      <c r="BQ1" s="59" t="s">
        <v>581</v>
      </c>
      <c r="BR1" s="59" t="s">
        <v>582</v>
      </c>
      <c r="BS1" s="59" t="s">
        <v>583</v>
      </c>
      <c r="BT1" s="59" t="s">
        <v>584</v>
      </c>
      <c r="BU1" s="59" t="s">
        <v>585</v>
      </c>
      <c r="BV1" s="59" t="s">
        <v>586</v>
      </c>
      <c r="BW1" s="59" t="s">
        <v>587</v>
      </c>
      <c r="BX1" s="59" t="s">
        <v>588</v>
      </c>
      <c r="BY1" s="59" t="s">
        <v>589</v>
      </c>
      <c r="BZ1" s="59" t="s">
        <v>590</v>
      </c>
      <c r="CA1" s="59" t="s">
        <v>591</v>
      </c>
      <c r="CB1" s="59" t="s">
        <v>592</v>
      </c>
      <c r="CC1" s="59" t="s">
        <v>593</v>
      </c>
      <c r="CD1" s="59" t="s">
        <v>594</v>
      </c>
      <c r="CE1" s="59" t="s">
        <v>581</v>
      </c>
      <c r="CF1" s="59" t="s">
        <v>582</v>
      </c>
      <c r="CG1" s="59" t="s">
        <v>583</v>
      </c>
      <c r="CH1" s="59" t="s">
        <v>584</v>
      </c>
      <c r="CI1" s="59" t="s">
        <v>585</v>
      </c>
      <c r="CJ1" s="59" t="s">
        <v>586</v>
      </c>
      <c r="CK1" s="59" t="s">
        <v>587</v>
      </c>
      <c r="CL1" s="59" t="s">
        <v>588</v>
      </c>
      <c r="CM1" s="59" t="s">
        <v>589</v>
      </c>
      <c r="CN1" s="59" t="s">
        <v>590</v>
      </c>
      <c r="CO1" s="59" t="s">
        <v>591</v>
      </c>
      <c r="CP1" s="59" t="s">
        <v>592</v>
      </c>
      <c r="CQ1" s="59" t="s">
        <v>593</v>
      </c>
      <c r="CR1" s="59" t="s">
        <v>594</v>
      </c>
      <c r="CS1" s="59" t="s">
        <v>581</v>
      </c>
      <c r="CT1" s="59" t="s">
        <v>582</v>
      </c>
      <c r="CU1" s="59" t="s">
        <v>589</v>
      </c>
      <c r="CV1" s="59" t="s">
        <v>590</v>
      </c>
      <c r="CW1" s="59" t="s">
        <v>591</v>
      </c>
      <c r="CX1" s="59" t="s">
        <v>592</v>
      </c>
      <c r="CY1" s="59" t="s">
        <v>581</v>
      </c>
      <c r="CZ1" s="59" t="s">
        <v>582</v>
      </c>
      <c r="DA1" s="59" t="s">
        <v>589</v>
      </c>
      <c r="DB1" s="59" t="s">
        <v>590</v>
      </c>
      <c r="DC1" s="59" t="s">
        <v>591</v>
      </c>
      <c r="DD1" s="59" t="s">
        <v>592</v>
      </c>
      <c r="DE1" s="59" t="s">
        <v>581</v>
      </c>
      <c r="DF1" s="59" t="s">
        <v>582</v>
      </c>
      <c r="DG1" s="59" t="s">
        <v>589</v>
      </c>
      <c r="DH1" s="59" t="s">
        <v>590</v>
      </c>
      <c r="DI1" s="59" t="s">
        <v>591</v>
      </c>
      <c r="DJ1" s="59" t="s">
        <v>592</v>
      </c>
      <c r="DK1" s="59" t="s">
        <v>595</v>
      </c>
      <c r="DL1" s="59" t="s">
        <v>596</v>
      </c>
      <c r="DM1" s="59" t="s">
        <v>581</v>
      </c>
      <c r="DN1" s="59" t="s">
        <v>582</v>
      </c>
      <c r="DO1" s="59" t="s">
        <v>589</v>
      </c>
      <c r="DP1" s="59" t="s">
        <v>590</v>
      </c>
      <c r="DQ1" s="59" t="s">
        <v>591</v>
      </c>
      <c r="DR1" s="59" t="s">
        <v>592</v>
      </c>
      <c r="DS1" s="59" t="s">
        <v>595</v>
      </c>
      <c r="DT1" s="59" t="s">
        <v>596</v>
      </c>
      <c r="DU1" s="59" t="s">
        <v>581</v>
      </c>
      <c r="DV1" s="59" t="s">
        <v>582</v>
      </c>
      <c r="DW1" s="59" t="s">
        <v>589</v>
      </c>
      <c r="DX1" s="59" t="s">
        <v>590</v>
      </c>
      <c r="DY1" s="59" t="s">
        <v>591</v>
      </c>
      <c r="DZ1" s="59" t="s">
        <v>592</v>
      </c>
      <c r="EA1" s="59" t="s">
        <v>595</v>
      </c>
      <c r="EB1" s="59" t="s">
        <v>596</v>
      </c>
      <c r="EC1" s="59" t="s">
        <v>581</v>
      </c>
      <c r="ED1" s="59" t="s">
        <v>582</v>
      </c>
      <c r="EE1" s="59" t="s">
        <v>589</v>
      </c>
      <c r="EF1" s="59" t="s">
        <v>590</v>
      </c>
      <c r="EG1" s="59" t="s">
        <v>591</v>
      </c>
      <c r="EH1" s="59" t="s">
        <v>592</v>
      </c>
      <c r="EI1" s="59" t="s">
        <v>595</v>
      </c>
      <c r="EJ1" s="59" t="s">
        <v>596</v>
      </c>
      <c r="EK1" s="59" t="s">
        <v>581</v>
      </c>
      <c r="EL1" s="59" t="s">
        <v>582</v>
      </c>
      <c r="EM1" s="59" t="s">
        <v>589</v>
      </c>
      <c r="EN1" s="59" t="s">
        <v>590</v>
      </c>
      <c r="EO1" s="59" t="s">
        <v>591</v>
      </c>
      <c r="EP1" s="59" t="s">
        <v>592</v>
      </c>
      <c r="EQ1" s="59" t="s">
        <v>595</v>
      </c>
      <c r="ER1" s="59" t="s">
        <v>596</v>
      </c>
      <c r="ES1" s="59" t="s">
        <v>581</v>
      </c>
      <c r="ET1" s="59" t="s">
        <v>582</v>
      </c>
      <c r="EU1" s="59" t="s">
        <v>589</v>
      </c>
      <c r="EV1" s="59" t="s">
        <v>590</v>
      </c>
      <c r="EW1" s="59" t="s">
        <v>591</v>
      </c>
      <c r="EX1" s="59" t="s">
        <v>592</v>
      </c>
      <c r="EY1" s="59" t="s">
        <v>595</v>
      </c>
      <c r="EZ1" s="59" t="s">
        <v>596</v>
      </c>
      <c r="FA1" s="59" t="s">
        <v>581</v>
      </c>
      <c r="FB1" s="59" t="s">
        <v>582</v>
      </c>
      <c r="FC1" s="59" t="s">
        <v>589</v>
      </c>
      <c r="FD1" s="59" t="s">
        <v>590</v>
      </c>
      <c r="FE1" s="59" t="s">
        <v>591</v>
      </c>
      <c r="FF1" s="59" t="s">
        <v>592</v>
      </c>
      <c r="FG1" s="59" t="s">
        <v>595</v>
      </c>
      <c r="FH1" s="59" t="s">
        <v>596</v>
      </c>
      <c r="FI1" s="59" t="s">
        <v>581</v>
      </c>
      <c r="FJ1" s="59" t="s">
        <v>582</v>
      </c>
      <c r="FK1" s="59" t="s">
        <v>589</v>
      </c>
      <c r="FL1" s="59" t="s">
        <v>590</v>
      </c>
      <c r="FM1" s="59" t="s">
        <v>591</v>
      </c>
      <c r="FN1" s="59" t="s">
        <v>592</v>
      </c>
      <c r="FO1" s="59" t="s">
        <v>595</v>
      </c>
      <c r="FP1" s="59" t="s">
        <v>596</v>
      </c>
      <c r="FQ1" s="59" t="s">
        <v>581</v>
      </c>
      <c r="FR1" s="59" t="s">
        <v>582</v>
      </c>
      <c r="FS1" s="59" t="s">
        <v>589</v>
      </c>
      <c r="FT1" s="59" t="s">
        <v>590</v>
      </c>
      <c r="FU1" s="59" t="s">
        <v>591</v>
      </c>
      <c r="FV1" s="59" t="s">
        <v>592</v>
      </c>
      <c r="FW1" s="59" t="s">
        <v>595</v>
      </c>
      <c r="FX1" s="59" t="s">
        <v>596</v>
      </c>
      <c r="FY1" s="59" t="s">
        <v>597</v>
      </c>
      <c r="FZ1" s="59" t="s">
        <v>598</v>
      </c>
      <c r="GA1" s="59" t="s">
        <v>599</v>
      </c>
      <c r="GB1" s="59" t="s">
        <v>600</v>
      </c>
      <c r="GC1" s="59" t="s">
        <v>601</v>
      </c>
      <c r="GD1" s="59" t="s">
        <v>602</v>
      </c>
      <c r="GE1" s="59" t="s">
        <v>603</v>
      </c>
      <c r="GF1" s="59" t="s">
        <v>604</v>
      </c>
    </row>
    <row r="2" spans="1:188" s="284" customFormat="1" x14ac:dyDescent="0.15">
      <c r="A2" s="283" t="s">
        <v>654</v>
      </c>
      <c r="B2" s="283">
        <v>4</v>
      </c>
      <c r="C2" s="284" t="s">
        <v>1188</v>
      </c>
      <c r="D2" s="284">
        <v>0</v>
      </c>
      <c r="E2" s="284">
        <v>92303</v>
      </c>
      <c r="J2" s="285"/>
      <c r="L2" s="284" t="s">
        <v>789</v>
      </c>
      <c r="GA2" s="284" t="s">
        <v>790</v>
      </c>
    </row>
    <row r="3" spans="1:188" s="284" customFormat="1" x14ac:dyDescent="0.15">
      <c r="A3" s="283" t="s">
        <v>654</v>
      </c>
      <c r="B3" s="284">
        <v>4</v>
      </c>
      <c r="C3" s="284" t="s">
        <v>888</v>
      </c>
      <c r="D3" s="284">
        <v>0</v>
      </c>
      <c r="E3" s="284">
        <v>92303</v>
      </c>
      <c r="J3" s="285"/>
      <c r="L3" s="284" t="s">
        <v>789</v>
      </c>
    </row>
    <row r="4" spans="1:188" s="447" customFormat="1" x14ac:dyDescent="0.15">
      <c r="A4" s="213" t="s">
        <v>654</v>
      </c>
      <c r="B4" s="213">
        <v>4</v>
      </c>
      <c r="C4" s="213" t="s">
        <v>878</v>
      </c>
      <c r="D4" s="213">
        <v>614338042</v>
      </c>
      <c r="E4" s="213">
        <v>92303</v>
      </c>
      <c r="F4" s="213" t="s">
        <v>795</v>
      </c>
      <c r="G4" s="213">
        <v>839032</v>
      </c>
      <c r="H4" s="213">
        <v>656159</v>
      </c>
      <c r="I4" s="213">
        <v>6.8</v>
      </c>
      <c r="J4" s="213" t="s">
        <v>879</v>
      </c>
      <c r="K4" s="213" t="s">
        <v>1193</v>
      </c>
      <c r="L4" s="213" t="s">
        <v>1196</v>
      </c>
      <c r="M4" s="213" t="s">
        <v>728</v>
      </c>
      <c r="N4" s="213" t="s">
        <v>728</v>
      </c>
      <c r="O4" s="213" t="s">
        <v>729</v>
      </c>
      <c r="P4" s="213" t="s">
        <v>249</v>
      </c>
      <c r="Q4" s="213">
        <v>24.4</v>
      </c>
      <c r="R4" s="213">
        <v>154</v>
      </c>
      <c r="S4" s="213" t="s">
        <v>249</v>
      </c>
      <c r="T4" s="213">
        <v>-9999</v>
      </c>
      <c r="U4" s="213">
        <v>181</v>
      </c>
      <c r="V4" s="213">
        <v>393</v>
      </c>
      <c r="W4" s="213">
        <v>177</v>
      </c>
      <c r="X4" s="213" t="s">
        <v>710</v>
      </c>
      <c r="Y4" s="213">
        <v>0</v>
      </c>
      <c r="Z4" s="213">
        <v>40</v>
      </c>
      <c r="AA4" s="213" t="s">
        <v>730</v>
      </c>
      <c r="AB4" s="213" t="s">
        <v>731</v>
      </c>
      <c r="AC4" s="213" t="s">
        <v>729</v>
      </c>
      <c r="AD4" s="213" t="s">
        <v>249</v>
      </c>
      <c r="AE4" s="213">
        <v>25.9</v>
      </c>
      <c r="AF4" s="213">
        <v>121</v>
      </c>
      <c r="AG4" s="213" t="s">
        <v>249</v>
      </c>
      <c r="AH4" s="213">
        <v>-9999</v>
      </c>
      <c r="AI4" s="213">
        <v>207</v>
      </c>
      <c r="AJ4" s="213">
        <v>494</v>
      </c>
      <c r="AK4" s="213">
        <v>204</v>
      </c>
      <c r="AL4" s="213" t="s">
        <v>710</v>
      </c>
      <c r="AM4" s="213">
        <v>0</v>
      </c>
      <c r="AN4" s="213">
        <v>40</v>
      </c>
      <c r="AO4" s="213" t="s">
        <v>733</v>
      </c>
      <c r="AP4" s="213" t="s">
        <v>734</v>
      </c>
      <c r="AQ4" s="213">
        <v>1</v>
      </c>
      <c r="AR4" s="213" t="s">
        <v>798</v>
      </c>
      <c r="AS4" s="213">
        <v>23.7</v>
      </c>
      <c r="AT4" s="213">
        <v>410</v>
      </c>
      <c r="AU4" s="213" t="s">
        <v>710</v>
      </c>
      <c r="AV4" s="213">
        <v>-9999</v>
      </c>
      <c r="AW4" s="213">
        <v>262</v>
      </c>
      <c r="AX4" s="213">
        <v>648</v>
      </c>
      <c r="AY4" s="213">
        <v>258</v>
      </c>
      <c r="AZ4" s="213" t="s">
        <v>710</v>
      </c>
      <c r="BA4" s="213">
        <v>0</v>
      </c>
      <c r="BB4" s="213">
        <v>40</v>
      </c>
      <c r="BC4" s="213" t="s">
        <v>736</v>
      </c>
      <c r="BD4" s="213" t="s">
        <v>734</v>
      </c>
      <c r="BE4" s="213">
        <v>2</v>
      </c>
      <c r="BF4" s="213" t="s">
        <v>798</v>
      </c>
      <c r="BG4" s="213">
        <v>24.8</v>
      </c>
      <c r="BH4" s="213">
        <v>177</v>
      </c>
      <c r="BI4" s="213" t="s">
        <v>710</v>
      </c>
      <c r="BJ4" s="213">
        <v>-9999</v>
      </c>
      <c r="BK4" s="213">
        <v>114</v>
      </c>
      <c r="BL4" s="213">
        <v>344</v>
      </c>
      <c r="BM4" s="213">
        <v>111</v>
      </c>
      <c r="BN4" s="213" t="s">
        <v>710</v>
      </c>
      <c r="BO4" s="213">
        <v>0</v>
      </c>
      <c r="BP4" s="213">
        <v>40</v>
      </c>
      <c r="BQ4" s="213" t="s">
        <v>737</v>
      </c>
      <c r="BR4" s="213" t="s">
        <v>734</v>
      </c>
      <c r="BS4" s="213">
        <v>3</v>
      </c>
      <c r="BT4" s="213" t="s">
        <v>799</v>
      </c>
      <c r="BU4" s="213">
        <v>0</v>
      </c>
      <c r="BV4" s="213">
        <v>31</v>
      </c>
      <c r="BW4" s="213" t="s">
        <v>249</v>
      </c>
      <c r="BX4" s="213">
        <v>-9999</v>
      </c>
      <c r="BY4" s="213">
        <v>163</v>
      </c>
      <c r="BZ4" s="213">
        <v>391</v>
      </c>
      <c r="CA4" s="213">
        <v>163</v>
      </c>
      <c r="CB4" s="213" t="s">
        <v>710</v>
      </c>
      <c r="CC4" s="213">
        <v>0</v>
      </c>
      <c r="CD4" s="213">
        <v>40</v>
      </c>
      <c r="CE4" s="213" t="s">
        <v>738</v>
      </c>
      <c r="CF4" s="213" t="s">
        <v>734</v>
      </c>
      <c r="CG4" s="213">
        <v>4</v>
      </c>
      <c r="CH4" s="213" t="s">
        <v>798</v>
      </c>
      <c r="CI4" s="213">
        <v>22.4</v>
      </c>
      <c r="CJ4" s="213">
        <v>411</v>
      </c>
      <c r="CK4" s="213" t="s">
        <v>710</v>
      </c>
      <c r="CL4" s="213">
        <v>-9999</v>
      </c>
      <c r="CM4" s="213">
        <v>131</v>
      </c>
      <c r="CN4" s="213">
        <v>341</v>
      </c>
      <c r="CO4" s="213">
        <v>128</v>
      </c>
      <c r="CP4" s="213" t="s">
        <v>710</v>
      </c>
      <c r="CQ4" s="213">
        <v>0</v>
      </c>
      <c r="CR4" s="213">
        <v>40</v>
      </c>
      <c r="CS4" s="213" t="s">
        <v>739</v>
      </c>
      <c r="CT4" s="213" t="s">
        <v>740</v>
      </c>
      <c r="CU4" s="213">
        <v>106</v>
      </c>
      <c r="CV4" s="213">
        <v>105</v>
      </c>
      <c r="CW4" s="213">
        <v>105</v>
      </c>
      <c r="CX4" s="213" t="s">
        <v>710</v>
      </c>
      <c r="CY4" s="213" t="s">
        <v>741</v>
      </c>
      <c r="CZ4" s="213" t="s">
        <v>740</v>
      </c>
      <c r="DA4" s="213">
        <v>108</v>
      </c>
      <c r="DB4" s="213">
        <v>108</v>
      </c>
      <c r="DC4" s="213">
        <v>108</v>
      </c>
      <c r="DD4" s="213" t="s">
        <v>710</v>
      </c>
      <c r="DE4" s="213" t="s">
        <v>742</v>
      </c>
      <c r="DF4" s="213" t="s">
        <v>743</v>
      </c>
      <c r="DG4" s="213">
        <v>0</v>
      </c>
      <c r="DH4" s="213">
        <v>0</v>
      </c>
      <c r="DI4" s="213">
        <v>0</v>
      </c>
      <c r="DJ4" s="213" t="s">
        <v>249</v>
      </c>
      <c r="DK4" s="213">
        <v>69.400000000000006</v>
      </c>
      <c r="DL4" s="213">
        <v>55.4</v>
      </c>
      <c r="DM4" s="213" t="s">
        <v>744</v>
      </c>
      <c r="DN4" s="213" t="s">
        <v>743</v>
      </c>
      <c r="DO4" s="213">
        <v>0</v>
      </c>
      <c r="DP4" s="213">
        <v>0</v>
      </c>
      <c r="DQ4" s="213">
        <v>0</v>
      </c>
      <c r="DR4" s="213" t="s">
        <v>249</v>
      </c>
      <c r="DS4" s="213"/>
      <c r="DT4" s="213"/>
      <c r="DU4" s="213" t="s">
        <v>745</v>
      </c>
      <c r="DV4" s="213" t="s">
        <v>743</v>
      </c>
      <c r="DW4" s="213">
        <v>0</v>
      </c>
      <c r="DX4" s="213">
        <v>0</v>
      </c>
      <c r="DY4" s="213">
        <v>0</v>
      </c>
      <c r="DZ4" s="213" t="s">
        <v>249</v>
      </c>
      <c r="EA4" s="213"/>
      <c r="EB4" s="213"/>
      <c r="EC4" s="213" t="s">
        <v>746</v>
      </c>
      <c r="ED4" s="213" t="s">
        <v>743</v>
      </c>
      <c r="EE4" s="213">
        <v>0</v>
      </c>
      <c r="EF4" s="213">
        <v>0</v>
      </c>
      <c r="EG4" s="213">
        <v>0</v>
      </c>
      <c r="EH4" s="213" t="s">
        <v>249</v>
      </c>
      <c r="EI4" s="213"/>
      <c r="EJ4" s="213"/>
      <c r="EK4" s="213" t="s">
        <v>747</v>
      </c>
      <c r="EL4" s="213" t="s">
        <v>743</v>
      </c>
      <c r="EM4" s="213">
        <v>0</v>
      </c>
      <c r="EN4" s="213">
        <v>0</v>
      </c>
      <c r="EO4" s="213">
        <v>0</v>
      </c>
      <c r="EP4" s="213" t="s">
        <v>249</v>
      </c>
      <c r="ES4" s="447" t="s">
        <v>748</v>
      </c>
      <c r="ET4" s="447" t="s">
        <v>743</v>
      </c>
      <c r="EU4" s="447">
        <v>0</v>
      </c>
      <c r="EV4" s="447">
        <v>0</v>
      </c>
      <c r="EW4" s="447">
        <v>0</v>
      </c>
      <c r="EX4" s="447" t="s">
        <v>249</v>
      </c>
      <c r="EY4" s="447">
        <v>70</v>
      </c>
      <c r="EZ4" s="447">
        <v>48.9</v>
      </c>
      <c r="FA4" s="447" t="s">
        <v>749</v>
      </c>
      <c r="FB4" s="447" t="s">
        <v>743</v>
      </c>
      <c r="FC4" s="447">
        <v>0</v>
      </c>
      <c r="FD4" s="447">
        <v>0</v>
      </c>
      <c r="FE4" s="447">
        <v>0</v>
      </c>
      <c r="FF4" s="447" t="s">
        <v>249</v>
      </c>
      <c r="FI4" s="447" t="s">
        <v>750</v>
      </c>
      <c r="FJ4" s="447" t="s">
        <v>743</v>
      </c>
      <c r="FK4" s="447">
        <v>0</v>
      </c>
      <c r="FL4" s="447">
        <v>0</v>
      </c>
      <c r="FM4" s="447">
        <v>0</v>
      </c>
      <c r="FN4" s="447" t="s">
        <v>249</v>
      </c>
      <c r="FO4" s="447">
        <v>73.5</v>
      </c>
      <c r="FP4" s="447">
        <v>152</v>
      </c>
      <c r="FQ4" s="447" t="s">
        <v>751</v>
      </c>
      <c r="FR4" s="447" t="s">
        <v>743</v>
      </c>
      <c r="FS4" s="447">
        <v>0</v>
      </c>
      <c r="FT4" s="447">
        <v>0</v>
      </c>
      <c r="FU4" s="447">
        <v>0</v>
      </c>
      <c r="FV4" s="447" t="s">
        <v>249</v>
      </c>
      <c r="FY4" s="447">
        <v>19.2</v>
      </c>
      <c r="FZ4" s="447">
        <v>-10</v>
      </c>
      <c r="GA4" s="447" t="s">
        <v>1211</v>
      </c>
      <c r="GF4" s="447" t="s">
        <v>752</v>
      </c>
    </row>
    <row r="5" spans="1:188" s="447" customFormat="1" x14ac:dyDescent="0.15">
      <c r="A5" s="213" t="s">
        <v>654</v>
      </c>
      <c r="B5" s="213">
        <v>4</v>
      </c>
      <c r="C5" s="213" t="s">
        <v>880</v>
      </c>
      <c r="D5" s="213">
        <v>614338040</v>
      </c>
      <c r="E5" s="213">
        <v>92303</v>
      </c>
      <c r="F5" s="213" t="s">
        <v>795</v>
      </c>
      <c r="G5" s="213">
        <v>839032</v>
      </c>
      <c r="H5" s="213">
        <v>210059038</v>
      </c>
      <c r="I5" s="213">
        <v>6.8</v>
      </c>
      <c r="J5" s="213" t="s">
        <v>881</v>
      </c>
      <c r="K5" s="213" t="s">
        <v>727</v>
      </c>
      <c r="L5" s="213" t="s">
        <v>1196</v>
      </c>
      <c r="M5" s="213" t="s">
        <v>728</v>
      </c>
      <c r="N5" s="213" t="s">
        <v>728</v>
      </c>
      <c r="O5" s="213" t="s">
        <v>729</v>
      </c>
      <c r="P5" s="213" t="s">
        <v>249</v>
      </c>
      <c r="Q5" s="213">
        <v>24</v>
      </c>
      <c r="R5" s="213">
        <v>155</v>
      </c>
      <c r="S5" s="213" t="s">
        <v>249</v>
      </c>
      <c r="T5" s="213">
        <v>-9999</v>
      </c>
      <c r="U5" s="213">
        <v>146</v>
      </c>
      <c r="V5" s="213">
        <v>344</v>
      </c>
      <c r="W5" s="213">
        <v>142</v>
      </c>
      <c r="X5" s="213" t="s">
        <v>710</v>
      </c>
      <c r="Y5" s="213">
        <v>0</v>
      </c>
      <c r="Z5" s="213">
        <v>40</v>
      </c>
      <c r="AA5" s="213" t="s">
        <v>730</v>
      </c>
      <c r="AB5" s="213" t="s">
        <v>731</v>
      </c>
      <c r="AC5" s="213" t="s">
        <v>729</v>
      </c>
      <c r="AD5" s="213" t="s">
        <v>249</v>
      </c>
      <c r="AE5" s="213">
        <v>27.5</v>
      </c>
      <c r="AF5" s="213">
        <v>125</v>
      </c>
      <c r="AG5" s="213" t="s">
        <v>249</v>
      </c>
      <c r="AH5" s="213">
        <v>-9999</v>
      </c>
      <c r="AI5" s="213">
        <v>202</v>
      </c>
      <c r="AJ5" s="213">
        <v>478</v>
      </c>
      <c r="AK5" s="213">
        <v>199</v>
      </c>
      <c r="AL5" s="213" t="s">
        <v>710</v>
      </c>
      <c r="AM5" s="213">
        <v>0</v>
      </c>
      <c r="AN5" s="213">
        <v>40</v>
      </c>
      <c r="AO5" s="213" t="s">
        <v>733</v>
      </c>
      <c r="AP5" s="213" t="s">
        <v>734</v>
      </c>
      <c r="AQ5" s="213">
        <v>1</v>
      </c>
      <c r="AR5" s="213" t="s">
        <v>798</v>
      </c>
      <c r="AS5" s="213">
        <v>25.4</v>
      </c>
      <c r="AT5" s="213">
        <v>393</v>
      </c>
      <c r="AU5" s="213" t="s">
        <v>710</v>
      </c>
      <c r="AV5" s="213">
        <v>-9999</v>
      </c>
      <c r="AW5" s="213">
        <v>253</v>
      </c>
      <c r="AX5" s="213">
        <v>634</v>
      </c>
      <c r="AY5" s="213">
        <v>250</v>
      </c>
      <c r="AZ5" s="213" t="s">
        <v>710</v>
      </c>
      <c r="BA5" s="213">
        <v>0</v>
      </c>
      <c r="BB5" s="213">
        <v>40</v>
      </c>
      <c r="BC5" s="213" t="s">
        <v>736</v>
      </c>
      <c r="BD5" s="213" t="s">
        <v>734</v>
      </c>
      <c r="BE5" s="213">
        <v>2</v>
      </c>
      <c r="BF5" s="213" t="s">
        <v>798</v>
      </c>
      <c r="BG5" s="213">
        <v>26</v>
      </c>
      <c r="BH5" s="213">
        <v>182</v>
      </c>
      <c r="BI5" s="213" t="s">
        <v>710</v>
      </c>
      <c r="BJ5" s="213">
        <v>-9999</v>
      </c>
      <c r="BK5" s="213">
        <v>101</v>
      </c>
      <c r="BL5" s="213">
        <v>309</v>
      </c>
      <c r="BM5" s="213">
        <v>99</v>
      </c>
      <c r="BN5" s="213" t="s">
        <v>710</v>
      </c>
      <c r="BO5" s="213">
        <v>0</v>
      </c>
      <c r="BP5" s="213">
        <v>40</v>
      </c>
      <c r="BQ5" s="213" t="s">
        <v>737</v>
      </c>
      <c r="BR5" s="213" t="s">
        <v>734</v>
      </c>
      <c r="BS5" s="213">
        <v>3</v>
      </c>
      <c r="BT5" s="213" t="s">
        <v>799</v>
      </c>
      <c r="BU5" s="213">
        <v>0</v>
      </c>
      <c r="BV5" s="213">
        <v>32</v>
      </c>
      <c r="BW5" s="213" t="s">
        <v>249</v>
      </c>
      <c r="BX5" s="213">
        <v>-9999</v>
      </c>
      <c r="BY5" s="213">
        <v>182</v>
      </c>
      <c r="BZ5" s="213">
        <v>437</v>
      </c>
      <c r="CA5" s="213">
        <v>181</v>
      </c>
      <c r="CB5" s="213" t="s">
        <v>710</v>
      </c>
      <c r="CC5" s="213">
        <v>0</v>
      </c>
      <c r="CD5" s="213">
        <v>40</v>
      </c>
      <c r="CE5" s="213" t="s">
        <v>738</v>
      </c>
      <c r="CF5" s="213" t="s">
        <v>734</v>
      </c>
      <c r="CG5" s="213">
        <v>4</v>
      </c>
      <c r="CH5" s="213" t="s">
        <v>798</v>
      </c>
      <c r="CI5" s="213">
        <v>24.1</v>
      </c>
      <c r="CJ5" s="213">
        <v>392</v>
      </c>
      <c r="CK5" s="213" t="s">
        <v>710</v>
      </c>
      <c r="CL5" s="213">
        <v>-9999</v>
      </c>
      <c r="CM5" s="213">
        <v>131</v>
      </c>
      <c r="CN5" s="213">
        <v>347</v>
      </c>
      <c r="CO5" s="213">
        <v>129</v>
      </c>
      <c r="CP5" s="213" t="s">
        <v>710</v>
      </c>
      <c r="CQ5" s="213">
        <v>0</v>
      </c>
      <c r="CR5" s="213">
        <v>40</v>
      </c>
      <c r="CS5" s="213" t="s">
        <v>739</v>
      </c>
      <c r="CT5" s="213" t="s">
        <v>740</v>
      </c>
      <c r="CU5" s="213">
        <v>115</v>
      </c>
      <c r="CV5" s="213">
        <v>114</v>
      </c>
      <c r="CW5" s="213">
        <v>114</v>
      </c>
      <c r="CX5" s="213" t="s">
        <v>710</v>
      </c>
      <c r="CY5" s="213" t="s">
        <v>741</v>
      </c>
      <c r="CZ5" s="213" t="s">
        <v>740</v>
      </c>
      <c r="DA5" s="213">
        <v>122</v>
      </c>
      <c r="DB5" s="213">
        <v>122</v>
      </c>
      <c r="DC5" s="213">
        <v>122</v>
      </c>
      <c r="DD5" s="213" t="s">
        <v>710</v>
      </c>
      <c r="DE5" s="213" t="s">
        <v>742</v>
      </c>
      <c r="DF5" s="213" t="s">
        <v>743</v>
      </c>
      <c r="DG5" s="213">
        <v>0</v>
      </c>
      <c r="DH5" s="213">
        <v>0</v>
      </c>
      <c r="DI5" s="213">
        <v>0</v>
      </c>
      <c r="DJ5" s="213" t="s">
        <v>249</v>
      </c>
      <c r="DK5" s="213">
        <v>69.400000000000006</v>
      </c>
      <c r="DL5" s="213">
        <v>41.2</v>
      </c>
      <c r="DM5" s="213" t="s">
        <v>744</v>
      </c>
      <c r="DN5" s="213" t="s">
        <v>743</v>
      </c>
      <c r="DO5" s="213">
        <v>0</v>
      </c>
      <c r="DP5" s="213">
        <v>0</v>
      </c>
      <c r="DQ5" s="213">
        <v>0</v>
      </c>
      <c r="DR5" s="213" t="s">
        <v>249</v>
      </c>
      <c r="DS5" s="213"/>
      <c r="DT5" s="213"/>
      <c r="DU5" s="213" t="s">
        <v>745</v>
      </c>
      <c r="DV5" s="213" t="s">
        <v>743</v>
      </c>
      <c r="DW5" s="213">
        <v>0</v>
      </c>
      <c r="DX5" s="213">
        <v>0</v>
      </c>
      <c r="DY5" s="213">
        <v>0</v>
      </c>
      <c r="DZ5" s="213" t="s">
        <v>249</v>
      </c>
      <c r="EA5" s="213"/>
      <c r="EB5" s="213"/>
      <c r="EC5" s="213" t="s">
        <v>746</v>
      </c>
      <c r="ED5" s="213" t="s">
        <v>743</v>
      </c>
      <c r="EE5" s="213">
        <v>0</v>
      </c>
      <c r="EF5" s="213">
        <v>0</v>
      </c>
      <c r="EG5" s="213">
        <v>0</v>
      </c>
      <c r="EH5" s="213" t="s">
        <v>249</v>
      </c>
      <c r="EI5" s="213"/>
      <c r="EJ5" s="213"/>
      <c r="EK5" s="213" t="s">
        <v>747</v>
      </c>
      <c r="EL5" s="213" t="s">
        <v>743</v>
      </c>
      <c r="EM5" s="213">
        <v>0</v>
      </c>
      <c r="EN5" s="213">
        <v>0</v>
      </c>
      <c r="EO5" s="213">
        <v>0</v>
      </c>
      <c r="EP5" s="213" t="s">
        <v>249</v>
      </c>
      <c r="ES5" s="447" t="s">
        <v>748</v>
      </c>
      <c r="ET5" s="447" t="s">
        <v>743</v>
      </c>
      <c r="EU5" s="447">
        <v>0</v>
      </c>
      <c r="EV5" s="447">
        <v>0</v>
      </c>
      <c r="EW5" s="447">
        <v>0</v>
      </c>
      <c r="EX5" s="447" t="s">
        <v>249</v>
      </c>
      <c r="EY5" s="447">
        <v>70.099999999999994</v>
      </c>
      <c r="EZ5" s="447">
        <v>36.4</v>
      </c>
      <c r="FA5" s="447" t="s">
        <v>749</v>
      </c>
      <c r="FB5" s="447" t="s">
        <v>743</v>
      </c>
      <c r="FC5" s="447">
        <v>0</v>
      </c>
      <c r="FD5" s="447">
        <v>0</v>
      </c>
      <c r="FE5" s="447">
        <v>0</v>
      </c>
      <c r="FF5" s="447" t="s">
        <v>249</v>
      </c>
      <c r="FI5" s="447" t="s">
        <v>750</v>
      </c>
      <c r="FJ5" s="447" t="s">
        <v>743</v>
      </c>
      <c r="FK5" s="447">
        <v>0</v>
      </c>
      <c r="FL5" s="447">
        <v>0</v>
      </c>
      <c r="FM5" s="447">
        <v>0</v>
      </c>
      <c r="FN5" s="447" t="s">
        <v>249</v>
      </c>
      <c r="FO5" s="447">
        <v>73.599999999999994</v>
      </c>
      <c r="FP5" s="447">
        <v>139.69999999999999</v>
      </c>
      <c r="FQ5" s="447" t="s">
        <v>751</v>
      </c>
      <c r="FR5" s="447" t="s">
        <v>743</v>
      </c>
      <c r="FS5" s="447">
        <v>0</v>
      </c>
      <c r="FT5" s="447">
        <v>0</v>
      </c>
      <c r="FU5" s="447">
        <v>0</v>
      </c>
      <c r="FV5" s="447" t="s">
        <v>249</v>
      </c>
      <c r="FY5" s="447">
        <v>24.6</v>
      </c>
      <c r="FZ5" s="447">
        <v>-10</v>
      </c>
      <c r="GA5" s="447" t="s">
        <v>1212</v>
      </c>
      <c r="GF5" s="447" t="s">
        <v>752</v>
      </c>
    </row>
    <row r="6" spans="1:188" s="447" customFormat="1" x14ac:dyDescent="0.15">
      <c r="A6" s="213" t="s">
        <v>654</v>
      </c>
      <c r="B6" s="213">
        <v>4</v>
      </c>
      <c r="C6" s="213" t="s">
        <v>882</v>
      </c>
      <c r="D6" s="213">
        <v>614338465</v>
      </c>
      <c r="E6" s="213">
        <v>92303</v>
      </c>
      <c r="F6" s="213" t="s">
        <v>795</v>
      </c>
      <c r="G6" s="213">
        <v>839032</v>
      </c>
      <c r="H6" s="213">
        <v>210012379</v>
      </c>
      <c r="I6" s="213">
        <v>6.8</v>
      </c>
      <c r="J6" s="213" t="s">
        <v>883</v>
      </c>
      <c r="K6" s="213" t="s">
        <v>727</v>
      </c>
      <c r="L6" s="213" t="s">
        <v>1196</v>
      </c>
      <c r="M6" s="213" t="s">
        <v>728</v>
      </c>
      <c r="N6" s="213" t="s">
        <v>728</v>
      </c>
      <c r="O6" s="213" t="s">
        <v>729</v>
      </c>
      <c r="P6" s="213" t="s">
        <v>249</v>
      </c>
      <c r="Q6" s="213">
        <v>23.4</v>
      </c>
      <c r="R6" s="213">
        <v>160</v>
      </c>
      <c r="S6" s="213" t="s">
        <v>249</v>
      </c>
      <c r="T6" s="213">
        <v>-9999</v>
      </c>
      <c r="U6" s="213">
        <v>192</v>
      </c>
      <c r="V6" s="213">
        <v>422</v>
      </c>
      <c r="W6" s="213">
        <v>186</v>
      </c>
      <c r="X6" s="213" t="s">
        <v>710</v>
      </c>
      <c r="Y6" s="213">
        <v>0</v>
      </c>
      <c r="Z6" s="213">
        <v>40</v>
      </c>
      <c r="AA6" s="213" t="s">
        <v>730</v>
      </c>
      <c r="AB6" s="213" t="s">
        <v>731</v>
      </c>
      <c r="AC6" s="213" t="s">
        <v>729</v>
      </c>
      <c r="AD6" s="213" t="s">
        <v>249</v>
      </c>
      <c r="AE6" s="213">
        <v>26</v>
      </c>
      <c r="AF6" s="213">
        <v>130</v>
      </c>
      <c r="AG6" s="213" t="s">
        <v>249</v>
      </c>
      <c r="AH6" s="213">
        <v>-9999</v>
      </c>
      <c r="AI6" s="213">
        <v>207</v>
      </c>
      <c r="AJ6" s="213">
        <v>491</v>
      </c>
      <c r="AK6" s="213">
        <v>203</v>
      </c>
      <c r="AL6" s="213" t="s">
        <v>710</v>
      </c>
      <c r="AM6" s="213">
        <v>0</v>
      </c>
      <c r="AN6" s="213">
        <v>40</v>
      </c>
      <c r="AO6" s="213" t="s">
        <v>733</v>
      </c>
      <c r="AP6" s="213" t="s">
        <v>734</v>
      </c>
      <c r="AQ6" s="213">
        <v>1</v>
      </c>
      <c r="AR6" s="213" t="s">
        <v>798</v>
      </c>
      <c r="AS6" s="213">
        <v>23.4</v>
      </c>
      <c r="AT6" s="213">
        <v>435</v>
      </c>
      <c r="AU6" s="213" t="s">
        <v>710</v>
      </c>
      <c r="AV6" s="213">
        <v>-9999</v>
      </c>
      <c r="AW6" s="213">
        <v>241</v>
      </c>
      <c r="AX6" s="213">
        <v>597</v>
      </c>
      <c r="AY6" s="213">
        <v>237</v>
      </c>
      <c r="AZ6" s="213" t="s">
        <v>710</v>
      </c>
      <c r="BA6" s="213">
        <v>0</v>
      </c>
      <c r="BB6" s="213">
        <v>40</v>
      </c>
      <c r="BC6" s="213" t="s">
        <v>736</v>
      </c>
      <c r="BD6" s="213" t="s">
        <v>734</v>
      </c>
      <c r="BE6" s="213">
        <v>2</v>
      </c>
      <c r="BF6" s="213" t="s">
        <v>798</v>
      </c>
      <c r="BG6" s="213">
        <v>24.4</v>
      </c>
      <c r="BH6" s="213">
        <v>188</v>
      </c>
      <c r="BI6" s="213" t="s">
        <v>710</v>
      </c>
      <c r="BJ6" s="213">
        <v>-9999</v>
      </c>
      <c r="BK6" s="213">
        <v>111</v>
      </c>
      <c r="BL6" s="213">
        <v>332</v>
      </c>
      <c r="BM6" s="213">
        <v>109</v>
      </c>
      <c r="BN6" s="213" t="s">
        <v>710</v>
      </c>
      <c r="BO6" s="213">
        <v>0</v>
      </c>
      <c r="BP6" s="213">
        <v>40</v>
      </c>
      <c r="BQ6" s="213" t="s">
        <v>737</v>
      </c>
      <c r="BR6" s="213" t="s">
        <v>734</v>
      </c>
      <c r="BS6" s="213">
        <v>3</v>
      </c>
      <c r="BT6" s="213" t="s">
        <v>799</v>
      </c>
      <c r="BU6" s="213">
        <v>0</v>
      </c>
      <c r="BV6" s="213">
        <v>37</v>
      </c>
      <c r="BW6" s="213" t="s">
        <v>249</v>
      </c>
      <c r="BX6" s="213">
        <v>-9999</v>
      </c>
      <c r="BY6" s="213">
        <v>186</v>
      </c>
      <c r="BZ6" s="213">
        <v>447</v>
      </c>
      <c r="CA6" s="213">
        <v>184</v>
      </c>
      <c r="CB6" s="213" t="s">
        <v>710</v>
      </c>
      <c r="CC6" s="213">
        <v>0</v>
      </c>
      <c r="CD6" s="213">
        <v>40</v>
      </c>
      <c r="CE6" s="213" t="s">
        <v>738</v>
      </c>
      <c r="CF6" s="213" t="s">
        <v>734</v>
      </c>
      <c r="CG6" s="213">
        <v>4</v>
      </c>
      <c r="CH6" s="213" t="s">
        <v>798</v>
      </c>
      <c r="CI6" s="213">
        <v>22.2</v>
      </c>
      <c r="CJ6" s="213">
        <v>430</v>
      </c>
      <c r="CK6" s="213" t="s">
        <v>710</v>
      </c>
      <c r="CL6" s="213">
        <v>-9999</v>
      </c>
      <c r="CM6" s="213">
        <v>133</v>
      </c>
      <c r="CN6" s="213">
        <v>343</v>
      </c>
      <c r="CO6" s="213">
        <v>129</v>
      </c>
      <c r="CP6" s="213" t="s">
        <v>710</v>
      </c>
      <c r="CQ6" s="213">
        <v>0</v>
      </c>
      <c r="CR6" s="213">
        <v>40</v>
      </c>
      <c r="CS6" s="213" t="s">
        <v>739</v>
      </c>
      <c r="CT6" s="213" t="s">
        <v>740</v>
      </c>
      <c r="CU6" s="213">
        <v>114</v>
      </c>
      <c r="CV6" s="213">
        <v>113</v>
      </c>
      <c r="CW6" s="213">
        <v>113</v>
      </c>
      <c r="CX6" s="213" t="s">
        <v>710</v>
      </c>
      <c r="CY6" s="213" t="s">
        <v>741</v>
      </c>
      <c r="CZ6" s="213" t="s">
        <v>740</v>
      </c>
      <c r="DA6" s="213">
        <v>129</v>
      </c>
      <c r="DB6" s="213">
        <v>129</v>
      </c>
      <c r="DC6" s="213">
        <v>129</v>
      </c>
      <c r="DD6" s="213" t="s">
        <v>710</v>
      </c>
      <c r="DE6" s="213" t="s">
        <v>742</v>
      </c>
      <c r="DF6" s="213" t="s">
        <v>743</v>
      </c>
      <c r="DG6" s="213">
        <v>0</v>
      </c>
      <c r="DH6" s="213">
        <v>0</v>
      </c>
      <c r="DI6" s="213">
        <v>0</v>
      </c>
      <c r="DJ6" s="213" t="s">
        <v>249</v>
      </c>
      <c r="DK6" s="213">
        <v>69.400000000000006</v>
      </c>
      <c r="DL6" s="213">
        <v>44.7</v>
      </c>
      <c r="DM6" s="213" t="s">
        <v>744</v>
      </c>
      <c r="DN6" s="213" t="s">
        <v>743</v>
      </c>
      <c r="DO6" s="213">
        <v>0</v>
      </c>
      <c r="DP6" s="213">
        <v>0</v>
      </c>
      <c r="DQ6" s="213">
        <v>0</v>
      </c>
      <c r="DR6" s="213" t="s">
        <v>249</v>
      </c>
      <c r="DS6" s="213"/>
      <c r="DT6" s="213"/>
      <c r="DU6" s="213" t="s">
        <v>745</v>
      </c>
      <c r="DV6" s="213" t="s">
        <v>743</v>
      </c>
      <c r="DW6" s="213">
        <v>0</v>
      </c>
      <c r="DX6" s="213">
        <v>0</v>
      </c>
      <c r="DY6" s="213">
        <v>0</v>
      </c>
      <c r="DZ6" s="213" t="s">
        <v>249</v>
      </c>
      <c r="EA6" s="213"/>
      <c r="EB6" s="213"/>
      <c r="EC6" s="213" t="s">
        <v>746</v>
      </c>
      <c r="ED6" s="213" t="s">
        <v>743</v>
      </c>
      <c r="EE6" s="213">
        <v>0</v>
      </c>
      <c r="EF6" s="213">
        <v>0</v>
      </c>
      <c r="EG6" s="213">
        <v>0</v>
      </c>
      <c r="EH6" s="213" t="s">
        <v>249</v>
      </c>
      <c r="EI6" s="213"/>
      <c r="EJ6" s="213"/>
      <c r="EK6" s="213" t="s">
        <v>747</v>
      </c>
      <c r="EL6" s="213" t="s">
        <v>743</v>
      </c>
      <c r="EM6" s="213">
        <v>0</v>
      </c>
      <c r="EN6" s="213">
        <v>0</v>
      </c>
      <c r="EO6" s="213">
        <v>0</v>
      </c>
      <c r="EP6" s="213" t="s">
        <v>249</v>
      </c>
      <c r="ES6" s="447" t="s">
        <v>748</v>
      </c>
      <c r="ET6" s="447" t="s">
        <v>743</v>
      </c>
      <c r="EU6" s="447">
        <v>0</v>
      </c>
      <c r="EV6" s="447">
        <v>0</v>
      </c>
      <c r="EW6" s="447">
        <v>0</v>
      </c>
      <c r="EX6" s="447" t="s">
        <v>249</v>
      </c>
      <c r="EY6" s="447">
        <v>70.099999999999994</v>
      </c>
      <c r="EZ6" s="447">
        <v>39.1</v>
      </c>
      <c r="FA6" s="447" t="s">
        <v>749</v>
      </c>
      <c r="FB6" s="447" t="s">
        <v>743</v>
      </c>
      <c r="FC6" s="447">
        <v>0</v>
      </c>
      <c r="FD6" s="447">
        <v>0</v>
      </c>
      <c r="FE6" s="447">
        <v>0</v>
      </c>
      <c r="FF6" s="447" t="s">
        <v>249</v>
      </c>
      <c r="FI6" s="447" t="s">
        <v>750</v>
      </c>
      <c r="FJ6" s="447" t="s">
        <v>743</v>
      </c>
      <c r="FK6" s="447">
        <v>0</v>
      </c>
      <c r="FL6" s="447">
        <v>0</v>
      </c>
      <c r="FM6" s="447">
        <v>0</v>
      </c>
      <c r="FN6" s="447" t="s">
        <v>249</v>
      </c>
      <c r="FO6" s="447">
        <v>73.599999999999994</v>
      </c>
      <c r="FP6" s="447">
        <v>138.30000000000001</v>
      </c>
      <c r="FQ6" s="447" t="s">
        <v>751</v>
      </c>
      <c r="FR6" s="447" t="s">
        <v>743</v>
      </c>
      <c r="FS6" s="447">
        <v>0</v>
      </c>
      <c r="FT6" s="447">
        <v>0</v>
      </c>
      <c r="FU6" s="447">
        <v>0</v>
      </c>
      <c r="FV6" s="447" t="s">
        <v>249</v>
      </c>
      <c r="FY6" s="447">
        <v>17.3</v>
      </c>
      <c r="FZ6" s="447">
        <v>-6.9</v>
      </c>
      <c r="GA6" s="447" t="s">
        <v>1213</v>
      </c>
      <c r="GF6" s="447" t="s">
        <v>752</v>
      </c>
    </row>
    <row r="7" spans="1:188" s="447" customFormat="1" x14ac:dyDescent="0.15">
      <c r="A7" s="213" t="s">
        <v>654</v>
      </c>
      <c r="B7" s="213">
        <v>4</v>
      </c>
      <c r="C7" s="213" t="s">
        <v>1214</v>
      </c>
      <c r="D7" s="213">
        <v>614345586</v>
      </c>
      <c r="E7" s="213">
        <v>92303</v>
      </c>
      <c r="F7" s="213" t="s">
        <v>795</v>
      </c>
      <c r="G7" s="213">
        <v>839032</v>
      </c>
      <c r="H7" s="213">
        <v>210018949</v>
      </c>
      <c r="I7" s="213">
        <v>6.8</v>
      </c>
      <c r="J7" s="213" t="s">
        <v>966</v>
      </c>
      <c r="K7" s="213" t="s">
        <v>1193</v>
      </c>
      <c r="L7" s="213" t="s">
        <v>1196</v>
      </c>
      <c r="M7" s="213" t="s">
        <v>728</v>
      </c>
      <c r="N7" s="213" t="s">
        <v>728</v>
      </c>
      <c r="O7" s="213" t="s">
        <v>729</v>
      </c>
      <c r="P7" s="213" t="s">
        <v>249</v>
      </c>
      <c r="Q7" s="213">
        <v>23.5</v>
      </c>
      <c r="R7" s="213">
        <v>161</v>
      </c>
      <c r="S7" s="213" t="s">
        <v>249</v>
      </c>
      <c r="T7" s="213">
        <v>-9999</v>
      </c>
      <c r="U7" s="213">
        <v>240</v>
      </c>
      <c r="V7" s="213">
        <v>499</v>
      </c>
      <c r="W7" s="213">
        <v>234</v>
      </c>
      <c r="X7" s="213" t="s">
        <v>710</v>
      </c>
      <c r="Y7" s="213">
        <v>0</v>
      </c>
      <c r="Z7" s="213">
        <v>40</v>
      </c>
      <c r="AA7" s="213" t="s">
        <v>730</v>
      </c>
      <c r="AB7" s="213" t="s">
        <v>731</v>
      </c>
      <c r="AC7" s="213" t="s">
        <v>729</v>
      </c>
      <c r="AD7" s="213" t="s">
        <v>249</v>
      </c>
      <c r="AE7" s="213">
        <v>25.7</v>
      </c>
      <c r="AF7" s="213">
        <v>117</v>
      </c>
      <c r="AG7" s="213" t="s">
        <v>249</v>
      </c>
      <c r="AH7" s="213">
        <v>-9999</v>
      </c>
      <c r="AI7" s="213">
        <v>232</v>
      </c>
      <c r="AJ7" s="213">
        <v>540</v>
      </c>
      <c r="AK7" s="213">
        <v>229</v>
      </c>
      <c r="AL7" s="213" t="s">
        <v>710</v>
      </c>
      <c r="AM7" s="213">
        <v>0</v>
      </c>
      <c r="AN7" s="213">
        <v>40</v>
      </c>
      <c r="AO7" s="213" t="s">
        <v>733</v>
      </c>
      <c r="AP7" s="213" t="s">
        <v>734</v>
      </c>
      <c r="AQ7" s="213">
        <v>1</v>
      </c>
      <c r="AR7" s="213" t="s">
        <v>798</v>
      </c>
      <c r="AS7" s="213">
        <v>22.3</v>
      </c>
      <c r="AT7" s="213">
        <v>459</v>
      </c>
      <c r="AU7" s="213" t="s">
        <v>710</v>
      </c>
      <c r="AV7" s="213">
        <v>-9999</v>
      </c>
      <c r="AW7" s="213">
        <v>299</v>
      </c>
      <c r="AX7" s="213">
        <v>736</v>
      </c>
      <c r="AY7" s="213">
        <v>297</v>
      </c>
      <c r="AZ7" s="213" t="s">
        <v>710</v>
      </c>
      <c r="BA7" s="213">
        <v>0</v>
      </c>
      <c r="BB7" s="213">
        <v>40</v>
      </c>
      <c r="BC7" s="213" t="s">
        <v>736</v>
      </c>
      <c r="BD7" s="213" t="s">
        <v>734</v>
      </c>
      <c r="BE7" s="213">
        <v>2</v>
      </c>
      <c r="BF7" s="213" t="s">
        <v>798</v>
      </c>
      <c r="BG7" s="213">
        <v>23.5</v>
      </c>
      <c r="BH7" s="213">
        <v>194</v>
      </c>
      <c r="BI7" s="213" t="s">
        <v>710</v>
      </c>
      <c r="BJ7" s="213">
        <v>-9999</v>
      </c>
      <c r="BK7" s="213">
        <v>123</v>
      </c>
      <c r="BL7" s="213">
        <v>369</v>
      </c>
      <c r="BM7" s="213">
        <v>121</v>
      </c>
      <c r="BN7" s="213" t="s">
        <v>710</v>
      </c>
      <c r="BO7" s="213">
        <v>0</v>
      </c>
      <c r="BP7" s="213">
        <v>40</v>
      </c>
      <c r="BQ7" s="213" t="s">
        <v>737</v>
      </c>
      <c r="BR7" s="213" t="s">
        <v>734</v>
      </c>
      <c r="BS7" s="213">
        <v>3</v>
      </c>
      <c r="BT7" s="213" t="s">
        <v>799</v>
      </c>
      <c r="BU7" s="213">
        <v>0</v>
      </c>
      <c r="BV7" s="213">
        <v>37</v>
      </c>
      <c r="BW7" s="213" t="s">
        <v>249</v>
      </c>
      <c r="BX7" s="213">
        <v>-9999</v>
      </c>
      <c r="BY7" s="213">
        <v>189</v>
      </c>
      <c r="BZ7" s="213">
        <v>428</v>
      </c>
      <c r="CA7" s="213">
        <v>188</v>
      </c>
      <c r="CB7" s="213" t="s">
        <v>710</v>
      </c>
      <c r="CC7" s="213">
        <v>0</v>
      </c>
      <c r="CD7" s="213">
        <v>40</v>
      </c>
      <c r="CE7" s="213" t="s">
        <v>738</v>
      </c>
      <c r="CF7" s="213" t="s">
        <v>734</v>
      </c>
      <c r="CG7" s="213">
        <v>4</v>
      </c>
      <c r="CH7" s="213" t="s">
        <v>798</v>
      </c>
      <c r="CI7" s="213">
        <v>21.2</v>
      </c>
      <c r="CJ7" s="213">
        <v>431</v>
      </c>
      <c r="CK7" s="213" t="s">
        <v>710</v>
      </c>
      <c r="CL7" s="213">
        <v>-9999</v>
      </c>
      <c r="CM7" s="213">
        <v>160</v>
      </c>
      <c r="CN7" s="213">
        <v>419</v>
      </c>
      <c r="CO7" s="213">
        <v>157</v>
      </c>
      <c r="CP7" s="213" t="s">
        <v>710</v>
      </c>
      <c r="CQ7" s="213">
        <v>0</v>
      </c>
      <c r="CR7" s="213">
        <v>40</v>
      </c>
      <c r="CS7" s="213" t="s">
        <v>739</v>
      </c>
      <c r="CT7" s="213" t="s">
        <v>740</v>
      </c>
      <c r="CU7" s="213">
        <v>136</v>
      </c>
      <c r="CV7" s="213">
        <v>135</v>
      </c>
      <c r="CW7" s="213">
        <v>135</v>
      </c>
      <c r="CX7" s="213" t="s">
        <v>710</v>
      </c>
      <c r="CY7" s="213" t="s">
        <v>741</v>
      </c>
      <c r="CZ7" s="213" t="s">
        <v>740</v>
      </c>
      <c r="DA7" s="213">
        <v>129</v>
      </c>
      <c r="DB7" s="213">
        <v>128</v>
      </c>
      <c r="DC7" s="213">
        <v>128</v>
      </c>
      <c r="DD7" s="213" t="s">
        <v>710</v>
      </c>
      <c r="DE7" s="213" t="s">
        <v>742</v>
      </c>
      <c r="DF7" s="213" t="s">
        <v>743</v>
      </c>
      <c r="DG7" s="213">
        <v>0</v>
      </c>
      <c r="DH7" s="213">
        <v>0</v>
      </c>
      <c r="DI7" s="213">
        <v>0</v>
      </c>
      <c r="DJ7" s="213" t="s">
        <v>249</v>
      </c>
      <c r="DK7" s="213">
        <v>69.2</v>
      </c>
      <c r="DL7" s="213">
        <v>61.6</v>
      </c>
      <c r="DM7" s="213" t="s">
        <v>744</v>
      </c>
      <c r="DN7" s="213" t="s">
        <v>743</v>
      </c>
      <c r="DO7" s="213">
        <v>0</v>
      </c>
      <c r="DP7" s="213">
        <v>0</v>
      </c>
      <c r="DQ7" s="213">
        <v>0</v>
      </c>
      <c r="DR7" s="213" t="s">
        <v>249</v>
      </c>
      <c r="DS7" s="213"/>
      <c r="DT7" s="213"/>
      <c r="DU7" s="213" t="s">
        <v>745</v>
      </c>
      <c r="DV7" s="213" t="s">
        <v>743</v>
      </c>
      <c r="DW7" s="213">
        <v>0</v>
      </c>
      <c r="DX7" s="213">
        <v>0</v>
      </c>
      <c r="DY7" s="213">
        <v>0</v>
      </c>
      <c r="DZ7" s="213" t="s">
        <v>249</v>
      </c>
      <c r="EA7" s="213"/>
      <c r="EB7" s="213"/>
      <c r="EC7" s="213" t="s">
        <v>746</v>
      </c>
      <c r="ED7" s="213" t="s">
        <v>743</v>
      </c>
      <c r="EE7" s="213">
        <v>0</v>
      </c>
      <c r="EF7" s="213">
        <v>0</v>
      </c>
      <c r="EG7" s="213">
        <v>0</v>
      </c>
      <c r="EH7" s="213" t="s">
        <v>249</v>
      </c>
      <c r="EI7" s="213"/>
      <c r="EJ7" s="213"/>
      <c r="EK7" s="213" t="s">
        <v>747</v>
      </c>
      <c r="EL7" s="213" t="s">
        <v>743</v>
      </c>
      <c r="EM7" s="213">
        <v>0</v>
      </c>
      <c r="EN7" s="213">
        <v>0</v>
      </c>
      <c r="EO7" s="213">
        <v>0</v>
      </c>
      <c r="EP7" s="213" t="s">
        <v>249</v>
      </c>
      <c r="ES7" s="447" t="s">
        <v>748</v>
      </c>
      <c r="ET7" s="447" t="s">
        <v>743</v>
      </c>
      <c r="EU7" s="447">
        <v>0</v>
      </c>
      <c r="EV7" s="447">
        <v>0</v>
      </c>
      <c r="EW7" s="447">
        <v>0</v>
      </c>
      <c r="EX7" s="447" t="s">
        <v>249</v>
      </c>
      <c r="EY7" s="447">
        <v>69.900000000000006</v>
      </c>
      <c r="EZ7" s="447">
        <v>57.2</v>
      </c>
      <c r="FA7" s="447" t="s">
        <v>749</v>
      </c>
      <c r="FB7" s="447" t="s">
        <v>743</v>
      </c>
      <c r="FC7" s="447">
        <v>0</v>
      </c>
      <c r="FD7" s="447">
        <v>0</v>
      </c>
      <c r="FE7" s="447">
        <v>0</v>
      </c>
      <c r="FF7" s="447" t="s">
        <v>249</v>
      </c>
      <c r="FI7" s="447" t="s">
        <v>750</v>
      </c>
      <c r="FJ7" s="447" t="s">
        <v>743</v>
      </c>
      <c r="FK7" s="447">
        <v>0</v>
      </c>
      <c r="FL7" s="447">
        <v>0</v>
      </c>
      <c r="FM7" s="447">
        <v>0</v>
      </c>
      <c r="FN7" s="447" t="s">
        <v>249</v>
      </c>
      <c r="FO7" s="447">
        <v>73.5</v>
      </c>
      <c r="FP7" s="447">
        <v>190</v>
      </c>
      <c r="FQ7" s="447" t="s">
        <v>751</v>
      </c>
      <c r="FR7" s="447" t="s">
        <v>743</v>
      </c>
      <c r="FS7" s="447">
        <v>0</v>
      </c>
      <c r="FT7" s="447">
        <v>0</v>
      </c>
      <c r="FU7" s="447">
        <v>0</v>
      </c>
      <c r="FV7" s="447" t="s">
        <v>249</v>
      </c>
      <c r="FY7" s="447">
        <v>18</v>
      </c>
      <c r="FZ7" s="447">
        <v>-7.3</v>
      </c>
      <c r="GA7" s="447" t="s">
        <v>1211</v>
      </c>
      <c r="GF7" s="447" t="s">
        <v>752</v>
      </c>
    </row>
    <row r="8" spans="1:188" s="284" customFormat="1" x14ac:dyDescent="0.15">
      <c r="A8" s="283" t="s">
        <v>654</v>
      </c>
      <c r="B8" s="283">
        <v>4</v>
      </c>
      <c r="C8" s="449" t="s">
        <v>965</v>
      </c>
      <c r="D8" s="284">
        <v>0</v>
      </c>
      <c r="E8" s="284">
        <v>92303</v>
      </c>
      <c r="L8" s="284" t="s">
        <v>789</v>
      </c>
    </row>
  </sheetData>
  <phoneticPr fontId="4" type="noConversion"/>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115"/>
  <sheetViews>
    <sheetView zoomScaleNormal="100" zoomScaleSheetLayoutView="80" workbookViewId="0"/>
  </sheetViews>
  <sheetFormatPr baseColWidth="10" defaultColWidth="9.5" defaultRowHeight="13" x14ac:dyDescent="0.15"/>
  <cols>
    <col min="1" max="1" width="5.5" style="1" customWidth="1"/>
    <col min="2" max="2" width="13.5" style="1" customWidth="1"/>
    <col min="3" max="3" width="15.5" style="1" customWidth="1"/>
    <col min="4" max="4" width="17" style="1" customWidth="1"/>
    <col min="5" max="5" width="9.5" style="1" customWidth="1"/>
    <col min="6" max="6" width="12" style="2" customWidth="1"/>
    <col min="7" max="7" width="9.5" style="2" customWidth="1"/>
    <col min="8" max="8" width="9.5" style="4" customWidth="1"/>
    <col min="9" max="9" width="16.5" style="4" customWidth="1"/>
    <col min="10" max="10" width="15.5" style="4" customWidth="1"/>
    <col min="11" max="11" width="14.5" style="4" customWidth="1"/>
    <col min="12" max="12" width="15.5" style="4" customWidth="1"/>
    <col min="13" max="13" width="13.5" style="2" customWidth="1"/>
    <col min="14" max="14" width="2.5" style="2" customWidth="1"/>
    <col min="15" max="256" width="9.5" style="1" customWidth="1"/>
    <col min="257" max="257" width="5.5" style="1" customWidth="1"/>
    <col min="258" max="258" width="13.5" style="1" customWidth="1"/>
    <col min="259" max="259" width="15.5" style="1" customWidth="1"/>
    <col min="260" max="260" width="17" style="1" customWidth="1"/>
    <col min="261" max="261" width="9.5" style="1" customWidth="1"/>
    <col min="262" max="262" width="12" style="1" customWidth="1"/>
    <col min="263" max="264" width="9.5" style="1" customWidth="1"/>
    <col min="265" max="265" width="16.5" style="1" customWidth="1"/>
    <col min="266" max="266" width="15.5" style="1" customWidth="1"/>
    <col min="267" max="267" width="14.5" style="1" customWidth="1"/>
    <col min="268" max="268" width="15.5" style="1" customWidth="1"/>
    <col min="269" max="269" width="13.5" style="1" customWidth="1"/>
    <col min="270" max="270" width="2.5" style="1" customWidth="1"/>
    <col min="271" max="512" width="9.5" style="1" customWidth="1"/>
    <col min="513" max="513" width="5.5" style="1" customWidth="1"/>
    <col min="514" max="514" width="13.5" style="1" customWidth="1"/>
    <col min="515" max="515" width="15.5" style="1" customWidth="1"/>
    <col min="516" max="516" width="17" style="1" customWidth="1"/>
    <col min="517" max="517" width="9.5" style="1" customWidth="1"/>
    <col min="518" max="518" width="12" style="1" customWidth="1"/>
    <col min="519" max="520" width="9.5" style="1" customWidth="1"/>
    <col min="521" max="521" width="16.5" style="1" customWidth="1"/>
    <col min="522" max="522" width="15.5" style="1" customWidth="1"/>
    <col min="523" max="523" width="14.5" style="1" customWidth="1"/>
    <col min="524" max="524" width="15.5" style="1" customWidth="1"/>
    <col min="525" max="525" width="13.5" style="1" customWidth="1"/>
    <col min="526" max="526" width="2.5" style="1" customWidth="1"/>
    <col min="527" max="768" width="9.5" style="1" customWidth="1"/>
    <col min="769" max="769" width="5.5" style="1" customWidth="1"/>
    <col min="770" max="770" width="13.5" style="1" customWidth="1"/>
    <col min="771" max="771" width="15.5" style="1" customWidth="1"/>
    <col min="772" max="772" width="17" style="1" customWidth="1"/>
    <col min="773" max="773" width="9.5" style="1" customWidth="1"/>
    <col min="774" max="774" width="12" style="1" customWidth="1"/>
    <col min="775" max="776" width="9.5" style="1" customWidth="1"/>
    <col min="777" max="777" width="16.5" style="1" customWidth="1"/>
    <col min="778" max="778" width="15.5" style="1" customWidth="1"/>
    <col min="779" max="779" width="14.5" style="1" customWidth="1"/>
    <col min="780" max="780" width="15.5" style="1" customWidth="1"/>
    <col min="781" max="781" width="13.5" style="1" customWidth="1"/>
    <col min="782" max="782" width="2.5" style="1" customWidth="1"/>
    <col min="783" max="1024" width="9.5" style="1" customWidth="1"/>
    <col min="1025" max="1025" width="5.5" style="1" customWidth="1"/>
    <col min="1026" max="1026" width="13.5" style="1" customWidth="1"/>
    <col min="1027" max="1027" width="15.5" style="1" customWidth="1"/>
    <col min="1028" max="1028" width="17" style="1" customWidth="1"/>
    <col min="1029" max="1029" width="9.5" style="1" customWidth="1"/>
    <col min="1030" max="1030" width="12" style="1" customWidth="1"/>
    <col min="1031" max="1032" width="9.5" style="1" customWidth="1"/>
    <col min="1033" max="1033" width="16.5" style="1" customWidth="1"/>
    <col min="1034" max="1034" width="15.5" style="1" customWidth="1"/>
    <col min="1035" max="1035" width="14.5" style="1" customWidth="1"/>
    <col min="1036" max="1036" width="15.5" style="1" customWidth="1"/>
    <col min="1037" max="1037" width="13.5" style="1" customWidth="1"/>
    <col min="1038" max="1038" width="2.5" style="1" customWidth="1"/>
    <col min="1039" max="1280" width="9.5" style="1" customWidth="1"/>
    <col min="1281" max="1281" width="5.5" style="1" customWidth="1"/>
    <col min="1282" max="1282" width="13.5" style="1" customWidth="1"/>
    <col min="1283" max="1283" width="15.5" style="1" customWidth="1"/>
    <col min="1284" max="1284" width="17" style="1" customWidth="1"/>
    <col min="1285" max="1285" width="9.5" style="1" customWidth="1"/>
    <col min="1286" max="1286" width="12" style="1" customWidth="1"/>
    <col min="1287" max="1288" width="9.5" style="1" customWidth="1"/>
    <col min="1289" max="1289" width="16.5" style="1" customWidth="1"/>
    <col min="1290" max="1290" width="15.5" style="1" customWidth="1"/>
    <col min="1291" max="1291" width="14.5" style="1" customWidth="1"/>
    <col min="1292" max="1292" width="15.5" style="1" customWidth="1"/>
    <col min="1293" max="1293" width="13.5" style="1" customWidth="1"/>
    <col min="1294" max="1294" width="2.5" style="1" customWidth="1"/>
    <col min="1295" max="1536" width="9.5" style="1" customWidth="1"/>
    <col min="1537" max="1537" width="5.5" style="1" customWidth="1"/>
    <col min="1538" max="1538" width="13.5" style="1" customWidth="1"/>
    <col min="1539" max="1539" width="15.5" style="1" customWidth="1"/>
    <col min="1540" max="1540" width="17" style="1" customWidth="1"/>
    <col min="1541" max="1541" width="9.5" style="1" customWidth="1"/>
    <col min="1542" max="1542" width="12" style="1" customWidth="1"/>
    <col min="1543" max="1544" width="9.5" style="1" customWidth="1"/>
    <col min="1545" max="1545" width="16.5" style="1" customWidth="1"/>
    <col min="1546" max="1546" width="15.5" style="1" customWidth="1"/>
    <col min="1547" max="1547" width="14.5" style="1" customWidth="1"/>
    <col min="1548" max="1548" width="15.5" style="1" customWidth="1"/>
    <col min="1549" max="1549" width="13.5" style="1" customWidth="1"/>
    <col min="1550" max="1550" width="2.5" style="1" customWidth="1"/>
    <col min="1551" max="1792" width="9.5" style="1" customWidth="1"/>
    <col min="1793" max="1793" width="5.5" style="1" customWidth="1"/>
    <col min="1794" max="1794" width="13.5" style="1" customWidth="1"/>
    <col min="1795" max="1795" width="15.5" style="1" customWidth="1"/>
    <col min="1796" max="1796" width="17" style="1" customWidth="1"/>
    <col min="1797" max="1797" width="9.5" style="1" customWidth="1"/>
    <col min="1798" max="1798" width="12" style="1" customWidth="1"/>
    <col min="1799" max="1800" width="9.5" style="1" customWidth="1"/>
    <col min="1801" max="1801" width="16.5" style="1" customWidth="1"/>
    <col min="1802" max="1802" width="15.5" style="1" customWidth="1"/>
    <col min="1803" max="1803" width="14.5" style="1" customWidth="1"/>
    <col min="1804" max="1804" width="15.5" style="1" customWidth="1"/>
    <col min="1805" max="1805" width="13.5" style="1" customWidth="1"/>
    <col min="1806" max="1806" width="2.5" style="1" customWidth="1"/>
    <col min="1807" max="2048" width="9.5" style="1" customWidth="1"/>
    <col min="2049" max="2049" width="5.5" style="1" customWidth="1"/>
    <col min="2050" max="2050" width="13.5" style="1" customWidth="1"/>
    <col min="2051" max="2051" width="15.5" style="1" customWidth="1"/>
    <col min="2052" max="2052" width="17" style="1" customWidth="1"/>
    <col min="2053" max="2053" width="9.5" style="1" customWidth="1"/>
    <col min="2054" max="2054" width="12" style="1" customWidth="1"/>
    <col min="2055" max="2056" width="9.5" style="1" customWidth="1"/>
    <col min="2057" max="2057" width="16.5" style="1" customWidth="1"/>
    <col min="2058" max="2058" width="15.5" style="1" customWidth="1"/>
    <col min="2059" max="2059" width="14.5" style="1" customWidth="1"/>
    <col min="2060" max="2060" width="15.5" style="1" customWidth="1"/>
    <col min="2061" max="2061" width="13.5" style="1" customWidth="1"/>
    <col min="2062" max="2062" width="2.5" style="1" customWidth="1"/>
    <col min="2063" max="2304" width="9.5" style="1" customWidth="1"/>
    <col min="2305" max="2305" width="5.5" style="1" customWidth="1"/>
    <col min="2306" max="2306" width="13.5" style="1" customWidth="1"/>
    <col min="2307" max="2307" width="15.5" style="1" customWidth="1"/>
    <col min="2308" max="2308" width="17" style="1" customWidth="1"/>
    <col min="2309" max="2309" width="9.5" style="1" customWidth="1"/>
    <col min="2310" max="2310" width="12" style="1" customWidth="1"/>
    <col min="2311" max="2312" width="9.5" style="1" customWidth="1"/>
    <col min="2313" max="2313" width="16.5" style="1" customWidth="1"/>
    <col min="2314" max="2314" width="15.5" style="1" customWidth="1"/>
    <col min="2315" max="2315" width="14.5" style="1" customWidth="1"/>
    <col min="2316" max="2316" width="15.5" style="1" customWidth="1"/>
    <col min="2317" max="2317" width="13.5" style="1" customWidth="1"/>
    <col min="2318" max="2318" width="2.5" style="1" customWidth="1"/>
    <col min="2319" max="2560" width="9.5" style="1" customWidth="1"/>
    <col min="2561" max="2561" width="5.5" style="1" customWidth="1"/>
    <col min="2562" max="2562" width="13.5" style="1" customWidth="1"/>
    <col min="2563" max="2563" width="15.5" style="1" customWidth="1"/>
    <col min="2564" max="2564" width="17" style="1" customWidth="1"/>
    <col min="2565" max="2565" width="9.5" style="1" customWidth="1"/>
    <col min="2566" max="2566" width="12" style="1" customWidth="1"/>
    <col min="2567" max="2568" width="9.5" style="1" customWidth="1"/>
    <col min="2569" max="2569" width="16.5" style="1" customWidth="1"/>
    <col min="2570" max="2570" width="15.5" style="1" customWidth="1"/>
    <col min="2571" max="2571" width="14.5" style="1" customWidth="1"/>
    <col min="2572" max="2572" width="15.5" style="1" customWidth="1"/>
    <col min="2573" max="2573" width="13.5" style="1" customWidth="1"/>
    <col min="2574" max="2574" width="2.5" style="1" customWidth="1"/>
    <col min="2575" max="2816" width="9.5" style="1" customWidth="1"/>
    <col min="2817" max="2817" width="5.5" style="1" customWidth="1"/>
    <col min="2818" max="2818" width="13.5" style="1" customWidth="1"/>
    <col min="2819" max="2819" width="15.5" style="1" customWidth="1"/>
    <col min="2820" max="2820" width="17" style="1" customWidth="1"/>
    <col min="2821" max="2821" width="9.5" style="1" customWidth="1"/>
    <col min="2822" max="2822" width="12" style="1" customWidth="1"/>
    <col min="2823" max="2824" width="9.5" style="1" customWidth="1"/>
    <col min="2825" max="2825" width="16.5" style="1" customWidth="1"/>
    <col min="2826" max="2826" width="15.5" style="1" customWidth="1"/>
    <col min="2827" max="2827" width="14.5" style="1" customWidth="1"/>
    <col min="2828" max="2828" width="15.5" style="1" customWidth="1"/>
    <col min="2829" max="2829" width="13.5" style="1" customWidth="1"/>
    <col min="2830" max="2830" width="2.5" style="1" customWidth="1"/>
    <col min="2831" max="3072" width="9.5" style="1" customWidth="1"/>
    <col min="3073" max="3073" width="5.5" style="1" customWidth="1"/>
    <col min="3074" max="3074" width="13.5" style="1" customWidth="1"/>
    <col min="3075" max="3075" width="15.5" style="1" customWidth="1"/>
    <col min="3076" max="3076" width="17" style="1" customWidth="1"/>
    <col min="3077" max="3077" width="9.5" style="1" customWidth="1"/>
    <col min="3078" max="3078" width="12" style="1" customWidth="1"/>
    <col min="3079" max="3080" width="9.5" style="1" customWidth="1"/>
    <col min="3081" max="3081" width="16.5" style="1" customWidth="1"/>
    <col min="3082" max="3082" width="15.5" style="1" customWidth="1"/>
    <col min="3083" max="3083" width="14.5" style="1" customWidth="1"/>
    <col min="3084" max="3084" width="15.5" style="1" customWidth="1"/>
    <col min="3085" max="3085" width="13.5" style="1" customWidth="1"/>
    <col min="3086" max="3086" width="2.5" style="1" customWidth="1"/>
    <col min="3087" max="3328" width="9.5" style="1" customWidth="1"/>
    <col min="3329" max="3329" width="5.5" style="1" customWidth="1"/>
    <col min="3330" max="3330" width="13.5" style="1" customWidth="1"/>
    <col min="3331" max="3331" width="15.5" style="1" customWidth="1"/>
    <col min="3332" max="3332" width="17" style="1" customWidth="1"/>
    <col min="3333" max="3333" width="9.5" style="1" customWidth="1"/>
    <col min="3334" max="3334" width="12" style="1" customWidth="1"/>
    <col min="3335" max="3336" width="9.5" style="1" customWidth="1"/>
    <col min="3337" max="3337" width="16.5" style="1" customWidth="1"/>
    <col min="3338" max="3338" width="15.5" style="1" customWidth="1"/>
    <col min="3339" max="3339" width="14.5" style="1" customWidth="1"/>
    <col min="3340" max="3340" width="15.5" style="1" customWidth="1"/>
    <col min="3341" max="3341" width="13.5" style="1" customWidth="1"/>
    <col min="3342" max="3342" width="2.5" style="1" customWidth="1"/>
    <col min="3343" max="3584" width="9.5" style="1" customWidth="1"/>
    <col min="3585" max="3585" width="5.5" style="1" customWidth="1"/>
    <col min="3586" max="3586" width="13.5" style="1" customWidth="1"/>
    <col min="3587" max="3587" width="15.5" style="1" customWidth="1"/>
    <col min="3588" max="3588" width="17" style="1" customWidth="1"/>
    <col min="3589" max="3589" width="9.5" style="1" customWidth="1"/>
    <col min="3590" max="3590" width="12" style="1" customWidth="1"/>
    <col min="3591" max="3592" width="9.5" style="1" customWidth="1"/>
    <col min="3593" max="3593" width="16.5" style="1" customWidth="1"/>
    <col min="3594" max="3594" width="15.5" style="1" customWidth="1"/>
    <col min="3595" max="3595" width="14.5" style="1" customWidth="1"/>
    <col min="3596" max="3596" width="15.5" style="1" customWidth="1"/>
    <col min="3597" max="3597" width="13.5" style="1" customWidth="1"/>
    <col min="3598" max="3598" width="2.5" style="1" customWidth="1"/>
    <col min="3599" max="3840" width="9.5" style="1" customWidth="1"/>
    <col min="3841" max="3841" width="5.5" style="1" customWidth="1"/>
    <col min="3842" max="3842" width="13.5" style="1" customWidth="1"/>
    <col min="3843" max="3843" width="15.5" style="1" customWidth="1"/>
    <col min="3844" max="3844" width="17" style="1" customWidth="1"/>
    <col min="3845" max="3845" width="9.5" style="1" customWidth="1"/>
    <col min="3846" max="3846" width="12" style="1" customWidth="1"/>
    <col min="3847" max="3848" width="9.5" style="1" customWidth="1"/>
    <col min="3849" max="3849" width="16.5" style="1" customWidth="1"/>
    <col min="3850" max="3850" width="15.5" style="1" customWidth="1"/>
    <col min="3851" max="3851" width="14.5" style="1" customWidth="1"/>
    <col min="3852" max="3852" width="15.5" style="1" customWidth="1"/>
    <col min="3853" max="3853" width="13.5" style="1" customWidth="1"/>
    <col min="3854" max="3854" width="2.5" style="1" customWidth="1"/>
    <col min="3855" max="4096" width="9.5" style="1" customWidth="1"/>
    <col min="4097" max="4097" width="5.5" style="1" customWidth="1"/>
    <col min="4098" max="4098" width="13.5" style="1" customWidth="1"/>
    <col min="4099" max="4099" width="15.5" style="1" customWidth="1"/>
    <col min="4100" max="4100" width="17" style="1" customWidth="1"/>
    <col min="4101" max="4101" width="9.5" style="1" customWidth="1"/>
    <col min="4102" max="4102" width="12" style="1" customWidth="1"/>
    <col min="4103" max="4104" width="9.5" style="1" customWidth="1"/>
    <col min="4105" max="4105" width="16.5" style="1" customWidth="1"/>
    <col min="4106" max="4106" width="15.5" style="1" customWidth="1"/>
    <col min="4107" max="4107" width="14.5" style="1" customWidth="1"/>
    <col min="4108" max="4108" width="15.5" style="1" customWidth="1"/>
    <col min="4109" max="4109" width="13.5" style="1" customWidth="1"/>
    <col min="4110" max="4110" width="2.5" style="1" customWidth="1"/>
    <col min="4111" max="4352" width="9.5" style="1" customWidth="1"/>
    <col min="4353" max="4353" width="5.5" style="1" customWidth="1"/>
    <col min="4354" max="4354" width="13.5" style="1" customWidth="1"/>
    <col min="4355" max="4355" width="15.5" style="1" customWidth="1"/>
    <col min="4356" max="4356" width="17" style="1" customWidth="1"/>
    <col min="4357" max="4357" width="9.5" style="1" customWidth="1"/>
    <col min="4358" max="4358" width="12" style="1" customWidth="1"/>
    <col min="4359" max="4360" width="9.5" style="1" customWidth="1"/>
    <col min="4361" max="4361" width="16.5" style="1" customWidth="1"/>
    <col min="4362" max="4362" width="15.5" style="1" customWidth="1"/>
    <col min="4363" max="4363" width="14.5" style="1" customWidth="1"/>
    <col min="4364" max="4364" width="15.5" style="1" customWidth="1"/>
    <col min="4365" max="4365" width="13.5" style="1" customWidth="1"/>
    <col min="4366" max="4366" width="2.5" style="1" customWidth="1"/>
    <col min="4367" max="4608" width="9.5" style="1" customWidth="1"/>
    <col min="4609" max="4609" width="5.5" style="1" customWidth="1"/>
    <col min="4610" max="4610" width="13.5" style="1" customWidth="1"/>
    <col min="4611" max="4611" width="15.5" style="1" customWidth="1"/>
    <col min="4612" max="4612" width="17" style="1" customWidth="1"/>
    <col min="4613" max="4613" width="9.5" style="1" customWidth="1"/>
    <col min="4614" max="4614" width="12" style="1" customWidth="1"/>
    <col min="4615" max="4616" width="9.5" style="1" customWidth="1"/>
    <col min="4617" max="4617" width="16.5" style="1" customWidth="1"/>
    <col min="4618" max="4618" width="15.5" style="1" customWidth="1"/>
    <col min="4619" max="4619" width="14.5" style="1" customWidth="1"/>
    <col min="4620" max="4620" width="15.5" style="1" customWidth="1"/>
    <col min="4621" max="4621" width="13.5" style="1" customWidth="1"/>
    <col min="4622" max="4622" width="2.5" style="1" customWidth="1"/>
    <col min="4623" max="4864" width="9.5" style="1" customWidth="1"/>
    <col min="4865" max="4865" width="5.5" style="1" customWidth="1"/>
    <col min="4866" max="4866" width="13.5" style="1" customWidth="1"/>
    <col min="4867" max="4867" width="15.5" style="1" customWidth="1"/>
    <col min="4868" max="4868" width="17" style="1" customWidth="1"/>
    <col min="4869" max="4869" width="9.5" style="1" customWidth="1"/>
    <col min="4870" max="4870" width="12" style="1" customWidth="1"/>
    <col min="4871" max="4872" width="9.5" style="1" customWidth="1"/>
    <col min="4873" max="4873" width="16.5" style="1" customWidth="1"/>
    <col min="4874" max="4874" width="15.5" style="1" customWidth="1"/>
    <col min="4875" max="4875" width="14.5" style="1" customWidth="1"/>
    <col min="4876" max="4876" width="15.5" style="1" customWidth="1"/>
    <col min="4877" max="4877" width="13.5" style="1" customWidth="1"/>
    <col min="4878" max="4878" width="2.5" style="1" customWidth="1"/>
    <col min="4879" max="5120" width="9.5" style="1" customWidth="1"/>
    <col min="5121" max="5121" width="5.5" style="1" customWidth="1"/>
    <col min="5122" max="5122" width="13.5" style="1" customWidth="1"/>
    <col min="5123" max="5123" width="15.5" style="1" customWidth="1"/>
    <col min="5124" max="5124" width="17" style="1" customWidth="1"/>
    <col min="5125" max="5125" width="9.5" style="1" customWidth="1"/>
    <col min="5126" max="5126" width="12" style="1" customWidth="1"/>
    <col min="5127" max="5128" width="9.5" style="1" customWidth="1"/>
    <col min="5129" max="5129" width="16.5" style="1" customWidth="1"/>
    <col min="5130" max="5130" width="15.5" style="1" customWidth="1"/>
    <col min="5131" max="5131" width="14.5" style="1" customWidth="1"/>
    <col min="5132" max="5132" width="15.5" style="1" customWidth="1"/>
    <col min="5133" max="5133" width="13.5" style="1" customWidth="1"/>
    <col min="5134" max="5134" width="2.5" style="1" customWidth="1"/>
    <col min="5135" max="5376" width="9.5" style="1" customWidth="1"/>
    <col min="5377" max="5377" width="5.5" style="1" customWidth="1"/>
    <col min="5378" max="5378" width="13.5" style="1" customWidth="1"/>
    <col min="5379" max="5379" width="15.5" style="1" customWidth="1"/>
    <col min="5380" max="5380" width="17" style="1" customWidth="1"/>
    <col min="5381" max="5381" width="9.5" style="1" customWidth="1"/>
    <col min="5382" max="5382" width="12" style="1" customWidth="1"/>
    <col min="5383" max="5384" width="9.5" style="1" customWidth="1"/>
    <col min="5385" max="5385" width="16.5" style="1" customWidth="1"/>
    <col min="5386" max="5386" width="15.5" style="1" customWidth="1"/>
    <col min="5387" max="5387" width="14.5" style="1" customWidth="1"/>
    <col min="5388" max="5388" width="15.5" style="1" customWidth="1"/>
    <col min="5389" max="5389" width="13.5" style="1" customWidth="1"/>
    <col min="5390" max="5390" width="2.5" style="1" customWidth="1"/>
    <col min="5391" max="5632" width="9.5" style="1" customWidth="1"/>
    <col min="5633" max="5633" width="5.5" style="1" customWidth="1"/>
    <col min="5634" max="5634" width="13.5" style="1" customWidth="1"/>
    <col min="5635" max="5635" width="15.5" style="1" customWidth="1"/>
    <col min="5636" max="5636" width="17" style="1" customWidth="1"/>
    <col min="5637" max="5637" width="9.5" style="1" customWidth="1"/>
    <col min="5638" max="5638" width="12" style="1" customWidth="1"/>
    <col min="5639" max="5640" width="9.5" style="1" customWidth="1"/>
    <col min="5641" max="5641" width="16.5" style="1" customWidth="1"/>
    <col min="5642" max="5642" width="15.5" style="1" customWidth="1"/>
    <col min="5643" max="5643" width="14.5" style="1" customWidth="1"/>
    <col min="5644" max="5644" width="15.5" style="1" customWidth="1"/>
    <col min="5645" max="5645" width="13.5" style="1" customWidth="1"/>
    <col min="5646" max="5646" width="2.5" style="1" customWidth="1"/>
    <col min="5647" max="5888" width="9.5" style="1" customWidth="1"/>
    <col min="5889" max="5889" width="5.5" style="1" customWidth="1"/>
    <col min="5890" max="5890" width="13.5" style="1" customWidth="1"/>
    <col min="5891" max="5891" width="15.5" style="1" customWidth="1"/>
    <col min="5892" max="5892" width="17" style="1" customWidth="1"/>
    <col min="5893" max="5893" width="9.5" style="1" customWidth="1"/>
    <col min="5894" max="5894" width="12" style="1" customWidth="1"/>
    <col min="5895" max="5896" width="9.5" style="1" customWidth="1"/>
    <col min="5897" max="5897" width="16.5" style="1" customWidth="1"/>
    <col min="5898" max="5898" width="15.5" style="1" customWidth="1"/>
    <col min="5899" max="5899" width="14.5" style="1" customWidth="1"/>
    <col min="5900" max="5900" width="15.5" style="1" customWidth="1"/>
    <col min="5901" max="5901" width="13.5" style="1" customWidth="1"/>
    <col min="5902" max="5902" width="2.5" style="1" customWidth="1"/>
    <col min="5903" max="6144" width="9.5" style="1" customWidth="1"/>
    <col min="6145" max="6145" width="5.5" style="1" customWidth="1"/>
    <col min="6146" max="6146" width="13.5" style="1" customWidth="1"/>
    <col min="6147" max="6147" width="15.5" style="1" customWidth="1"/>
    <col min="6148" max="6148" width="17" style="1" customWidth="1"/>
    <col min="6149" max="6149" width="9.5" style="1" customWidth="1"/>
    <col min="6150" max="6150" width="12" style="1" customWidth="1"/>
    <col min="6151" max="6152" width="9.5" style="1" customWidth="1"/>
    <col min="6153" max="6153" width="16.5" style="1" customWidth="1"/>
    <col min="6154" max="6154" width="15.5" style="1" customWidth="1"/>
    <col min="6155" max="6155" width="14.5" style="1" customWidth="1"/>
    <col min="6156" max="6156" width="15.5" style="1" customWidth="1"/>
    <col min="6157" max="6157" width="13.5" style="1" customWidth="1"/>
    <col min="6158" max="6158" width="2.5" style="1" customWidth="1"/>
    <col min="6159" max="6400" width="9.5" style="1" customWidth="1"/>
    <col min="6401" max="6401" width="5.5" style="1" customWidth="1"/>
    <col min="6402" max="6402" width="13.5" style="1" customWidth="1"/>
    <col min="6403" max="6403" width="15.5" style="1" customWidth="1"/>
    <col min="6404" max="6404" width="17" style="1" customWidth="1"/>
    <col min="6405" max="6405" width="9.5" style="1" customWidth="1"/>
    <col min="6406" max="6406" width="12" style="1" customWidth="1"/>
    <col min="6407" max="6408" width="9.5" style="1" customWidth="1"/>
    <col min="6409" max="6409" width="16.5" style="1" customWidth="1"/>
    <col min="6410" max="6410" width="15.5" style="1" customWidth="1"/>
    <col min="6411" max="6411" width="14.5" style="1" customWidth="1"/>
    <col min="6412" max="6412" width="15.5" style="1" customWidth="1"/>
    <col min="6413" max="6413" width="13.5" style="1" customWidth="1"/>
    <col min="6414" max="6414" width="2.5" style="1" customWidth="1"/>
    <col min="6415" max="6656" width="9.5" style="1" customWidth="1"/>
    <col min="6657" max="6657" width="5.5" style="1" customWidth="1"/>
    <col min="6658" max="6658" width="13.5" style="1" customWidth="1"/>
    <col min="6659" max="6659" width="15.5" style="1" customWidth="1"/>
    <col min="6660" max="6660" width="17" style="1" customWidth="1"/>
    <col min="6661" max="6661" width="9.5" style="1" customWidth="1"/>
    <col min="6662" max="6662" width="12" style="1" customWidth="1"/>
    <col min="6663" max="6664" width="9.5" style="1" customWidth="1"/>
    <col min="6665" max="6665" width="16.5" style="1" customWidth="1"/>
    <col min="6666" max="6666" width="15.5" style="1" customWidth="1"/>
    <col min="6667" max="6667" width="14.5" style="1" customWidth="1"/>
    <col min="6668" max="6668" width="15.5" style="1" customWidth="1"/>
    <col min="6669" max="6669" width="13.5" style="1" customWidth="1"/>
    <col min="6670" max="6670" width="2.5" style="1" customWidth="1"/>
    <col min="6671" max="6912" width="9.5" style="1" customWidth="1"/>
    <col min="6913" max="6913" width="5.5" style="1" customWidth="1"/>
    <col min="6914" max="6914" width="13.5" style="1" customWidth="1"/>
    <col min="6915" max="6915" width="15.5" style="1" customWidth="1"/>
    <col min="6916" max="6916" width="17" style="1" customWidth="1"/>
    <col min="6917" max="6917" width="9.5" style="1" customWidth="1"/>
    <col min="6918" max="6918" width="12" style="1" customWidth="1"/>
    <col min="6919" max="6920" width="9.5" style="1" customWidth="1"/>
    <col min="6921" max="6921" width="16.5" style="1" customWidth="1"/>
    <col min="6922" max="6922" width="15.5" style="1" customWidth="1"/>
    <col min="6923" max="6923" width="14.5" style="1" customWidth="1"/>
    <col min="6924" max="6924" width="15.5" style="1" customWidth="1"/>
    <col min="6925" max="6925" width="13.5" style="1" customWidth="1"/>
    <col min="6926" max="6926" width="2.5" style="1" customWidth="1"/>
    <col min="6927" max="7168" width="9.5" style="1" customWidth="1"/>
    <col min="7169" max="7169" width="5.5" style="1" customWidth="1"/>
    <col min="7170" max="7170" width="13.5" style="1" customWidth="1"/>
    <col min="7171" max="7171" width="15.5" style="1" customWidth="1"/>
    <col min="7172" max="7172" width="17" style="1" customWidth="1"/>
    <col min="7173" max="7173" width="9.5" style="1" customWidth="1"/>
    <col min="7174" max="7174" width="12" style="1" customWidth="1"/>
    <col min="7175" max="7176" width="9.5" style="1" customWidth="1"/>
    <col min="7177" max="7177" width="16.5" style="1" customWidth="1"/>
    <col min="7178" max="7178" width="15.5" style="1" customWidth="1"/>
    <col min="7179" max="7179" width="14.5" style="1" customWidth="1"/>
    <col min="7180" max="7180" width="15.5" style="1" customWidth="1"/>
    <col min="7181" max="7181" width="13.5" style="1" customWidth="1"/>
    <col min="7182" max="7182" width="2.5" style="1" customWidth="1"/>
    <col min="7183" max="7424" width="9.5" style="1" customWidth="1"/>
    <col min="7425" max="7425" width="5.5" style="1" customWidth="1"/>
    <col min="7426" max="7426" width="13.5" style="1" customWidth="1"/>
    <col min="7427" max="7427" width="15.5" style="1" customWidth="1"/>
    <col min="7428" max="7428" width="17" style="1" customWidth="1"/>
    <col min="7429" max="7429" width="9.5" style="1" customWidth="1"/>
    <col min="7430" max="7430" width="12" style="1" customWidth="1"/>
    <col min="7431" max="7432" width="9.5" style="1" customWidth="1"/>
    <col min="7433" max="7433" width="16.5" style="1" customWidth="1"/>
    <col min="7434" max="7434" width="15.5" style="1" customWidth="1"/>
    <col min="7435" max="7435" width="14.5" style="1" customWidth="1"/>
    <col min="7436" max="7436" width="15.5" style="1" customWidth="1"/>
    <col min="7437" max="7437" width="13.5" style="1" customWidth="1"/>
    <col min="7438" max="7438" width="2.5" style="1" customWidth="1"/>
    <col min="7439" max="7680" width="9.5" style="1" customWidth="1"/>
    <col min="7681" max="7681" width="5.5" style="1" customWidth="1"/>
    <col min="7682" max="7682" width="13.5" style="1" customWidth="1"/>
    <col min="7683" max="7683" width="15.5" style="1" customWidth="1"/>
    <col min="7684" max="7684" width="17" style="1" customWidth="1"/>
    <col min="7685" max="7685" width="9.5" style="1" customWidth="1"/>
    <col min="7686" max="7686" width="12" style="1" customWidth="1"/>
    <col min="7687" max="7688" width="9.5" style="1" customWidth="1"/>
    <col min="7689" max="7689" width="16.5" style="1" customWidth="1"/>
    <col min="7690" max="7690" width="15.5" style="1" customWidth="1"/>
    <col min="7691" max="7691" width="14.5" style="1" customWidth="1"/>
    <col min="7692" max="7692" width="15.5" style="1" customWidth="1"/>
    <col min="7693" max="7693" width="13.5" style="1" customWidth="1"/>
    <col min="7694" max="7694" width="2.5" style="1" customWidth="1"/>
    <col min="7695" max="7936" width="9.5" style="1" customWidth="1"/>
    <col min="7937" max="7937" width="5.5" style="1" customWidth="1"/>
    <col min="7938" max="7938" width="13.5" style="1" customWidth="1"/>
    <col min="7939" max="7939" width="15.5" style="1" customWidth="1"/>
    <col min="7940" max="7940" width="17" style="1" customWidth="1"/>
    <col min="7941" max="7941" width="9.5" style="1" customWidth="1"/>
    <col min="7942" max="7942" width="12" style="1" customWidth="1"/>
    <col min="7943" max="7944" width="9.5" style="1" customWidth="1"/>
    <col min="7945" max="7945" width="16.5" style="1" customWidth="1"/>
    <col min="7946" max="7946" width="15.5" style="1" customWidth="1"/>
    <col min="7947" max="7947" width="14.5" style="1" customWidth="1"/>
    <col min="7948" max="7948" width="15.5" style="1" customWidth="1"/>
    <col min="7949" max="7949" width="13.5" style="1" customWidth="1"/>
    <col min="7950" max="7950" width="2.5" style="1" customWidth="1"/>
    <col min="7951" max="8192" width="9.5" style="1" customWidth="1"/>
    <col min="8193" max="8193" width="5.5" style="1" customWidth="1"/>
    <col min="8194" max="8194" width="13.5" style="1" customWidth="1"/>
    <col min="8195" max="8195" width="15.5" style="1" customWidth="1"/>
    <col min="8196" max="8196" width="17" style="1" customWidth="1"/>
    <col min="8197" max="8197" width="9.5" style="1" customWidth="1"/>
    <col min="8198" max="8198" width="12" style="1" customWidth="1"/>
    <col min="8199" max="8200" width="9.5" style="1" customWidth="1"/>
    <col min="8201" max="8201" width="16.5" style="1" customWidth="1"/>
    <col min="8202" max="8202" width="15.5" style="1" customWidth="1"/>
    <col min="8203" max="8203" width="14.5" style="1" customWidth="1"/>
    <col min="8204" max="8204" width="15.5" style="1" customWidth="1"/>
    <col min="8205" max="8205" width="13.5" style="1" customWidth="1"/>
    <col min="8206" max="8206" width="2.5" style="1" customWidth="1"/>
    <col min="8207" max="8448" width="9.5" style="1" customWidth="1"/>
    <col min="8449" max="8449" width="5.5" style="1" customWidth="1"/>
    <col min="8450" max="8450" width="13.5" style="1" customWidth="1"/>
    <col min="8451" max="8451" width="15.5" style="1" customWidth="1"/>
    <col min="8452" max="8452" width="17" style="1" customWidth="1"/>
    <col min="8453" max="8453" width="9.5" style="1" customWidth="1"/>
    <col min="8454" max="8454" width="12" style="1" customWidth="1"/>
    <col min="8455" max="8456" width="9.5" style="1" customWidth="1"/>
    <col min="8457" max="8457" width="16.5" style="1" customWidth="1"/>
    <col min="8458" max="8458" width="15.5" style="1" customWidth="1"/>
    <col min="8459" max="8459" width="14.5" style="1" customWidth="1"/>
    <col min="8460" max="8460" width="15.5" style="1" customWidth="1"/>
    <col min="8461" max="8461" width="13.5" style="1" customWidth="1"/>
    <col min="8462" max="8462" width="2.5" style="1" customWidth="1"/>
    <col min="8463" max="8704" width="9.5" style="1" customWidth="1"/>
    <col min="8705" max="8705" width="5.5" style="1" customWidth="1"/>
    <col min="8706" max="8706" width="13.5" style="1" customWidth="1"/>
    <col min="8707" max="8707" width="15.5" style="1" customWidth="1"/>
    <col min="8708" max="8708" width="17" style="1" customWidth="1"/>
    <col min="8709" max="8709" width="9.5" style="1" customWidth="1"/>
    <col min="8710" max="8710" width="12" style="1" customWidth="1"/>
    <col min="8711" max="8712" width="9.5" style="1" customWidth="1"/>
    <col min="8713" max="8713" width="16.5" style="1" customWidth="1"/>
    <col min="8714" max="8714" width="15.5" style="1" customWidth="1"/>
    <col min="8715" max="8715" width="14.5" style="1" customWidth="1"/>
    <col min="8716" max="8716" width="15.5" style="1" customWidth="1"/>
    <col min="8717" max="8717" width="13.5" style="1" customWidth="1"/>
    <col min="8718" max="8718" width="2.5" style="1" customWidth="1"/>
    <col min="8719" max="8960" width="9.5" style="1" customWidth="1"/>
    <col min="8961" max="8961" width="5.5" style="1" customWidth="1"/>
    <col min="8962" max="8962" width="13.5" style="1" customWidth="1"/>
    <col min="8963" max="8963" width="15.5" style="1" customWidth="1"/>
    <col min="8964" max="8964" width="17" style="1" customWidth="1"/>
    <col min="8965" max="8965" width="9.5" style="1" customWidth="1"/>
    <col min="8966" max="8966" width="12" style="1" customWidth="1"/>
    <col min="8967" max="8968" width="9.5" style="1" customWidth="1"/>
    <col min="8969" max="8969" width="16.5" style="1" customWidth="1"/>
    <col min="8970" max="8970" width="15.5" style="1" customWidth="1"/>
    <col min="8971" max="8971" width="14.5" style="1" customWidth="1"/>
    <col min="8972" max="8972" width="15.5" style="1" customWidth="1"/>
    <col min="8973" max="8973" width="13.5" style="1" customWidth="1"/>
    <col min="8974" max="8974" width="2.5" style="1" customWidth="1"/>
    <col min="8975" max="9216" width="9.5" style="1" customWidth="1"/>
    <col min="9217" max="9217" width="5.5" style="1" customWidth="1"/>
    <col min="9218" max="9218" width="13.5" style="1" customWidth="1"/>
    <col min="9219" max="9219" width="15.5" style="1" customWidth="1"/>
    <col min="9220" max="9220" width="17" style="1" customWidth="1"/>
    <col min="9221" max="9221" width="9.5" style="1" customWidth="1"/>
    <col min="9222" max="9222" width="12" style="1" customWidth="1"/>
    <col min="9223" max="9224" width="9.5" style="1" customWidth="1"/>
    <col min="9225" max="9225" width="16.5" style="1" customWidth="1"/>
    <col min="9226" max="9226" width="15.5" style="1" customWidth="1"/>
    <col min="9227" max="9227" width="14.5" style="1" customWidth="1"/>
    <col min="9228" max="9228" width="15.5" style="1" customWidth="1"/>
    <col min="9229" max="9229" width="13.5" style="1" customWidth="1"/>
    <col min="9230" max="9230" width="2.5" style="1" customWidth="1"/>
    <col min="9231" max="9472" width="9.5" style="1" customWidth="1"/>
    <col min="9473" max="9473" width="5.5" style="1" customWidth="1"/>
    <col min="9474" max="9474" width="13.5" style="1" customWidth="1"/>
    <col min="9475" max="9475" width="15.5" style="1" customWidth="1"/>
    <col min="9476" max="9476" width="17" style="1" customWidth="1"/>
    <col min="9477" max="9477" width="9.5" style="1" customWidth="1"/>
    <col min="9478" max="9478" width="12" style="1" customWidth="1"/>
    <col min="9479" max="9480" width="9.5" style="1" customWidth="1"/>
    <col min="9481" max="9481" width="16.5" style="1" customWidth="1"/>
    <col min="9482" max="9482" width="15.5" style="1" customWidth="1"/>
    <col min="9483" max="9483" width="14.5" style="1" customWidth="1"/>
    <col min="9484" max="9484" width="15.5" style="1" customWidth="1"/>
    <col min="9485" max="9485" width="13.5" style="1" customWidth="1"/>
    <col min="9486" max="9486" width="2.5" style="1" customWidth="1"/>
    <col min="9487" max="9728" width="9.5" style="1" customWidth="1"/>
    <col min="9729" max="9729" width="5.5" style="1" customWidth="1"/>
    <col min="9730" max="9730" width="13.5" style="1" customWidth="1"/>
    <col min="9731" max="9731" width="15.5" style="1" customWidth="1"/>
    <col min="9732" max="9732" width="17" style="1" customWidth="1"/>
    <col min="9733" max="9733" width="9.5" style="1" customWidth="1"/>
    <col min="9734" max="9734" width="12" style="1" customWidth="1"/>
    <col min="9735" max="9736" width="9.5" style="1" customWidth="1"/>
    <col min="9737" max="9737" width="16.5" style="1" customWidth="1"/>
    <col min="9738" max="9738" width="15.5" style="1" customWidth="1"/>
    <col min="9739" max="9739" width="14.5" style="1" customWidth="1"/>
    <col min="9740" max="9740" width="15.5" style="1" customWidth="1"/>
    <col min="9741" max="9741" width="13.5" style="1" customWidth="1"/>
    <col min="9742" max="9742" width="2.5" style="1" customWidth="1"/>
    <col min="9743" max="9984" width="9.5" style="1" customWidth="1"/>
    <col min="9985" max="9985" width="5.5" style="1" customWidth="1"/>
    <col min="9986" max="9986" width="13.5" style="1" customWidth="1"/>
    <col min="9987" max="9987" width="15.5" style="1" customWidth="1"/>
    <col min="9988" max="9988" width="17" style="1" customWidth="1"/>
    <col min="9989" max="9989" width="9.5" style="1" customWidth="1"/>
    <col min="9990" max="9990" width="12" style="1" customWidth="1"/>
    <col min="9991" max="9992" width="9.5" style="1" customWidth="1"/>
    <col min="9993" max="9993" width="16.5" style="1" customWidth="1"/>
    <col min="9994" max="9994" width="15.5" style="1" customWidth="1"/>
    <col min="9995" max="9995" width="14.5" style="1" customWidth="1"/>
    <col min="9996" max="9996" width="15.5" style="1" customWidth="1"/>
    <col min="9997" max="9997" width="13.5" style="1" customWidth="1"/>
    <col min="9998" max="9998" width="2.5" style="1" customWidth="1"/>
    <col min="9999" max="10240" width="9.5" style="1" customWidth="1"/>
    <col min="10241" max="10241" width="5.5" style="1" customWidth="1"/>
    <col min="10242" max="10242" width="13.5" style="1" customWidth="1"/>
    <col min="10243" max="10243" width="15.5" style="1" customWidth="1"/>
    <col min="10244" max="10244" width="17" style="1" customWidth="1"/>
    <col min="10245" max="10245" width="9.5" style="1" customWidth="1"/>
    <col min="10246" max="10246" width="12" style="1" customWidth="1"/>
    <col min="10247" max="10248" width="9.5" style="1" customWidth="1"/>
    <col min="10249" max="10249" width="16.5" style="1" customWidth="1"/>
    <col min="10250" max="10250" width="15.5" style="1" customWidth="1"/>
    <col min="10251" max="10251" width="14.5" style="1" customWidth="1"/>
    <col min="10252" max="10252" width="15.5" style="1" customWidth="1"/>
    <col min="10253" max="10253" width="13.5" style="1" customWidth="1"/>
    <col min="10254" max="10254" width="2.5" style="1" customWidth="1"/>
    <col min="10255" max="10496" width="9.5" style="1" customWidth="1"/>
    <col min="10497" max="10497" width="5.5" style="1" customWidth="1"/>
    <col min="10498" max="10498" width="13.5" style="1" customWidth="1"/>
    <col min="10499" max="10499" width="15.5" style="1" customWidth="1"/>
    <col min="10500" max="10500" width="17" style="1" customWidth="1"/>
    <col min="10501" max="10501" width="9.5" style="1" customWidth="1"/>
    <col min="10502" max="10502" width="12" style="1" customWidth="1"/>
    <col min="10503" max="10504" width="9.5" style="1" customWidth="1"/>
    <col min="10505" max="10505" width="16.5" style="1" customWidth="1"/>
    <col min="10506" max="10506" width="15.5" style="1" customWidth="1"/>
    <col min="10507" max="10507" width="14.5" style="1" customWidth="1"/>
    <col min="10508" max="10508" width="15.5" style="1" customWidth="1"/>
    <col min="10509" max="10509" width="13.5" style="1" customWidth="1"/>
    <col min="10510" max="10510" width="2.5" style="1" customWidth="1"/>
    <col min="10511" max="10752" width="9.5" style="1" customWidth="1"/>
    <col min="10753" max="10753" width="5.5" style="1" customWidth="1"/>
    <col min="10754" max="10754" width="13.5" style="1" customWidth="1"/>
    <col min="10755" max="10755" width="15.5" style="1" customWidth="1"/>
    <col min="10756" max="10756" width="17" style="1" customWidth="1"/>
    <col min="10757" max="10757" width="9.5" style="1" customWidth="1"/>
    <col min="10758" max="10758" width="12" style="1" customWidth="1"/>
    <col min="10759" max="10760" width="9.5" style="1" customWidth="1"/>
    <col min="10761" max="10761" width="16.5" style="1" customWidth="1"/>
    <col min="10762" max="10762" width="15.5" style="1" customWidth="1"/>
    <col min="10763" max="10763" width="14.5" style="1" customWidth="1"/>
    <col min="10764" max="10764" width="15.5" style="1" customWidth="1"/>
    <col min="10765" max="10765" width="13.5" style="1" customWidth="1"/>
    <col min="10766" max="10766" width="2.5" style="1" customWidth="1"/>
    <col min="10767" max="11008" width="9.5" style="1" customWidth="1"/>
    <col min="11009" max="11009" width="5.5" style="1" customWidth="1"/>
    <col min="11010" max="11010" width="13.5" style="1" customWidth="1"/>
    <col min="11011" max="11011" width="15.5" style="1" customWidth="1"/>
    <col min="11012" max="11012" width="17" style="1" customWidth="1"/>
    <col min="11013" max="11013" width="9.5" style="1" customWidth="1"/>
    <col min="11014" max="11014" width="12" style="1" customWidth="1"/>
    <col min="11015" max="11016" width="9.5" style="1" customWidth="1"/>
    <col min="11017" max="11017" width="16.5" style="1" customWidth="1"/>
    <col min="11018" max="11018" width="15.5" style="1" customWidth="1"/>
    <col min="11019" max="11019" width="14.5" style="1" customWidth="1"/>
    <col min="11020" max="11020" width="15.5" style="1" customWidth="1"/>
    <col min="11021" max="11021" width="13.5" style="1" customWidth="1"/>
    <col min="11022" max="11022" width="2.5" style="1" customWidth="1"/>
    <col min="11023" max="11264" width="9.5" style="1" customWidth="1"/>
    <col min="11265" max="11265" width="5.5" style="1" customWidth="1"/>
    <col min="11266" max="11266" width="13.5" style="1" customWidth="1"/>
    <col min="11267" max="11267" width="15.5" style="1" customWidth="1"/>
    <col min="11268" max="11268" width="17" style="1" customWidth="1"/>
    <col min="11269" max="11269" width="9.5" style="1" customWidth="1"/>
    <col min="11270" max="11270" width="12" style="1" customWidth="1"/>
    <col min="11271" max="11272" width="9.5" style="1" customWidth="1"/>
    <col min="11273" max="11273" width="16.5" style="1" customWidth="1"/>
    <col min="11274" max="11274" width="15.5" style="1" customWidth="1"/>
    <col min="11275" max="11275" width="14.5" style="1" customWidth="1"/>
    <col min="11276" max="11276" width="15.5" style="1" customWidth="1"/>
    <col min="11277" max="11277" width="13.5" style="1" customWidth="1"/>
    <col min="11278" max="11278" width="2.5" style="1" customWidth="1"/>
    <col min="11279" max="11520" width="9.5" style="1" customWidth="1"/>
    <col min="11521" max="11521" width="5.5" style="1" customWidth="1"/>
    <col min="11522" max="11522" width="13.5" style="1" customWidth="1"/>
    <col min="11523" max="11523" width="15.5" style="1" customWidth="1"/>
    <col min="11524" max="11524" width="17" style="1" customWidth="1"/>
    <col min="11525" max="11525" width="9.5" style="1" customWidth="1"/>
    <col min="11526" max="11526" width="12" style="1" customWidth="1"/>
    <col min="11527" max="11528" width="9.5" style="1" customWidth="1"/>
    <col min="11529" max="11529" width="16.5" style="1" customWidth="1"/>
    <col min="11530" max="11530" width="15.5" style="1" customWidth="1"/>
    <col min="11531" max="11531" width="14.5" style="1" customWidth="1"/>
    <col min="11532" max="11532" width="15.5" style="1" customWidth="1"/>
    <col min="11533" max="11533" width="13.5" style="1" customWidth="1"/>
    <col min="11534" max="11534" width="2.5" style="1" customWidth="1"/>
    <col min="11535" max="11776" width="9.5" style="1" customWidth="1"/>
    <col min="11777" max="11777" width="5.5" style="1" customWidth="1"/>
    <col min="11778" max="11778" width="13.5" style="1" customWidth="1"/>
    <col min="11779" max="11779" width="15.5" style="1" customWidth="1"/>
    <col min="11780" max="11780" width="17" style="1" customWidth="1"/>
    <col min="11781" max="11781" width="9.5" style="1" customWidth="1"/>
    <col min="11782" max="11782" width="12" style="1" customWidth="1"/>
    <col min="11783" max="11784" width="9.5" style="1" customWidth="1"/>
    <col min="11785" max="11785" width="16.5" style="1" customWidth="1"/>
    <col min="11786" max="11786" width="15.5" style="1" customWidth="1"/>
    <col min="11787" max="11787" width="14.5" style="1" customWidth="1"/>
    <col min="11788" max="11788" width="15.5" style="1" customWidth="1"/>
    <col min="11789" max="11789" width="13.5" style="1" customWidth="1"/>
    <col min="11790" max="11790" width="2.5" style="1" customWidth="1"/>
    <col min="11791" max="12032" width="9.5" style="1" customWidth="1"/>
    <col min="12033" max="12033" width="5.5" style="1" customWidth="1"/>
    <col min="12034" max="12034" width="13.5" style="1" customWidth="1"/>
    <col min="12035" max="12035" width="15.5" style="1" customWidth="1"/>
    <col min="12036" max="12036" width="17" style="1" customWidth="1"/>
    <col min="12037" max="12037" width="9.5" style="1" customWidth="1"/>
    <col min="12038" max="12038" width="12" style="1" customWidth="1"/>
    <col min="12039" max="12040" width="9.5" style="1" customWidth="1"/>
    <col min="12041" max="12041" width="16.5" style="1" customWidth="1"/>
    <col min="12042" max="12042" width="15.5" style="1" customWidth="1"/>
    <col min="12043" max="12043" width="14.5" style="1" customWidth="1"/>
    <col min="12044" max="12044" width="15.5" style="1" customWidth="1"/>
    <col min="12045" max="12045" width="13.5" style="1" customWidth="1"/>
    <col min="12046" max="12046" width="2.5" style="1" customWidth="1"/>
    <col min="12047" max="12288" width="9.5" style="1" customWidth="1"/>
    <col min="12289" max="12289" width="5.5" style="1" customWidth="1"/>
    <col min="12290" max="12290" width="13.5" style="1" customWidth="1"/>
    <col min="12291" max="12291" width="15.5" style="1" customWidth="1"/>
    <col min="12292" max="12292" width="17" style="1" customWidth="1"/>
    <col min="12293" max="12293" width="9.5" style="1" customWidth="1"/>
    <col min="12294" max="12294" width="12" style="1" customWidth="1"/>
    <col min="12295" max="12296" width="9.5" style="1" customWidth="1"/>
    <col min="12297" max="12297" width="16.5" style="1" customWidth="1"/>
    <col min="12298" max="12298" width="15.5" style="1" customWidth="1"/>
    <col min="12299" max="12299" width="14.5" style="1" customWidth="1"/>
    <col min="12300" max="12300" width="15.5" style="1" customWidth="1"/>
    <col min="12301" max="12301" width="13.5" style="1" customWidth="1"/>
    <col min="12302" max="12302" width="2.5" style="1" customWidth="1"/>
    <col min="12303" max="12544" width="9.5" style="1" customWidth="1"/>
    <col min="12545" max="12545" width="5.5" style="1" customWidth="1"/>
    <col min="12546" max="12546" width="13.5" style="1" customWidth="1"/>
    <col min="12547" max="12547" width="15.5" style="1" customWidth="1"/>
    <col min="12548" max="12548" width="17" style="1" customWidth="1"/>
    <col min="12549" max="12549" width="9.5" style="1" customWidth="1"/>
    <col min="12550" max="12550" width="12" style="1" customWidth="1"/>
    <col min="12551" max="12552" width="9.5" style="1" customWidth="1"/>
    <col min="12553" max="12553" width="16.5" style="1" customWidth="1"/>
    <col min="12554" max="12554" width="15.5" style="1" customWidth="1"/>
    <col min="12555" max="12555" width="14.5" style="1" customWidth="1"/>
    <col min="12556" max="12556" width="15.5" style="1" customWidth="1"/>
    <col min="12557" max="12557" width="13.5" style="1" customWidth="1"/>
    <col min="12558" max="12558" width="2.5" style="1" customWidth="1"/>
    <col min="12559" max="12800" width="9.5" style="1" customWidth="1"/>
    <col min="12801" max="12801" width="5.5" style="1" customWidth="1"/>
    <col min="12802" max="12802" width="13.5" style="1" customWidth="1"/>
    <col min="12803" max="12803" width="15.5" style="1" customWidth="1"/>
    <col min="12804" max="12804" width="17" style="1" customWidth="1"/>
    <col min="12805" max="12805" width="9.5" style="1" customWidth="1"/>
    <col min="12806" max="12806" width="12" style="1" customWidth="1"/>
    <col min="12807" max="12808" width="9.5" style="1" customWidth="1"/>
    <col min="12809" max="12809" width="16.5" style="1" customWidth="1"/>
    <col min="12810" max="12810" width="15.5" style="1" customWidth="1"/>
    <col min="12811" max="12811" width="14.5" style="1" customWidth="1"/>
    <col min="12812" max="12812" width="15.5" style="1" customWidth="1"/>
    <col min="12813" max="12813" width="13.5" style="1" customWidth="1"/>
    <col min="12814" max="12814" width="2.5" style="1" customWidth="1"/>
    <col min="12815" max="13056" width="9.5" style="1" customWidth="1"/>
    <col min="13057" max="13057" width="5.5" style="1" customWidth="1"/>
    <col min="13058" max="13058" width="13.5" style="1" customWidth="1"/>
    <col min="13059" max="13059" width="15.5" style="1" customWidth="1"/>
    <col min="13060" max="13060" width="17" style="1" customWidth="1"/>
    <col min="13061" max="13061" width="9.5" style="1" customWidth="1"/>
    <col min="13062" max="13062" width="12" style="1" customWidth="1"/>
    <col min="13063" max="13064" width="9.5" style="1" customWidth="1"/>
    <col min="13065" max="13065" width="16.5" style="1" customWidth="1"/>
    <col min="13066" max="13066" width="15.5" style="1" customWidth="1"/>
    <col min="13067" max="13067" width="14.5" style="1" customWidth="1"/>
    <col min="13068" max="13068" width="15.5" style="1" customWidth="1"/>
    <col min="13069" max="13069" width="13.5" style="1" customWidth="1"/>
    <col min="13070" max="13070" width="2.5" style="1" customWidth="1"/>
    <col min="13071" max="13312" width="9.5" style="1" customWidth="1"/>
    <col min="13313" max="13313" width="5.5" style="1" customWidth="1"/>
    <col min="13314" max="13314" width="13.5" style="1" customWidth="1"/>
    <col min="13315" max="13315" width="15.5" style="1" customWidth="1"/>
    <col min="13316" max="13316" width="17" style="1" customWidth="1"/>
    <col min="13317" max="13317" width="9.5" style="1" customWidth="1"/>
    <col min="13318" max="13318" width="12" style="1" customWidth="1"/>
    <col min="13319" max="13320" width="9.5" style="1" customWidth="1"/>
    <col min="13321" max="13321" width="16.5" style="1" customWidth="1"/>
    <col min="13322" max="13322" width="15.5" style="1" customWidth="1"/>
    <col min="13323" max="13323" width="14.5" style="1" customWidth="1"/>
    <col min="13324" max="13324" width="15.5" style="1" customWidth="1"/>
    <col min="13325" max="13325" width="13.5" style="1" customWidth="1"/>
    <col min="13326" max="13326" width="2.5" style="1" customWidth="1"/>
    <col min="13327" max="13568" width="9.5" style="1" customWidth="1"/>
    <col min="13569" max="13569" width="5.5" style="1" customWidth="1"/>
    <col min="13570" max="13570" width="13.5" style="1" customWidth="1"/>
    <col min="13571" max="13571" width="15.5" style="1" customWidth="1"/>
    <col min="13572" max="13572" width="17" style="1" customWidth="1"/>
    <col min="13573" max="13573" width="9.5" style="1" customWidth="1"/>
    <col min="13574" max="13574" width="12" style="1" customWidth="1"/>
    <col min="13575" max="13576" width="9.5" style="1" customWidth="1"/>
    <col min="13577" max="13577" width="16.5" style="1" customWidth="1"/>
    <col min="13578" max="13578" width="15.5" style="1" customWidth="1"/>
    <col min="13579" max="13579" width="14.5" style="1" customWidth="1"/>
    <col min="13580" max="13580" width="15.5" style="1" customWidth="1"/>
    <col min="13581" max="13581" width="13.5" style="1" customWidth="1"/>
    <col min="13582" max="13582" width="2.5" style="1" customWidth="1"/>
    <col min="13583" max="13824" width="9.5" style="1" customWidth="1"/>
    <col min="13825" max="13825" width="5.5" style="1" customWidth="1"/>
    <col min="13826" max="13826" width="13.5" style="1" customWidth="1"/>
    <col min="13827" max="13827" width="15.5" style="1" customWidth="1"/>
    <col min="13828" max="13828" width="17" style="1" customWidth="1"/>
    <col min="13829" max="13829" width="9.5" style="1" customWidth="1"/>
    <col min="13830" max="13830" width="12" style="1" customWidth="1"/>
    <col min="13831" max="13832" width="9.5" style="1" customWidth="1"/>
    <col min="13833" max="13833" width="16.5" style="1" customWidth="1"/>
    <col min="13834" max="13834" width="15.5" style="1" customWidth="1"/>
    <col min="13835" max="13835" width="14.5" style="1" customWidth="1"/>
    <col min="13836" max="13836" width="15.5" style="1" customWidth="1"/>
    <col min="13837" max="13837" width="13.5" style="1" customWidth="1"/>
    <col min="13838" max="13838" width="2.5" style="1" customWidth="1"/>
    <col min="13839" max="14080" width="9.5" style="1" customWidth="1"/>
    <col min="14081" max="14081" width="5.5" style="1" customWidth="1"/>
    <col min="14082" max="14082" width="13.5" style="1" customWidth="1"/>
    <col min="14083" max="14083" width="15.5" style="1" customWidth="1"/>
    <col min="14084" max="14084" width="17" style="1" customWidth="1"/>
    <col min="14085" max="14085" width="9.5" style="1" customWidth="1"/>
    <col min="14086" max="14086" width="12" style="1" customWidth="1"/>
    <col min="14087" max="14088" width="9.5" style="1" customWidth="1"/>
    <col min="14089" max="14089" width="16.5" style="1" customWidth="1"/>
    <col min="14090" max="14090" width="15.5" style="1" customWidth="1"/>
    <col min="14091" max="14091" width="14.5" style="1" customWidth="1"/>
    <col min="14092" max="14092" width="15.5" style="1" customWidth="1"/>
    <col min="14093" max="14093" width="13.5" style="1" customWidth="1"/>
    <col min="14094" max="14094" width="2.5" style="1" customWidth="1"/>
    <col min="14095" max="14336" width="9.5" style="1" customWidth="1"/>
    <col min="14337" max="14337" width="5.5" style="1" customWidth="1"/>
    <col min="14338" max="14338" width="13.5" style="1" customWidth="1"/>
    <col min="14339" max="14339" width="15.5" style="1" customWidth="1"/>
    <col min="14340" max="14340" width="17" style="1" customWidth="1"/>
    <col min="14341" max="14341" width="9.5" style="1" customWidth="1"/>
    <col min="14342" max="14342" width="12" style="1" customWidth="1"/>
    <col min="14343" max="14344" width="9.5" style="1" customWidth="1"/>
    <col min="14345" max="14345" width="16.5" style="1" customWidth="1"/>
    <col min="14346" max="14346" width="15.5" style="1" customWidth="1"/>
    <col min="14347" max="14347" width="14.5" style="1" customWidth="1"/>
    <col min="14348" max="14348" width="15.5" style="1" customWidth="1"/>
    <col min="14349" max="14349" width="13.5" style="1" customWidth="1"/>
    <col min="14350" max="14350" width="2.5" style="1" customWidth="1"/>
    <col min="14351" max="14592" width="9.5" style="1" customWidth="1"/>
    <col min="14593" max="14593" width="5.5" style="1" customWidth="1"/>
    <col min="14594" max="14594" width="13.5" style="1" customWidth="1"/>
    <col min="14595" max="14595" width="15.5" style="1" customWidth="1"/>
    <col min="14596" max="14596" width="17" style="1" customWidth="1"/>
    <col min="14597" max="14597" width="9.5" style="1" customWidth="1"/>
    <col min="14598" max="14598" width="12" style="1" customWidth="1"/>
    <col min="14599" max="14600" width="9.5" style="1" customWidth="1"/>
    <col min="14601" max="14601" width="16.5" style="1" customWidth="1"/>
    <col min="14602" max="14602" width="15.5" style="1" customWidth="1"/>
    <col min="14603" max="14603" width="14.5" style="1" customWidth="1"/>
    <col min="14604" max="14604" width="15.5" style="1" customWidth="1"/>
    <col min="14605" max="14605" width="13.5" style="1" customWidth="1"/>
    <col min="14606" max="14606" width="2.5" style="1" customWidth="1"/>
    <col min="14607" max="14848" width="9.5" style="1" customWidth="1"/>
    <col min="14849" max="14849" width="5.5" style="1" customWidth="1"/>
    <col min="14850" max="14850" width="13.5" style="1" customWidth="1"/>
    <col min="14851" max="14851" width="15.5" style="1" customWidth="1"/>
    <col min="14852" max="14852" width="17" style="1" customWidth="1"/>
    <col min="14853" max="14853" width="9.5" style="1" customWidth="1"/>
    <col min="14854" max="14854" width="12" style="1" customWidth="1"/>
    <col min="14855" max="14856" width="9.5" style="1" customWidth="1"/>
    <col min="14857" max="14857" width="16.5" style="1" customWidth="1"/>
    <col min="14858" max="14858" width="15.5" style="1" customWidth="1"/>
    <col min="14859" max="14859" width="14.5" style="1" customWidth="1"/>
    <col min="14860" max="14860" width="15.5" style="1" customWidth="1"/>
    <col min="14861" max="14861" width="13.5" style="1" customWidth="1"/>
    <col min="14862" max="14862" width="2.5" style="1" customWidth="1"/>
    <col min="14863" max="15104" width="9.5" style="1" customWidth="1"/>
    <col min="15105" max="15105" width="5.5" style="1" customWidth="1"/>
    <col min="15106" max="15106" width="13.5" style="1" customWidth="1"/>
    <col min="15107" max="15107" width="15.5" style="1" customWidth="1"/>
    <col min="15108" max="15108" width="17" style="1" customWidth="1"/>
    <col min="15109" max="15109" width="9.5" style="1" customWidth="1"/>
    <col min="15110" max="15110" width="12" style="1" customWidth="1"/>
    <col min="15111" max="15112" width="9.5" style="1" customWidth="1"/>
    <col min="15113" max="15113" width="16.5" style="1" customWidth="1"/>
    <col min="15114" max="15114" width="15.5" style="1" customWidth="1"/>
    <col min="15115" max="15115" width="14.5" style="1" customWidth="1"/>
    <col min="15116" max="15116" width="15.5" style="1" customWidth="1"/>
    <col min="15117" max="15117" width="13.5" style="1" customWidth="1"/>
    <col min="15118" max="15118" width="2.5" style="1" customWidth="1"/>
    <col min="15119" max="15360" width="9.5" style="1" customWidth="1"/>
    <col min="15361" max="15361" width="5.5" style="1" customWidth="1"/>
    <col min="15362" max="15362" width="13.5" style="1" customWidth="1"/>
    <col min="15363" max="15363" width="15.5" style="1" customWidth="1"/>
    <col min="15364" max="15364" width="17" style="1" customWidth="1"/>
    <col min="15365" max="15365" width="9.5" style="1" customWidth="1"/>
    <col min="15366" max="15366" width="12" style="1" customWidth="1"/>
    <col min="15367" max="15368" width="9.5" style="1" customWidth="1"/>
    <col min="15369" max="15369" width="16.5" style="1" customWidth="1"/>
    <col min="15370" max="15370" width="15.5" style="1" customWidth="1"/>
    <col min="15371" max="15371" width="14.5" style="1" customWidth="1"/>
    <col min="15372" max="15372" width="15.5" style="1" customWidth="1"/>
    <col min="15373" max="15373" width="13.5" style="1" customWidth="1"/>
    <col min="15374" max="15374" width="2.5" style="1" customWidth="1"/>
    <col min="15375" max="15616" width="9.5" style="1" customWidth="1"/>
    <col min="15617" max="15617" width="5.5" style="1" customWidth="1"/>
    <col min="15618" max="15618" width="13.5" style="1" customWidth="1"/>
    <col min="15619" max="15619" width="15.5" style="1" customWidth="1"/>
    <col min="15620" max="15620" width="17" style="1" customWidth="1"/>
    <col min="15621" max="15621" width="9.5" style="1" customWidth="1"/>
    <col min="15622" max="15622" width="12" style="1" customWidth="1"/>
    <col min="15623" max="15624" width="9.5" style="1" customWidth="1"/>
    <col min="15625" max="15625" width="16.5" style="1" customWidth="1"/>
    <col min="15626" max="15626" width="15.5" style="1" customWidth="1"/>
    <col min="15627" max="15627" width="14.5" style="1" customWidth="1"/>
    <col min="15628" max="15628" width="15.5" style="1" customWidth="1"/>
    <col min="15629" max="15629" width="13.5" style="1" customWidth="1"/>
    <col min="15630" max="15630" width="2.5" style="1" customWidth="1"/>
    <col min="15631" max="15872" width="9.5" style="1" customWidth="1"/>
    <col min="15873" max="15873" width="5.5" style="1" customWidth="1"/>
    <col min="15874" max="15874" width="13.5" style="1" customWidth="1"/>
    <col min="15875" max="15875" width="15.5" style="1" customWidth="1"/>
    <col min="15876" max="15876" width="17" style="1" customWidth="1"/>
    <col min="15877" max="15877" width="9.5" style="1" customWidth="1"/>
    <col min="15878" max="15878" width="12" style="1" customWidth="1"/>
    <col min="15879" max="15880" width="9.5" style="1" customWidth="1"/>
    <col min="15881" max="15881" width="16.5" style="1" customWidth="1"/>
    <col min="15882" max="15882" width="15.5" style="1" customWidth="1"/>
    <col min="15883" max="15883" width="14.5" style="1" customWidth="1"/>
    <col min="15884" max="15884" width="15.5" style="1" customWidth="1"/>
    <col min="15885" max="15885" width="13.5" style="1" customWidth="1"/>
    <col min="15886" max="15886" width="2.5" style="1" customWidth="1"/>
    <col min="15887" max="16128" width="9.5" style="1" customWidth="1"/>
    <col min="16129" max="16129" width="5.5" style="1" customWidth="1"/>
    <col min="16130" max="16130" width="13.5" style="1" customWidth="1"/>
    <col min="16131" max="16131" width="15.5" style="1" customWidth="1"/>
    <col min="16132" max="16132" width="17" style="1" customWidth="1"/>
    <col min="16133" max="16133" width="9.5" style="1" customWidth="1"/>
    <col min="16134" max="16134" width="12" style="1" customWidth="1"/>
    <col min="16135" max="16136" width="9.5" style="1" customWidth="1"/>
    <col min="16137" max="16137" width="16.5" style="1" customWidth="1"/>
    <col min="16138" max="16138" width="15.5" style="1" customWidth="1"/>
    <col min="16139" max="16139" width="14.5" style="1" customWidth="1"/>
    <col min="16140" max="16140" width="15.5" style="1" customWidth="1"/>
    <col min="16141" max="16141" width="13.5" style="1" customWidth="1"/>
    <col min="16142" max="16142" width="2.5" style="1" customWidth="1"/>
    <col min="16143" max="16384" width="9.5" style="1" customWidth="1"/>
  </cols>
  <sheetData>
    <row r="1" spans="2:13" x14ac:dyDescent="0.15">
      <c r="H1" s="3"/>
    </row>
    <row r="2" spans="2:13" x14ac:dyDescent="0.15">
      <c r="B2" s="5"/>
      <c r="C2" s="126" t="s">
        <v>606</v>
      </c>
      <c r="D2" s="41">
        <v>0.02</v>
      </c>
      <c r="F2" s="407" t="s">
        <v>607</v>
      </c>
      <c r="G2" s="408"/>
      <c r="H2" s="408"/>
      <c r="I2" s="408"/>
      <c r="J2" s="408"/>
      <c r="K2" s="408"/>
      <c r="L2" s="409"/>
    </row>
    <row r="3" spans="2:13" x14ac:dyDescent="0.15">
      <c r="B3" s="6"/>
      <c r="C3" s="127" t="s">
        <v>608</v>
      </c>
      <c r="D3" s="7">
        <v>25</v>
      </c>
      <c r="F3" s="410" t="s">
        <v>609</v>
      </c>
      <c r="G3" s="411"/>
      <c r="H3" s="411"/>
      <c r="I3" s="411"/>
      <c r="J3" s="411"/>
      <c r="K3" s="411"/>
      <c r="L3" s="412"/>
    </row>
    <row r="4" spans="2:13" x14ac:dyDescent="0.15">
      <c r="B4" s="8"/>
      <c r="C4" s="128" t="s">
        <v>610</v>
      </c>
      <c r="D4" s="9">
        <v>0.9</v>
      </c>
      <c r="F4" s="269"/>
      <c r="G4" s="39" t="s">
        <v>611</v>
      </c>
      <c r="H4" s="268"/>
      <c r="I4" s="268"/>
      <c r="J4" s="268"/>
      <c r="K4" s="268"/>
      <c r="L4" s="270"/>
    </row>
    <row r="5" spans="2:13" x14ac:dyDescent="0.15">
      <c r="F5" s="269" t="s">
        <v>612</v>
      </c>
      <c r="G5" s="39"/>
      <c r="H5" s="268"/>
      <c r="I5" s="268"/>
      <c r="J5" s="268"/>
      <c r="K5" s="268"/>
      <c r="L5" s="270"/>
    </row>
    <row r="6" spans="2:13" x14ac:dyDescent="0.15">
      <c r="B6" s="413"/>
      <c r="C6" s="413"/>
      <c r="D6" s="413"/>
      <c r="F6" s="271"/>
      <c r="G6" s="272" t="s">
        <v>613</v>
      </c>
      <c r="H6" s="273"/>
      <c r="I6" s="273"/>
      <c r="J6" s="273"/>
      <c r="K6" s="273"/>
      <c r="L6" s="274"/>
    </row>
    <row r="8" spans="2:13" x14ac:dyDescent="0.15">
      <c r="B8" s="129" t="s">
        <v>614</v>
      </c>
      <c r="C8" s="10" t="s">
        <v>615</v>
      </c>
      <c r="D8" s="11" t="s">
        <v>616</v>
      </c>
      <c r="H8" s="12"/>
      <c r="I8" s="13" t="s">
        <v>615</v>
      </c>
      <c r="J8" s="14" t="s">
        <v>617</v>
      </c>
      <c r="K8" s="15"/>
      <c r="M8" s="15"/>
    </row>
    <row r="9" spans="2:13" x14ac:dyDescent="0.15">
      <c r="B9" s="130" t="s">
        <v>618</v>
      </c>
      <c r="C9" s="16" t="s">
        <v>619</v>
      </c>
      <c r="D9" s="17" t="s">
        <v>620</v>
      </c>
      <c r="H9" s="18"/>
      <c r="I9" s="15" t="s">
        <v>621</v>
      </c>
      <c r="J9" s="19" t="s">
        <v>621</v>
      </c>
      <c r="K9" s="15"/>
      <c r="M9" s="15"/>
    </row>
    <row r="10" spans="2:13" x14ac:dyDescent="0.15">
      <c r="B10" s="20">
        <v>1</v>
      </c>
      <c r="C10" s="42">
        <v>20</v>
      </c>
      <c r="D10" s="43">
        <v>0</v>
      </c>
      <c r="E10" s="21">
        <f>CEILING(C10*D$2+5*SQRT(C10*D$2*(1-D$2)),1)</f>
        <v>4</v>
      </c>
      <c r="H10" s="22">
        <v>1</v>
      </c>
      <c r="I10" s="12">
        <f>IF(C10="","NA",C10)</f>
        <v>20</v>
      </c>
      <c r="J10" s="23">
        <f>IF(D10="","NA",D10)</f>
        <v>0</v>
      </c>
      <c r="K10" s="24"/>
      <c r="M10" s="24"/>
    </row>
    <row r="11" spans="2:13" x14ac:dyDescent="0.15">
      <c r="B11" s="20">
        <v>2</v>
      </c>
      <c r="C11" s="42">
        <v>20</v>
      </c>
      <c r="D11" s="43">
        <v>0</v>
      </c>
      <c r="E11" s="21">
        <f t="shared" ref="E11:E33" si="0">CEILING(C11*D$2+5*SQRT(C11*D$2*(1-D$2)),1)</f>
        <v>4</v>
      </c>
      <c r="H11" s="22">
        <v>2</v>
      </c>
      <c r="I11" s="22">
        <f t="shared" ref="I11:J33" si="1">IF(C11="","NA",C11)</f>
        <v>20</v>
      </c>
      <c r="J11" s="25">
        <f t="shared" si="1"/>
        <v>0</v>
      </c>
      <c r="K11" s="24"/>
      <c r="M11" s="24"/>
    </row>
    <row r="12" spans="2:13" x14ac:dyDescent="0.15">
      <c r="B12" s="20">
        <v>3</v>
      </c>
      <c r="C12" s="42">
        <v>20</v>
      </c>
      <c r="D12" s="43">
        <v>1</v>
      </c>
      <c r="E12" s="21">
        <f t="shared" si="0"/>
        <v>4</v>
      </c>
      <c r="H12" s="22">
        <v>3</v>
      </c>
      <c r="I12" s="22">
        <f t="shared" si="1"/>
        <v>20</v>
      </c>
      <c r="J12" s="25">
        <f t="shared" si="1"/>
        <v>1</v>
      </c>
      <c r="K12" s="24"/>
      <c r="M12" s="24"/>
    </row>
    <row r="13" spans="2:13" x14ac:dyDescent="0.15">
      <c r="B13" s="20">
        <v>4</v>
      </c>
      <c r="C13" s="42">
        <v>20</v>
      </c>
      <c r="D13" s="43">
        <v>0</v>
      </c>
      <c r="E13" s="21">
        <f t="shared" si="0"/>
        <v>4</v>
      </c>
      <c r="H13" s="22">
        <v>4</v>
      </c>
      <c r="I13" s="22">
        <f t="shared" si="1"/>
        <v>20</v>
      </c>
      <c r="J13" s="25">
        <f t="shared" si="1"/>
        <v>0</v>
      </c>
      <c r="K13" s="24"/>
      <c r="M13" s="24"/>
    </row>
    <row r="14" spans="2:13" x14ac:dyDescent="0.15">
      <c r="B14" s="20">
        <v>5</v>
      </c>
      <c r="C14" s="42">
        <v>20</v>
      </c>
      <c r="D14" s="43">
        <v>0</v>
      </c>
      <c r="E14" s="21">
        <f t="shared" si="0"/>
        <v>4</v>
      </c>
      <c r="H14" s="22">
        <v>5</v>
      </c>
      <c r="I14" s="22">
        <f t="shared" si="1"/>
        <v>20</v>
      </c>
      <c r="J14" s="25">
        <f t="shared" si="1"/>
        <v>0</v>
      </c>
      <c r="K14" s="24"/>
      <c r="M14" s="24"/>
    </row>
    <row r="15" spans="2:13" x14ac:dyDescent="0.15">
      <c r="B15" s="20">
        <v>6</v>
      </c>
      <c r="C15" s="42">
        <v>20</v>
      </c>
      <c r="D15" s="43">
        <v>1</v>
      </c>
      <c r="E15" s="21">
        <f t="shared" si="0"/>
        <v>4</v>
      </c>
      <c r="H15" s="22">
        <v>6</v>
      </c>
      <c r="I15" s="22">
        <f t="shared" si="1"/>
        <v>20</v>
      </c>
      <c r="J15" s="25">
        <f t="shared" si="1"/>
        <v>1</v>
      </c>
      <c r="K15" s="24"/>
      <c r="M15" s="24"/>
    </row>
    <row r="16" spans="2:13" x14ac:dyDescent="0.15">
      <c r="B16" s="20">
        <v>7</v>
      </c>
      <c r="C16" s="42">
        <v>20</v>
      </c>
      <c r="D16" s="43">
        <v>0</v>
      </c>
      <c r="E16" s="21">
        <f t="shared" si="0"/>
        <v>4</v>
      </c>
      <c r="H16" s="22">
        <v>7</v>
      </c>
      <c r="I16" s="22">
        <f t="shared" si="1"/>
        <v>20</v>
      </c>
      <c r="J16" s="25">
        <f t="shared" si="1"/>
        <v>0</v>
      </c>
      <c r="K16" s="24"/>
      <c r="M16" s="24"/>
    </row>
    <row r="17" spans="2:13" x14ac:dyDescent="0.15">
      <c r="B17" s="20">
        <v>8</v>
      </c>
      <c r="C17" s="42">
        <v>20</v>
      </c>
      <c r="D17" s="43">
        <v>0</v>
      </c>
      <c r="E17" s="21">
        <f t="shared" si="0"/>
        <v>4</v>
      </c>
      <c r="H17" s="22">
        <v>8</v>
      </c>
      <c r="I17" s="22">
        <f t="shared" si="1"/>
        <v>20</v>
      </c>
      <c r="J17" s="25">
        <f t="shared" si="1"/>
        <v>0</v>
      </c>
      <c r="K17" s="24"/>
      <c r="M17" s="24"/>
    </row>
    <row r="18" spans="2:13" x14ac:dyDescent="0.15">
      <c r="B18" s="20">
        <v>9</v>
      </c>
      <c r="C18" s="42">
        <v>20</v>
      </c>
      <c r="D18" s="43">
        <v>0</v>
      </c>
      <c r="E18" s="21">
        <f t="shared" si="0"/>
        <v>4</v>
      </c>
      <c r="H18" s="22">
        <v>9</v>
      </c>
      <c r="I18" s="22">
        <f t="shared" si="1"/>
        <v>20</v>
      </c>
      <c r="J18" s="25">
        <f t="shared" si="1"/>
        <v>0</v>
      </c>
      <c r="K18" s="24"/>
      <c r="M18" s="24"/>
    </row>
    <row r="19" spans="2:13" x14ac:dyDescent="0.15">
      <c r="B19" s="20">
        <v>10</v>
      </c>
      <c r="C19" s="42">
        <v>20</v>
      </c>
      <c r="D19" s="43">
        <v>0</v>
      </c>
      <c r="E19" s="21">
        <f t="shared" si="0"/>
        <v>4</v>
      </c>
      <c r="H19" s="22">
        <v>10</v>
      </c>
      <c r="I19" s="22">
        <f t="shared" si="1"/>
        <v>20</v>
      </c>
      <c r="J19" s="25">
        <f t="shared" si="1"/>
        <v>0</v>
      </c>
      <c r="K19" s="24"/>
      <c r="M19" s="24"/>
    </row>
    <row r="20" spans="2:13" x14ac:dyDescent="0.15">
      <c r="B20" s="20">
        <v>11</v>
      </c>
      <c r="C20" s="42" t="s">
        <v>164</v>
      </c>
      <c r="D20" s="43" t="s">
        <v>164</v>
      </c>
      <c r="E20" s="21" t="e">
        <f t="shared" si="0"/>
        <v>#VALUE!</v>
      </c>
      <c r="H20" s="22">
        <v>11</v>
      </c>
      <c r="I20" s="22" t="str">
        <f t="shared" si="1"/>
        <v>N/A</v>
      </c>
      <c r="J20" s="25" t="str">
        <f t="shared" si="1"/>
        <v>N/A</v>
      </c>
      <c r="K20" s="24"/>
      <c r="M20" s="24"/>
    </row>
    <row r="21" spans="2:13" x14ac:dyDescent="0.15">
      <c r="B21" s="20">
        <v>12</v>
      </c>
      <c r="C21" s="42" t="s">
        <v>164</v>
      </c>
      <c r="D21" s="43" t="s">
        <v>164</v>
      </c>
      <c r="E21" s="21" t="e">
        <f t="shared" si="0"/>
        <v>#VALUE!</v>
      </c>
      <c r="H21" s="22">
        <v>12</v>
      </c>
      <c r="I21" s="22" t="str">
        <f t="shared" si="1"/>
        <v>N/A</v>
      </c>
      <c r="J21" s="25" t="str">
        <f t="shared" si="1"/>
        <v>N/A</v>
      </c>
      <c r="K21" s="24"/>
      <c r="M21" s="24"/>
    </row>
    <row r="22" spans="2:13" x14ac:dyDescent="0.15">
      <c r="B22" s="20">
        <v>13</v>
      </c>
      <c r="C22" s="42" t="s">
        <v>164</v>
      </c>
      <c r="D22" s="43" t="s">
        <v>164</v>
      </c>
      <c r="E22" s="21" t="e">
        <f t="shared" si="0"/>
        <v>#VALUE!</v>
      </c>
      <c r="H22" s="22">
        <v>13</v>
      </c>
      <c r="I22" s="22" t="str">
        <f t="shared" si="1"/>
        <v>N/A</v>
      </c>
      <c r="J22" s="25" t="str">
        <f t="shared" si="1"/>
        <v>N/A</v>
      </c>
      <c r="K22" s="24"/>
      <c r="M22" s="24"/>
    </row>
    <row r="23" spans="2:13" x14ac:dyDescent="0.15">
      <c r="B23" s="20">
        <v>14</v>
      </c>
      <c r="C23" s="42" t="s">
        <v>164</v>
      </c>
      <c r="D23" s="43" t="s">
        <v>164</v>
      </c>
      <c r="E23" s="21" t="e">
        <f t="shared" si="0"/>
        <v>#VALUE!</v>
      </c>
      <c r="H23" s="22">
        <v>14</v>
      </c>
      <c r="I23" s="22" t="str">
        <f t="shared" si="1"/>
        <v>N/A</v>
      </c>
      <c r="J23" s="25" t="str">
        <f t="shared" si="1"/>
        <v>N/A</v>
      </c>
      <c r="K23" s="24"/>
      <c r="M23" s="24"/>
    </row>
    <row r="24" spans="2:13" x14ac:dyDescent="0.15">
      <c r="B24" s="20">
        <v>15</v>
      </c>
      <c r="C24" s="42" t="s">
        <v>164</v>
      </c>
      <c r="D24" s="43" t="s">
        <v>164</v>
      </c>
      <c r="E24" s="21" t="e">
        <f t="shared" si="0"/>
        <v>#VALUE!</v>
      </c>
      <c r="H24" s="22">
        <v>15</v>
      </c>
      <c r="I24" s="22" t="str">
        <f t="shared" si="1"/>
        <v>N/A</v>
      </c>
      <c r="J24" s="25" t="str">
        <f t="shared" si="1"/>
        <v>N/A</v>
      </c>
      <c r="K24" s="24"/>
      <c r="M24" s="24"/>
    </row>
    <row r="25" spans="2:13" x14ac:dyDescent="0.15">
      <c r="B25" s="20">
        <v>16</v>
      </c>
      <c r="C25" s="42" t="s">
        <v>164</v>
      </c>
      <c r="D25" s="43" t="s">
        <v>164</v>
      </c>
      <c r="E25" s="21" t="e">
        <f t="shared" si="0"/>
        <v>#VALUE!</v>
      </c>
      <c r="H25" s="22">
        <v>16</v>
      </c>
      <c r="I25" s="22" t="str">
        <f t="shared" si="1"/>
        <v>N/A</v>
      </c>
      <c r="J25" s="25" t="str">
        <f t="shared" si="1"/>
        <v>N/A</v>
      </c>
      <c r="K25" s="24"/>
      <c r="M25" s="24"/>
    </row>
    <row r="26" spans="2:13" x14ac:dyDescent="0.15">
      <c r="B26" s="20">
        <v>17</v>
      </c>
      <c r="C26" s="42" t="s">
        <v>164</v>
      </c>
      <c r="D26" s="43" t="s">
        <v>164</v>
      </c>
      <c r="E26" s="21" t="e">
        <f t="shared" si="0"/>
        <v>#VALUE!</v>
      </c>
      <c r="H26" s="22">
        <v>17</v>
      </c>
      <c r="I26" s="22" t="str">
        <f t="shared" si="1"/>
        <v>N/A</v>
      </c>
      <c r="J26" s="25" t="str">
        <f t="shared" si="1"/>
        <v>N/A</v>
      </c>
      <c r="K26" s="24"/>
      <c r="M26" s="24"/>
    </row>
    <row r="27" spans="2:13" x14ac:dyDescent="0.15">
      <c r="B27" s="20">
        <v>18</v>
      </c>
      <c r="C27" s="42" t="s">
        <v>164</v>
      </c>
      <c r="D27" s="43" t="s">
        <v>164</v>
      </c>
      <c r="E27" s="21" t="e">
        <f t="shared" si="0"/>
        <v>#VALUE!</v>
      </c>
      <c r="H27" s="22">
        <v>18</v>
      </c>
      <c r="I27" s="22" t="str">
        <f t="shared" si="1"/>
        <v>N/A</v>
      </c>
      <c r="J27" s="25" t="str">
        <f t="shared" si="1"/>
        <v>N/A</v>
      </c>
      <c r="K27" s="24"/>
      <c r="M27" s="24"/>
    </row>
    <row r="28" spans="2:13" x14ac:dyDescent="0.15">
      <c r="B28" s="20">
        <v>19</v>
      </c>
      <c r="C28" s="42" t="s">
        <v>164</v>
      </c>
      <c r="D28" s="43" t="s">
        <v>164</v>
      </c>
      <c r="E28" s="21" t="e">
        <f t="shared" si="0"/>
        <v>#VALUE!</v>
      </c>
      <c r="H28" s="22">
        <v>19</v>
      </c>
      <c r="I28" s="22" t="str">
        <f t="shared" si="1"/>
        <v>N/A</v>
      </c>
      <c r="J28" s="25" t="str">
        <f t="shared" si="1"/>
        <v>N/A</v>
      </c>
      <c r="K28" s="24"/>
      <c r="M28" s="24"/>
    </row>
    <row r="29" spans="2:13" x14ac:dyDescent="0.15">
      <c r="B29" s="20">
        <v>20</v>
      </c>
      <c r="C29" s="42" t="s">
        <v>164</v>
      </c>
      <c r="D29" s="43" t="s">
        <v>164</v>
      </c>
      <c r="E29" s="21" t="e">
        <f t="shared" si="0"/>
        <v>#VALUE!</v>
      </c>
      <c r="H29" s="22">
        <v>20</v>
      </c>
      <c r="I29" s="22" t="str">
        <f t="shared" si="1"/>
        <v>N/A</v>
      </c>
      <c r="J29" s="25" t="str">
        <f t="shared" si="1"/>
        <v>N/A</v>
      </c>
      <c r="K29" s="24"/>
      <c r="M29" s="24"/>
    </row>
    <row r="30" spans="2:13" x14ac:dyDescent="0.15">
      <c r="B30" s="20">
        <v>21</v>
      </c>
      <c r="C30" s="42" t="s">
        <v>164</v>
      </c>
      <c r="D30" s="43" t="s">
        <v>164</v>
      </c>
      <c r="E30" s="21" t="e">
        <f t="shared" si="0"/>
        <v>#VALUE!</v>
      </c>
      <c r="H30" s="22">
        <v>21</v>
      </c>
      <c r="I30" s="22" t="str">
        <f t="shared" si="1"/>
        <v>N/A</v>
      </c>
      <c r="J30" s="25" t="str">
        <f t="shared" si="1"/>
        <v>N/A</v>
      </c>
      <c r="K30" s="24"/>
      <c r="M30" s="24"/>
    </row>
    <row r="31" spans="2:13" x14ac:dyDescent="0.15">
      <c r="B31" s="20">
        <v>22</v>
      </c>
      <c r="C31" s="42" t="s">
        <v>164</v>
      </c>
      <c r="D31" s="43" t="s">
        <v>164</v>
      </c>
      <c r="E31" s="21" t="e">
        <f t="shared" si="0"/>
        <v>#VALUE!</v>
      </c>
      <c r="H31" s="22">
        <v>22</v>
      </c>
      <c r="I31" s="22" t="str">
        <f t="shared" si="1"/>
        <v>N/A</v>
      </c>
      <c r="J31" s="25" t="str">
        <f t="shared" si="1"/>
        <v>N/A</v>
      </c>
      <c r="K31" s="24"/>
      <c r="M31" s="24"/>
    </row>
    <row r="32" spans="2:13" x14ac:dyDescent="0.15">
      <c r="B32" s="20">
        <v>23</v>
      </c>
      <c r="C32" s="42" t="s">
        <v>164</v>
      </c>
      <c r="D32" s="43" t="s">
        <v>164</v>
      </c>
      <c r="E32" s="21" t="e">
        <f t="shared" si="0"/>
        <v>#VALUE!</v>
      </c>
      <c r="H32" s="22">
        <v>23</v>
      </c>
      <c r="I32" s="22" t="str">
        <f t="shared" si="1"/>
        <v>N/A</v>
      </c>
      <c r="J32" s="25" t="str">
        <f t="shared" si="1"/>
        <v>N/A</v>
      </c>
      <c r="K32" s="24"/>
      <c r="M32" s="24"/>
    </row>
    <row r="33" spans="2:13" x14ac:dyDescent="0.15">
      <c r="B33" s="20">
        <v>24</v>
      </c>
      <c r="C33" s="42" t="s">
        <v>164</v>
      </c>
      <c r="D33" s="43" t="s">
        <v>164</v>
      </c>
      <c r="E33" s="21" t="e">
        <f t="shared" si="0"/>
        <v>#VALUE!</v>
      </c>
      <c r="H33" s="22">
        <v>24</v>
      </c>
      <c r="I33" s="18" t="str">
        <f t="shared" si="1"/>
        <v>N/A</v>
      </c>
      <c r="J33" s="26" t="str">
        <f t="shared" si="1"/>
        <v>N/A</v>
      </c>
      <c r="K33" s="24"/>
      <c r="M33" s="24"/>
    </row>
    <row r="34" spans="2:13" x14ac:dyDescent="0.15">
      <c r="B34" s="27" t="s">
        <v>622</v>
      </c>
      <c r="C34" s="28">
        <f>SUM(C10:C33)</f>
        <v>200</v>
      </c>
      <c r="D34" s="9">
        <f>SUM(D10:D33)</f>
        <v>2</v>
      </c>
      <c r="H34" s="29" t="s">
        <v>622</v>
      </c>
      <c r="I34" s="30">
        <f>SUM(I10:I19)</f>
        <v>200</v>
      </c>
      <c r="J34" s="26">
        <f>SUM(J10:J19)</f>
        <v>2</v>
      </c>
      <c r="K34" s="24"/>
      <c r="M34" s="24"/>
    </row>
    <row r="35" spans="2:13" ht="13.25" customHeight="1" x14ac:dyDescent="0.15">
      <c r="B35" s="44"/>
      <c r="C35" s="131"/>
      <c r="D35" s="45"/>
    </row>
    <row r="36" spans="2:13" x14ac:dyDescent="0.15">
      <c r="B36" s="414"/>
      <c r="C36" s="414"/>
      <c r="D36" s="46"/>
      <c r="F36" s="31"/>
    </row>
    <row r="37" spans="2:13" x14ac:dyDescent="0.15">
      <c r="B37" s="132"/>
      <c r="K37" s="133"/>
      <c r="L37" s="415"/>
      <c r="M37" s="415"/>
    </row>
    <row r="38" spans="2:13" x14ac:dyDescent="0.15">
      <c r="B38" s="416" t="s">
        <v>623</v>
      </c>
      <c r="C38" s="417"/>
      <c r="D38" s="417"/>
      <c r="E38" s="417"/>
      <c r="F38" s="417"/>
      <c r="G38" s="417"/>
      <c r="H38" s="417"/>
      <c r="I38" s="418"/>
      <c r="J38" s="134"/>
      <c r="K38" s="135"/>
      <c r="L38" s="419" t="s">
        <v>1191</v>
      </c>
      <c r="M38" s="419"/>
    </row>
    <row r="39" spans="2:13" x14ac:dyDescent="0.15">
      <c r="B39" s="421" t="s">
        <v>164</v>
      </c>
      <c r="C39" s="422"/>
      <c r="D39" s="422"/>
      <c r="E39" s="422"/>
      <c r="F39" s="422"/>
      <c r="G39" s="422"/>
      <c r="H39" s="422"/>
      <c r="I39" s="423"/>
      <c r="J39" s="40"/>
      <c r="K39" s="136" t="s">
        <v>624</v>
      </c>
      <c r="L39" s="420"/>
      <c r="M39" s="420"/>
    </row>
    <row r="40" spans="2:13" x14ac:dyDescent="0.15">
      <c r="B40" s="424"/>
      <c r="C40" s="425"/>
      <c r="D40" s="425"/>
      <c r="E40" s="425"/>
      <c r="F40" s="425"/>
      <c r="G40" s="425"/>
      <c r="H40" s="425"/>
      <c r="I40" s="426"/>
      <c r="J40" s="40"/>
      <c r="K40" s="133"/>
      <c r="L40" s="1"/>
    </row>
    <row r="41" spans="2:13" x14ac:dyDescent="0.15">
      <c r="B41" s="424"/>
      <c r="C41" s="425"/>
      <c r="D41" s="425"/>
      <c r="E41" s="425"/>
      <c r="F41" s="425"/>
      <c r="G41" s="425"/>
      <c r="H41" s="425"/>
      <c r="I41" s="426"/>
      <c r="J41" s="40"/>
      <c r="L41" s="415"/>
      <c r="M41" s="415"/>
    </row>
    <row r="42" spans="2:13" x14ac:dyDescent="0.15">
      <c r="B42" s="424"/>
      <c r="C42" s="425"/>
      <c r="D42" s="425"/>
      <c r="E42" s="425"/>
      <c r="F42" s="425"/>
      <c r="G42" s="425"/>
      <c r="H42" s="425"/>
      <c r="I42" s="426"/>
      <c r="J42" s="40"/>
      <c r="K42" s="135"/>
      <c r="L42" s="430" t="s">
        <v>1187</v>
      </c>
      <c r="M42" s="419"/>
    </row>
    <row r="43" spans="2:13" x14ac:dyDescent="0.15">
      <c r="B43" s="427"/>
      <c r="C43" s="428"/>
      <c r="D43" s="428"/>
      <c r="E43" s="428"/>
      <c r="F43" s="428"/>
      <c r="G43" s="428"/>
      <c r="H43" s="428"/>
      <c r="I43" s="429"/>
      <c r="J43" s="40"/>
      <c r="K43" s="136" t="s">
        <v>317</v>
      </c>
      <c r="L43" s="420"/>
      <c r="M43" s="420"/>
    </row>
    <row r="44" spans="2:13" x14ac:dyDescent="0.15">
      <c r="H44" s="406" t="s">
        <v>625</v>
      </c>
      <c r="I44" s="406"/>
      <c r="J44" s="406"/>
      <c r="K44" s="406"/>
      <c r="L44" s="406"/>
    </row>
    <row r="45" spans="2:13" x14ac:dyDescent="0.15">
      <c r="F45" s="1"/>
      <c r="H45" s="47"/>
      <c r="I45" s="48" t="s">
        <v>615</v>
      </c>
      <c r="J45" s="48" t="s">
        <v>616</v>
      </c>
      <c r="K45" s="48" t="s">
        <v>626</v>
      </c>
      <c r="L45" s="49"/>
    </row>
    <row r="46" spans="2:13" x14ac:dyDescent="0.15">
      <c r="H46" s="50"/>
      <c r="I46" s="51" t="s">
        <v>622</v>
      </c>
      <c r="J46" s="51" t="s">
        <v>622</v>
      </c>
      <c r="K46" s="51" t="s">
        <v>627</v>
      </c>
      <c r="L46" s="52" t="s">
        <v>628</v>
      </c>
      <c r="M46" s="15"/>
    </row>
    <row r="47" spans="2:13" x14ac:dyDescent="0.15">
      <c r="H47" s="50">
        <v>1</v>
      </c>
      <c r="I47" s="34">
        <f>IF(I10="NA","NA",I10)</f>
        <v>20</v>
      </c>
      <c r="J47" s="34">
        <f>IF(J10="NA","NA",J10)</f>
        <v>0</v>
      </c>
      <c r="K47" s="53">
        <f>IF(I47="NA","NA",J47/I47)</f>
        <v>0</v>
      </c>
      <c r="L47" s="54">
        <f>HistoricalAccuStats!C22</f>
        <v>0.14862790937658446</v>
      </c>
      <c r="M47" s="15"/>
    </row>
    <row r="48" spans="2:13" x14ac:dyDescent="0.15">
      <c r="H48" s="50">
        <v>2</v>
      </c>
      <c r="I48" s="34">
        <f t="shared" ref="I48:J63" si="2">IF(I11="NA","NA",I11+I47)</f>
        <v>40</v>
      </c>
      <c r="J48" s="34">
        <f t="shared" si="2"/>
        <v>0</v>
      </c>
      <c r="K48" s="53">
        <f>IF(I48="NA",-10,J48/I48)</f>
        <v>0</v>
      </c>
      <c r="L48" s="54">
        <f>HistoricalAccuStats!C23</f>
        <v>9.0057962325347005E-2</v>
      </c>
      <c r="M48" s="24"/>
    </row>
    <row r="49" spans="8:13" x14ac:dyDescent="0.15">
      <c r="H49" s="50">
        <v>3</v>
      </c>
      <c r="I49" s="34">
        <f t="shared" si="2"/>
        <v>60</v>
      </c>
      <c r="J49" s="34">
        <f t="shared" si="2"/>
        <v>1</v>
      </c>
      <c r="K49" s="53">
        <f t="shared" ref="K49:K70" si="3">IF(I49="NA",-10,J49/I49)</f>
        <v>1.6666666666666666E-2</v>
      </c>
      <c r="L49" s="54">
        <f>HistoricalAccuStats!C24</f>
        <v>6.9410823142639175E-2</v>
      </c>
      <c r="M49" s="24"/>
    </row>
    <row r="50" spans="8:13" x14ac:dyDescent="0.15">
      <c r="H50" s="50">
        <v>4</v>
      </c>
      <c r="I50" s="34">
        <f t="shared" si="2"/>
        <v>80</v>
      </c>
      <c r="J50" s="34">
        <f t="shared" si="2"/>
        <v>1</v>
      </c>
      <c r="K50" s="53">
        <f t="shared" si="3"/>
        <v>1.2500000000000001E-2</v>
      </c>
      <c r="L50" s="54">
        <f>HistoricalAccuStats!C25</f>
        <v>5.8821631097975884E-2</v>
      </c>
      <c r="M50" s="24"/>
    </row>
    <row r="51" spans="8:13" x14ac:dyDescent="0.15">
      <c r="H51" s="50">
        <v>5</v>
      </c>
      <c r="I51" s="34">
        <f t="shared" si="2"/>
        <v>100</v>
      </c>
      <c r="J51" s="34">
        <f t="shared" si="2"/>
        <v>1</v>
      </c>
      <c r="K51" s="53">
        <f t="shared" si="3"/>
        <v>0.01</v>
      </c>
      <c r="L51" s="54">
        <f>HistoricalAccuStats!C26</f>
        <v>5.2345290180388124E-2</v>
      </c>
      <c r="M51" s="24"/>
    </row>
    <row r="52" spans="8:13" x14ac:dyDescent="0.15">
      <c r="H52" s="50">
        <v>6</v>
      </c>
      <c r="I52" s="34">
        <f t="shared" si="2"/>
        <v>120</v>
      </c>
      <c r="J52" s="34">
        <f t="shared" si="2"/>
        <v>2</v>
      </c>
      <c r="K52" s="53">
        <f t="shared" si="3"/>
        <v>1.6666666666666666E-2</v>
      </c>
      <c r="L52" s="54">
        <f>HistoricalAccuStats!C27</f>
        <v>4.9449305557185144E-2</v>
      </c>
      <c r="M52" s="24"/>
    </row>
    <row r="53" spans="8:13" x14ac:dyDescent="0.15">
      <c r="H53" s="50">
        <v>7</v>
      </c>
      <c r="I53" s="34">
        <f t="shared" si="2"/>
        <v>140</v>
      </c>
      <c r="J53" s="34">
        <f t="shared" si="2"/>
        <v>2</v>
      </c>
      <c r="K53" s="53">
        <f t="shared" si="3"/>
        <v>1.4285714285714285E-2</v>
      </c>
      <c r="L53" s="54">
        <f>HistoricalAccuStats!C28</f>
        <v>4.5946665708491694E-2</v>
      </c>
      <c r="M53" s="24"/>
    </row>
    <row r="54" spans="8:13" x14ac:dyDescent="0.15">
      <c r="H54" s="50">
        <v>8</v>
      </c>
      <c r="I54" s="34">
        <f t="shared" si="2"/>
        <v>160</v>
      </c>
      <c r="J54" s="34">
        <f t="shared" si="2"/>
        <v>2</v>
      </c>
      <c r="K54" s="53">
        <f t="shared" si="3"/>
        <v>1.2500000000000001E-2</v>
      </c>
      <c r="L54" s="54">
        <f>HistoricalAccuStats!C29</f>
        <v>4.3305320007228448E-2</v>
      </c>
      <c r="M54" s="24"/>
    </row>
    <row r="55" spans="8:13" x14ac:dyDescent="0.15">
      <c r="H55" s="50">
        <v>9</v>
      </c>
      <c r="I55" s="34">
        <f t="shared" si="2"/>
        <v>180</v>
      </c>
      <c r="J55" s="34">
        <f t="shared" si="2"/>
        <v>2</v>
      </c>
      <c r="K55" s="53">
        <f t="shared" si="3"/>
        <v>1.1111111111111112E-2</v>
      </c>
      <c r="L55" s="54">
        <f>HistoricalAccuStats!C30</f>
        <v>4.1237407233679253E-2</v>
      </c>
      <c r="M55" s="24"/>
    </row>
    <row r="56" spans="8:13" x14ac:dyDescent="0.15">
      <c r="H56" s="50">
        <v>10</v>
      </c>
      <c r="I56" s="34">
        <f t="shared" si="2"/>
        <v>200</v>
      </c>
      <c r="J56" s="34">
        <f t="shared" si="2"/>
        <v>2</v>
      </c>
      <c r="K56" s="53">
        <f t="shared" si="3"/>
        <v>0.01</v>
      </c>
      <c r="L56" s="54">
        <f>HistoricalAccuStats!C31</f>
        <v>3.9569892809598967E-2</v>
      </c>
      <c r="M56" s="24"/>
    </row>
    <row r="57" spans="8:13" x14ac:dyDescent="0.15">
      <c r="H57" s="50">
        <v>11</v>
      </c>
      <c r="I57" s="34" t="e">
        <f t="shared" si="2"/>
        <v>#VALUE!</v>
      </c>
      <c r="J57" s="34" t="e">
        <f t="shared" si="2"/>
        <v>#VALUE!</v>
      </c>
      <c r="K57" s="53" t="e">
        <f t="shared" si="3"/>
        <v>#VALUE!</v>
      </c>
      <c r="L57" s="54" t="e">
        <f>HistoricalAccuStats!C32</f>
        <v>#VALUE!</v>
      </c>
      <c r="M57" s="24"/>
    </row>
    <row r="58" spans="8:13" x14ac:dyDescent="0.15">
      <c r="H58" s="50">
        <v>12</v>
      </c>
      <c r="I58" s="34" t="e">
        <f t="shared" si="2"/>
        <v>#VALUE!</v>
      </c>
      <c r="J58" s="34" t="e">
        <f t="shared" si="2"/>
        <v>#VALUE!</v>
      </c>
      <c r="K58" s="53" t="e">
        <f t="shared" si="3"/>
        <v>#VALUE!</v>
      </c>
      <c r="L58" s="54" t="e">
        <f>HistoricalAccuStats!C33</f>
        <v>#VALUE!</v>
      </c>
    </row>
    <row r="59" spans="8:13" x14ac:dyDescent="0.15">
      <c r="H59" s="50">
        <v>13</v>
      </c>
      <c r="I59" s="34" t="e">
        <f t="shared" si="2"/>
        <v>#VALUE!</v>
      </c>
      <c r="J59" s="34" t="e">
        <f t="shared" si="2"/>
        <v>#VALUE!</v>
      </c>
      <c r="K59" s="53" t="e">
        <f t="shared" si="3"/>
        <v>#VALUE!</v>
      </c>
      <c r="L59" s="54" t="e">
        <f>HistoricalAccuStats!C34</f>
        <v>#VALUE!</v>
      </c>
    </row>
    <row r="60" spans="8:13" x14ac:dyDescent="0.15">
      <c r="H60" s="50">
        <v>14</v>
      </c>
      <c r="I60" s="34" t="e">
        <f t="shared" si="2"/>
        <v>#VALUE!</v>
      </c>
      <c r="J60" s="34" t="e">
        <f t="shared" si="2"/>
        <v>#VALUE!</v>
      </c>
      <c r="K60" s="53" t="e">
        <f t="shared" si="3"/>
        <v>#VALUE!</v>
      </c>
      <c r="L60" s="54" t="e">
        <f>HistoricalAccuStats!C35</f>
        <v>#VALUE!</v>
      </c>
      <c r="M60" s="24"/>
    </row>
    <row r="61" spans="8:13" x14ac:dyDescent="0.15">
      <c r="H61" s="50">
        <v>15</v>
      </c>
      <c r="I61" s="34" t="e">
        <f t="shared" si="2"/>
        <v>#VALUE!</v>
      </c>
      <c r="J61" s="34" t="e">
        <f t="shared" si="2"/>
        <v>#VALUE!</v>
      </c>
      <c r="K61" s="53" t="e">
        <f t="shared" si="3"/>
        <v>#VALUE!</v>
      </c>
      <c r="L61" s="54" t="e">
        <f>HistoricalAccuStats!C36</f>
        <v>#VALUE!</v>
      </c>
      <c r="M61" s="24"/>
    </row>
    <row r="62" spans="8:13" x14ac:dyDescent="0.15">
      <c r="H62" s="50">
        <v>16</v>
      </c>
      <c r="I62" s="34" t="e">
        <f t="shared" si="2"/>
        <v>#VALUE!</v>
      </c>
      <c r="J62" s="34" t="e">
        <f t="shared" si="2"/>
        <v>#VALUE!</v>
      </c>
      <c r="K62" s="53" t="e">
        <f t="shared" si="3"/>
        <v>#VALUE!</v>
      </c>
      <c r="L62" s="54" t="e">
        <f>HistoricalAccuStats!C37</f>
        <v>#VALUE!</v>
      </c>
    </row>
    <row r="63" spans="8:13" x14ac:dyDescent="0.15">
      <c r="H63" s="50">
        <v>17</v>
      </c>
      <c r="I63" s="34" t="e">
        <f t="shared" si="2"/>
        <v>#VALUE!</v>
      </c>
      <c r="J63" s="34" t="e">
        <f t="shared" si="2"/>
        <v>#VALUE!</v>
      </c>
      <c r="K63" s="53" t="e">
        <f t="shared" si="3"/>
        <v>#VALUE!</v>
      </c>
      <c r="L63" s="54" t="e">
        <f>HistoricalAccuStats!C38</f>
        <v>#VALUE!</v>
      </c>
    </row>
    <row r="64" spans="8:13" x14ac:dyDescent="0.15">
      <c r="H64" s="50">
        <v>18</v>
      </c>
      <c r="I64" s="34" t="e">
        <f t="shared" ref="I64:J70" si="4">IF(I27="NA","NA",I27+I63)</f>
        <v>#VALUE!</v>
      </c>
      <c r="J64" s="34" t="e">
        <f t="shared" si="4"/>
        <v>#VALUE!</v>
      </c>
      <c r="K64" s="53" t="e">
        <f t="shared" si="3"/>
        <v>#VALUE!</v>
      </c>
      <c r="L64" s="54" t="e">
        <f>HistoricalAccuStats!C39</f>
        <v>#VALUE!</v>
      </c>
    </row>
    <row r="65" spans="8:12" x14ac:dyDescent="0.15">
      <c r="H65" s="50">
        <v>19</v>
      </c>
      <c r="I65" s="34" t="e">
        <f t="shared" si="4"/>
        <v>#VALUE!</v>
      </c>
      <c r="J65" s="34" t="e">
        <f t="shared" si="4"/>
        <v>#VALUE!</v>
      </c>
      <c r="K65" s="53" t="e">
        <f t="shared" si="3"/>
        <v>#VALUE!</v>
      </c>
      <c r="L65" s="54" t="e">
        <f>HistoricalAccuStats!C40</f>
        <v>#VALUE!</v>
      </c>
    </row>
    <row r="66" spans="8:12" x14ac:dyDescent="0.15">
      <c r="H66" s="50">
        <v>20</v>
      </c>
      <c r="I66" s="34" t="e">
        <f t="shared" si="4"/>
        <v>#VALUE!</v>
      </c>
      <c r="J66" s="34" t="e">
        <f t="shared" si="4"/>
        <v>#VALUE!</v>
      </c>
      <c r="K66" s="53" t="e">
        <f t="shared" si="3"/>
        <v>#VALUE!</v>
      </c>
      <c r="L66" s="54" t="e">
        <f>HistoricalAccuStats!C41</f>
        <v>#VALUE!</v>
      </c>
    </row>
    <row r="67" spans="8:12" x14ac:dyDescent="0.15">
      <c r="H67" s="50">
        <v>21</v>
      </c>
      <c r="I67" s="34" t="e">
        <f t="shared" si="4"/>
        <v>#VALUE!</v>
      </c>
      <c r="J67" s="34" t="e">
        <f t="shared" si="4"/>
        <v>#VALUE!</v>
      </c>
      <c r="K67" s="53" t="e">
        <f t="shared" si="3"/>
        <v>#VALUE!</v>
      </c>
      <c r="L67" s="54" t="e">
        <f>HistoricalAccuStats!C42</f>
        <v>#VALUE!</v>
      </c>
    </row>
    <row r="68" spans="8:12" x14ac:dyDescent="0.15">
      <c r="H68" s="50">
        <v>22</v>
      </c>
      <c r="I68" s="34" t="e">
        <f t="shared" si="4"/>
        <v>#VALUE!</v>
      </c>
      <c r="J68" s="34" t="e">
        <f t="shared" si="4"/>
        <v>#VALUE!</v>
      </c>
      <c r="K68" s="53" t="e">
        <f t="shared" si="3"/>
        <v>#VALUE!</v>
      </c>
      <c r="L68" s="54" t="e">
        <f>HistoricalAccuStats!C43</f>
        <v>#VALUE!</v>
      </c>
    </row>
    <row r="69" spans="8:12" x14ac:dyDescent="0.15">
      <c r="H69" s="50">
        <v>23</v>
      </c>
      <c r="I69" s="34" t="e">
        <f t="shared" si="4"/>
        <v>#VALUE!</v>
      </c>
      <c r="J69" s="34" t="e">
        <f t="shared" si="4"/>
        <v>#VALUE!</v>
      </c>
      <c r="K69" s="53" t="e">
        <f t="shared" si="3"/>
        <v>#VALUE!</v>
      </c>
      <c r="L69" s="54" t="e">
        <f>HistoricalAccuStats!C44</f>
        <v>#VALUE!</v>
      </c>
    </row>
    <row r="70" spans="8:12" x14ac:dyDescent="0.15">
      <c r="H70" s="55">
        <v>24</v>
      </c>
      <c r="I70" s="56" t="e">
        <f t="shared" si="4"/>
        <v>#VALUE!</v>
      </c>
      <c r="J70" s="56" t="e">
        <f t="shared" si="4"/>
        <v>#VALUE!</v>
      </c>
      <c r="K70" s="57" t="e">
        <f t="shared" si="3"/>
        <v>#VALUE!</v>
      </c>
      <c r="L70" s="54" t="e">
        <f>HistoricalAccuStats!C45</f>
        <v>#VALUE!</v>
      </c>
    </row>
    <row r="71" spans="8:12" x14ac:dyDescent="0.15">
      <c r="K71" s="24"/>
    </row>
    <row r="115" spans="6:12" x14ac:dyDescent="0.15">
      <c r="F115" s="32"/>
      <c r="G115" s="33"/>
      <c r="H115" s="34"/>
      <c r="I115" s="34"/>
      <c r="J115" s="34"/>
      <c r="K115" s="34"/>
      <c r="L115" s="34"/>
    </row>
  </sheetData>
  <mergeCells count="11">
    <mergeCell ref="H44:L44"/>
    <mergeCell ref="F2:L2"/>
    <mergeCell ref="F3:L3"/>
    <mergeCell ref="B6:D6"/>
    <mergeCell ref="B36:C36"/>
    <mergeCell ref="L37:M37"/>
    <mergeCell ref="B38:I38"/>
    <mergeCell ref="L38:M39"/>
    <mergeCell ref="B39:I43"/>
    <mergeCell ref="L41:M41"/>
    <mergeCell ref="L42:M43"/>
  </mergeCells>
  <conditionalFormatting sqref="D10:D33">
    <cfRule type="cellIs" dxfId="364" priority="1" stopIfTrue="1" operator="greaterThan">
      <formula>E10</formula>
    </cfRule>
  </conditionalFormatting>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39"/>
  <sheetViews>
    <sheetView topLeftCell="A3" zoomScaleNormal="100" workbookViewId="0"/>
  </sheetViews>
  <sheetFormatPr baseColWidth="10" defaultColWidth="9.5" defaultRowHeight="13" x14ac:dyDescent="0.15"/>
  <cols>
    <col min="1" max="1" width="22.5" style="58" bestFit="1" customWidth="1"/>
    <col min="2" max="2" width="53.5" style="68" customWidth="1"/>
    <col min="3" max="3" width="47.5" style="67" customWidth="1"/>
    <col min="4" max="4" width="18.5" style="58" customWidth="1"/>
    <col min="5" max="5" width="63.5" style="64" customWidth="1"/>
    <col min="6" max="6" width="9.5" style="58" customWidth="1"/>
    <col min="7" max="16384" width="9.5" style="58"/>
  </cols>
  <sheetData>
    <row r="1" spans="1:5" ht="21" customHeight="1" x14ac:dyDescent="0.15">
      <c r="A1" s="366" t="s">
        <v>19</v>
      </c>
      <c r="B1" s="366"/>
      <c r="C1" s="366"/>
      <c r="D1" s="366"/>
      <c r="E1" s="366"/>
    </row>
    <row r="2" spans="1:5" s="87" customFormat="1" ht="17" x14ac:dyDescent="0.15">
      <c r="A2" s="328" t="s">
        <v>525</v>
      </c>
      <c r="B2" s="328"/>
      <c r="C2" s="91" t="str">
        <f>'Test Summary'!B3</f>
        <v>GXMTBRIFULTRA50</v>
      </c>
      <c r="D2" s="81"/>
      <c r="E2" s="81"/>
    </row>
    <row r="3" spans="1:5" s="87" customFormat="1" ht="16" x14ac:dyDescent="0.15">
      <c r="A3" s="328" t="s">
        <v>526</v>
      </c>
      <c r="B3" s="328"/>
      <c r="C3" s="91">
        <f>IF('Test Summary'!$B$4="","",'Test Summary'!$B$4)</f>
        <v>92303</v>
      </c>
      <c r="D3" s="94"/>
      <c r="E3" s="86"/>
    </row>
    <row r="4" spans="1:5" s="87" customFormat="1" ht="17" x14ac:dyDescent="0.15">
      <c r="A4" s="328" t="s">
        <v>527</v>
      </c>
      <c r="B4" s="328"/>
      <c r="C4" s="91" t="str">
        <f>IF('Test Summary'!$B$3="","",LOOKUP('Test Summary'!$B$3,Specifications!$A$11:$A$22,Specifications!$B$11:$B$22))</f>
        <v>Xpert MTB-RIF Ultra</v>
      </c>
      <c r="D4" s="94"/>
      <c r="E4" s="86"/>
    </row>
    <row r="5" spans="1:5" hidden="1" x14ac:dyDescent="0.15">
      <c r="A5" s="69"/>
      <c r="B5" s="70"/>
    </row>
    <row r="6" spans="1:5" s="87" customFormat="1" ht="34" hidden="1" x14ac:dyDescent="0.15">
      <c r="A6" s="90" t="s">
        <v>528</v>
      </c>
      <c r="B6" s="93">
        <v>0</v>
      </c>
      <c r="C6" s="92" t="s">
        <v>529</v>
      </c>
      <c r="D6" s="370">
        <f>COUNTIF('Data - First 10'!A2:A11,"&lt;&gt;"&amp;"")</f>
        <v>10</v>
      </c>
      <c r="E6" s="371"/>
    </row>
    <row r="7" spans="1:5" s="87" customFormat="1" ht="19.25" hidden="1" customHeight="1" x14ac:dyDescent="0.15">
      <c r="A7" s="88" t="s">
        <v>530</v>
      </c>
      <c r="B7" s="91" t="str">
        <f>IF($C$3="","",IF($D$6=0,"NO DATA",IF(COUNTIF('Data - First 10'!$E:$E,$C$3)=$D$6,"VALID","")))</f>
        <v>VALID</v>
      </c>
      <c r="C7" s="92" t="s">
        <v>531</v>
      </c>
      <c r="D7" s="370" t="str">
        <f>IF($C$4="","",IF(D6=0,"NO DATA",IF(COUNTIF('Data - First 10'!$A:$A,$C$4)=D6,"VALID","")))</f>
        <v>VALID</v>
      </c>
      <c r="E7" s="371"/>
    </row>
    <row r="8" spans="1:5" s="87" customFormat="1" ht="34" hidden="1" x14ac:dyDescent="0.15">
      <c r="A8" s="92" t="s">
        <v>532</v>
      </c>
      <c r="B8" s="165" t="str">
        <f>IF(Specifications!$B$8=$D$6,"PASS","FAIL")</f>
        <v>PASS</v>
      </c>
      <c r="C8" s="101" t="s">
        <v>533</v>
      </c>
      <c r="D8" s="431" t="str">
        <f>LOOKUP($C$2,Specifications!$A$11:$A$22,Specifications!$D$11:D$22)</f>
        <v>MTB NOT DETECTED</v>
      </c>
      <c r="E8" s="432"/>
    </row>
    <row r="9" spans="1:5" ht="14" hidden="1" x14ac:dyDescent="0.15">
      <c r="A9" s="71" t="s">
        <v>319</v>
      </c>
      <c r="B9" s="72" t="s">
        <v>274</v>
      </c>
      <c r="C9" s="73" t="s">
        <v>534</v>
      </c>
      <c r="D9" s="71" t="s">
        <v>535</v>
      </c>
      <c r="E9" s="74" t="s">
        <v>536</v>
      </c>
    </row>
    <row r="10" spans="1:5" hidden="1" x14ac:dyDescent="0.15">
      <c r="A10" s="75"/>
      <c r="B10" s="76"/>
      <c r="C10" s="77"/>
      <c r="D10" s="78"/>
      <c r="E10" s="65"/>
    </row>
    <row r="11" spans="1:5" hidden="1" x14ac:dyDescent="0.15">
      <c r="A11" s="75"/>
      <c r="B11" s="76"/>
      <c r="C11" s="77"/>
      <c r="D11" s="78"/>
      <c r="E11" s="65"/>
    </row>
    <row r="12" spans="1:5" hidden="1" x14ac:dyDescent="0.15">
      <c r="A12" s="75"/>
      <c r="B12" s="76"/>
      <c r="C12" s="77"/>
      <c r="D12" s="78"/>
      <c r="E12" s="80"/>
    </row>
    <row r="13" spans="1:5" hidden="1" x14ac:dyDescent="0.15">
      <c r="A13" s="75"/>
      <c r="B13" s="76"/>
      <c r="C13" s="77"/>
      <c r="D13" s="78"/>
      <c r="E13" s="65"/>
    </row>
    <row r="14" spans="1:5" hidden="1" x14ac:dyDescent="0.15">
      <c r="A14" s="75"/>
      <c r="B14" s="76"/>
      <c r="C14" s="77"/>
      <c r="D14" s="78"/>
      <c r="E14" s="65"/>
    </row>
    <row r="15" spans="1:5" hidden="1" x14ac:dyDescent="0.15">
      <c r="A15" s="75"/>
      <c r="B15" s="76"/>
      <c r="C15" s="77"/>
      <c r="D15" s="78"/>
      <c r="E15" s="65"/>
    </row>
    <row r="16" spans="1:5" hidden="1" x14ac:dyDescent="0.15">
      <c r="A16" s="75"/>
      <c r="B16" s="76"/>
      <c r="C16" s="77"/>
      <c r="D16" s="78"/>
      <c r="E16" s="65"/>
    </row>
    <row r="17" spans="1:5" hidden="1" x14ac:dyDescent="0.15">
      <c r="A17" s="75"/>
      <c r="B17" s="76"/>
      <c r="C17" s="77"/>
      <c r="D17" s="78"/>
      <c r="E17" s="65"/>
    </row>
    <row r="18" spans="1:5" hidden="1" x14ac:dyDescent="0.15">
      <c r="A18" s="75"/>
      <c r="B18" s="76"/>
      <c r="C18" s="77"/>
      <c r="D18" s="78"/>
      <c r="E18" s="65"/>
    </row>
    <row r="19" spans="1:5" hidden="1" x14ac:dyDescent="0.15">
      <c r="A19" s="75"/>
      <c r="B19" s="76"/>
      <c r="C19" s="77"/>
      <c r="D19" s="78"/>
      <c r="E19" s="65"/>
    </row>
    <row r="20" spans="1:5" hidden="1" x14ac:dyDescent="0.15"/>
    <row r="21" spans="1:5" s="87" customFormat="1" ht="17" x14ac:dyDescent="0.15">
      <c r="A21" s="88" t="s">
        <v>537</v>
      </c>
      <c r="B21" s="89">
        <v>0</v>
      </c>
      <c r="C21" s="92" t="s">
        <v>529</v>
      </c>
      <c r="D21" s="372">
        <f>COUNTIF('Data - Sample Type 0'!A104:A203,"&lt;&gt;"&amp;"")</f>
        <v>0</v>
      </c>
      <c r="E21" s="372"/>
    </row>
    <row r="22" spans="1:5" s="87" customFormat="1" ht="17" x14ac:dyDescent="0.15">
      <c r="A22" s="88" t="s">
        <v>530</v>
      </c>
      <c r="B22" s="91" t="str">
        <f>IF($C$3="","",IF(D21=0,"NO DATA",IF(COUNTIF('Data - Sample Type 0'!$E$104:$E$203,$C$3)=D21,"VALID","")))</f>
        <v>NO DATA</v>
      </c>
      <c r="C22" s="92" t="s">
        <v>531</v>
      </c>
      <c r="D22" s="372" t="str">
        <f>IF($C$4="","",IF(D21=0,"NO DATA",IF(COUNTIF('Data - Sample Type 0'!$A$104:$A$203,$C$4)=D21,"VALID","")))</f>
        <v>NO DATA</v>
      </c>
      <c r="E22" s="372"/>
    </row>
    <row r="23" spans="1:5" s="87" customFormat="1" ht="34" x14ac:dyDescent="0.15">
      <c r="A23" s="92" t="s">
        <v>532</v>
      </c>
      <c r="B23" s="176" t="str">
        <f>IF(Specifications!$B$6=$D$21,"PASS","FAIL")</f>
        <v>FAIL</v>
      </c>
      <c r="C23" s="101" t="s">
        <v>533</v>
      </c>
      <c r="D23" s="369" t="str">
        <f>LOOKUP($C$2,Specifications!$A$11:$A$22,Specifications!$D$11:D$22)</f>
        <v>MTB NOT DETECTED</v>
      </c>
      <c r="E23" s="369"/>
    </row>
    <row r="24" spans="1:5" ht="14" x14ac:dyDescent="0.15">
      <c r="A24" s="71" t="s">
        <v>319</v>
      </c>
      <c r="B24" s="72" t="s">
        <v>274</v>
      </c>
      <c r="C24" s="73" t="s">
        <v>534</v>
      </c>
      <c r="D24" s="71" t="s">
        <v>535</v>
      </c>
      <c r="E24" s="74" t="s">
        <v>536</v>
      </c>
    </row>
    <row r="25" spans="1:5" ht="14" x14ac:dyDescent="0.15">
      <c r="A25" s="75" t="str">
        <f>IF('Data - Sample Type 0'!C104="","",'Data - Sample Type 0'!C104)</f>
        <v/>
      </c>
      <c r="B25" s="76" t="str">
        <f>IF('Data - Sample Type 0'!L104="","",'Data - Sample Type 0'!L104)</f>
        <v/>
      </c>
      <c r="C25" s="77" t="str">
        <f>IF(B25="","",IF(B25="INVALID",IF('Data - Sample Type 0'!GA104="","INVALID",'Data - Sample Type 0'!GA104),IF(B25="ERROR",'Data - Sample Type 0'!GA104,IF(B25="NO RESULT",'Data - Sample Type 0'!GA104,IF(B25="V","MINOR VISUAL",IF(B25="M","MAJOR VISUAL",IF(B25="B","BARCODE FAIL",IF(B25="D","DELAMINATION",IF('Data - Sample Type 0'!Q104="","DATA ENTRY ERROR",IF(B25=$D$23,"PASS","MAJOR FUNCTIONAL"))))))))))</f>
        <v/>
      </c>
      <c r="D25" s="79" t="str">
        <f>IF(C25="","",IF('Data - Sample Type 0'!FY104="","N/A",IF('Data - Sample Type 0'!FY104&lt;Specifications!$D$3,"PASS","FAIL")))</f>
        <v/>
      </c>
      <c r="E25" s="65"/>
    </row>
    <row r="26" spans="1:5" ht="14" x14ac:dyDescent="0.15">
      <c r="A26" s="75" t="str">
        <f>IF('Data - Sample Type 0'!C105="","",'Data - Sample Type 0'!C105)</f>
        <v/>
      </c>
      <c r="B26" s="76" t="str">
        <f>IF('Data - Sample Type 0'!L105="","",'Data - Sample Type 0'!L105)</f>
        <v/>
      </c>
      <c r="C26" s="77" t="str">
        <f>IF(B26="","",IF(B26="INVALID",IF('Data - Sample Type 0'!GA105="","INVALID",'Data - Sample Type 0'!GA105),IF(B26="ERROR",'Data - Sample Type 0'!GA105,IF(B26="NO RESULT",'Data - Sample Type 0'!GA105,IF(B26="V","MINOR VISUAL",IF(B26="M","MAJOR VISUAL",IF(B26="B","BARCODE FAIL",IF(B26="D","DELAMINATION",IF('Data - Sample Type 0'!Q105="","DATA ENTRY ERROR",IF(B26=$D$23,"PASS","MAJOR FUNCTIONAL"))))))))))</f>
        <v/>
      </c>
      <c r="D26" s="79" t="str">
        <f>IF(C26="","",IF('Data - Sample Type 0'!FY105="","N/A",IF('Data - Sample Type 0'!FY105&lt;Specifications!$D$3,"PASS","FAIL")))</f>
        <v/>
      </c>
      <c r="E26" s="65"/>
    </row>
    <row r="27" spans="1:5" ht="14" x14ac:dyDescent="0.15">
      <c r="A27" s="75" t="str">
        <f>IF('Data - Sample Type 0'!C106="","",'Data - Sample Type 0'!C106)</f>
        <v/>
      </c>
      <c r="B27" s="76" t="str">
        <f>IF('Data - Sample Type 0'!L106="","",'Data - Sample Type 0'!L106)</f>
        <v/>
      </c>
      <c r="C27" s="77" t="str">
        <f>IF(B27="","",IF(B27="INVALID",IF('Data - Sample Type 0'!GA106="","INVALID",'Data - Sample Type 0'!GA106),IF(B27="ERROR",'Data - Sample Type 0'!GA106,IF(B27="NO RESULT",'Data - Sample Type 0'!GA106,IF(B27="V","MINOR VISUAL",IF(B27="M","MAJOR VISUAL",IF(B27="B","BARCODE FAIL",IF(B27="D","DELAMINATION",IF('Data - Sample Type 0'!Q106="","DATA ENTRY ERROR",IF(B27=$D$23,"PASS","MAJOR FUNCTIONAL"))))))))))</f>
        <v/>
      </c>
      <c r="D27" s="79" t="str">
        <f>IF(C27="","",IF('Data - Sample Type 0'!FY106="","N/A",IF('Data - Sample Type 0'!FY106&lt;Specifications!$D$3,"PASS","FAIL")))</f>
        <v/>
      </c>
      <c r="E27" s="65"/>
    </row>
    <row r="28" spans="1:5" ht="14" x14ac:dyDescent="0.15">
      <c r="A28" s="75" t="str">
        <f>IF('Data - Sample Type 0'!C107="","",'Data - Sample Type 0'!C107)</f>
        <v/>
      </c>
      <c r="B28" s="76" t="str">
        <f>IF('Data - Sample Type 0'!L107="","",'Data - Sample Type 0'!L107)</f>
        <v/>
      </c>
      <c r="C28" s="77" t="str">
        <f>IF(B28="","",IF(B28="INVALID",IF('Data - Sample Type 0'!GA107="","INVALID",'Data - Sample Type 0'!GA107),IF(B28="ERROR",'Data - Sample Type 0'!GA107,IF(B28="NO RESULT",'Data - Sample Type 0'!GA107,IF(B28="V","MINOR VISUAL",IF(B28="M","MAJOR VISUAL",IF(B28="B","BARCODE FAIL",IF(B28="D","DELAMINATION",IF('Data - Sample Type 0'!Q107="","DATA ENTRY ERROR",IF(B28=$D$23,"PASS","MAJOR FUNCTIONAL"))))))))))</f>
        <v/>
      </c>
      <c r="D28" s="79" t="str">
        <f>IF(C28="","",IF('Data - Sample Type 0'!FY107="","N/A",IF('Data - Sample Type 0'!FY107&lt;Specifications!$D$3,"PASS","FAIL")))</f>
        <v/>
      </c>
      <c r="E28" s="65"/>
    </row>
    <row r="29" spans="1:5" ht="14" x14ac:dyDescent="0.15">
      <c r="A29" s="75" t="str">
        <f>IF('Data - Sample Type 0'!C108="","",'Data - Sample Type 0'!C108)</f>
        <v/>
      </c>
      <c r="B29" s="76" t="str">
        <f>IF('Data - Sample Type 0'!L108="","",'Data - Sample Type 0'!L108)</f>
        <v/>
      </c>
      <c r="C29" s="77" t="str">
        <f>IF(B29="","",IF(B29="INVALID",IF('Data - Sample Type 0'!GA108="","INVALID",'Data - Sample Type 0'!GA108),IF(B29="ERROR",'Data - Sample Type 0'!GA108,IF(B29="NO RESULT",'Data - Sample Type 0'!GA108,IF(B29="V","MINOR VISUAL",IF(B29="M","MAJOR VISUAL",IF(B29="B","BARCODE FAIL",IF(B29="D","DELAMINATION",IF('Data - Sample Type 0'!Q108="","DATA ENTRY ERROR",IF(B29=$D$23,"PASS","MAJOR FUNCTIONAL"))))))))))</f>
        <v/>
      </c>
      <c r="D29" s="79" t="str">
        <f>IF(C29="","",IF('Data - Sample Type 0'!FY108="","N/A",IF('Data - Sample Type 0'!FY108&lt;Specifications!$D$3,"PASS","FAIL")))</f>
        <v/>
      </c>
      <c r="E29" s="65"/>
    </row>
    <row r="30" spans="1:5" ht="14" x14ac:dyDescent="0.15">
      <c r="A30" s="75" t="str">
        <f>IF('Data - Sample Type 0'!C109="","",'Data - Sample Type 0'!C109)</f>
        <v/>
      </c>
      <c r="B30" s="76" t="str">
        <f>IF('Data - Sample Type 0'!L109="","",'Data - Sample Type 0'!L109)</f>
        <v/>
      </c>
      <c r="C30" s="77" t="str">
        <f>IF(B30="","",IF(B30="INVALID",IF('Data - Sample Type 0'!GA109="","INVALID",'Data - Sample Type 0'!GA109),IF(B30="ERROR",'Data - Sample Type 0'!GA109,IF(B30="NO RESULT",'Data - Sample Type 0'!GA109,IF(B30="V","MINOR VISUAL",IF(B30="M","MAJOR VISUAL",IF(B30="B","BARCODE FAIL",IF(B30="D","DELAMINATION",IF('Data - Sample Type 0'!Q109="","DATA ENTRY ERROR",IF(B30=$D$23,"PASS","MAJOR FUNCTIONAL"))))))))))</f>
        <v/>
      </c>
      <c r="D30" s="79" t="str">
        <f>IF(C30="","",IF('Data - Sample Type 0'!FY109="","N/A",IF('Data - Sample Type 0'!FY109&lt;Specifications!$D$3,"PASS","FAIL")))</f>
        <v/>
      </c>
      <c r="E30" s="65"/>
    </row>
    <row r="31" spans="1:5" ht="14" x14ac:dyDescent="0.15">
      <c r="A31" s="75" t="str">
        <f>IF('Data - Sample Type 0'!C110="","",'Data - Sample Type 0'!C110)</f>
        <v/>
      </c>
      <c r="B31" s="76" t="str">
        <f>IF('Data - Sample Type 0'!L110="","",'Data - Sample Type 0'!L110)</f>
        <v/>
      </c>
      <c r="C31" s="77" t="str">
        <f>IF(B31="","",IF(B31="INVALID",IF('Data - Sample Type 0'!GA110="","INVALID",'Data - Sample Type 0'!GA110),IF(B31="ERROR",'Data - Sample Type 0'!GA110,IF(B31="NO RESULT",'Data - Sample Type 0'!GA110,IF(B31="V","MINOR VISUAL",IF(B31="M","MAJOR VISUAL",IF(B31="B","BARCODE FAIL",IF(B31="D","DELAMINATION",IF('Data - Sample Type 0'!Q110="","DATA ENTRY ERROR",IF(B31=$D$23,"PASS","MAJOR FUNCTIONAL"))))))))))</f>
        <v/>
      </c>
      <c r="D31" s="79" t="str">
        <f>IF(C31="","",IF('Data - Sample Type 0'!FY110="","N/A",IF('Data - Sample Type 0'!FY110&lt;Specifications!$D$3,"PASS","FAIL")))</f>
        <v/>
      </c>
      <c r="E31" s="65"/>
    </row>
    <row r="32" spans="1:5" ht="14" x14ac:dyDescent="0.15">
      <c r="A32" s="75" t="str">
        <f>IF('Data - Sample Type 0'!C111="","",'Data - Sample Type 0'!C111)</f>
        <v/>
      </c>
      <c r="B32" s="76" t="str">
        <f>IF('Data - Sample Type 0'!L111="","",'Data - Sample Type 0'!L111)</f>
        <v/>
      </c>
      <c r="C32" s="77" t="str">
        <f>IF(B32="","",IF(B32="INVALID",IF('Data - Sample Type 0'!GA111="","INVALID",'Data - Sample Type 0'!GA111),IF(B32="ERROR",'Data - Sample Type 0'!GA111,IF(B32="NO RESULT",'Data - Sample Type 0'!GA111,IF(B32="V","MINOR VISUAL",IF(B32="M","MAJOR VISUAL",IF(B32="B","BARCODE FAIL",IF(B32="D","DELAMINATION",IF('Data - Sample Type 0'!Q111="","DATA ENTRY ERROR",IF(B32=$D$23,"PASS","MAJOR FUNCTIONAL"))))))))))</f>
        <v/>
      </c>
      <c r="D32" s="79" t="str">
        <f>IF(C32="","",IF('Data - Sample Type 0'!FY111="","N/A",IF('Data - Sample Type 0'!FY111&lt;Specifications!$D$3,"PASS","FAIL")))</f>
        <v/>
      </c>
      <c r="E32" s="65"/>
    </row>
    <row r="33" spans="1:5" ht="14" x14ac:dyDescent="0.15">
      <c r="A33" s="75" t="str">
        <f>IF('Data - Sample Type 0'!C112="","",'Data - Sample Type 0'!C112)</f>
        <v/>
      </c>
      <c r="B33" s="76" t="str">
        <f>IF('Data - Sample Type 0'!L112="","",'Data - Sample Type 0'!L112)</f>
        <v/>
      </c>
      <c r="C33" s="77" t="str">
        <f>IF(B33="","",IF(B33="INVALID",IF('Data - Sample Type 0'!GA112="","INVALID",'Data - Sample Type 0'!GA112),IF(B33="ERROR",'Data - Sample Type 0'!GA112,IF(B33="NO RESULT",'Data - Sample Type 0'!GA112,IF(B33="V","MINOR VISUAL",IF(B33="M","MAJOR VISUAL",IF(B33="B","BARCODE FAIL",IF(B33="D","DELAMINATION",IF('Data - Sample Type 0'!Q112="","DATA ENTRY ERROR",IF(B33=$D$23,"PASS","MAJOR FUNCTIONAL"))))))))))</f>
        <v/>
      </c>
      <c r="D33" s="79" t="str">
        <f>IF(C33="","",IF('Data - Sample Type 0'!FY112="","N/A",IF('Data - Sample Type 0'!FY112&lt;Specifications!$D$3,"PASS","FAIL")))</f>
        <v/>
      </c>
      <c r="E33" s="65"/>
    </row>
    <row r="34" spans="1:5" ht="14" x14ac:dyDescent="0.15">
      <c r="A34" s="75" t="str">
        <f>IF('Data - Sample Type 0'!C113="","",'Data - Sample Type 0'!C113)</f>
        <v/>
      </c>
      <c r="B34" s="76" t="str">
        <f>IF('Data - Sample Type 0'!L113="","",'Data - Sample Type 0'!L113)</f>
        <v/>
      </c>
      <c r="C34" s="77" t="str">
        <f>IF(B34="","",IF(B34="INVALID",IF('Data - Sample Type 0'!GA113="","INVALID",'Data - Sample Type 0'!GA113),IF(B34="ERROR",'Data - Sample Type 0'!GA113,IF(B34="NO RESULT",'Data - Sample Type 0'!GA113,IF(B34="V","MINOR VISUAL",IF(B34="M","MAJOR VISUAL",IF(B34="B","BARCODE FAIL",IF(B34="D","DELAMINATION",IF('Data - Sample Type 0'!Q113="","DATA ENTRY ERROR",IF(B34=$D$23,"PASS","MAJOR FUNCTIONAL"))))))))))</f>
        <v/>
      </c>
      <c r="D34" s="79" t="str">
        <f>IF(C34="","",IF('Data - Sample Type 0'!FY113="","N/A",IF('Data - Sample Type 0'!FY113&lt;Specifications!$D$3,"PASS","FAIL")))</f>
        <v/>
      </c>
      <c r="E34" s="65"/>
    </row>
    <row r="35" spans="1:5" ht="14" x14ac:dyDescent="0.15">
      <c r="A35" s="75" t="str">
        <f>IF('Data - Sample Type 0'!C114="","",'Data - Sample Type 0'!C114)</f>
        <v/>
      </c>
      <c r="B35" s="76" t="str">
        <f>IF('Data - Sample Type 0'!L114="","",'Data - Sample Type 0'!L114)</f>
        <v/>
      </c>
      <c r="C35" s="77" t="str">
        <f>IF(B35="","",IF(B35="INVALID",IF('Data - Sample Type 0'!GA114="","INVALID",'Data - Sample Type 0'!GA114),IF(B35="ERROR",'Data - Sample Type 0'!GA114,IF(B35="NO RESULT",'Data - Sample Type 0'!GA114,IF(B35="V","MINOR VISUAL",IF(B35="M","MAJOR VISUAL",IF(B35="B","BARCODE FAIL",IF(B35="D","DELAMINATION",IF('Data - Sample Type 0'!Q114="","DATA ENTRY ERROR",IF(B35=$D$23,"PASS","MAJOR FUNCTIONAL"))))))))))</f>
        <v/>
      </c>
      <c r="D35" s="79" t="str">
        <f>IF(C35="","",IF('Data - Sample Type 0'!FY114="","N/A",IF('Data - Sample Type 0'!FY114&lt;Specifications!$D$3,"PASS","FAIL")))</f>
        <v/>
      </c>
      <c r="E35" s="65"/>
    </row>
    <row r="36" spans="1:5" ht="14" x14ac:dyDescent="0.15">
      <c r="A36" s="75" t="str">
        <f>IF('Data - Sample Type 0'!C115="","",'Data - Sample Type 0'!C115)</f>
        <v/>
      </c>
      <c r="B36" s="76" t="str">
        <f>IF('Data - Sample Type 0'!L115="","",'Data - Sample Type 0'!L115)</f>
        <v/>
      </c>
      <c r="C36" s="77" t="str">
        <f>IF(B36="","",IF(B36="INVALID",IF('Data - Sample Type 0'!GA115="","INVALID",'Data - Sample Type 0'!GA115),IF(B36="ERROR",'Data - Sample Type 0'!GA115,IF(B36="NO RESULT",'Data - Sample Type 0'!GA115,IF(B36="V","MINOR VISUAL",IF(B36="M","MAJOR VISUAL",IF(B36="B","BARCODE FAIL",IF(B36="D","DELAMINATION",IF('Data - Sample Type 0'!Q115="","DATA ENTRY ERROR",IF(B36=$D$23,"PASS","MAJOR FUNCTIONAL"))))))))))</f>
        <v/>
      </c>
      <c r="D36" s="79" t="str">
        <f>IF(C36="","",IF('Data - Sample Type 0'!FY115="","N/A",IF('Data - Sample Type 0'!FY115&lt;Specifications!$D$3,"PASS","FAIL")))</f>
        <v/>
      </c>
      <c r="E36" s="65"/>
    </row>
    <row r="37" spans="1:5" ht="14" x14ac:dyDescent="0.15">
      <c r="A37" s="75" t="str">
        <f>IF('Data - Sample Type 0'!C116="","",'Data - Sample Type 0'!C116)</f>
        <v/>
      </c>
      <c r="B37" s="76" t="str">
        <f>IF('Data - Sample Type 0'!L116="","",'Data - Sample Type 0'!L116)</f>
        <v/>
      </c>
      <c r="C37" s="77" t="str">
        <f>IF(B37="","",IF(B37="INVALID",IF('Data - Sample Type 0'!GA116="","INVALID",'Data - Sample Type 0'!GA116),IF(B37="ERROR",'Data - Sample Type 0'!GA116,IF(B37="NO RESULT",'Data - Sample Type 0'!GA116,IF(B37="V","MINOR VISUAL",IF(B37="M","MAJOR VISUAL",IF(B37="B","BARCODE FAIL",IF(B37="D","DELAMINATION",IF('Data - Sample Type 0'!Q116="","DATA ENTRY ERROR",IF(B37=$D$23,"PASS","MAJOR FUNCTIONAL"))))))))))</f>
        <v/>
      </c>
      <c r="D37" s="79" t="str">
        <f>IF(C37="","",IF('Data - Sample Type 0'!FY116="","N/A",IF('Data - Sample Type 0'!FY116&lt;Specifications!$D$3,"PASS","FAIL")))</f>
        <v/>
      </c>
      <c r="E37" s="65"/>
    </row>
    <row r="38" spans="1:5" ht="14" x14ac:dyDescent="0.15">
      <c r="A38" s="75" t="str">
        <f>IF('Data - Sample Type 0'!C117="","",'Data - Sample Type 0'!C117)</f>
        <v/>
      </c>
      <c r="B38" s="76" t="str">
        <f>IF('Data - Sample Type 0'!L117="","",'Data - Sample Type 0'!L117)</f>
        <v/>
      </c>
      <c r="C38" s="77" t="str">
        <f>IF(B38="","",IF(B38="INVALID",IF('Data - Sample Type 0'!GA117="","INVALID",'Data - Sample Type 0'!GA117),IF(B38="ERROR",'Data - Sample Type 0'!GA117,IF(B38="NO RESULT",'Data - Sample Type 0'!GA117,IF(B38="V","MINOR VISUAL",IF(B38="M","MAJOR VISUAL",IF(B38="B","BARCODE FAIL",IF(B38="D","DELAMINATION",IF('Data - Sample Type 0'!Q117="","DATA ENTRY ERROR",IF(B38=$D$23,"PASS","MAJOR FUNCTIONAL"))))))))))</f>
        <v/>
      </c>
      <c r="D38" s="79" t="str">
        <f>IF(C38="","",IF('Data - Sample Type 0'!FY117="","N/A",IF('Data - Sample Type 0'!FY117&lt;Specifications!$D$3,"PASS","FAIL")))</f>
        <v/>
      </c>
      <c r="E38" s="65"/>
    </row>
    <row r="39" spans="1:5" ht="14" x14ac:dyDescent="0.15">
      <c r="A39" s="75" t="str">
        <f>IF('Data - Sample Type 0'!C118="","",'Data - Sample Type 0'!C118)</f>
        <v/>
      </c>
      <c r="B39" s="76" t="str">
        <f>IF('Data - Sample Type 0'!L118="","",'Data - Sample Type 0'!L118)</f>
        <v/>
      </c>
      <c r="C39" s="77" t="str">
        <f>IF(B39="","",IF(B39="INVALID",IF('Data - Sample Type 0'!GA118="","INVALID",'Data - Sample Type 0'!GA118),IF(B39="ERROR",'Data - Sample Type 0'!GA118,IF(B39="NO RESULT",'Data - Sample Type 0'!GA118,IF(B39="V","MINOR VISUAL",IF(B39="M","MAJOR VISUAL",IF(B39="B","BARCODE FAIL",IF(B39="D","DELAMINATION",IF('Data - Sample Type 0'!Q118="","DATA ENTRY ERROR",IF(B39=$D$23,"PASS","MAJOR FUNCTIONAL"))))))))))</f>
        <v/>
      </c>
      <c r="D39" s="79" t="str">
        <f>IF(C39="","",IF('Data - Sample Type 0'!FY118="","N/A",IF('Data - Sample Type 0'!FY118&lt;Specifications!$D$3,"PASS","FAIL")))</f>
        <v/>
      </c>
      <c r="E39" s="65"/>
    </row>
    <row r="40" spans="1:5" ht="14" x14ac:dyDescent="0.15">
      <c r="A40" s="75" t="str">
        <f>IF('Data - Sample Type 0'!C119="","",'Data - Sample Type 0'!C119)</f>
        <v/>
      </c>
      <c r="B40" s="76" t="str">
        <f>IF('Data - Sample Type 0'!L119="","",'Data - Sample Type 0'!L119)</f>
        <v/>
      </c>
      <c r="C40" s="77" t="str">
        <f>IF(B40="","",IF(B40="INVALID",IF('Data - Sample Type 0'!GA119="","INVALID",'Data - Sample Type 0'!GA119),IF(B40="ERROR",'Data - Sample Type 0'!GA119,IF(B40="NO RESULT",'Data - Sample Type 0'!GA119,IF(B40="V","MINOR VISUAL",IF(B40="M","MAJOR VISUAL",IF(B40="B","BARCODE FAIL",IF(B40="D","DELAMINATION",IF('Data - Sample Type 0'!Q119="","DATA ENTRY ERROR",IF(B40=$D$23,"PASS","MAJOR FUNCTIONAL"))))))))))</f>
        <v/>
      </c>
      <c r="D40" s="79" t="str">
        <f>IF(C40="","",IF('Data - Sample Type 0'!FY119="","N/A",IF('Data - Sample Type 0'!FY119&lt;Specifications!$D$3,"PASS","FAIL")))</f>
        <v/>
      </c>
      <c r="E40" s="65"/>
    </row>
    <row r="41" spans="1:5" ht="14" x14ac:dyDescent="0.15">
      <c r="A41" s="75" t="str">
        <f>IF('Data - Sample Type 0'!C120="","",'Data - Sample Type 0'!C120)</f>
        <v/>
      </c>
      <c r="B41" s="76" t="str">
        <f>IF('Data - Sample Type 0'!L120="","",'Data - Sample Type 0'!L120)</f>
        <v/>
      </c>
      <c r="C41" s="77" t="str">
        <f>IF(B41="","",IF(B41="INVALID",IF('Data - Sample Type 0'!GA120="","INVALID",'Data - Sample Type 0'!GA120),IF(B41="ERROR",'Data - Sample Type 0'!GA120,IF(B41="NO RESULT",'Data - Sample Type 0'!GA120,IF(B41="V","MINOR VISUAL",IF(B41="M","MAJOR VISUAL",IF(B41="B","BARCODE FAIL",IF(B41="D","DELAMINATION",IF('Data - Sample Type 0'!Q120="","DATA ENTRY ERROR",IF(B41=$D$23,"PASS","MAJOR FUNCTIONAL"))))))))))</f>
        <v/>
      </c>
      <c r="D41" s="79" t="str">
        <f>IF(C41="","",IF('Data - Sample Type 0'!FY120="","N/A",IF('Data - Sample Type 0'!FY120&lt;Specifications!$D$3,"PASS","FAIL")))</f>
        <v/>
      </c>
      <c r="E41" s="65"/>
    </row>
    <row r="42" spans="1:5" ht="14" x14ac:dyDescent="0.15">
      <c r="A42" s="75" t="str">
        <f>IF('Data - Sample Type 0'!C121="","",'Data - Sample Type 0'!C121)</f>
        <v/>
      </c>
      <c r="B42" s="76" t="str">
        <f>IF('Data - Sample Type 0'!L121="","",'Data - Sample Type 0'!L121)</f>
        <v/>
      </c>
      <c r="C42" s="77" t="str">
        <f>IF(B42="","",IF(B42="INVALID",IF('Data - Sample Type 0'!GA121="","INVALID",'Data - Sample Type 0'!GA121),IF(B42="ERROR",'Data - Sample Type 0'!GA121,IF(B42="NO RESULT",'Data - Sample Type 0'!GA121,IF(B42="V","MINOR VISUAL",IF(B42="M","MAJOR VISUAL",IF(B42="B","BARCODE FAIL",IF(B42="D","DELAMINATION",IF('Data - Sample Type 0'!Q121="","DATA ENTRY ERROR",IF(B42=$D$23,"PASS","MAJOR FUNCTIONAL"))))))))))</f>
        <v/>
      </c>
      <c r="D42" s="79" t="str">
        <f>IF(C42="","",IF('Data - Sample Type 0'!FY121="","N/A",IF('Data - Sample Type 0'!FY121&lt;Specifications!$D$3,"PASS","FAIL")))</f>
        <v/>
      </c>
      <c r="E42" s="65"/>
    </row>
    <row r="43" spans="1:5" ht="14" x14ac:dyDescent="0.15">
      <c r="A43" s="75" t="str">
        <f>IF('Data - Sample Type 0'!C122="","",'Data - Sample Type 0'!C122)</f>
        <v/>
      </c>
      <c r="B43" s="76" t="str">
        <f>IF('Data - Sample Type 0'!L122="","",'Data - Sample Type 0'!L122)</f>
        <v/>
      </c>
      <c r="C43" s="77" t="str">
        <f>IF(B43="","",IF(B43="INVALID",IF('Data - Sample Type 0'!GA122="","INVALID",'Data - Sample Type 0'!GA122),IF(B43="ERROR",'Data - Sample Type 0'!GA122,IF(B43="NO RESULT",'Data - Sample Type 0'!GA122,IF(B43="V","MINOR VISUAL",IF(B43="M","MAJOR VISUAL",IF(B43="B","BARCODE FAIL",IF(B43="D","DELAMINATION",IF('Data - Sample Type 0'!Q122="","DATA ENTRY ERROR",IF(B43=$D$23,"PASS","MAJOR FUNCTIONAL"))))))))))</f>
        <v/>
      </c>
      <c r="D43" s="79" t="str">
        <f>IF(C43="","",IF('Data - Sample Type 0'!FY122="","N/A",IF('Data - Sample Type 0'!FY122&lt;Specifications!$D$3,"PASS","FAIL")))</f>
        <v/>
      </c>
      <c r="E43" s="65"/>
    </row>
    <row r="44" spans="1:5" ht="14" x14ac:dyDescent="0.15">
      <c r="A44" s="75" t="str">
        <f>IF('Data - Sample Type 0'!C123="","",'Data - Sample Type 0'!C123)</f>
        <v/>
      </c>
      <c r="B44" s="76" t="str">
        <f>IF('Data - Sample Type 0'!L123="","",'Data - Sample Type 0'!L123)</f>
        <v/>
      </c>
      <c r="C44" s="77" t="str">
        <f>IF(B44="","",IF(B44="INVALID",IF('Data - Sample Type 0'!GA123="","INVALID",'Data - Sample Type 0'!GA123),IF(B44="ERROR",'Data - Sample Type 0'!GA123,IF(B44="NO RESULT",'Data - Sample Type 0'!GA123,IF(B44="V","MINOR VISUAL",IF(B44="M","MAJOR VISUAL",IF(B44="B","BARCODE FAIL",IF(B44="D","DELAMINATION",IF('Data - Sample Type 0'!Q123="","DATA ENTRY ERROR",IF(B44=$D$23,"PASS","MAJOR FUNCTIONAL"))))))))))</f>
        <v/>
      </c>
      <c r="D44" s="79" t="str">
        <f>IF(C44="","",IF('Data - Sample Type 0'!FY123="","N/A",IF('Data - Sample Type 0'!FY123&lt;Specifications!$D$3,"PASS","FAIL")))</f>
        <v/>
      </c>
      <c r="E44" s="65"/>
    </row>
    <row r="45" spans="1:5" ht="14" x14ac:dyDescent="0.15">
      <c r="A45" s="75" t="str">
        <f>IF('Data - Sample Type 0'!C124="","",'Data - Sample Type 0'!C124)</f>
        <v/>
      </c>
      <c r="B45" s="76" t="str">
        <f>IF('Data - Sample Type 0'!L124="","",'Data - Sample Type 0'!L124)</f>
        <v/>
      </c>
      <c r="C45" s="77" t="str">
        <f>IF(B45="","",IF(B45="INVALID",IF('Data - Sample Type 0'!GA124="","INVALID",'Data - Sample Type 0'!GA124),IF(B45="ERROR",'Data - Sample Type 0'!GA124,IF(B45="NO RESULT",'Data - Sample Type 0'!GA124,IF(B45="V","MINOR VISUAL",IF(B45="M","MAJOR VISUAL",IF(B45="B","BARCODE FAIL",IF(B45="D","DELAMINATION",IF('Data - Sample Type 0'!Q124="","DATA ENTRY ERROR",IF(B45=$D$23,"PASS","MAJOR FUNCTIONAL"))))))))))</f>
        <v/>
      </c>
      <c r="D45" s="79" t="str">
        <f>IF(C45="","",IF('Data - Sample Type 0'!FY124="","N/A",IF('Data - Sample Type 0'!FY124&lt;Specifications!$D$3,"PASS","FAIL")))</f>
        <v/>
      </c>
      <c r="E45" s="65"/>
    </row>
    <row r="46" spans="1:5" ht="14" x14ac:dyDescent="0.15">
      <c r="A46" s="75" t="str">
        <f>IF('Data - Sample Type 0'!C125="","",'Data - Sample Type 0'!C125)</f>
        <v/>
      </c>
      <c r="B46" s="76" t="str">
        <f>IF('Data - Sample Type 0'!L125="","",'Data - Sample Type 0'!L125)</f>
        <v/>
      </c>
      <c r="C46" s="77" t="str">
        <f>IF(B46="","",IF(B46="INVALID",IF('Data - Sample Type 0'!GA125="","INVALID",'Data - Sample Type 0'!GA125),IF(B46="ERROR",'Data - Sample Type 0'!GA125,IF(B46="NO RESULT",'Data - Sample Type 0'!GA125,IF(B46="V","MINOR VISUAL",IF(B46="M","MAJOR VISUAL",IF(B46="B","BARCODE FAIL",IF(B46="D","DELAMINATION",IF('Data - Sample Type 0'!Q125="","DATA ENTRY ERROR",IF(B46=$D$23,"PASS","MAJOR FUNCTIONAL"))))))))))</f>
        <v/>
      </c>
      <c r="D46" s="79" t="str">
        <f>IF(C46="","",IF('Data - Sample Type 0'!FY125="","N/A",IF('Data - Sample Type 0'!FY125&lt;Specifications!$D$3,"PASS","FAIL")))</f>
        <v/>
      </c>
      <c r="E46" s="65"/>
    </row>
    <row r="47" spans="1:5" ht="14" x14ac:dyDescent="0.15">
      <c r="A47" s="75" t="str">
        <f>IF('Data - Sample Type 0'!C126="","",'Data - Sample Type 0'!C126)</f>
        <v/>
      </c>
      <c r="B47" s="76" t="str">
        <f>IF('Data - Sample Type 0'!L126="","",'Data - Sample Type 0'!L126)</f>
        <v/>
      </c>
      <c r="C47" s="77" t="str">
        <f>IF(B47="","",IF(B47="INVALID",IF('Data - Sample Type 0'!GA126="","INVALID",'Data - Sample Type 0'!GA126),IF(B47="ERROR",'Data - Sample Type 0'!GA126,IF(B47="NO RESULT",'Data - Sample Type 0'!GA126,IF(B47="V","MINOR VISUAL",IF(B47="M","MAJOR VISUAL",IF(B47="B","BARCODE FAIL",IF(B47="D","DELAMINATION",IF('Data - Sample Type 0'!Q126="","DATA ENTRY ERROR",IF(B47=$D$23,"PASS","MAJOR FUNCTIONAL"))))))))))</f>
        <v/>
      </c>
      <c r="D47" s="79" t="str">
        <f>IF(C47="","",IF('Data - Sample Type 0'!FY126="","N/A",IF('Data - Sample Type 0'!FY126&lt;Specifications!$D$3,"PASS","FAIL")))</f>
        <v/>
      </c>
      <c r="E47" s="65"/>
    </row>
    <row r="48" spans="1:5" ht="14" x14ac:dyDescent="0.15">
      <c r="A48" s="75" t="str">
        <f>IF('Data - Sample Type 0'!C127="","",'Data - Sample Type 0'!C127)</f>
        <v/>
      </c>
      <c r="B48" s="76" t="str">
        <f>IF('Data - Sample Type 0'!L127="","",'Data - Sample Type 0'!L127)</f>
        <v/>
      </c>
      <c r="C48" s="77" t="str">
        <f>IF(B48="","",IF(B48="INVALID",IF('Data - Sample Type 0'!GA127="","INVALID",'Data - Sample Type 0'!GA127),IF(B48="ERROR",'Data - Sample Type 0'!GA127,IF(B48="NO RESULT",'Data - Sample Type 0'!GA127,IF(B48="V","MINOR VISUAL",IF(B48="M","MAJOR VISUAL",IF(B48="B","BARCODE FAIL",IF(B48="D","DELAMINATION",IF('Data - Sample Type 0'!Q127="","DATA ENTRY ERROR",IF(B48=$D$23,"PASS","MAJOR FUNCTIONAL"))))))))))</f>
        <v/>
      </c>
      <c r="D48" s="79" t="str">
        <f>IF(C48="","",IF('Data - Sample Type 0'!FY127="","N/A",IF('Data - Sample Type 0'!FY127&lt;Specifications!$D$3,"PASS","FAIL")))</f>
        <v/>
      </c>
      <c r="E48" s="65"/>
    </row>
    <row r="49" spans="1:5" ht="14" x14ac:dyDescent="0.15">
      <c r="A49" s="75" t="str">
        <f>IF('Data - Sample Type 0'!C128="","",'Data - Sample Type 0'!C128)</f>
        <v/>
      </c>
      <c r="B49" s="76" t="str">
        <f>IF('Data - Sample Type 0'!L128="","",'Data - Sample Type 0'!L128)</f>
        <v/>
      </c>
      <c r="C49" s="77" t="str">
        <f>IF(B49="","",IF(B49="INVALID",IF('Data - Sample Type 0'!GA128="","INVALID",'Data - Sample Type 0'!GA128),IF(B49="ERROR",'Data - Sample Type 0'!GA128,IF(B49="NO RESULT",'Data - Sample Type 0'!GA128,IF(B49="V","MINOR VISUAL",IF(B49="M","MAJOR VISUAL",IF(B49="B","BARCODE FAIL",IF(B49="D","DELAMINATION",IF('Data - Sample Type 0'!Q128="","DATA ENTRY ERROR",IF(B49=$D$23,"PASS","MAJOR FUNCTIONAL"))))))))))</f>
        <v/>
      </c>
      <c r="D49" s="79" t="str">
        <f>IF(C49="","",IF('Data - Sample Type 0'!FY128="","N/A",IF('Data - Sample Type 0'!FY128&lt;Specifications!$D$3,"PASS","FAIL")))</f>
        <v/>
      </c>
      <c r="E49" s="65"/>
    </row>
    <row r="50" spans="1:5" ht="14" x14ac:dyDescent="0.15">
      <c r="A50" s="75" t="str">
        <f>IF('Data - Sample Type 0'!C129="","",'Data - Sample Type 0'!C129)</f>
        <v/>
      </c>
      <c r="B50" s="76" t="str">
        <f>IF('Data - Sample Type 0'!L129="","",'Data - Sample Type 0'!L129)</f>
        <v/>
      </c>
      <c r="C50" s="77" t="str">
        <f>IF(B50="","",IF(B50="INVALID",IF('Data - Sample Type 0'!GA129="","INVALID",'Data - Sample Type 0'!GA129),IF(B50="ERROR",'Data - Sample Type 0'!GA129,IF(B50="NO RESULT",'Data - Sample Type 0'!GA129,IF(B50="V","MINOR VISUAL",IF(B50="M","MAJOR VISUAL",IF(B50="B","BARCODE FAIL",IF(B50="D","DELAMINATION",IF('Data - Sample Type 0'!Q129="","DATA ENTRY ERROR",IF(B50=$D$23,"PASS","MAJOR FUNCTIONAL"))))))))))</f>
        <v/>
      </c>
      <c r="D50" s="79" t="str">
        <f>IF(C50="","",IF('Data - Sample Type 0'!FY129="","N/A",IF('Data - Sample Type 0'!FY129&lt;Specifications!$D$3,"PASS","FAIL")))</f>
        <v/>
      </c>
      <c r="E50" s="65"/>
    </row>
    <row r="51" spans="1:5" ht="14" x14ac:dyDescent="0.15">
      <c r="A51" s="75" t="str">
        <f>IF('Data - Sample Type 0'!C130="","",'Data - Sample Type 0'!C130)</f>
        <v/>
      </c>
      <c r="B51" s="76" t="str">
        <f>IF('Data - Sample Type 0'!L130="","",'Data - Sample Type 0'!L130)</f>
        <v/>
      </c>
      <c r="C51" s="77" t="str">
        <f>IF(B51="","",IF(B51="INVALID",IF('Data - Sample Type 0'!GA130="","INVALID",'Data - Sample Type 0'!GA130),IF(B51="ERROR",'Data - Sample Type 0'!GA130,IF(B51="NO RESULT",'Data - Sample Type 0'!GA130,IF(B51="V","MINOR VISUAL",IF(B51="M","MAJOR VISUAL",IF(B51="B","BARCODE FAIL",IF(B51="D","DELAMINATION",IF('Data - Sample Type 0'!Q130="","DATA ENTRY ERROR",IF(B51=$D$23,"PASS","MAJOR FUNCTIONAL"))))))))))</f>
        <v/>
      </c>
      <c r="D51" s="79" t="str">
        <f>IF(C51="","",IF('Data - Sample Type 0'!FY130="","N/A",IF('Data - Sample Type 0'!FY130&lt;Specifications!$D$3,"PASS","FAIL")))</f>
        <v/>
      </c>
      <c r="E51" s="65"/>
    </row>
    <row r="52" spans="1:5" ht="14" x14ac:dyDescent="0.15">
      <c r="A52" s="75" t="str">
        <f>IF('Data - Sample Type 0'!C131="","",'Data - Sample Type 0'!C131)</f>
        <v/>
      </c>
      <c r="B52" s="76" t="str">
        <f>IF('Data - Sample Type 0'!L131="","",'Data - Sample Type 0'!L131)</f>
        <v/>
      </c>
      <c r="C52" s="77" t="str">
        <f>IF(B52="","",IF(B52="INVALID",IF('Data - Sample Type 0'!GA131="","INVALID",'Data - Sample Type 0'!GA131),IF(B52="ERROR",'Data - Sample Type 0'!GA131,IF(B52="NO RESULT",'Data - Sample Type 0'!GA131,IF(B52="V","MINOR VISUAL",IF(B52="M","MAJOR VISUAL",IF(B52="B","BARCODE FAIL",IF(B52="D","DELAMINATION",IF('Data - Sample Type 0'!Q131="","DATA ENTRY ERROR",IF(B52=$D$23,"PASS","MAJOR FUNCTIONAL"))))))))))</f>
        <v/>
      </c>
      <c r="D52" s="79" t="str">
        <f>IF(C52="","",IF('Data - Sample Type 0'!FY131="","N/A",IF('Data - Sample Type 0'!FY131&lt;Specifications!$D$3,"PASS","FAIL")))</f>
        <v/>
      </c>
      <c r="E52" s="65"/>
    </row>
    <row r="53" spans="1:5" ht="14" x14ac:dyDescent="0.15">
      <c r="A53" s="75" t="str">
        <f>IF('Data - Sample Type 0'!C132="","",'Data - Sample Type 0'!C132)</f>
        <v/>
      </c>
      <c r="B53" s="76" t="str">
        <f>IF('Data - Sample Type 0'!L132="","",'Data - Sample Type 0'!L132)</f>
        <v/>
      </c>
      <c r="C53" s="77" t="str">
        <f>IF(B53="","",IF(B53="INVALID",IF('Data - Sample Type 0'!GA132="","INVALID",'Data - Sample Type 0'!GA132),IF(B53="ERROR",'Data - Sample Type 0'!GA132,IF(B53="NO RESULT",'Data - Sample Type 0'!GA132,IF(B53="V","MINOR VISUAL",IF(B53="M","MAJOR VISUAL",IF(B53="B","BARCODE FAIL",IF(B53="D","DELAMINATION",IF('Data - Sample Type 0'!Q132="","DATA ENTRY ERROR",IF(B53=$D$23,"PASS","MAJOR FUNCTIONAL"))))))))))</f>
        <v/>
      </c>
      <c r="D53" s="79" t="str">
        <f>IF(C53="","",IF('Data - Sample Type 0'!FY132="","N/A",IF('Data - Sample Type 0'!FY132&lt;Specifications!$D$3,"PASS","FAIL")))</f>
        <v/>
      </c>
      <c r="E53" s="65"/>
    </row>
    <row r="54" spans="1:5" ht="14" x14ac:dyDescent="0.15">
      <c r="A54" s="75" t="str">
        <f>IF('Data - Sample Type 0'!C133="","",'Data - Sample Type 0'!C133)</f>
        <v/>
      </c>
      <c r="B54" s="76" t="str">
        <f>IF('Data - Sample Type 0'!L133="","",'Data - Sample Type 0'!L133)</f>
        <v/>
      </c>
      <c r="C54" s="77" t="str">
        <f>IF(B54="","",IF(B54="INVALID",IF('Data - Sample Type 0'!GA133="","INVALID",'Data - Sample Type 0'!GA133),IF(B54="ERROR",'Data - Sample Type 0'!GA133,IF(B54="NO RESULT",'Data - Sample Type 0'!GA133,IF(B54="V","MINOR VISUAL",IF(B54="M","MAJOR VISUAL",IF(B54="B","BARCODE FAIL",IF(B54="D","DELAMINATION",IF('Data - Sample Type 0'!Q133="","DATA ENTRY ERROR",IF(B54=$D$23,"PASS","MAJOR FUNCTIONAL"))))))))))</f>
        <v/>
      </c>
      <c r="D54" s="79" t="str">
        <f>IF(C54="","",IF('Data - Sample Type 0'!FY133="","N/A",IF('Data - Sample Type 0'!FY133&lt;Specifications!$D$3,"PASS","FAIL")))</f>
        <v/>
      </c>
      <c r="E54" s="65"/>
    </row>
    <row r="55" spans="1:5" ht="14" x14ac:dyDescent="0.15">
      <c r="A55" s="75" t="str">
        <f>IF('Data - Sample Type 0'!C134="","",'Data - Sample Type 0'!C134)</f>
        <v/>
      </c>
      <c r="B55" s="76" t="str">
        <f>IF('Data - Sample Type 0'!L134="","",'Data - Sample Type 0'!L134)</f>
        <v/>
      </c>
      <c r="C55" s="77" t="str">
        <f>IF(B55="","",IF(B55="INVALID",IF('Data - Sample Type 0'!GA134="","INVALID",'Data - Sample Type 0'!GA134),IF(B55="ERROR",'Data - Sample Type 0'!GA134,IF(B55="NO RESULT",'Data - Sample Type 0'!GA134,IF(B55="V","MINOR VISUAL",IF(B55="M","MAJOR VISUAL",IF(B55="B","BARCODE FAIL",IF(B55="D","DELAMINATION",IF('Data - Sample Type 0'!Q134="","DATA ENTRY ERROR",IF(B55=$D$23,"PASS","MAJOR FUNCTIONAL"))))))))))</f>
        <v/>
      </c>
      <c r="D55" s="79" t="str">
        <f>IF(C55="","",IF('Data - Sample Type 0'!FY134="","N/A",IF('Data - Sample Type 0'!FY134&lt;Specifications!$D$3,"PASS","FAIL")))</f>
        <v/>
      </c>
      <c r="E55" s="65"/>
    </row>
    <row r="56" spans="1:5" ht="14" x14ac:dyDescent="0.15">
      <c r="A56" s="75" t="str">
        <f>IF('Data - Sample Type 0'!C135="","",'Data - Sample Type 0'!C135)</f>
        <v/>
      </c>
      <c r="B56" s="76" t="str">
        <f>IF('Data - Sample Type 0'!L135="","",'Data - Sample Type 0'!L135)</f>
        <v/>
      </c>
      <c r="C56" s="77" t="str">
        <f>IF(B56="","",IF(B56="INVALID",IF('Data - Sample Type 0'!GA135="","INVALID",'Data - Sample Type 0'!GA135),IF(B56="ERROR",'Data - Sample Type 0'!GA135,IF(B56="NO RESULT",'Data - Sample Type 0'!GA135,IF(B56="V","MINOR VISUAL",IF(B56="M","MAJOR VISUAL",IF(B56="B","BARCODE FAIL",IF(B56="D","DELAMINATION",IF('Data - Sample Type 0'!Q135="","DATA ENTRY ERROR",IF(B56=$D$23,"PASS","MAJOR FUNCTIONAL"))))))))))</f>
        <v/>
      </c>
      <c r="D56" s="79" t="str">
        <f>IF(C56="","",IF('Data - Sample Type 0'!FY135="","N/A",IF('Data - Sample Type 0'!FY135&lt;Specifications!$D$3,"PASS","FAIL")))</f>
        <v/>
      </c>
      <c r="E56" s="65"/>
    </row>
    <row r="57" spans="1:5" ht="14" x14ac:dyDescent="0.15">
      <c r="A57" s="75" t="str">
        <f>IF('Data - Sample Type 0'!C136="","",'Data - Sample Type 0'!C136)</f>
        <v/>
      </c>
      <c r="B57" s="76" t="str">
        <f>IF('Data - Sample Type 0'!L136="","",'Data - Sample Type 0'!L136)</f>
        <v/>
      </c>
      <c r="C57" s="77" t="str">
        <f>IF(B57="","",IF(B57="INVALID",IF('Data - Sample Type 0'!GA136="","INVALID",'Data - Sample Type 0'!GA136),IF(B57="ERROR",'Data - Sample Type 0'!GA136,IF(B57="NO RESULT",'Data - Sample Type 0'!GA136,IF(B57="V","MINOR VISUAL",IF(B57="M","MAJOR VISUAL",IF(B57="B","BARCODE FAIL",IF(B57="D","DELAMINATION",IF('Data - Sample Type 0'!Q136="","DATA ENTRY ERROR",IF(B57=$D$23,"PASS","MAJOR FUNCTIONAL"))))))))))</f>
        <v/>
      </c>
      <c r="D57" s="79" t="str">
        <f>IF(C57="","",IF('Data - Sample Type 0'!FY136="","N/A",IF('Data - Sample Type 0'!FY136&lt;Specifications!$D$3,"PASS","FAIL")))</f>
        <v/>
      </c>
      <c r="E57" s="65"/>
    </row>
    <row r="58" spans="1:5" ht="14" x14ac:dyDescent="0.15">
      <c r="A58" s="75" t="str">
        <f>IF('Data - Sample Type 0'!C137="","",'Data - Sample Type 0'!C137)</f>
        <v/>
      </c>
      <c r="B58" s="76" t="str">
        <f>IF('Data - Sample Type 0'!L137="","",'Data - Sample Type 0'!L137)</f>
        <v/>
      </c>
      <c r="C58" s="77" t="str">
        <f>IF(B58="","",IF(B58="INVALID",IF('Data - Sample Type 0'!GA137="","INVALID",'Data - Sample Type 0'!GA137),IF(B58="ERROR",'Data - Sample Type 0'!GA137,IF(B58="NO RESULT",'Data - Sample Type 0'!GA137,IF(B58="V","MINOR VISUAL",IF(B58="M","MAJOR VISUAL",IF(B58="B","BARCODE FAIL",IF(B58="D","DELAMINATION",IF('Data - Sample Type 0'!Q137="","DATA ENTRY ERROR",IF(B58=$D$23,"PASS","MAJOR FUNCTIONAL"))))))))))</f>
        <v/>
      </c>
      <c r="D58" s="79" t="str">
        <f>IF(C58="","",IF('Data - Sample Type 0'!FY137="","N/A",IF('Data - Sample Type 0'!FY137&lt;Specifications!$D$3,"PASS","FAIL")))</f>
        <v/>
      </c>
      <c r="E58" s="65"/>
    </row>
    <row r="59" spans="1:5" ht="14" x14ac:dyDescent="0.15">
      <c r="A59" s="75" t="str">
        <f>IF('Data - Sample Type 0'!C138="","",'Data - Sample Type 0'!C138)</f>
        <v/>
      </c>
      <c r="B59" s="76" t="str">
        <f>IF('Data - Sample Type 0'!L138="","",'Data - Sample Type 0'!L138)</f>
        <v/>
      </c>
      <c r="C59" s="77" t="str">
        <f>IF(B59="","",IF(B59="INVALID",IF('Data - Sample Type 0'!GA138="","INVALID",'Data - Sample Type 0'!GA138),IF(B59="ERROR",'Data - Sample Type 0'!GA138,IF(B59="NO RESULT",'Data - Sample Type 0'!GA138,IF(B59="V","MINOR VISUAL",IF(B59="M","MAJOR VISUAL",IF(B59="B","BARCODE FAIL",IF(B59="D","DELAMINATION",IF('Data - Sample Type 0'!Q138="","DATA ENTRY ERROR",IF(B59=$D$23,"PASS","MAJOR FUNCTIONAL"))))))))))</f>
        <v/>
      </c>
      <c r="D59" s="79" t="str">
        <f>IF(C59="","",IF('Data - Sample Type 0'!FY138="","N/A",IF('Data - Sample Type 0'!FY138&lt;Specifications!$D$3,"PASS","FAIL")))</f>
        <v/>
      </c>
      <c r="E59" s="65"/>
    </row>
    <row r="60" spans="1:5" ht="14" x14ac:dyDescent="0.15">
      <c r="A60" s="75" t="str">
        <f>IF('Data - Sample Type 0'!C139="","",'Data - Sample Type 0'!C139)</f>
        <v/>
      </c>
      <c r="B60" s="76" t="str">
        <f>IF('Data - Sample Type 0'!L139="","",'Data - Sample Type 0'!L139)</f>
        <v/>
      </c>
      <c r="C60" s="77" t="str">
        <f>IF(B60="","",IF(B60="INVALID",IF('Data - Sample Type 0'!GA139="","INVALID",'Data - Sample Type 0'!GA139),IF(B60="ERROR",'Data - Sample Type 0'!GA139,IF(B60="NO RESULT",'Data - Sample Type 0'!GA139,IF(B60="V","MINOR VISUAL",IF(B60="M","MAJOR VISUAL",IF(B60="B","BARCODE FAIL",IF(B60="D","DELAMINATION",IF('Data - Sample Type 0'!Q139="","DATA ENTRY ERROR",IF(B60=$D$23,"PASS","MAJOR FUNCTIONAL"))))))))))</f>
        <v/>
      </c>
      <c r="D60" s="79" t="str">
        <f>IF(C60="","",IF('Data - Sample Type 0'!FY139="","N/A",IF('Data - Sample Type 0'!FY139&lt;Specifications!$D$3,"PASS","FAIL")))</f>
        <v/>
      </c>
      <c r="E60" s="65"/>
    </row>
    <row r="61" spans="1:5" ht="14" x14ac:dyDescent="0.15">
      <c r="A61" s="75" t="str">
        <f>IF('Data - Sample Type 0'!C140="","",'Data - Sample Type 0'!C140)</f>
        <v/>
      </c>
      <c r="B61" s="76" t="str">
        <f>IF('Data - Sample Type 0'!L140="","",'Data - Sample Type 0'!L140)</f>
        <v/>
      </c>
      <c r="C61" s="77" t="str">
        <f>IF(B61="","",IF(B61="INVALID",IF('Data - Sample Type 0'!GA140="","INVALID",'Data - Sample Type 0'!GA140),IF(B61="ERROR",'Data - Sample Type 0'!GA140,IF(B61="NO RESULT",'Data - Sample Type 0'!GA140,IF(B61="V","MINOR VISUAL",IF(B61="M","MAJOR VISUAL",IF(B61="B","BARCODE FAIL",IF(B61="D","DELAMINATION",IF('Data - Sample Type 0'!Q140="","DATA ENTRY ERROR",IF(B61=$D$23,"PASS","MAJOR FUNCTIONAL"))))))))))</f>
        <v/>
      </c>
      <c r="D61" s="79" t="str">
        <f>IF(C61="","",IF('Data - Sample Type 0'!FY140="","N/A",IF('Data - Sample Type 0'!FY140&lt;Specifications!$D$3,"PASS","FAIL")))</f>
        <v/>
      </c>
      <c r="E61" s="65"/>
    </row>
    <row r="62" spans="1:5" ht="14" x14ac:dyDescent="0.15">
      <c r="A62" s="75" t="str">
        <f>IF('Data - Sample Type 0'!C141="","",'Data - Sample Type 0'!C141)</f>
        <v/>
      </c>
      <c r="B62" s="76" t="str">
        <f>IF('Data - Sample Type 0'!L141="","",'Data - Sample Type 0'!L141)</f>
        <v/>
      </c>
      <c r="C62" s="77" t="str">
        <f>IF(B62="","",IF(B62="INVALID",IF('Data - Sample Type 0'!GA141="","INVALID",'Data - Sample Type 0'!GA141),IF(B62="ERROR",'Data - Sample Type 0'!GA141,IF(B62="NO RESULT",'Data - Sample Type 0'!GA141,IF(B62="V","MINOR VISUAL",IF(B62="M","MAJOR VISUAL",IF(B62="B","BARCODE FAIL",IF(B62="D","DELAMINATION",IF('Data - Sample Type 0'!Q141="","DATA ENTRY ERROR",IF(B62=$D$23,"PASS","MAJOR FUNCTIONAL"))))))))))</f>
        <v/>
      </c>
      <c r="D62" s="79" t="str">
        <f>IF(C62="","",IF('Data - Sample Type 0'!FY141="","N/A",IF('Data - Sample Type 0'!FY141&lt;Specifications!$D$3,"PASS","FAIL")))</f>
        <v/>
      </c>
      <c r="E62" s="65"/>
    </row>
    <row r="63" spans="1:5" ht="14" x14ac:dyDescent="0.15">
      <c r="A63" s="75" t="str">
        <f>IF('Data - Sample Type 0'!C142="","",'Data - Sample Type 0'!C142)</f>
        <v/>
      </c>
      <c r="B63" s="76" t="str">
        <f>IF('Data - Sample Type 0'!L142="","",'Data - Sample Type 0'!L142)</f>
        <v/>
      </c>
      <c r="C63" s="77" t="str">
        <f>IF(B63="","",IF(B63="INVALID",IF('Data - Sample Type 0'!GA142="","INVALID",'Data - Sample Type 0'!GA142),IF(B63="ERROR",'Data - Sample Type 0'!GA142,IF(B63="NO RESULT",'Data - Sample Type 0'!GA142,IF(B63="V","MINOR VISUAL",IF(B63="M","MAJOR VISUAL",IF(B63="B","BARCODE FAIL",IF(B63="D","DELAMINATION",IF('Data - Sample Type 0'!Q142="","DATA ENTRY ERROR",IF(B63=$D$23,"PASS","MAJOR FUNCTIONAL"))))))))))</f>
        <v/>
      </c>
      <c r="D63" s="79" t="str">
        <f>IF(C63="","",IF('Data - Sample Type 0'!FY142="","N/A",IF('Data - Sample Type 0'!FY142&lt;Specifications!$D$3,"PASS","FAIL")))</f>
        <v/>
      </c>
      <c r="E63" s="65"/>
    </row>
    <row r="64" spans="1:5" ht="14" x14ac:dyDescent="0.15">
      <c r="A64" s="75" t="str">
        <f>IF('Data - Sample Type 0'!C143="","",'Data - Sample Type 0'!C143)</f>
        <v/>
      </c>
      <c r="B64" s="76" t="str">
        <f>IF('Data - Sample Type 0'!L143="","",'Data - Sample Type 0'!L143)</f>
        <v/>
      </c>
      <c r="C64" s="77" t="str">
        <f>IF(B64="","",IF(B64="INVALID",IF('Data - Sample Type 0'!GA143="","INVALID",'Data - Sample Type 0'!GA143),IF(B64="ERROR",'Data - Sample Type 0'!GA143,IF(B64="NO RESULT",'Data - Sample Type 0'!GA143,IF(B64="V","MINOR VISUAL",IF(B64="M","MAJOR VISUAL",IF(B64="B","BARCODE FAIL",IF(B64="D","DELAMINATION",IF('Data - Sample Type 0'!Q143="","DATA ENTRY ERROR",IF(B64=$D$23,"PASS","MAJOR FUNCTIONAL"))))))))))</f>
        <v/>
      </c>
      <c r="D64" s="79" t="str">
        <f>IF(C64="","",IF('Data - Sample Type 0'!FY143="","N/A",IF('Data - Sample Type 0'!FY143&lt;Specifications!$D$3,"PASS","FAIL")))</f>
        <v/>
      </c>
      <c r="E64" s="65"/>
    </row>
    <row r="65" spans="1:5" ht="14" x14ac:dyDescent="0.15">
      <c r="A65" s="75" t="str">
        <f>IF('Data - Sample Type 0'!C144="","",'Data - Sample Type 0'!C144)</f>
        <v/>
      </c>
      <c r="B65" s="76" t="str">
        <f>IF('Data - Sample Type 0'!L144="","",'Data - Sample Type 0'!L144)</f>
        <v/>
      </c>
      <c r="C65" s="77" t="str">
        <f>IF(B65="","",IF(B65="INVALID",IF('Data - Sample Type 0'!GA144="","INVALID",'Data - Sample Type 0'!GA144),IF(B65="ERROR",'Data - Sample Type 0'!GA144,IF(B65="NO RESULT",'Data - Sample Type 0'!GA144,IF(B65="V","MINOR VISUAL",IF(B65="M","MAJOR VISUAL",IF(B65="B","BARCODE FAIL",IF(B65="D","DELAMINATION",IF('Data - Sample Type 0'!Q144="","DATA ENTRY ERROR",IF(B65=$D$23,"PASS","MAJOR FUNCTIONAL"))))))))))</f>
        <v/>
      </c>
      <c r="D65" s="79" t="str">
        <f>IF(C65="","",IF('Data - Sample Type 0'!FY144="","N/A",IF('Data - Sample Type 0'!FY144&lt;Specifications!$D$3,"PASS","FAIL")))</f>
        <v/>
      </c>
      <c r="E65" s="65"/>
    </row>
    <row r="66" spans="1:5" ht="14" x14ac:dyDescent="0.15">
      <c r="A66" s="75" t="str">
        <f>IF('Data - Sample Type 0'!C145="","",'Data - Sample Type 0'!C145)</f>
        <v/>
      </c>
      <c r="B66" s="76" t="str">
        <f>IF('Data - Sample Type 0'!L145="","",'Data - Sample Type 0'!L145)</f>
        <v/>
      </c>
      <c r="C66" s="77" t="str">
        <f>IF(B66="","",IF(B66="INVALID",IF('Data - Sample Type 0'!GA145="","INVALID",'Data - Sample Type 0'!GA145),IF(B66="ERROR",'Data - Sample Type 0'!GA145,IF(B66="NO RESULT",'Data - Sample Type 0'!GA145,IF(B66="V","MINOR VISUAL",IF(B66="M","MAJOR VISUAL",IF(B66="B","BARCODE FAIL",IF(B66="D","DELAMINATION",IF('Data - Sample Type 0'!Q145="","DATA ENTRY ERROR",IF(B66=$D$23,"PASS","MAJOR FUNCTIONAL"))))))))))</f>
        <v/>
      </c>
      <c r="D66" s="79" t="str">
        <f>IF(C66="","",IF('Data - Sample Type 0'!FY145="","N/A",IF('Data - Sample Type 0'!FY145&lt;Specifications!$D$3,"PASS","FAIL")))</f>
        <v/>
      </c>
      <c r="E66" s="65"/>
    </row>
    <row r="67" spans="1:5" ht="14" x14ac:dyDescent="0.15">
      <c r="A67" s="75" t="str">
        <f>IF('Data - Sample Type 0'!C146="","",'Data - Sample Type 0'!C146)</f>
        <v/>
      </c>
      <c r="B67" s="76" t="str">
        <f>IF('Data - Sample Type 0'!L146="","",'Data - Sample Type 0'!L146)</f>
        <v/>
      </c>
      <c r="C67" s="77" t="str">
        <f>IF(B67="","",IF(B67="INVALID",IF('Data - Sample Type 0'!GA146="","INVALID",'Data - Sample Type 0'!GA146),IF(B67="ERROR",'Data - Sample Type 0'!GA146,IF(B67="NO RESULT",'Data - Sample Type 0'!GA146,IF(B67="V","MINOR VISUAL",IF(B67="M","MAJOR VISUAL",IF(B67="B","BARCODE FAIL",IF(B67="D","DELAMINATION",IF('Data - Sample Type 0'!Q146="","DATA ENTRY ERROR",IF(B67=$D$23,"PASS","MAJOR FUNCTIONAL"))))))))))</f>
        <v/>
      </c>
      <c r="D67" s="79" t="str">
        <f>IF(C67="","",IF('Data - Sample Type 0'!FY146="","N/A",IF('Data - Sample Type 0'!FY146&lt;Specifications!$D$3,"PASS","FAIL")))</f>
        <v/>
      </c>
      <c r="E67" s="65"/>
    </row>
    <row r="68" spans="1:5" ht="14" x14ac:dyDescent="0.15">
      <c r="A68" s="75" t="str">
        <f>IF('Data - Sample Type 0'!C147="","",'Data - Sample Type 0'!C147)</f>
        <v/>
      </c>
      <c r="B68" s="76" t="str">
        <f>IF('Data - Sample Type 0'!L147="","",'Data - Sample Type 0'!L147)</f>
        <v/>
      </c>
      <c r="C68" s="77" t="str">
        <f>IF(B68="","",IF(B68="INVALID",IF('Data - Sample Type 0'!GA147="","INVALID",'Data - Sample Type 0'!GA147),IF(B68="ERROR",'Data - Sample Type 0'!GA147,IF(B68="NO RESULT",'Data - Sample Type 0'!GA147,IF(B68="V","MINOR VISUAL",IF(B68="M","MAJOR VISUAL",IF(B68="B","BARCODE FAIL",IF(B68="D","DELAMINATION",IF('Data - Sample Type 0'!Q147="","DATA ENTRY ERROR",IF(B68=$D$23,"PASS","MAJOR FUNCTIONAL"))))))))))</f>
        <v/>
      </c>
      <c r="D68" s="79" t="str">
        <f>IF(C68="","",IF('Data - Sample Type 0'!FY147="","N/A",IF('Data - Sample Type 0'!FY147&lt;Specifications!$D$3,"PASS","FAIL")))</f>
        <v/>
      </c>
      <c r="E68" s="65"/>
    </row>
    <row r="69" spans="1:5" ht="14" x14ac:dyDescent="0.15">
      <c r="A69" s="75" t="str">
        <f>IF('Data - Sample Type 0'!C148="","",'Data - Sample Type 0'!C148)</f>
        <v/>
      </c>
      <c r="B69" s="76" t="str">
        <f>IF('Data - Sample Type 0'!L148="","",'Data - Sample Type 0'!L148)</f>
        <v/>
      </c>
      <c r="C69" s="77" t="str">
        <f>IF(B69="","",IF(B69="INVALID",IF('Data - Sample Type 0'!GA148="","INVALID",'Data - Sample Type 0'!GA148),IF(B69="ERROR",'Data - Sample Type 0'!GA148,IF(B69="NO RESULT",'Data - Sample Type 0'!GA148,IF(B69="V","MINOR VISUAL",IF(B69="M","MAJOR VISUAL",IF(B69="B","BARCODE FAIL",IF(B69="D","DELAMINATION",IF('Data - Sample Type 0'!Q148="","DATA ENTRY ERROR",IF(B69=$D$23,"PASS","MAJOR FUNCTIONAL"))))))))))</f>
        <v/>
      </c>
      <c r="D69" s="79" t="str">
        <f>IF(C69="","",IF('Data - Sample Type 0'!FY148="","N/A",IF('Data - Sample Type 0'!FY148&lt;Specifications!$D$3,"PASS","FAIL")))</f>
        <v/>
      </c>
      <c r="E69" s="65"/>
    </row>
    <row r="70" spans="1:5" ht="14" x14ac:dyDescent="0.15">
      <c r="A70" s="75" t="str">
        <f>IF('Data - Sample Type 0'!C149="","",'Data - Sample Type 0'!C149)</f>
        <v/>
      </c>
      <c r="B70" s="76" t="str">
        <f>IF('Data - Sample Type 0'!L149="","",'Data - Sample Type 0'!L149)</f>
        <v/>
      </c>
      <c r="C70" s="77" t="str">
        <f>IF(B70="","",IF(B70="INVALID",IF('Data - Sample Type 0'!GA149="","INVALID",'Data - Sample Type 0'!GA149),IF(B70="ERROR",'Data - Sample Type 0'!GA149,IF(B70="NO RESULT",'Data - Sample Type 0'!GA149,IF(B70="V","MINOR VISUAL",IF(B70="M","MAJOR VISUAL",IF(B70="B","BARCODE FAIL",IF(B70="D","DELAMINATION",IF('Data - Sample Type 0'!Q149="","DATA ENTRY ERROR",IF(B70=$D$23,"PASS","MAJOR FUNCTIONAL"))))))))))</f>
        <v/>
      </c>
      <c r="D70" s="79" t="str">
        <f>IF(C70="","",IF('Data - Sample Type 0'!FY149="","N/A",IF('Data - Sample Type 0'!FY149&lt;Specifications!$D$3,"PASS","FAIL")))</f>
        <v/>
      </c>
      <c r="E70" s="65"/>
    </row>
    <row r="71" spans="1:5" ht="14" x14ac:dyDescent="0.15">
      <c r="A71" s="75" t="str">
        <f>IF('Data - Sample Type 0'!C150="","",'Data - Sample Type 0'!C150)</f>
        <v/>
      </c>
      <c r="B71" s="76" t="str">
        <f>IF('Data - Sample Type 0'!L150="","",'Data - Sample Type 0'!L150)</f>
        <v/>
      </c>
      <c r="C71" s="77" t="str">
        <f>IF(B71="","",IF(B71="INVALID",IF('Data - Sample Type 0'!GA150="","INVALID",'Data - Sample Type 0'!GA150),IF(B71="ERROR",'Data - Sample Type 0'!GA150,IF(B71="NO RESULT",'Data - Sample Type 0'!GA150,IF(B71="V","MINOR VISUAL",IF(B71="M","MAJOR VISUAL",IF(B71="B","BARCODE FAIL",IF(B71="D","DELAMINATION",IF('Data - Sample Type 0'!Q150="","DATA ENTRY ERROR",IF(B71=$D$23,"PASS","MAJOR FUNCTIONAL"))))))))))</f>
        <v/>
      </c>
      <c r="D71" s="79" t="str">
        <f>IF(C71="","",IF('Data - Sample Type 0'!FY150="","N/A",IF('Data - Sample Type 0'!FY150&lt;Specifications!$D$3,"PASS","FAIL")))</f>
        <v/>
      </c>
      <c r="E71" s="65"/>
    </row>
    <row r="72" spans="1:5" ht="14" x14ac:dyDescent="0.15">
      <c r="A72" s="75" t="str">
        <f>IF('Data - Sample Type 0'!C151="","",'Data - Sample Type 0'!C151)</f>
        <v/>
      </c>
      <c r="B72" s="76" t="str">
        <f>IF('Data - Sample Type 0'!L151="","",'Data - Sample Type 0'!L151)</f>
        <v/>
      </c>
      <c r="C72" s="77" t="str">
        <f>IF(B72="","",IF(B72="INVALID",IF('Data - Sample Type 0'!GA151="","INVALID",'Data - Sample Type 0'!GA151),IF(B72="ERROR",'Data - Sample Type 0'!GA151,IF(B72="NO RESULT",'Data - Sample Type 0'!GA151,IF(B72="V","MINOR VISUAL",IF(B72="M","MAJOR VISUAL",IF(B72="B","BARCODE FAIL",IF(B72="D","DELAMINATION",IF('Data - Sample Type 0'!Q151="","DATA ENTRY ERROR",IF(B72=$D$23,"PASS","MAJOR FUNCTIONAL"))))))))))</f>
        <v/>
      </c>
      <c r="D72" s="79" t="str">
        <f>IF(C72="","",IF('Data - Sample Type 0'!FY151="","N/A",IF('Data - Sample Type 0'!FY151&lt;Specifications!$D$3,"PASS","FAIL")))</f>
        <v/>
      </c>
      <c r="E72" s="65"/>
    </row>
    <row r="73" spans="1:5" ht="14" x14ac:dyDescent="0.15">
      <c r="A73" s="75" t="str">
        <f>IF('Data - Sample Type 0'!C152="","",'Data - Sample Type 0'!C152)</f>
        <v/>
      </c>
      <c r="B73" s="76" t="str">
        <f>IF('Data - Sample Type 0'!L152="","",'Data - Sample Type 0'!L152)</f>
        <v/>
      </c>
      <c r="C73" s="77" t="str">
        <f>IF(B73="","",IF(B73="INVALID",IF('Data - Sample Type 0'!GA152="","INVALID",'Data - Sample Type 0'!GA152),IF(B73="ERROR",'Data - Sample Type 0'!GA152,IF(B73="NO RESULT",'Data - Sample Type 0'!GA152,IF(B73="V","MINOR VISUAL",IF(B73="M","MAJOR VISUAL",IF(B73="B","BARCODE FAIL",IF(B73="D","DELAMINATION",IF('Data - Sample Type 0'!Q152="","DATA ENTRY ERROR",IF(B73=$D$23,"PASS","MAJOR FUNCTIONAL"))))))))))</f>
        <v/>
      </c>
      <c r="D73" s="79" t="str">
        <f>IF(C73="","",IF('Data - Sample Type 0'!FY152="","N/A",IF('Data - Sample Type 0'!FY152&lt;Specifications!$D$3,"PASS","FAIL")))</f>
        <v/>
      </c>
      <c r="E73" s="65"/>
    </row>
    <row r="74" spans="1:5" ht="14" x14ac:dyDescent="0.15">
      <c r="A74" s="75" t="str">
        <f>IF('Data - Sample Type 0'!C153="","",'Data - Sample Type 0'!C153)</f>
        <v/>
      </c>
      <c r="B74" s="76" t="str">
        <f>IF('Data - Sample Type 0'!L153="","",'Data - Sample Type 0'!L153)</f>
        <v/>
      </c>
      <c r="C74" s="77" t="str">
        <f>IF(B74="","",IF(B74="INVALID",IF('Data - Sample Type 0'!GA153="","INVALID",'Data - Sample Type 0'!GA153),IF(B74="ERROR",'Data - Sample Type 0'!GA153,IF(B74="NO RESULT",'Data - Sample Type 0'!GA153,IF(B74="V","MINOR VISUAL",IF(B74="M","MAJOR VISUAL",IF(B74="B","BARCODE FAIL",IF(B74="D","DELAMINATION",IF('Data - Sample Type 0'!Q153="","DATA ENTRY ERROR",IF(B74=$D$23,"PASS","MAJOR FUNCTIONAL"))))))))))</f>
        <v/>
      </c>
      <c r="D74" s="79" t="str">
        <f>IF(C74="","",IF('Data - Sample Type 0'!FY153="","N/A",IF('Data - Sample Type 0'!FY153&lt;Specifications!$D$3,"PASS","FAIL")))</f>
        <v/>
      </c>
      <c r="E74" s="65"/>
    </row>
    <row r="75" spans="1:5" ht="14" x14ac:dyDescent="0.15">
      <c r="A75" s="75" t="str">
        <f>IF('Data - Sample Type 0'!C154="","",'Data - Sample Type 0'!C154)</f>
        <v/>
      </c>
      <c r="B75" s="76" t="str">
        <f>IF('Data - Sample Type 0'!L154="","",'Data - Sample Type 0'!L154)</f>
        <v/>
      </c>
      <c r="C75" s="77" t="str">
        <f>IF(B75="","",IF(B75="INVALID",IF('Data - Sample Type 0'!GA154="","INVALID",'Data - Sample Type 0'!GA154),IF(B75="ERROR",'Data - Sample Type 0'!GA154,IF(B75="NO RESULT",'Data - Sample Type 0'!GA154,IF(B75="V","MINOR VISUAL",IF(B75="M","MAJOR VISUAL",IF(B75="B","BARCODE FAIL",IF(B75="D","DELAMINATION",IF('Data - Sample Type 0'!Q154="","DATA ENTRY ERROR",IF(B75=$D$23,"PASS","MAJOR FUNCTIONAL"))))))))))</f>
        <v/>
      </c>
      <c r="D75" s="79" t="str">
        <f>IF(C75="","",IF('Data - Sample Type 0'!FY154="","N/A",IF('Data - Sample Type 0'!FY154&lt;Specifications!$D$3,"PASS","FAIL")))</f>
        <v/>
      </c>
      <c r="E75" s="65"/>
    </row>
    <row r="76" spans="1:5" ht="14" x14ac:dyDescent="0.15">
      <c r="A76" s="75" t="str">
        <f>IF('Data - Sample Type 0'!C155="","",'Data - Sample Type 0'!C155)</f>
        <v/>
      </c>
      <c r="B76" s="76" t="str">
        <f>IF('Data - Sample Type 0'!L155="","",'Data - Sample Type 0'!L155)</f>
        <v/>
      </c>
      <c r="C76" s="77" t="str">
        <f>IF(B76="","",IF(B76="INVALID",IF('Data - Sample Type 0'!GA155="","INVALID",'Data - Sample Type 0'!GA155),IF(B76="ERROR",'Data - Sample Type 0'!GA155,IF(B76="NO RESULT",'Data - Sample Type 0'!GA155,IF(B76="V","MINOR VISUAL",IF(B76="M","MAJOR VISUAL",IF(B76="B","BARCODE FAIL",IF(B76="D","DELAMINATION",IF('Data - Sample Type 0'!Q155="","DATA ENTRY ERROR",IF(B76=$D$23,"PASS","MAJOR FUNCTIONAL"))))))))))</f>
        <v/>
      </c>
      <c r="D76" s="79" t="str">
        <f>IF(C76="","",IF('Data - Sample Type 0'!FY155="","N/A",IF('Data - Sample Type 0'!FY155&lt;Specifications!$D$3,"PASS","FAIL")))</f>
        <v/>
      </c>
      <c r="E76" s="65"/>
    </row>
    <row r="77" spans="1:5" ht="14" x14ac:dyDescent="0.15">
      <c r="A77" s="75" t="str">
        <f>IF('Data - Sample Type 0'!C156="","",'Data - Sample Type 0'!C156)</f>
        <v/>
      </c>
      <c r="B77" s="76" t="str">
        <f>IF('Data - Sample Type 0'!L156="","",'Data - Sample Type 0'!L156)</f>
        <v/>
      </c>
      <c r="C77" s="77" t="str">
        <f>IF(B77="","",IF(B77="INVALID",IF('Data - Sample Type 0'!GA156="","INVALID",'Data - Sample Type 0'!GA156),IF(B77="ERROR",'Data - Sample Type 0'!GA156,IF(B77="NO RESULT",'Data - Sample Type 0'!GA156,IF(B77="V","MINOR VISUAL",IF(B77="M","MAJOR VISUAL",IF(B77="B","BARCODE FAIL",IF(B77="D","DELAMINATION",IF('Data - Sample Type 0'!Q156="","DATA ENTRY ERROR",IF(B77=$D$23,"PASS","MAJOR FUNCTIONAL"))))))))))</f>
        <v/>
      </c>
      <c r="D77" s="79" t="str">
        <f>IF(C77="","",IF('Data - Sample Type 0'!FY156="","N/A",IF('Data - Sample Type 0'!FY156&lt;Specifications!$D$3,"PASS","FAIL")))</f>
        <v/>
      </c>
      <c r="E77" s="65"/>
    </row>
    <row r="78" spans="1:5" ht="14" x14ac:dyDescent="0.15">
      <c r="A78" s="75" t="str">
        <f>IF('Data - Sample Type 0'!C157="","",'Data - Sample Type 0'!C157)</f>
        <v/>
      </c>
      <c r="B78" s="76" t="str">
        <f>IF('Data - Sample Type 0'!L157="","",'Data - Sample Type 0'!L157)</f>
        <v/>
      </c>
      <c r="C78" s="77" t="str">
        <f>IF(B78="","",IF(B78="INVALID",IF('Data - Sample Type 0'!GA157="","INVALID",'Data - Sample Type 0'!GA157),IF(B78="ERROR",'Data - Sample Type 0'!GA157,IF(B78="NO RESULT",'Data - Sample Type 0'!GA157,IF(B78="V","MINOR VISUAL",IF(B78="M","MAJOR VISUAL",IF(B78="B","BARCODE FAIL",IF(B78="D","DELAMINATION",IF('Data - Sample Type 0'!Q157="","DATA ENTRY ERROR",IF(B78=$D$23,"PASS","MAJOR FUNCTIONAL"))))))))))</f>
        <v/>
      </c>
      <c r="D78" s="79" t="str">
        <f>IF(C78="","",IF('Data - Sample Type 0'!FY157="","N/A",IF('Data - Sample Type 0'!FY157&lt;Specifications!$D$3,"PASS","FAIL")))</f>
        <v/>
      </c>
      <c r="E78" s="65"/>
    </row>
    <row r="79" spans="1:5" ht="14" x14ac:dyDescent="0.15">
      <c r="A79" s="75" t="str">
        <f>IF('Data - Sample Type 0'!C158="","",'Data - Sample Type 0'!C158)</f>
        <v/>
      </c>
      <c r="B79" s="76" t="str">
        <f>IF('Data - Sample Type 0'!L158="","",'Data - Sample Type 0'!L158)</f>
        <v/>
      </c>
      <c r="C79" s="77" t="str">
        <f>IF(B79="","",IF(B79="INVALID",IF('Data - Sample Type 0'!GA158="","INVALID",'Data - Sample Type 0'!GA158),IF(B79="ERROR",'Data - Sample Type 0'!GA158,IF(B79="NO RESULT",'Data - Sample Type 0'!GA158,IF(B79="V","MINOR VISUAL",IF(B79="M","MAJOR VISUAL",IF(B79="B","BARCODE FAIL",IF(B79="D","DELAMINATION",IF('Data - Sample Type 0'!Q158="","DATA ENTRY ERROR",IF(B79=$D$23,"PASS","MAJOR FUNCTIONAL"))))))))))</f>
        <v/>
      </c>
      <c r="D79" s="79" t="str">
        <f>IF(C79="","",IF('Data - Sample Type 0'!FY158="","N/A",IF('Data - Sample Type 0'!FY158&lt;Specifications!$D$3,"PASS","FAIL")))</f>
        <v/>
      </c>
      <c r="E79" s="65"/>
    </row>
    <row r="80" spans="1:5" ht="14" x14ac:dyDescent="0.15">
      <c r="A80" s="75" t="str">
        <f>IF('Data - Sample Type 0'!C159="","",'Data - Sample Type 0'!C159)</f>
        <v/>
      </c>
      <c r="B80" s="76" t="str">
        <f>IF('Data - Sample Type 0'!L159="","",'Data - Sample Type 0'!L159)</f>
        <v/>
      </c>
      <c r="C80" s="77" t="str">
        <f>IF(B80="","",IF(B80="INVALID",IF('Data - Sample Type 0'!GA159="","INVALID",'Data - Sample Type 0'!GA159),IF(B80="ERROR",'Data - Sample Type 0'!GA159,IF(B80="NO RESULT",'Data - Sample Type 0'!GA159,IF(B80="V","MINOR VISUAL",IF(B80="M","MAJOR VISUAL",IF(B80="B","BARCODE FAIL",IF(B80="D","DELAMINATION",IF('Data - Sample Type 0'!Q159="","DATA ENTRY ERROR",IF(B80=$D$23,"PASS","MAJOR FUNCTIONAL"))))))))))</f>
        <v/>
      </c>
      <c r="D80" s="79" t="str">
        <f>IF(C80="","",IF('Data - Sample Type 0'!FY159="","N/A",IF('Data - Sample Type 0'!FY159&lt;Specifications!$D$3,"PASS","FAIL")))</f>
        <v/>
      </c>
      <c r="E80" s="65"/>
    </row>
    <row r="81" spans="1:5" ht="14" x14ac:dyDescent="0.15">
      <c r="A81" s="75" t="str">
        <f>IF('Data - Sample Type 0'!C160="","",'Data - Sample Type 0'!C160)</f>
        <v/>
      </c>
      <c r="B81" s="76" t="str">
        <f>IF('Data - Sample Type 0'!L160="","",'Data - Sample Type 0'!L160)</f>
        <v/>
      </c>
      <c r="C81" s="77" t="str">
        <f>IF(B81="","",IF(B81="INVALID",IF('Data - Sample Type 0'!GA160="","INVALID",'Data - Sample Type 0'!GA160),IF(B81="ERROR",'Data - Sample Type 0'!GA160,IF(B81="NO RESULT",'Data - Sample Type 0'!GA160,IF(B81="V","MINOR VISUAL",IF(B81="M","MAJOR VISUAL",IF(B81="B","BARCODE FAIL",IF(B81="D","DELAMINATION",IF('Data - Sample Type 0'!Q160="","DATA ENTRY ERROR",IF(B81=$D$23,"PASS","MAJOR FUNCTIONAL"))))))))))</f>
        <v/>
      </c>
      <c r="D81" s="79" t="str">
        <f>IF(C81="","",IF('Data - Sample Type 0'!FY160="","N/A",IF('Data - Sample Type 0'!FY160&lt;Specifications!$D$3,"PASS","FAIL")))</f>
        <v/>
      </c>
      <c r="E81" s="65"/>
    </row>
    <row r="82" spans="1:5" ht="14" x14ac:dyDescent="0.15">
      <c r="A82" s="75" t="str">
        <f>IF('Data - Sample Type 0'!C161="","",'Data - Sample Type 0'!C161)</f>
        <v/>
      </c>
      <c r="B82" s="76" t="str">
        <f>IF('Data - Sample Type 0'!L161="","",'Data - Sample Type 0'!L161)</f>
        <v/>
      </c>
      <c r="C82" s="77" t="str">
        <f>IF(B82="","",IF(B82="INVALID",IF('Data - Sample Type 0'!GA161="","INVALID",'Data - Sample Type 0'!GA161),IF(B82="ERROR",'Data - Sample Type 0'!GA161,IF(B82="NO RESULT",'Data - Sample Type 0'!GA161,IF(B82="V","MINOR VISUAL",IF(B82="M","MAJOR VISUAL",IF(B82="B","BARCODE FAIL",IF(B82="D","DELAMINATION",IF('Data - Sample Type 0'!Q161="","DATA ENTRY ERROR",IF(B82=$D$23,"PASS","MAJOR FUNCTIONAL"))))))))))</f>
        <v/>
      </c>
      <c r="D82" s="79" t="str">
        <f>IF(C82="","",IF('Data - Sample Type 0'!FY161="","N/A",IF('Data - Sample Type 0'!FY161&lt;Specifications!$D$3,"PASS","FAIL")))</f>
        <v/>
      </c>
      <c r="E82" s="65"/>
    </row>
    <row r="83" spans="1:5" ht="14" x14ac:dyDescent="0.15">
      <c r="A83" s="75" t="str">
        <f>IF('Data - Sample Type 0'!C162="","",'Data - Sample Type 0'!C162)</f>
        <v/>
      </c>
      <c r="B83" s="76" t="str">
        <f>IF('Data - Sample Type 0'!L162="","",'Data - Sample Type 0'!L162)</f>
        <v/>
      </c>
      <c r="C83" s="77" t="str">
        <f>IF(B83="","",IF(B83="INVALID",IF('Data - Sample Type 0'!GA162="","INVALID",'Data - Sample Type 0'!GA162),IF(B83="ERROR",'Data - Sample Type 0'!GA162,IF(B83="NO RESULT",'Data - Sample Type 0'!GA162,IF(B83="V","MINOR VISUAL",IF(B83="M","MAJOR VISUAL",IF(B83="B","BARCODE FAIL",IF(B83="D","DELAMINATION",IF('Data - Sample Type 0'!Q162="","DATA ENTRY ERROR",IF(B83=$D$23,"PASS","MAJOR FUNCTIONAL"))))))))))</f>
        <v/>
      </c>
      <c r="D83" s="79" t="str">
        <f>IF(C83="","",IF('Data - Sample Type 0'!FY162="","N/A",IF('Data - Sample Type 0'!FY162&lt;Specifications!$D$3,"PASS","FAIL")))</f>
        <v/>
      </c>
      <c r="E83" s="65"/>
    </row>
    <row r="84" spans="1:5" ht="14" x14ac:dyDescent="0.15">
      <c r="A84" s="75" t="str">
        <f>IF('Data - Sample Type 0'!C163="","",'Data - Sample Type 0'!C163)</f>
        <v/>
      </c>
      <c r="B84" s="76" t="str">
        <f>IF('Data - Sample Type 0'!L163="","",'Data - Sample Type 0'!L163)</f>
        <v/>
      </c>
      <c r="C84" s="77" t="str">
        <f>IF(B84="","",IF(B84="INVALID",IF('Data - Sample Type 0'!GA163="","INVALID",'Data - Sample Type 0'!GA163),IF(B84="ERROR",'Data - Sample Type 0'!GA163,IF(B84="NO RESULT",'Data - Sample Type 0'!GA163,IF(B84="V","MINOR VISUAL",IF(B84="M","MAJOR VISUAL",IF(B84="B","BARCODE FAIL",IF(B84="D","DELAMINATION",IF('Data - Sample Type 0'!Q163="","DATA ENTRY ERROR",IF(B84=$D$23,"PASS","MAJOR FUNCTIONAL"))))))))))</f>
        <v/>
      </c>
      <c r="D84" s="79" t="str">
        <f>IF(C84="","",IF('Data - Sample Type 0'!FY163="","N/A",IF('Data - Sample Type 0'!FY163&lt;Specifications!$D$3,"PASS","FAIL")))</f>
        <v/>
      </c>
      <c r="E84" s="65"/>
    </row>
    <row r="85" spans="1:5" ht="14" x14ac:dyDescent="0.15">
      <c r="A85" s="75" t="str">
        <f>IF('Data - Sample Type 0'!C164="","",'Data - Sample Type 0'!C164)</f>
        <v/>
      </c>
      <c r="B85" s="76" t="str">
        <f>IF('Data - Sample Type 0'!L164="","",'Data - Sample Type 0'!L164)</f>
        <v/>
      </c>
      <c r="C85" s="77" t="str">
        <f>IF(B85="","",IF(B85="INVALID",IF('Data - Sample Type 0'!GA164="","INVALID",'Data - Sample Type 0'!GA164),IF(B85="ERROR",'Data - Sample Type 0'!GA164,IF(B85="NO RESULT",'Data - Sample Type 0'!GA164,IF(B85="V","MINOR VISUAL",IF(B85="M","MAJOR VISUAL",IF(B85="B","BARCODE FAIL",IF(B85="D","DELAMINATION",IF('Data - Sample Type 0'!Q164="","DATA ENTRY ERROR",IF(B85=$D$23,"PASS","MAJOR FUNCTIONAL"))))))))))</f>
        <v/>
      </c>
      <c r="D85" s="79" t="str">
        <f>IF(C85="","",IF('Data - Sample Type 0'!FY164="","N/A",IF('Data - Sample Type 0'!FY164&lt;Specifications!$D$3,"PASS","FAIL")))</f>
        <v/>
      </c>
      <c r="E85" s="65"/>
    </row>
    <row r="86" spans="1:5" ht="14" x14ac:dyDescent="0.15">
      <c r="A86" s="75" t="str">
        <f>IF('Data - Sample Type 0'!C165="","",'Data - Sample Type 0'!C165)</f>
        <v/>
      </c>
      <c r="B86" s="76" t="str">
        <f>IF('Data - Sample Type 0'!L165="","",'Data - Sample Type 0'!L165)</f>
        <v/>
      </c>
      <c r="C86" s="77" t="str">
        <f>IF(B86="","",IF(B86="INVALID",IF('Data - Sample Type 0'!GA165="","INVALID",'Data - Sample Type 0'!GA165),IF(B86="ERROR",'Data - Sample Type 0'!GA165,IF(B86="NO RESULT",'Data - Sample Type 0'!GA165,IF(B86="V","MINOR VISUAL",IF(B86="M","MAJOR VISUAL",IF(B86="B","BARCODE FAIL",IF(B86="D","DELAMINATION",IF('Data - Sample Type 0'!Q165="","DATA ENTRY ERROR",IF(B86=$D$23,"PASS","MAJOR FUNCTIONAL"))))))))))</f>
        <v/>
      </c>
      <c r="D86" s="79" t="str">
        <f>IF(C86="","",IF('Data - Sample Type 0'!FY165="","N/A",IF('Data - Sample Type 0'!FY165&lt;Specifications!$D$3,"PASS","FAIL")))</f>
        <v/>
      </c>
      <c r="E86" s="65"/>
    </row>
    <row r="87" spans="1:5" ht="14" x14ac:dyDescent="0.15">
      <c r="A87" s="75" t="str">
        <f>IF('Data - Sample Type 0'!C166="","",'Data - Sample Type 0'!C166)</f>
        <v/>
      </c>
      <c r="B87" s="76" t="str">
        <f>IF('Data - Sample Type 0'!L166="","",'Data - Sample Type 0'!L166)</f>
        <v/>
      </c>
      <c r="C87" s="77" t="str">
        <f>IF(B87="","",IF(B87="INVALID",IF('Data - Sample Type 0'!GA166="","INVALID",'Data - Sample Type 0'!GA166),IF(B87="ERROR",'Data - Sample Type 0'!GA166,IF(B87="NO RESULT",'Data - Sample Type 0'!GA166,IF(B87="V","MINOR VISUAL",IF(B87="M","MAJOR VISUAL",IF(B87="B","BARCODE FAIL",IF(B87="D","DELAMINATION",IF('Data - Sample Type 0'!Q166="","DATA ENTRY ERROR",IF(B87=$D$23,"PASS","MAJOR FUNCTIONAL"))))))))))</f>
        <v/>
      </c>
      <c r="D87" s="79" t="str">
        <f>IF(C87="","",IF('Data - Sample Type 0'!FY166="","N/A",IF('Data - Sample Type 0'!FY166&lt;Specifications!$D$3,"PASS","FAIL")))</f>
        <v/>
      </c>
      <c r="E87" s="65"/>
    </row>
    <row r="88" spans="1:5" ht="14" x14ac:dyDescent="0.15">
      <c r="A88" s="75" t="str">
        <f>IF('Data - Sample Type 0'!C167="","",'Data - Sample Type 0'!C167)</f>
        <v/>
      </c>
      <c r="B88" s="76" t="str">
        <f>IF('Data - Sample Type 0'!L167="","",'Data - Sample Type 0'!L167)</f>
        <v/>
      </c>
      <c r="C88" s="77" t="str">
        <f>IF(B88="","",IF(B88="INVALID",IF('Data - Sample Type 0'!GA167="","INVALID",'Data - Sample Type 0'!GA167),IF(B88="ERROR",'Data - Sample Type 0'!GA167,IF(B88="NO RESULT",'Data - Sample Type 0'!GA167,IF(B88="V","MINOR VISUAL",IF(B88="M","MAJOR VISUAL",IF(B88="B","BARCODE FAIL",IF(B88="D","DELAMINATION",IF('Data - Sample Type 0'!Q167="","DATA ENTRY ERROR",IF(B88=$D$23,"PASS","MAJOR FUNCTIONAL"))))))))))</f>
        <v/>
      </c>
      <c r="D88" s="79" t="str">
        <f>IF(C88="","",IF('Data - Sample Type 0'!FY167="","N/A",IF('Data - Sample Type 0'!FY167&lt;Specifications!$D$3,"PASS","FAIL")))</f>
        <v/>
      </c>
      <c r="E88" s="65"/>
    </row>
    <row r="89" spans="1:5" ht="14" x14ac:dyDescent="0.15">
      <c r="A89" s="75" t="str">
        <f>IF('Data - Sample Type 0'!C168="","",'Data - Sample Type 0'!C168)</f>
        <v/>
      </c>
      <c r="B89" s="76" t="str">
        <f>IF('Data - Sample Type 0'!L168="","",'Data - Sample Type 0'!L168)</f>
        <v/>
      </c>
      <c r="C89" s="77" t="str">
        <f>IF(B89="","",IF(B89="INVALID",IF('Data - Sample Type 0'!GA168="","INVALID",'Data - Sample Type 0'!GA168),IF(B89="ERROR",'Data - Sample Type 0'!GA168,IF(B89="NO RESULT",'Data - Sample Type 0'!GA168,IF(B89="V","MINOR VISUAL",IF(B89="M","MAJOR VISUAL",IF(B89="B","BARCODE FAIL",IF(B89="D","DELAMINATION",IF('Data - Sample Type 0'!Q168="","DATA ENTRY ERROR",IF(B89=$D$23,"PASS","MAJOR FUNCTIONAL"))))))))))</f>
        <v/>
      </c>
      <c r="D89" s="79" t="str">
        <f>IF(C89="","",IF('Data - Sample Type 0'!FY168="","N/A",IF('Data - Sample Type 0'!FY168&lt;Specifications!$D$3,"PASS","FAIL")))</f>
        <v/>
      </c>
      <c r="E89" s="65"/>
    </row>
    <row r="90" spans="1:5" ht="14" x14ac:dyDescent="0.15">
      <c r="A90" s="75" t="str">
        <f>IF('Data - Sample Type 0'!C169="","",'Data - Sample Type 0'!C169)</f>
        <v/>
      </c>
      <c r="B90" s="76" t="str">
        <f>IF('Data - Sample Type 0'!L169="","",'Data - Sample Type 0'!L169)</f>
        <v/>
      </c>
      <c r="C90" s="77" t="str">
        <f>IF(B90="","",IF(B90="INVALID",IF('Data - Sample Type 0'!GA169="","INVALID",'Data - Sample Type 0'!GA169),IF(B90="ERROR",'Data - Sample Type 0'!GA169,IF(B90="NO RESULT",'Data - Sample Type 0'!GA169,IF(B90="V","MINOR VISUAL",IF(B90="M","MAJOR VISUAL",IF(B90="B","BARCODE FAIL",IF(B90="D","DELAMINATION",IF('Data - Sample Type 0'!Q169="","DATA ENTRY ERROR",IF(B90=$D$23,"PASS","MAJOR FUNCTIONAL"))))))))))</f>
        <v/>
      </c>
      <c r="D90" s="79" t="str">
        <f>IF(C90="","",IF('Data - Sample Type 0'!FY169="","N/A",IF('Data - Sample Type 0'!FY169&lt;Specifications!$D$3,"PASS","FAIL")))</f>
        <v/>
      </c>
      <c r="E90" s="65"/>
    </row>
    <row r="91" spans="1:5" ht="14" x14ac:dyDescent="0.15">
      <c r="A91" s="75" t="str">
        <f>IF('Data - Sample Type 0'!C170="","",'Data - Sample Type 0'!C170)</f>
        <v/>
      </c>
      <c r="B91" s="76" t="str">
        <f>IF('Data - Sample Type 0'!L170="","",'Data - Sample Type 0'!L170)</f>
        <v/>
      </c>
      <c r="C91" s="77" t="str">
        <f>IF(B91="","",IF(B91="INVALID",IF('Data - Sample Type 0'!GA170="","INVALID",'Data - Sample Type 0'!GA170),IF(B91="ERROR",'Data - Sample Type 0'!GA170,IF(B91="NO RESULT",'Data - Sample Type 0'!GA170,IF(B91="V","MINOR VISUAL",IF(B91="M","MAJOR VISUAL",IF(B91="B","BARCODE FAIL",IF(B91="D","DELAMINATION",IF('Data - Sample Type 0'!Q170="","DATA ENTRY ERROR",IF(B91=$D$23,"PASS","MAJOR FUNCTIONAL"))))))))))</f>
        <v/>
      </c>
      <c r="D91" s="79" t="str">
        <f>IF(C91="","",IF('Data - Sample Type 0'!FY170="","N/A",IF('Data - Sample Type 0'!FY170&lt;Specifications!$D$3,"PASS","FAIL")))</f>
        <v/>
      </c>
      <c r="E91" s="65"/>
    </row>
    <row r="92" spans="1:5" ht="14" x14ac:dyDescent="0.15">
      <c r="A92" s="75" t="str">
        <f>IF('Data - Sample Type 0'!C171="","",'Data - Sample Type 0'!C171)</f>
        <v/>
      </c>
      <c r="B92" s="76" t="str">
        <f>IF('Data - Sample Type 0'!L171="","",'Data - Sample Type 0'!L171)</f>
        <v/>
      </c>
      <c r="C92" s="77" t="str">
        <f>IF(B92="","",IF(B92="INVALID",IF('Data - Sample Type 0'!GA171="","INVALID",'Data - Sample Type 0'!GA171),IF(B92="ERROR",'Data - Sample Type 0'!GA171,IF(B92="NO RESULT",'Data - Sample Type 0'!GA171,IF(B92="V","MINOR VISUAL",IF(B92="M","MAJOR VISUAL",IF(B92="B","BARCODE FAIL",IF(B92="D","DELAMINATION",IF('Data - Sample Type 0'!Q171="","DATA ENTRY ERROR",IF(B92=$D$23,"PASS","MAJOR FUNCTIONAL"))))))))))</f>
        <v/>
      </c>
      <c r="D92" s="79" t="str">
        <f>IF(C92="","",IF('Data - Sample Type 0'!FY171="","N/A",IF('Data - Sample Type 0'!FY171&lt;Specifications!$D$3,"PASS","FAIL")))</f>
        <v/>
      </c>
      <c r="E92" s="65"/>
    </row>
    <row r="93" spans="1:5" ht="14" x14ac:dyDescent="0.15">
      <c r="A93" s="75" t="str">
        <f>IF('Data - Sample Type 0'!C172="","",'Data - Sample Type 0'!C172)</f>
        <v/>
      </c>
      <c r="B93" s="76" t="str">
        <f>IF('Data - Sample Type 0'!L172="","",'Data - Sample Type 0'!L172)</f>
        <v/>
      </c>
      <c r="C93" s="77" t="str">
        <f>IF(B93="","",IF(B93="INVALID",IF('Data - Sample Type 0'!GA172="","INVALID",'Data - Sample Type 0'!GA172),IF(B93="ERROR",'Data - Sample Type 0'!GA172,IF(B93="NO RESULT",'Data - Sample Type 0'!GA172,IF(B93="V","MINOR VISUAL",IF(B93="M","MAJOR VISUAL",IF(B93="B","BARCODE FAIL",IF(B93="D","DELAMINATION",IF('Data - Sample Type 0'!Q172="","DATA ENTRY ERROR",IF(B93=$D$23,"PASS","MAJOR FUNCTIONAL"))))))))))</f>
        <v/>
      </c>
      <c r="D93" s="79" t="str">
        <f>IF(C93="","",IF('Data - Sample Type 0'!FY172="","N/A",IF('Data - Sample Type 0'!FY172&lt;Specifications!$D$3,"PASS","FAIL")))</f>
        <v/>
      </c>
      <c r="E93" s="65"/>
    </row>
    <row r="94" spans="1:5" ht="14" x14ac:dyDescent="0.15">
      <c r="A94" s="75" t="str">
        <f>IF('Data - Sample Type 0'!C173="","",'Data - Sample Type 0'!C173)</f>
        <v/>
      </c>
      <c r="B94" s="76" t="str">
        <f>IF('Data - Sample Type 0'!L173="","",'Data - Sample Type 0'!L173)</f>
        <v/>
      </c>
      <c r="C94" s="77" t="str">
        <f>IF(B94="","",IF(B94="INVALID",IF('Data - Sample Type 0'!GA173="","INVALID",'Data - Sample Type 0'!GA173),IF(B94="ERROR",'Data - Sample Type 0'!GA173,IF(B94="NO RESULT",'Data - Sample Type 0'!GA173,IF(B94="V","MINOR VISUAL",IF(B94="M","MAJOR VISUAL",IF(B94="B","BARCODE FAIL",IF(B94="D","DELAMINATION",IF('Data - Sample Type 0'!Q173="","DATA ENTRY ERROR",IF(B94=$D$23,"PASS","MAJOR FUNCTIONAL"))))))))))</f>
        <v/>
      </c>
      <c r="D94" s="79" t="str">
        <f>IF(C94="","",IF('Data - Sample Type 0'!FY173="","N/A",IF('Data - Sample Type 0'!FY173&lt;Specifications!$D$3,"PASS","FAIL")))</f>
        <v/>
      </c>
      <c r="E94" s="65"/>
    </row>
    <row r="95" spans="1:5" ht="14" x14ac:dyDescent="0.15">
      <c r="A95" s="75" t="str">
        <f>IF('Data - Sample Type 0'!C174="","",'Data - Sample Type 0'!C174)</f>
        <v/>
      </c>
      <c r="B95" s="76" t="str">
        <f>IF('Data - Sample Type 0'!L174="","",'Data - Sample Type 0'!L174)</f>
        <v/>
      </c>
      <c r="C95" s="77" t="str">
        <f>IF(B95="","",IF(B95="INVALID",IF('Data - Sample Type 0'!GA174="","INVALID",'Data - Sample Type 0'!GA174),IF(B95="ERROR",'Data - Sample Type 0'!GA174,IF(B95="NO RESULT",'Data - Sample Type 0'!GA174,IF(B95="V","MINOR VISUAL",IF(B95="M","MAJOR VISUAL",IF(B95="B","BARCODE FAIL",IF(B95="D","DELAMINATION",IF('Data - Sample Type 0'!Q174="","DATA ENTRY ERROR",IF(B95=$D$23,"PASS","MAJOR FUNCTIONAL"))))))))))</f>
        <v/>
      </c>
      <c r="D95" s="79" t="str">
        <f>IF(C95="","",IF('Data - Sample Type 0'!FY174="","N/A",IF('Data - Sample Type 0'!FY174&lt;Specifications!$D$3,"PASS","FAIL")))</f>
        <v/>
      </c>
      <c r="E95" s="65"/>
    </row>
    <row r="96" spans="1:5" ht="14" x14ac:dyDescent="0.15">
      <c r="A96" s="75" t="str">
        <f>IF('Data - Sample Type 0'!C175="","",'Data - Sample Type 0'!C175)</f>
        <v/>
      </c>
      <c r="B96" s="76" t="str">
        <f>IF('Data - Sample Type 0'!L175="","",'Data - Sample Type 0'!L175)</f>
        <v/>
      </c>
      <c r="C96" s="77" t="str">
        <f>IF(B96="","",IF(B96="INVALID",IF('Data - Sample Type 0'!GA175="","INVALID",'Data - Sample Type 0'!GA175),IF(B96="ERROR",'Data - Sample Type 0'!GA175,IF(B96="NO RESULT",'Data - Sample Type 0'!GA175,IF(B96="V","MINOR VISUAL",IF(B96="M","MAJOR VISUAL",IF(B96="B","BARCODE FAIL",IF(B96="D","DELAMINATION",IF('Data - Sample Type 0'!Q175="","DATA ENTRY ERROR",IF(B96=$D$23,"PASS","MAJOR FUNCTIONAL"))))))))))</f>
        <v/>
      </c>
      <c r="D96" s="79" t="str">
        <f>IF(C96="","",IF('Data - Sample Type 0'!FY175="","N/A",IF('Data - Sample Type 0'!FY175&lt;Specifications!$D$3,"PASS","FAIL")))</f>
        <v/>
      </c>
      <c r="E96" s="65"/>
    </row>
    <row r="97" spans="1:5" ht="14" x14ac:dyDescent="0.15">
      <c r="A97" s="75" t="str">
        <f>IF('Data - Sample Type 0'!C176="","",'Data - Sample Type 0'!C176)</f>
        <v/>
      </c>
      <c r="B97" s="76" t="str">
        <f>IF('Data - Sample Type 0'!L176="","",'Data - Sample Type 0'!L176)</f>
        <v/>
      </c>
      <c r="C97" s="77" t="str">
        <f>IF(B97="","",IF(B97="INVALID",IF('Data - Sample Type 0'!GA176="","INVALID",'Data - Sample Type 0'!GA176),IF(B97="ERROR",'Data - Sample Type 0'!GA176,IF(B97="NO RESULT",'Data - Sample Type 0'!GA176,IF(B97="V","MINOR VISUAL",IF(B97="M","MAJOR VISUAL",IF(B97="B","BARCODE FAIL",IF(B97="D","DELAMINATION",IF('Data - Sample Type 0'!Q176="","DATA ENTRY ERROR",IF(B97=$D$23,"PASS","MAJOR FUNCTIONAL"))))))))))</f>
        <v/>
      </c>
      <c r="D97" s="79" t="str">
        <f>IF(C97="","",IF('Data - Sample Type 0'!FY176="","N/A",IF('Data - Sample Type 0'!FY176&lt;Specifications!$D$3,"PASS","FAIL")))</f>
        <v/>
      </c>
      <c r="E97" s="65"/>
    </row>
    <row r="98" spans="1:5" ht="14" x14ac:dyDescent="0.15">
      <c r="A98" s="75" t="str">
        <f>IF('Data - Sample Type 0'!C177="","",'Data - Sample Type 0'!C177)</f>
        <v/>
      </c>
      <c r="B98" s="76" t="str">
        <f>IF('Data - Sample Type 0'!L177="","",'Data - Sample Type 0'!L177)</f>
        <v/>
      </c>
      <c r="C98" s="77" t="str">
        <f>IF(B98="","",IF(B98="INVALID",IF('Data - Sample Type 0'!GA177="","INVALID",'Data - Sample Type 0'!GA177),IF(B98="ERROR",'Data - Sample Type 0'!GA177,IF(B98="NO RESULT",'Data - Sample Type 0'!GA177,IF(B98="V","MINOR VISUAL",IF(B98="M","MAJOR VISUAL",IF(B98="B","BARCODE FAIL",IF(B98="D","DELAMINATION",IF('Data - Sample Type 0'!Q177="","DATA ENTRY ERROR",IF(B98=$D$23,"PASS","MAJOR FUNCTIONAL"))))))))))</f>
        <v/>
      </c>
      <c r="D98" s="79" t="str">
        <f>IF(C98="","",IF('Data - Sample Type 0'!FY177="","N/A",IF('Data - Sample Type 0'!FY177&lt;Specifications!$D$3,"PASS","FAIL")))</f>
        <v/>
      </c>
      <c r="E98" s="65"/>
    </row>
    <row r="99" spans="1:5" ht="14" x14ac:dyDescent="0.15">
      <c r="A99" s="75" t="str">
        <f>IF('Data - Sample Type 0'!C178="","",'Data - Sample Type 0'!C178)</f>
        <v/>
      </c>
      <c r="B99" s="76" t="str">
        <f>IF('Data - Sample Type 0'!L178="","",'Data - Sample Type 0'!L178)</f>
        <v/>
      </c>
      <c r="C99" s="77" t="str">
        <f>IF(B99="","",IF(B99="INVALID",IF('Data - Sample Type 0'!GA178="","INVALID",'Data - Sample Type 0'!GA178),IF(B99="ERROR",'Data - Sample Type 0'!GA178,IF(B99="NO RESULT",'Data - Sample Type 0'!GA178,IF(B99="V","MINOR VISUAL",IF(B99="M","MAJOR VISUAL",IF(B99="B","BARCODE FAIL",IF(B99="D","DELAMINATION",IF('Data - Sample Type 0'!Q178="","DATA ENTRY ERROR",IF(B99=$D$23,"PASS","MAJOR FUNCTIONAL"))))))))))</f>
        <v/>
      </c>
      <c r="D99" s="79" t="str">
        <f>IF(C99="","",IF('Data - Sample Type 0'!FY178="","N/A",IF('Data - Sample Type 0'!FY178&lt;Specifications!$D$3,"PASS","FAIL")))</f>
        <v/>
      </c>
      <c r="E99" s="65"/>
    </row>
    <row r="100" spans="1:5" ht="14" x14ac:dyDescent="0.15">
      <c r="A100" s="75" t="str">
        <f>IF('Data - Sample Type 0'!C179="","",'Data - Sample Type 0'!C179)</f>
        <v/>
      </c>
      <c r="B100" s="76" t="str">
        <f>IF('Data - Sample Type 0'!L179="","",'Data - Sample Type 0'!L179)</f>
        <v/>
      </c>
      <c r="C100" s="77" t="str">
        <f>IF(B100="","",IF(B100="INVALID",IF('Data - Sample Type 0'!GA179="","INVALID",'Data - Sample Type 0'!GA179),IF(B100="ERROR",'Data - Sample Type 0'!GA179,IF(B100="NO RESULT",'Data - Sample Type 0'!GA179,IF(B100="V","MINOR VISUAL",IF(B100="M","MAJOR VISUAL",IF(B100="B","BARCODE FAIL",IF(B100="D","DELAMINATION",IF('Data - Sample Type 0'!Q179="","DATA ENTRY ERROR",IF(B100=$D$23,"PASS","MAJOR FUNCTIONAL"))))))))))</f>
        <v/>
      </c>
      <c r="D100" s="79" t="str">
        <f>IF(C100="","",IF('Data - Sample Type 0'!FY179="","N/A",IF('Data - Sample Type 0'!FY179&lt;Specifications!$D$3,"PASS","FAIL")))</f>
        <v/>
      </c>
      <c r="E100" s="65"/>
    </row>
    <row r="101" spans="1:5" ht="14" x14ac:dyDescent="0.15">
      <c r="A101" s="75" t="str">
        <f>IF('Data - Sample Type 0'!C180="","",'Data - Sample Type 0'!C180)</f>
        <v/>
      </c>
      <c r="B101" s="76" t="str">
        <f>IF('Data - Sample Type 0'!L180="","",'Data - Sample Type 0'!L180)</f>
        <v/>
      </c>
      <c r="C101" s="77" t="str">
        <f>IF(B101="","",IF(B101="INVALID",IF('Data - Sample Type 0'!GA180="","INVALID",'Data - Sample Type 0'!GA180),IF(B101="ERROR",'Data - Sample Type 0'!GA180,IF(B101="NO RESULT",'Data - Sample Type 0'!GA180,IF(B101="V","MINOR VISUAL",IF(B101="M","MAJOR VISUAL",IF(B101="B","BARCODE FAIL",IF(B101="D","DELAMINATION",IF('Data - Sample Type 0'!Q180="","DATA ENTRY ERROR",IF(B101=$D$23,"PASS","MAJOR FUNCTIONAL"))))))))))</f>
        <v/>
      </c>
      <c r="D101" s="79" t="str">
        <f>IF(C101="","",IF('Data - Sample Type 0'!FY180="","N/A",IF('Data - Sample Type 0'!FY180&lt;Specifications!$D$3,"PASS","FAIL")))</f>
        <v/>
      </c>
      <c r="E101" s="65"/>
    </row>
    <row r="102" spans="1:5" ht="14" x14ac:dyDescent="0.15">
      <c r="A102" s="75" t="str">
        <f>IF('Data - Sample Type 0'!C181="","",'Data - Sample Type 0'!C181)</f>
        <v/>
      </c>
      <c r="B102" s="76" t="str">
        <f>IF('Data - Sample Type 0'!L181="","",'Data - Sample Type 0'!L181)</f>
        <v/>
      </c>
      <c r="C102" s="77" t="str">
        <f>IF(B102="","",IF(B102="INVALID",IF('Data - Sample Type 0'!GA181="","INVALID",'Data - Sample Type 0'!GA181),IF(B102="ERROR",'Data - Sample Type 0'!GA181,IF(B102="NO RESULT",'Data - Sample Type 0'!GA181,IF(B102="V","MINOR VISUAL",IF(B102="M","MAJOR VISUAL",IF(B102="B","BARCODE FAIL",IF(B102="D","DELAMINATION",IF('Data - Sample Type 0'!Q181="","DATA ENTRY ERROR",IF(B102=$D$23,"PASS","MAJOR FUNCTIONAL"))))))))))</f>
        <v/>
      </c>
      <c r="D102" s="79" t="str">
        <f>IF(C102="","",IF('Data - Sample Type 0'!FY181="","N/A",IF('Data - Sample Type 0'!FY181&lt;Specifications!$D$3,"PASS","FAIL")))</f>
        <v/>
      </c>
      <c r="E102" s="65"/>
    </row>
    <row r="103" spans="1:5" ht="14" x14ac:dyDescent="0.15">
      <c r="A103" s="75" t="str">
        <f>IF('Data - Sample Type 0'!C182="","",'Data - Sample Type 0'!C182)</f>
        <v/>
      </c>
      <c r="B103" s="76" t="str">
        <f>IF('Data - Sample Type 0'!L182="","",'Data - Sample Type 0'!L182)</f>
        <v/>
      </c>
      <c r="C103" s="77" t="str">
        <f>IF(B103="","",IF(B103="INVALID",IF('Data - Sample Type 0'!GA182="","INVALID",'Data - Sample Type 0'!GA182),IF(B103="ERROR",'Data - Sample Type 0'!GA182,IF(B103="NO RESULT",'Data - Sample Type 0'!GA182,IF(B103="V","MINOR VISUAL",IF(B103="M","MAJOR VISUAL",IF(B103="B","BARCODE FAIL",IF(B103="D","DELAMINATION",IF('Data - Sample Type 0'!Q182="","DATA ENTRY ERROR",IF(B103=$D$23,"PASS","MAJOR FUNCTIONAL"))))))))))</f>
        <v/>
      </c>
      <c r="D103" s="79" t="str">
        <f>IF(C103="","",IF('Data - Sample Type 0'!FY182="","N/A",IF('Data - Sample Type 0'!FY182&lt;Specifications!$D$3,"PASS","FAIL")))</f>
        <v/>
      </c>
      <c r="E103" s="65"/>
    </row>
    <row r="104" spans="1:5" ht="14" x14ac:dyDescent="0.15">
      <c r="A104" s="75" t="str">
        <f>IF('Data - Sample Type 0'!C183="","",'Data - Sample Type 0'!C183)</f>
        <v/>
      </c>
      <c r="B104" s="76" t="str">
        <f>IF('Data - Sample Type 0'!L183="","",'Data - Sample Type 0'!L183)</f>
        <v/>
      </c>
      <c r="C104" s="77" t="str">
        <f>IF(B104="","",IF(B104="INVALID",IF('Data - Sample Type 0'!GA183="","INVALID",'Data - Sample Type 0'!GA183),IF(B104="ERROR",'Data - Sample Type 0'!GA183,IF(B104="NO RESULT",'Data - Sample Type 0'!GA183,IF(B104="V","MINOR VISUAL",IF(B104="M","MAJOR VISUAL",IF(B104="B","BARCODE FAIL",IF(B104="D","DELAMINATION",IF('Data - Sample Type 0'!Q183="","DATA ENTRY ERROR",IF(B104=$D$23,"PASS","MAJOR FUNCTIONAL"))))))))))</f>
        <v/>
      </c>
      <c r="D104" s="79" t="str">
        <f>IF(C104="","",IF('Data - Sample Type 0'!FY183="","N/A",IF('Data - Sample Type 0'!FY183&lt;Specifications!$D$3,"PASS","FAIL")))</f>
        <v/>
      </c>
      <c r="E104" s="65"/>
    </row>
    <row r="105" spans="1:5" ht="14" x14ac:dyDescent="0.15">
      <c r="A105" s="75" t="str">
        <f>IF('Data - Sample Type 0'!C184="","",'Data - Sample Type 0'!C184)</f>
        <v/>
      </c>
      <c r="B105" s="76" t="str">
        <f>IF('Data - Sample Type 0'!L184="","",'Data - Sample Type 0'!L184)</f>
        <v/>
      </c>
      <c r="C105" s="77" t="str">
        <f>IF(B105="","",IF(B105="INVALID",IF('Data - Sample Type 0'!GA184="","INVALID",'Data - Sample Type 0'!GA184),IF(B105="ERROR",'Data - Sample Type 0'!GA184,IF(B105="NO RESULT",'Data - Sample Type 0'!GA184,IF(B105="V","MINOR VISUAL",IF(B105="M","MAJOR VISUAL",IF(B105="B","BARCODE FAIL",IF(B105="D","DELAMINATION",IF('Data - Sample Type 0'!Q184="","DATA ENTRY ERROR",IF(B105=$D$23,"PASS","MAJOR FUNCTIONAL"))))))))))</f>
        <v/>
      </c>
      <c r="D105" s="79" t="str">
        <f>IF(C105="","",IF('Data - Sample Type 0'!FY184="","N/A",IF('Data - Sample Type 0'!FY184&lt;Specifications!$D$3,"PASS","FAIL")))</f>
        <v/>
      </c>
      <c r="E105" s="65"/>
    </row>
    <row r="106" spans="1:5" ht="14" x14ac:dyDescent="0.15">
      <c r="A106" s="75" t="str">
        <f>IF('Data - Sample Type 0'!C185="","",'Data - Sample Type 0'!C185)</f>
        <v/>
      </c>
      <c r="B106" s="76" t="str">
        <f>IF('Data - Sample Type 0'!L185="","",'Data - Sample Type 0'!L185)</f>
        <v/>
      </c>
      <c r="C106" s="77" t="str">
        <f>IF(B106="","",IF(B106="INVALID",IF('Data - Sample Type 0'!GA185="","INVALID",'Data - Sample Type 0'!GA185),IF(B106="ERROR",'Data - Sample Type 0'!GA185,IF(B106="NO RESULT",'Data - Sample Type 0'!GA185,IF(B106="V","MINOR VISUAL",IF(B106="M","MAJOR VISUAL",IF(B106="B","BARCODE FAIL",IF(B106="D","DELAMINATION",IF('Data - Sample Type 0'!Q185="","DATA ENTRY ERROR",IF(B106=$D$23,"PASS","MAJOR FUNCTIONAL"))))))))))</f>
        <v/>
      </c>
      <c r="D106" s="79" t="str">
        <f>IF(C106="","",IF('Data - Sample Type 0'!FY185="","N/A",IF('Data - Sample Type 0'!FY185&lt;Specifications!$D$3,"PASS","FAIL")))</f>
        <v/>
      </c>
      <c r="E106" s="65"/>
    </row>
    <row r="107" spans="1:5" ht="14" x14ac:dyDescent="0.15">
      <c r="A107" s="75" t="str">
        <f>IF('Data - Sample Type 0'!C186="","",'Data - Sample Type 0'!C186)</f>
        <v/>
      </c>
      <c r="B107" s="76" t="str">
        <f>IF('Data - Sample Type 0'!L186="","",'Data - Sample Type 0'!L186)</f>
        <v/>
      </c>
      <c r="C107" s="77" t="str">
        <f>IF(B107="","",IF(B107="INVALID",IF('Data - Sample Type 0'!GA186="","INVALID",'Data - Sample Type 0'!GA186),IF(B107="ERROR",'Data - Sample Type 0'!GA186,IF(B107="NO RESULT",'Data - Sample Type 0'!GA186,IF(B107="V","MINOR VISUAL",IF(B107="M","MAJOR VISUAL",IF(B107="B","BARCODE FAIL",IF(B107="D","DELAMINATION",IF('Data - Sample Type 0'!Q186="","DATA ENTRY ERROR",IF(B107=$D$23,"PASS","MAJOR FUNCTIONAL"))))))))))</f>
        <v/>
      </c>
      <c r="D107" s="79" t="str">
        <f>IF(C107="","",IF('Data - Sample Type 0'!FY186="","N/A",IF('Data - Sample Type 0'!FY186&lt;Specifications!$D$3,"PASS","FAIL")))</f>
        <v/>
      </c>
      <c r="E107" s="65"/>
    </row>
    <row r="108" spans="1:5" ht="14" x14ac:dyDescent="0.15">
      <c r="A108" s="75" t="str">
        <f>IF('Data - Sample Type 0'!C187="","",'Data - Sample Type 0'!C187)</f>
        <v/>
      </c>
      <c r="B108" s="76" t="str">
        <f>IF('Data - Sample Type 0'!L187="","",'Data - Sample Type 0'!L187)</f>
        <v/>
      </c>
      <c r="C108" s="77" t="str">
        <f>IF(B108="","",IF(B108="INVALID",IF('Data - Sample Type 0'!GA187="","INVALID",'Data - Sample Type 0'!GA187),IF(B108="ERROR",'Data - Sample Type 0'!GA187,IF(B108="NO RESULT",'Data - Sample Type 0'!GA187,IF(B108="V","MINOR VISUAL",IF(B108="M","MAJOR VISUAL",IF(B108="B","BARCODE FAIL",IF(B108="D","DELAMINATION",IF('Data - Sample Type 0'!Q187="","DATA ENTRY ERROR",IF(B108=$D$23,"PASS","MAJOR FUNCTIONAL"))))))))))</f>
        <v/>
      </c>
      <c r="D108" s="79" t="str">
        <f>IF(C108="","",IF('Data - Sample Type 0'!FY187="","N/A",IF('Data - Sample Type 0'!FY187&lt;Specifications!$D$3,"PASS","FAIL")))</f>
        <v/>
      </c>
      <c r="E108" s="65"/>
    </row>
    <row r="109" spans="1:5" ht="14" x14ac:dyDescent="0.15">
      <c r="A109" s="75" t="str">
        <f>IF('Data - Sample Type 0'!C188="","",'Data - Sample Type 0'!C188)</f>
        <v/>
      </c>
      <c r="B109" s="76" t="str">
        <f>IF('Data - Sample Type 0'!L188="","",'Data - Sample Type 0'!L188)</f>
        <v/>
      </c>
      <c r="C109" s="77" t="str">
        <f>IF(B109="","",IF(B109="INVALID",IF('Data - Sample Type 0'!GA188="","INVALID",'Data - Sample Type 0'!GA188),IF(B109="ERROR",'Data - Sample Type 0'!GA188,IF(B109="NO RESULT",'Data - Sample Type 0'!GA188,IF(B109="V","MINOR VISUAL",IF(B109="M","MAJOR VISUAL",IF(B109="B","BARCODE FAIL",IF(B109="D","DELAMINATION",IF('Data - Sample Type 0'!Q188="","DATA ENTRY ERROR",IF(B109=$D$23,"PASS","MAJOR FUNCTIONAL"))))))))))</f>
        <v/>
      </c>
      <c r="D109" s="79" t="str">
        <f>IF(C109="","",IF('Data - Sample Type 0'!FY188="","N/A",IF('Data - Sample Type 0'!FY188&lt;Specifications!$D$3,"PASS","FAIL")))</f>
        <v/>
      </c>
      <c r="E109" s="65"/>
    </row>
    <row r="110" spans="1:5" ht="14" x14ac:dyDescent="0.15">
      <c r="A110" s="75" t="str">
        <f>IF('Data - Sample Type 0'!C189="","",'Data - Sample Type 0'!C189)</f>
        <v/>
      </c>
      <c r="B110" s="76" t="str">
        <f>IF('Data - Sample Type 0'!L189="","",'Data - Sample Type 0'!L189)</f>
        <v/>
      </c>
      <c r="C110" s="77" t="str">
        <f>IF(B110="","",IF(B110="INVALID",IF('Data - Sample Type 0'!GA189="","INVALID",'Data - Sample Type 0'!GA189),IF(B110="ERROR",'Data - Sample Type 0'!GA189,IF(B110="NO RESULT",'Data - Sample Type 0'!GA189,IF(B110="V","MINOR VISUAL",IF(B110="M","MAJOR VISUAL",IF(B110="B","BARCODE FAIL",IF(B110="D","DELAMINATION",IF('Data - Sample Type 0'!Q189="","DATA ENTRY ERROR",IF(B110=$D$23,"PASS","MAJOR FUNCTIONAL"))))))))))</f>
        <v/>
      </c>
      <c r="D110" s="79" t="str">
        <f>IF(C110="","",IF('Data - Sample Type 0'!FY189="","N/A",IF('Data - Sample Type 0'!FY189&lt;Specifications!$D$3,"PASS","FAIL")))</f>
        <v/>
      </c>
      <c r="E110" s="65"/>
    </row>
    <row r="111" spans="1:5" ht="14" x14ac:dyDescent="0.15">
      <c r="A111" s="75" t="str">
        <f>IF('Data - Sample Type 0'!C190="","",'Data - Sample Type 0'!C190)</f>
        <v/>
      </c>
      <c r="B111" s="76" t="str">
        <f>IF('Data - Sample Type 0'!L190="","",'Data - Sample Type 0'!L190)</f>
        <v/>
      </c>
      <c r="C111" s="77" t="str">
        <f>IF(B111="","",IF(B111="INVALID",IF('Data - Sample Type 0'!GA190="","INVALID",'Data - Sample Type 0'!GA190),IF(B111="ERROR",'Data - Sample Type 0'!GA190,IF(B111="NO RESULT",'Data - Sample Type 0'!GA190,IF(B111="V","MINOR VISUAL",IF(B111="M","MAJOR VISUAL",IF(B111="B","BARCODE FAIL",IF(B111="D","DELAMINATION",IF('Data - Sample Type 0'!Q190="","DATA ENTRY ERROR",IF(B111=$D$23,"PASS","MAJOR FUNCTIONAL"))))))))))</f>
        <v/>
      </c>
      <c r="D111" s="79" t="str">
        <f>IF(C111="","",IF('Data - Sample Type 0'!FY190="","N/A",IF('Data - Sample Type 0'!FY190&lt;Specifications!$D$3,"PASS","FAIL")))</f>
        <v/>
      </c>
      <c r="E111" s="65"/>
    </row>
    <row r="112" spans="1:5" ht="14" x14ac:dyDescent="0.15">
      <c r="A112" s="75" t="str">
        <f>IF('Data - Sample Type 0'!C191="","",'Data - Sample Type 0'!C191)</f>
        <v/>
      </c>
      <c r="B112" s="76" t="str">
        <f>IF('Data - Sample Type 0'!L191="","",'Data - Sample Type 0'!L191)</f>
        <v/>
      </c>
      <c r="C112" s="77" t="str">
        <f>IF(B112="","",IF(B112="INVALID",IF('Data - Sample Type 0'!GA191="","INVALID",'Data - Sample Type 0'!GA191),IF(B112="ERROR",'Data - Sample Type 0'!GA191,IF(B112="NO RESULT",'Data - Sample Type 0'!GA191,IF(B112="V","MINOR VISUAL",IF(B112="M","MAJOR VISUAL",IF(B112="B","BARCODE FAIL",IF(B112="D","DELAMINATION",IF('Data - Sample Type 0'!Q191="","DATA ENTRY ERROR",IF(B112=$D$23,"PASS","MAJOR FUNCTIONAL"))))))))))</f>
        <v/>
      </c>
      <c r="D112" s="79" t="str">
        <f>IF(C112="","",IF('Data - Sample Type 0'!FY191="","N/A",IF('Data - Sample Type 0'!FY191&lt;Specifications!$D$3,"PASS","FAIL")))</f>
        <v/>
      </c>
      <c r="E112" s="65"/>
    </row>
    <row r="113" spans="1:5" ht="14" x14ac:dyDescent="0.15">
      <c r="A113" s="75" t="str">
        <f>IF('Data - Sample Type 0'!C192="","",'Data - Sample Type 0'!C192)</f>
        <v/>
      </c>
      <c r="B113" s="76" t="str">
        <f>IF('Data - Sample Type 0'!L192="","",'Data - Sample Type 0'!L192)</f>
        <v/>
      </c>
      <c r="C113" s="77" t="str">
        <f>IF(B113="","",IF(B113="INVALID",IF('Data - Sample Type 0'!GA192="","INVALID",'Data - Sample Type 0'!GA192),IF(B113="ERROR",'Data - Sample Type 0'!GA192,IF(B113="NO RESULT",'Data - Sample Type 0'!GA192,IF(B113="V","MINOR VISUAL",IF(B113="M","MAJOR VISUAL",IF(B113="B","BARCODE FAIL",IF(B113="D","DELAMINATION",IF('Data - Sample Type 0'!Q192="","DATA ENTRY ERROR",IF(B113=$D$23,"PASS","MAJOR FUNCTIONAL"))))))))))</f>
        <v/>
      </c>
      <c r="D113" s="79" t="str">
        <f>IF(C113="","",IF('Data - Sample Type 0'!FY192="","N/A",IF('Data - Sample Type 0'!FY192&lt;Specifications!$D$3,"PASS","FAIL")))</f>
        <v/>
      </c>
      <c r="E113" s="65"/>
    </row>
    <row r="114" spans="1:5" ht="14" x14ac:dyDescent="0.15">
      <c r="A114" s="75" t="str">
        <f>IF('Data - Sample Type 0'!C193="","",'Data - Sample Type 0'!C193)</f>
        <v/>
      </c>
      <c r="B114" s="76" t="str">
        <f>IF('Data - Sample Type 0'!L193="","",'Data - Sample Type 0'!L193)</f>
        <v/>
      </c>
      <c r="C114" s="77" t="str">
        <f>IF(B114="","",IF(B114="INVALID",IF('Data - Sample Type 0'!GA193="","INVALID",'Data - Sample Type 0'!GA193),IF(B114="ERROR",'Data - Sample Type 0'!GA193,IF(B114="NO RESULT",'Data - Sample Type 0'!GA193,IF(B114="V","MINOR VISUAL",IF(B114="M","MAJOR VISUAL",IF(B114="B","BARCODE FAIL",IF(B114="D","DELAMINATION",IF('Data - Sample Type 0'!Q193="","DATA ENTRY ERROR",IF(B114=$D$23,"PASS","MAJOR FUNCTIONAL"))))))))))</f>
        <v/>
      </c>
      <c r="D114" s="79" t="str">
        <f>IF(C114="","",IF('Data - Sample Type 0'!FY193="","N/A",IF('Data - Sample Type 0'!FY193&lt;Specifications!$D$3,"PASS","FAIL")))</f>
        <v/>
      </c>
      <c r="E114" s="65"/>
    </row>
    <row r="115" spans="1:5" ht="14" x14ac:dyDescent="0.15">
      <c r="A115" s="75" t="str">
        <f>IF('Data - Sample Type 0'!C194="","",'Data - Sample Type 0'!C194)</f>
        <v/>
      </c>
      <c r="B115" s="76" t="str">
        <f>IF('Data - Sample Type 0'!L194="","",'Data - Sample Type 0'!L194)</f>
        <v/>
      </c>
      <c r="C115" s="77" t="str">
        <f>IF(B115="","",IF(B115="INVALID",IF('Data - Sample Type 0'!GA194="","INVALID",'Data - Sample Type 0'!GA194),IF(B115="ERROR",'Data - Sample Type 0'!GA194,IF(B115="NO RESULT",'Data - Sample Type 0'!GA194,IF(B115="V","MINOR VISUAL",IF(B115="M","MAJOR VISUAL",IF(B115="B","BARCODE FAIL",IF(B115="D","DELAMINATION",IF('Data - Sample Type 0'!Q194="","DATA ENTRY ERROR",IF(B115=$D$23,"PASS","MAJOR FUNCTIONAL"))))))))))</f>
        <v/>
      </c>
      <c r="D115" s="79" t="str">
        <f>IF(C115="","",IF('Data - Sample Type 0'!FY194="","N/A",IF('Data - Sample Type 0'!FY194&lt;Specifications!$D$3,"PASS","FAIL")))</f>
        <v/>
      </c>
      <c r="E115" s="65"/>
    </row>
    <row r="116" spans="1:5" ht="14" x14ac:dyDescent="0.15">
      <c r="A116" s="75" t="str">
        <f>IF('Data - Sample Type 0'!C195="","",'Data - Sample Type 0'!C195)</f>
        <v/>
      </c>
      <c r="B116" s="76" t="str">
        <f>IF('Data - Sample Type 0'!L195="","",'Data - Sample Type 0'!L195)</f>
        <v/>
      </c>
      <c r="C116" s="77" t="str">
        <f>IF(B116="","",IF(B116="INVALID",IF('Data - Sample Type 0'!GA195="","INVALID",'Data - Sample Type 0'!GA195),IF(B116="ERROR",'Data - Sample Type 0'!GA195,IF(B116="NO RESULT",'Data - Sample Type 0'!GA195,IF(B116="V","MINOR VISUAL",IF(B116="M","MAJOR VISUAL",IF(B116="B","BARCODE FAIL",IF(B116="D","DELAMINATION",IF('Data - Sample Type 0'!Q195="","DATA ENTRY ERROR",IF(B116=$D$23,"PASS","MAJOR FUNCTIONAL"))))))))))</f>
        <v/>
      </c>
      <c r="D116" s="79" t="str">
        <f>IF(C116="","",IF('Data - Sample Type 0'!FY195="","N/A",IF('Data - Sample Type 0'!FY195&lt;Specifications!$D$3,"PASS","FAIL")))</f>
        <v/>
      </c>
      <c r="E116" s="65"/>
    </row>
    <row r="117" spans="1:5" ht="14" x14ac:dyDescent="0.15">
      <c r="A117" s="75" t="str">
        <f>IF('Data - Sample Type 0'!C196="","",'Data - Sample Type 0'!C196)</f>
        <v/>
      </c>
      <c r="B117" s="76" t="str">
        <f>IF('Data - Sample Type 0'!L196="","",'Data - Sample Type 0'!L196)</f>
        <v/>
      </c>
      <c r="C117" s="77" t="str">
        <f>IF(B117="","",IF(B117="INVALID",IF('Data - Sample Type 0'!GA196="","INVALID",'Data - Sample Type 0'!GA196),IF(B117="ERROR",'Data - Sample Type 0'!GA196,IF(B117="NO RESULT",'Data - Sample Type 0'!GA196,IF(B117="V","MINOR VISUAL",IF(B117="M","MAJOR VISUAL",IF(B117="B","BARCODE FAIL",IF(B117="D","DELAMINATION",IF('Data - Sample Type 0'!Q196="","DATA ENTRY ERROR",IF(B117=$D$23,"PASS","MAJOR FUNCTIONAL"))))))))))</f>
        <v/>
      </c>
      <c r="D117" s="79" t="str">
        <f>IF(C117="","",IF('Data - Sample Type 0'!FY196="","N/A",IF('Data - Sample Type 0'!FY196&lt;Specifications!$D$3,"PASS","FAIL")))</f>
        <v/>
      </c>
      <c r="E117" s="65"/>
    </row>
    <row r="118" spans="1:5" ht="14" x14ac:dyDescent="0.15">
      <c r="A118" s="75" t="str">
        <f>IF('Data - Sample Type 0'!C197="","",'Data - Sample Type 0'!C197)</f>
        <v/>
      </c>
      <c r="B118" s="76" t="str">
        <f>IF('Data - Sample Type 0'!L197="","",'Data - Sample Type 0'!L197)</f>
        <v/>
      </c>
      <c r="C118" s="77" t="str">
        <f>IF(B118="","",IF(B118="INVALID",IF('Data - Sample Type 0'!GA197="","INVALID",'Data - Sample Type 0'!GA197),IF(B118="ERROR",'Data - Sample Type 0'!GA197,IF(B118="NO RESULT",'Data - Sample Type 0'!GA197,IF(B118="V","MINOR VISUAL",IF(B118="M","MAJOR VISUAL",IF(B118="B","BARCODE FAIL",IF(B118="D","DELAMINATION",IF('Data - Sample Type 0'!Q197="","DATA ENTRY ERROR",IF(B118=$D$23,"PASS","MAJOR FUNCTIONAL"))))))))))</f>
        <v/>
      </c>
      <c r="D118" s="79" t="str">
        <f>IF(C118="","",IF('Data - Sample Type 0'!FY197="","N/A",IF('Data - Sample Type 0'!FY197&lt;Specifications!$D$3,"PASS","FAIL")))</f>
        <v/>
      </c>
      <c r="E118" s="65"/>
    </row>
    <row r="119" spans="1:5" ht="14" x14ac:dyDescent="0.15">
      <c r="A119" s="75" t="str">
        <f>IF('Data - Sample Type 0'!C198="","",'Data - Sample Type 0'!C198)</f>
        <v/>
      </c>
      <c r="B119" s="76" t="str">
        <f>IF('Data - Sample Type 0'!L198="","",'Data - Sample Type 0'!L198)</f>
        <v/>
      </c>
      <c r="C119" s="77" t="str">
        <f>IF(B119="","",IF(B119="INVALID",IF('Data - Sample Type 0'!GA198="","INVALID",'Data - Sample Type 0'!GA198),IF(B119="ERROR",'Data - Sample Type 0'!GA198,IF(B119="NO RESULT",'Data - Sample Type 0'!GA198,IF(B119="V","MINOR VISUAL",IF(B119="M","MAJOR VISUAL",IF(B119="B","BARCODE FAIL",IF(B119="D","DELAMINATION",IF('Data - Sample Type 0'!Q198="","DATA ENTRY ERROR",IF(B119=$D$23,"PASS","MAJOR FUNCTIONAL"))))))))))</f>
        <v/>
      </c>
      <c r="D119" s="79" t="str">
        <f>IF(C119="","",IF('Data - Sample Type 0'!FY198="","N/A",IF('Data - Sample Type 0'!FY198&lt;Specifications!$D$3,"PASS","FAIL")))</f>
        <v/>
      </c>
      <c r="E119" s="65"/>
    </row>
    <row r="120" spans="1:5" ht="14" x14ac:dyDescent="0.15">
      <c r="A120" s="75" t="str">
        <f>IF('Data - Sample Type 0'!C199="","",'Data - Sample Type 0'!C199)</f>
        <v/>
      </c>
      <c r="B120" s="76" t="str">
        <f>IF('Data - Sample Type 0'!L199="","",'Data - Sample Type 0'!L199)</f>
        <v/>
      </c>
      <c r="C120" s="77" t="str">
        <f>IF(B120="","",IF(B120="INVALID",IF('Data - Sample Type 0'!GA199="","INVALID",'Data - Sample Type 0'!GA199),IF(B120="ERROR",'Data - Sample Type 0'!GA199,IF(B120="NO RESULT",'Data - Sample Type 0'!GA199,IF(B120="V","MINOR VISUAL",IF(B120="M","MAJOR VISUAL",IF(B120="B","BARCODE FAIL",IF(B120="D","DELAMINATION",IF('Data - Sample Type 0'!Q199="","DATA ENTRY ERROR",IF(B120=$D$23,"PASS","MAJOR FUNCTIONAL"))))))))))</f>
        <v/>
      </c>
      <c r="D120" s="79" t="str">
        <f>IF(C120="","",IF('Data - Sample Type 0'!FY199="","N/A",IF('Data - Sample Type 0'!FY199&lt;Specifications!$D$3,"PASS","FAIL")))</f>
        <v/>
      </c>
      <c r="E120" s="65"/>
    </row>
    <row r="121" spans="1:5" ht="14" x14ac:dyDescent="0.15">
      <c r="A121" s="75" t="str">
        <f>IF('Data - Sample Type 0'!C200="","",'Data - Sample Type 0'!C200)</f>
        <v/>
      </c>
      <c r="B121" s="76" t="str">
        <f>IF('Data - Sample Type 0'!L200="","",'Data - Sample Type 0'!L200)</f>
        <v/>
      </c>
      <c r="C121" s="77" t="str">
        <f>IF(B121="","",IF(B121="INVALID",IF('Data - Sample Type 0'!GA200="","INVALID",'Data - Sample Type 0'!GA200),IF(B121="ERROR",'Data - Sample Type 0'!GA200,IF(B121="NO RESULT",'Data - Sample Type 0'!GA200,IF(B121="V","MINOR VISUAL",IF(B121="M","MAJOR VISUAL",IF(B121="B","BARCODE FAIL",IF(B121="D","DELAMINATION",IF('Data - Sample Type 0'!Q200="","DATA ENTRY ERROR",IF(B121=$D$23,"PASS","MAJOR FUNCTIONAL"))))))))))</f>
        <v/>
      </c>
      <c r="D121" s="79" t="str">
        <f>IF(C121="","",IF('Data - Sample Type 0'!FY200="","N/A",IF('Data - Sample Type 0'!FY200&lt;Specifications!$D$3,"PASS","FAIL")))</f>
        <v/>
      </c>
      <c r="E121" s="65"/>
    </row>
    <row r="122" spans="1:5" ht="14" x14ac:dyDescent="0.15">
      <c r="A122" s="75" t="str">
        <f>IF('Data - Sample Type 0'!C201="","",'Data - Sample Type 0'!C201)</f>
        <v/>
      </c>
      <c r="B122" s="76" t="str">
        <f>IF('Data - Sample Type 0'!L201="","",'Data - Sample Type 0'!L201)</f>
        <v/>
      </c>
      <c r="C122" s="77" t="str">
        <f>IF(B122="","",IF(B122="INVALID",IF('Data - Sample Type 0'!GA201="","INVALID",'Data - Sample Type 0'!GA201),IF(B122="ERROR",'Data - Sample Type 0'!GA201,IF(B122="NO RESULT",'Data - Sample Type 0'!GA201,IF(B122="V","MINOR VISUAL",IF(B122="M","MAJOR VISUAL",IF(B122="B","BARCODE FAIL",IF(B122="D","DELAMINATION",IF('Data - Sample Type 0'!Q201="","DATA ENTRY ERROR",IF(B122=$D$23,"PASS","MAJOR FUNCTIONAL"))))))))))</f>
        <v/>
      </c>
      <c r="D122" s="79" t="str">
        <f>IF(C122="","",IF('Data - Sample Type 0'!FY201="","N/A",IF('Data - Sample Type 0'!FY201&lt;Specifications!$D$3,"PASS","FAIL")))</f>
        <v/>
      </c>
      <c r="E122" s="65"/>
    </row>
    <row r="123" spans="1:5" ht="14" x14ac:dyDescent="0.15">
      <c r="A123" s="75" t="str">
        <f>IF('Data - Sample Type 0'!C202="","",'Data - Sample Type 0'!C202)</f>
        <v/>
      </c>
      <c r="B123" s="76" t="str">
        <f>IF('Data - Sample Type 0'!L202="","",'Data - Sample Type 0'!L202)</f>
        <v/>
      </c>
      <c r="C123" s="77" t="str">
        <f>IF(B123="","",IF(B123="INVALID",IF('Data - Sample Type 0'!GA202="","INVALID",'Data - Sample Type 0'!GA202),IF(B123="ERROR",'Data - Sample Type 0'!GA202,IF(B123="NO RESULT",'Data - Sample Type 0'!GA202,IF(B123="V","MINOR VISUAL",IF(B123="M","MAJOR VISUAL",IF(B123="B","BARCODE FAIL",IF(B123="D","DELAMINATION",IF('Data - Sample Type 0'!Q202="","DATA ENTRY ERROR",IF(B123=$D$23,"PASS","MAJOR FUNCTIONAL"))))))))))</f>
        <v/>
      </c>
      <c r="D123" s="79" t="str">
        <f>IF(C123="","",IF('Data - Sample Type 0'!FY202="","N/A",IF('Data - Sample Type 0'!FY202&lt;Specifications!$D$3,"PASS","FAIL")))</f>
        <v/>
      </c>
      <c r="E123" s="65"/>
    </row>
    <row r="124" spans="1:5" ht="14" x14ac:dyDescent="0.15">
      <c r="A124" s="75" t="str">
        <f>IF('Data - Sample Type 0'!C203="","",'Data - Sample Type 0'!C203)</f>
        <v/>
      </c>
      <c r="B124" s="76" t="str">
        <f>IF('Data - Sample Type 0'!L203="","",'Data - Sample Type 0'!L203)</f>
        <v/>
      </c>
      <c r="C124" s="77" t="str">
        <f>IF(B124="","",IF(B124="INVALID",IF('Data - Sample Type 0'!GA203="","INVALID",'Data - Sample Type 0'!GA203),IF(B124="ERROR",'Data - Sample Type 0'!GA203,IF(B124="NO RESULT",'Data - Sample Type 0'!GA203,IF(B124="V","MINOR VISUAL",IF(B124="M","MAJOR VISUAL",IF(B124="B","BARCODE FAIL",IF(B124="D","DELAMINATION",IF('Data - Sample Type 0'!Q203="","DATA ENTRY ERROR",IF(B124=$D$23,"PASS","MAJOR FUNCTIONAL"))))))))))</f>
        <v/>
      </c>
      <c r="D124" s="79" t="str">
        <f>IF(C124="","",IF('Data - Sample Type 0'!FY203="","N/A",IF('Data - Sample Type 0'!FY203&lt;Specifications!$D$3,"PASS","FAIL")))</f>
        <v/>
      </c>
      <c r="E124" s="65"/>
    </row>
    <row r="125" spans="1:5" x14ac:dyDescent="0.15">
      <c r="C125" s="160"/>
      <c r="D125" s="64"/>
      <c r="E125" s="159"/>
    </row>
    <row r="126" spans="1:5" s="87" customFormat="1" ht="17" x14ac:dyDescent="0.15">
      <c r="A126" s="88" t="s">
        <v>537</v>
      </c>
      <c r="B126" s="89">
        <v>1</v>
      </c>
      <c r="C126" s="90" t="s">
        <v>529</v>
      </c>
      <c r="D126" s="370">
        <f>COUNTIF('Data - Sample Type 1'!A84:A163,"&lt;&gt;"&amp;"")</f>
        <v>0</v>
      </c>
      <c r="E126" s="371"/>
    </row>
    <row r="127" spans="1:5" s="87" customFormat="1" ht="17" x14ac:dyDescent="0.15">
      <c r="A127" s="88" t="s">
        <v>530</v>
      </c>
      <c r="B127" s="91" t="str">
        <f>IF($C$3="","",IF(D126=0,"NO DATA",IF(COUNTIF('Data - Sample Type 1'!$E$84:$E$163,$C$3)=D126,"VALID","")))</f>
        <v>NO DATA</v>
      </c>
      <c r="C127" s="92" t="s">
        <v>531</v>
      </c>
      <c r="D127" s="370" t="str">
        <f>IF($C$4="","",IF(D126=0,"NO DATA",IF(COUNTIF('Data - Sample Type 1'!$A$84:$A$163,$C$4)=D126,"VALID","")))</f>
        <v>NO DATA</v>
      </c>
      <c r="E127" s="371"/>
    </row>
    <row r="128" spans="1:5" s="87" customFormat="1" ht="34" x14ac:dyDescent="0.15">
      <c r="A128" s="92" t="s">
        <v>532</v>
      </c>
      <c r="B128" s="91" t="str">
        <f>IF(Specifications!$B$7=D126,"PASS","FAIL")</f>
        <v>FAIL</v>
      </c>
      <c r="C128" s="101" t="s">
        <v>533</v>
      </c>
      <c r="D128" s="367" t="str">
        <f>LOOKUP($C$2,Specifications!$A$11:$A$22,Specifications!$E$11:E$22)</f>
        <v>MTB DETECTED *;Rif Resistance DETECTED</v>
      </c>
      <c r="E128" s="368"/>
    </row>
    <row r="129" spans="1:5" ht="14" x14ac:dyDescent="0.15">
      <c r="A129" s="71" t="s">
        <v>319</v>
      </c>
      <c r="B129" s="72" t="s">
        <v>274</v>
      </c>
      <c r="C129" s="73" t="s">
        <v>534</v>
      </c>
      <c r="D129" s="71" t="s">
        <v>535</v>
      </c>
      <c r="E129" s="74" t="s">
        <v>536</v>
      </c>
    </row>
    <row r="130" spans="1:5" ht="14" x14ac:dyDescent="0.15">
      <c r="A130" s="75" t="str">
        <f>IF('Data - Sample Type 1'!C84="","",'Data - Sample Type 1'!C84)</f>
        <v/>
      </c>
      <c r="B130" s="76" t="str">
        <f>IF('Data - Sample Type 1'!L84="","",'Data - Sample Type 1'!L84)</f>
        <v/>
      </c>
      <c r="C130" s="77" t="str">
        <f>IF(B130="","",IF(B130="INVALID",IF('Data - Sample Type 1'!GA84="","INVALID",'Data - Sample Type 1'!GA84),IF(B130="ERROR",'Data - Sample Type 1'!GA84,IF(B130="NO RESULT",'Data - Sample Type 1'!GA84,IF(B130="V","MINOR VISUAL",IF(B130="M","MAJOR VISUAL",IF(B130="B","BARCODE FAIL",IF(B130="D","DELAMINATION",IF(COUNTIF(B130,Specifications!$K$4)=1,"INDETERMINATE",IF(COUNTIF(B130,$D$128)&lt;&gt;1,"MAJOR FUNCTIONAL",IF('Data - Sample Type 1'!Q84="","DATA ENTRY ERROR",IF('Data - Sample Type 1'!Q84=0,"SPC CT=0","PASS"))))))))))))</f>
        <v/>
      </c>
      <c r="D130" s="79" t="str">
        <f>IF(C130="","",IF('Data - Sample Type 1'!FY84="","N/A",IF('Data - Sample Type 1'!FY84&lt;Specifications!$D$3,"PASS","FAIL")))</f>
        <v/>
      </c>
      <c r="E130" s="65"/>
    </row>
    <row r="131" spans="1:5" ht="14" x14ac:dyDescent="0.15">
      <c r="A131" s="75" t="str">
        <f>IF('Data - Sample Type 1'!C85="","",'Data - Sample Type 1'!C85)</f>
        <v/>
      </c>
      <c r="B131" s="76" t="str">
        <f>IF('Data - Sample Type 1'!L85="","",'Data - Sample Type 1'!L85)</f>
        <v/>
      </c>
      <c r="C131" s="77" t="str">
        <f>IF(B131="","",IF(B131="INVALID",IF('Data - Sample Type 1'!GA85="","INVALID",'Data - Sample Type 1'!GA85),IF(B131="ERROR",'Data - Sample Type 1'!GA85,IF(B131="NO RESULT",'Data - Sample Type 1'!GA85,IF(B131="V","MINOR VISUAL",IF(B131="M","MAJOR VISUAL",IF(B131="B","BARCODE FAIL",IF(B131="D","DELAMINATION",IF(COUNTIF(B131,Specifications!$K$4)=1,"INDETERMINATE",IF(COUNTIF(B131,$D$128)&lt;&gt;1,"MAJOR FUNCTIONAL",IF('Data - Sample Type 1'!Q85="","DATA ENTRY ERROR",IF('Data - Sample Type 1'!Q85=0,"SPC CT=0","PASS"))))))))))))</f>
        <v/>
      </c>
      <c r="D131" s="79" t="str">
        <f>IF(C131="","",IF('Data - Sample Type 1'!FY85="","N/A",IF('Data - Sample Type 1'!FY85&lt;Specifications!$D$3,"PASS","FAIL")))</f>
        <v/>
      </c>
      <c r="E131" s="65"/>
    </row>
    <row r="132" spans="1:5" ht="14" x14ac:dyDescent="0.15">
      <c r="A132" s="75" t="str">
        <f>IF('Data - Sample Type 1'!C86="","",'Data - Sample Type 1'!C86)</f>
        <v/>
      </c>
      <c r="B132" s="76" t="str">
        <f>IF('Data - Sample Type 1'!L86="","",'Data - Sample Type 1'!L86)</f>
        <v/>
      </c>
      <c r="C132" s="77" t="str">
        <f>IF(B132="","",IF(B132="INVALID",IF('Data - Sample Type 1'!GA86="","INVALID",'Data - Sample Type 1'!GA86),IF(B132="ERROR",'Data - Sample Type 1'!GA86,IF(B132="NO RESULT",'Data - Sample Type 1'!GA86,IF(B132="V","MINOR VISUAL",IF(B132="M","MAJOR VISUAL",IF(B132="B","BARCODE FAIL",IF(B132="D","DELAMINATION",IF(COUNTIF(B132,Specifications!$K$4)=1,"INDETERMINATE",IF(COUNTIF(B132,$D$128)&lt;&gt;1,"MAJOR FUNCTIONAL",IF('Data - Sample Type 1'!Q86="","DATA ENTRY ERROR",IF('Data - Sample Type 1'!Q86=0,"SPC CT=0","PASS"))))))))))))</f>
        <v/>
      </c>
      <c r="D132" s="79" t="str">
        <f>IF(C132="","",IF('Data - Sample Type 1'!FY86="","N/A",IF('Data - Sample Type 1'!FY86&lt;Specifications!$D$3,"PASS","FAIL")))</f>
        <v/>
      </c>
      <c r="E132" s="65"/>
    </row>
    <row r="133" spans="1:5" ht="14" x14ac:dyDescent="0.15">
      <c r="A133" s="75" t="str">
        <f>IF('Data - Sample Type 1'!C87="","",'Data - Sample Type 1'!C87)</f>
        <v/>
      </c>
      <c r="B133" s="76" t="str">
        <f>IF('Data - Sample Type 1'!L87="","",'Data - Sample Type 1'!L87)</f>
        <v/>
      </c>
      <c r="C133" s="77" t="str">
        <f>IF(B133="","",IF(B133="INVALID",IF('Data - Sample Type 1'!GA87="","INVALID",'Data - Sample Type 1'!GA87),IF(B133="ERROR",'Data - Sample Type 1'!GA87,IF(B133="NO RESULT",'Data - Sample Type 1'!GA87,IF(B133="V","MINOR VISUAL",IF(B133="M","MAJOR VISUAL",IF(B133="B","BARCODE FAIL",IF(B133="D","DELAMINATION",IF(COUNTIF(B133,Specifications!$K$4)=1,"INDETERMINATE",IF(COUNTIF(B133,$D$128)&lt;&gt;1,"MAJOR FUNCTIONAL",IF('Data - Sample Type 1'!Q87="","DATA ENTRY ERROR",IF('Data - Sample Type 1'!Q87=0,"SPC CT=0","PASS"))))))))))))</f>
        <v/>
      </c>
      <c r="D133" s="79" t="str">
        <f>IF(C133="","",IF('Data - Sample Type 1'!FY87="","N/A",IF('Data - Sample Type 1'!FY87&lt;Specifications!$D$3,"PASS","FAIL")))</f>
        <v/>
      </c>
      <c r="E133" s="65"/>
    </row>
    <row r="134" spans="1:5" ht="14" x14ac:dyDescent="0.15">
      <c r="A134" s="75" t="str">
        <f>IF('Data - Sample Type 1'!C88="","",'Data - Sample Type 1'!C88)</f>
        <v/>
      </c>
      <c r="B134" s="76" t="str">
        <f>IF('Data - Sample Type 1'!L88="","",'Data - Sample Type 1'!L88)</f>
        <v/>
      </c>
      <c r="C134" s="77" t="str">
        <f>IF(B134="","",IF(B134="INVALID",IF('Data - Sample Type 1'!GA88="","INVALID",'Data - Sample Type 1'!GA88),IF(B134="ERROR",'Data - Sample Type 1'!GA88,IF(B134="NO RESULT",'Data - Sample Type 1'!GA88,IF(B134="V","MINOR VISUAL",IF(B134="M","MAJOR VISUAL",IF(B134="B","BARCODE FAIL",IF(B134="D","DELAMINATION",IF(COUNTIF(B134,Specifications!$K$4)=1,"INDETERMINATE",IF(COUNTIF(B134,$D$128)&lt;&gt;1,"MAJOR FUNCTIONAL",IF('Data - Sample Type 1'!Q88="","DATA ENTRY ERROR",IF('Data - Sample Type 1'!Q88=0,"SPC CT=0","PASS"))))))))))))</f>
        <v/>
      </c>
      <c r="D134" s="79" t="str">
        <f>IF(C134="","",IF('Data - Sample Type 1'!FY88="","N/A",IF('Data - Sample Type 1'!FY88&lt;Specifications!$D$3,"PASS","FAIL")))</f>
        <v/>
      </c>
      <c r="E134" s="65"/>
    </row>
    <row r="135" spans="1:5" ht="14" x14ac:dyDescent="0.15">
      <c r="A135" s="75" t="str">
        <f>IF('Data - Sample Type 1'!C89="","",'Data - Sample Type 1'!C89)</f>
        <v/>
      </c>
      <c r="B135" s="76" t="str">
        <f>IF('Data - Sample Type 1'!L89="","",'Data - Sample Type 1'!L89)</f>
        <v/>
      </c>
      <c r="C135" s="77" t="str">
        <f>IF(B135="","",IF(B135="INVALID",IF('Data - Sample Type 1'!GA89="","INVALID",'Data - Sample Type 1'!GA89),IF(B135="ERROR",'Data - Sample Type 1'!GA89,IF(B135="NO RESULT",'Data - Sample Type 1'!GA89,IF(B135="V","MINOR VISUAL",IF(B135="M","MAJOR VISUAL",IF(B135="B","BARCODE FAIL",IF(B135="D","DELAMINATION",IF(COUNTIF(B135,Specifications!$K$4)=1,"INDETERMINATE",IF(COUNTIF(B135,$D$128)&lt;&gt;1,"MAJOR FUNCTIONAL",IF('Data - Sample Type 1'!Q89="","DATA ENTRY ERROR",IF('Data - Sample Type 1'!Q89=0,"SPC CT=0","PASS"))))))))))))</f>
        <v/>
      </c>
      <c r="D135" s="79" t="str">
        <f>IF(C135="","",IF('Data - Sample Type 1'!FY89="","N/A",IF('Data - Sample Type 1'!FY89&lt;Specifications!$D$3,"PASS","FAIL")))</f>
        <v/>
      </c>
      <c r="E135" s="65"/>
    </row>
    <row r="136" spans="1:5" ht="14" x14ac:dyDescent="0.15">
      <c r="A136" s="75" t="str">
        <f>IF('Data - Sample Type 1'!C90="","",'Data - Sample Type 1'!C90)</f>
        <v/>
      </c>
      <c r="B136" s="76" t="str">
        <f>IF('Data - Sample Type 1'!L90="","",'Data - Sample Type 1'!L90)</f>
        <v/>
      </c>
      <c r="C136" s="77" t="str">
        <f>IF(B136="","",IF(B136="INVALID",IF('Data - Sample Type 1'!GA90="","INVALID",'Data - Sample Type 1'!GA90),IF(B136="ERROR",'Data - Sample Type 1'!GA90,IF(B136="NO RESULT",'Data - Sample Type 1'!GA90,IF(B136="V","MINOR VISUAL",IF(B136="M","MAJOR VISUAL",IF(B136="B","BARCODE FAIL",IF(B136="D","DELAMINATION",IF(COUNTIF(B136,Specifications!$K$4)=1,"INDETERMINATE",IF(COUNTIF(B136,$D$128)&lt;&gt;1,"MAJOR FUNCTIONAL",IF('Data - Sample Type 1'!Q90="","DATA ENTRY ERROR",IF('Data - Sample Type 1'!Q90=0,"SPC CT=0","PASS"))))))))))))</f>
        <v/>
      </c>
      <c r="D136" s="79" t="str">
        <f>IF(C136="","",IF('Data - Sample Type 1'!FY90="","N/A",IF('Data - Sample Type 1'!FY90&lt;Specifications!$D$3,"PASS","FAIL")))</f>
        <v/>
      </c>
      <c r="E136" s="65"/>
    </row>
    <row r="137" spans="1:5" ht="14" x14ac:dyDescent="0.15">
      <c r="A137" s="75" t="str">
        <f>IF('Data - Sample Type 1'!C91="","",'Data - Sample Type 1'!C91)</f>
        <v/>
      </c>
      <c r="B137" s="76" t="str">
        <f>IF('Data - Sample Type 1'!L91="","",'Data - Sample Type 1'!L91)</f>
        <v/>
      </c>
      <c r="C137" s="77" t="str">
        <f>IF(B137="","",IF(B137="INVALID",IF('Data - Sample Type 1'!GA91="","INVALID",'Data - Sample Type 1'!GA91),IF(B137="ERROR",'Data - Sample Type 1'!GA91,IF(B137="NO RESULT",'Data - Sample Type 1'!GA91,IF(B137="V","MINOR VISUAL",IF(B137="M","MAJOR VISUAL",IF(B137="B","BARCODE FAIL",IF(B137="D","DELAMINATION",IF(COUNTIF(B137,Specifications!$K$4)=1,"INDETERMINATE",IF(COUNTIF(B137,$D$128)&lt;&gt;1,"MAJOR FUNCTIONAL",IF('Data - Sample Type 1'!Q91="","DATA ENTRY ERROR",IF('Data - Sample Type 1'!Q91=0,"SPC CT=0","PASS"))))))))))))</f>
        <v/>
      </c>
      <c r="D137" s="79" t="str">
        <f>IF(C137="","",IF('Data - Sample Type 1'!FY91="","N/A",IF('Data - Sample Type 1'!FY91&lt;Specifications!$D$3,"PASS","FAIL")))</f>
        <v/>
      </c>
      <c r="E137" s="65"/>
    </row>
    <row r="138" spans="1:5" ht="14" x14ac:dyDescent="0.15">
      <c r="A138" s="75" t="str">
        <f>IF('Data - Sample Type 1'!C92="","",'Data - Sample Type 1'!C92)</f>
        <v/>
      </c>
      <c r="B138" s="76" t="str">
        <f>IF('Data - Sample Type 1'!L92="","",'Data - Sample Type 1'!L92)</f>
        <v/>
      </c>
      <c r="C138" s="77" t="str">
        <f>IF(B138="","",IF(B138="INVALID",IF('Data - Sample Type 1'!GA92="","INVALID",'Data - Sample Type 1'!GA92),IF(B138="ERROR",'Data - Sample Type 1'!GA92,IF(B138="NO RESULT",'Data - Sample Type 1'!GA92,IF(B138="V","MINOR VISUAL",IF(B138="M","MAJOR VISUAL",IF(B138="B","BARCODE FAIL",IF(B138="D","DELAMINATION",IF(COUNTIF(B138,Specifications!$K$4)=1,"INDETERMINATE",IF(COUNTIF(B138,$D$128)&lt;&gt;1,"MAJOR FUNCTIONAL",IF('Data - Sample Type 1'!Q92="","DATA ENTRY ERROR",IF('Data - Sample Type 1'!Q92=0,"SPC CT=0","PASS"))))))))))))</f>
        <v/>
      </c>
      <c r="D138" s="79" t="str">
        <f>IF(C138="","",IF('Data - Sample Type 1'!FY92="","N/A",IF('Data - Sample Type 1'!FY92&lt;Specifications!$D$3,"PASS","FAIL")))</f>
        <v/>
      </c>
      <c r="E138" s="65"/>
    </row>
    <row r="139" spans="1:5" ht="14" x14ac:dyDescent="0.15">
      <c r="A139" s="75" t="str">
        <f>IF('Data - Sample Type 1'!C93="","",'Data - Sample Type 1'!C93)</f>
        <v/>
      </c>
      <c r="B139" s="76" t="str">
        <f>IF('Data - Sample Type 1'!L93="","",'Data - Sample Type 1'!L93)</f>
        <v/>
      </c>
      <c r="C139" s="77" t="str">
        <f>IF(B139="","",IF(B139="INVALID",IF('Data - Sample Type 1'!GA93="","INVALID",'Data - Sample Type 1'!GA93),IF(B139="ERROR",'Data - Sample Type 1'!GA93,IF(B139="NO RESULT",'Data - Sample Type 1'!GA93,IF(B139="V","MINOR VISUAL",IF(B139="M","MAJOR VISUAL",IF(B139="B","BARCODE FAIL",IF(B139="D","DELAMINATION",IF(COUNTIF(B139,Specifications!$K$4)=1,"INDETERMINATE",IF(COUNTIF(B139,$D$128)&lt;&gt;1,"MAJOR FUNCTIONAL",IF('Data - Sample Type 1'!Q93="","DATA ENTRY ERROR",IF('Data - Sample Type 1'!Q93=0,"SPC CT=0","PASS"))))))))))))</f>
        <v/>
      </c>
      <c r="D139" s="79" t="str">
        <f>IF(C139="","",IF('Data - Sample Type 1'!FY93="","N/A",IF('Data - Sample Type 1'!FY93&lt;Specifications!$D$3,"PASS","FAIL")))</f>
        <v/>
      </c>
      <c r="E139" s="65"/>
    </row>
    <row r="140" spans="1:5" ht="14" x14ac:dyDescent="0.15">
      <c r="A140" s="75" t="str">
        <f>IF('Data - Sample Type 1'!C94="","",'Data - Sample Type 1'!C94)</f>
        <v/>
      </c>
      <c r="B140" s="76" t="str">
        <f>IF('Data - Sample Type 1'!L94="","",'Data - Sample Type 1'!L94)</f>
        <v/>
      </c>
      <c r="C140" s="77" t="str">
        <f>IF(B140="","",IF(B140="INVALID",IF('Data - Sample Type 1'!GA94="","INVALID",'Data - Sample Type 1'!GA94),IF(B140="ERROR",'Data - Sample Type 1'!GA94,IF(B140="NO RESULT",'Data - Sample Type 1'!GA94,IF(B140="V","MINOR VISUAL",IF(B140="M","MAJOR VISUAL",IF(B140="B","BARCODE FAIL",IF(B140="D","DELAMINATION",IF(COUNTIF(B140,Specifications!$K$4)=1,"INDETERMINATE",IF(COUNTIF(B140,$D$128)&lt;&gt;1,"MAJOR FUNCTIONAL",IF('Data - Sample Type 1'!Q94="","DATA ENTRY ERROR",IF('Data - Sample Type 1'!Q94=0,"SPC CT=0","PASS"))))))))))))</f>
        <v/>
      </c>
      <c r="D140" s="79" t="str">
        <f>IF(C140="","",IF('Data - Sample Type 1'!FY94="","N/A",IF('Data - Sample Type 1'!FY94&lt;Specifications!$D$3,"PASS","FAIL")))</f>
        <v/>
      </c>
      <c r="E140" s="65"/>
    </row>
    <row r="141" spans="1:5" ht="14" x14ac:dyDescent="0.15">
      <c r="A141" s="75" t="str">
        <f>IF('Data - Sample Type 1'!C95="","",'Data - Sample Type 1'!C95)</f>
        <v/>
      </c>
      <c r="B141" s="76" t="str">
        <f>IF('Data - Sample Type 1'!L95="","",'Data - Sample Type 1'!L95)</f>
        <v/>
      </c>
      <c r="C141" s="77" t="str">
        <f>IF(B141="","",IF(B141="INVALID",IF('Data - Sample Type 1'!GA95="","INVALID",'Data - Sample Type 1'!GA95),IF(B141="ERROR",'Data - Sample Type 1'!GA95,IF(B141="NO RESULT",'Data - Sample Type 1'!GA95,IF(B141="V","MINOR VISUAL",IF(B141="M","MAJOR VISUAL",IF(B141="B","BARCODE FAIL",IF(B141="D","DELAMINATION",IF(COUNTIF(B141,Specifications!$K$4)=1,"INDETERMINATE",IF(COUNTIF(B141,$D$128)&lt;&gt;1,"MAJOR FUNCTIONAL",IF('Data - Sample Type 1'!Q95="","DATA ENTRY ERROR",IF('Data - Sample Type 1'!Q95=0,"SPC CT=0","PASS"))))))))))))</f>
        <v/>
      </c>
      <c r="D141" s="79" t="str">
        <f>IF(C141="","",IF('Data - Sample Type 1'!FY95="","N/A",IF('Data - Sample Type 1'!FY95&lt;Specifications!$D$3,"PASS","FAIL")))</f>
        <v/>
      </c>
      <c r="E141" s="65"/>
    </row>
    <row r="142" spans="1:5" ht="14" x14ac:dyDescent="0.15">
      <c r="A142" s="75" t="str">
        <f>IF('Data - Sample Type 1'!C96="","",'Data - Sample Type 1'!C96)</f>
        <v/>
      </c>
      <c r="B142" s="76" t="str">
        <f>IF('Data - Sample Type 1'!L96="","",'Data - Sample Type 1'!L96)</f>
        <v/>
      </c>
      <c r="C142" s="77" t="str">
        <f>IF(B142="","",IF(B142="INVALID",IF('Data - Sample Type 1'!GA96="","INVALID",'Data - Sample Type 1'!GA96),IF(B142="ERROR",'Data - Sample Type 1'!GA96,IF(B142="NO RESULT",'Data - Sample Type 1'!GA96,IF(B142="V","MINOR VISUAL",IF(B142="M","MAJOR VISUAL",IF(B142="B","BARCODE FAIL",IF(B142="D","DELAMINATION",IF(COUNTIF(B142,Specifications!$K$4)=1,"INDETERMINATE",IF(COUNTIF(B142,$D$128)&lt;&gt;1,"MAJOR FUNCTIONAL",IF('Data - Sample Type 1'!Q96="","DATA ENTRY ERROR",IF('Data - Sample Type 1'!Q96=0,"SPC CT=0","PASS"))))))))))))</f>
        <v/>
      </c>
      <c r="D142" s="79" t="str">
        <f>IF(C142="","",IF('Data - Sample Type 1'!FY96="","N/A",IF('Data - Sample Type 1'!FY96&lt;Specifications!$D$3,"PASS","FAIL")))</f>
        <v/>
      </c>
      <c r="E142" s="65"/>
    </row>
    <row r="143" spans="1:5" ht="14" x14ac:dyDescent="0.15">
      <c r="A143" s="75" t="str">
        <f>IF('Data - Sample Type 1'!C97="","",'Data - Sample Type 1'!C97)</f>
        <v/>
      </c>
      <c r="B143" s="76" t="str">
        <f>IF('Data - Sample Type 1'!L97="","",'Data - Sample Type 1'!L97)</f>
        <v/>
      </c>
      <c r="C143" s="77" t="str">
        <f>IF(B143="","",IF(B143="INVALID",IF('Data - Sample Type 1'!GA97="","INVALID",'Data - Sample Type 1'!GA97),IF(B143="ERROR",'Data - Sample Type 1'!GA97,IF(B143="NO RESULT",'Data - Sample Type 1'!GA97,IF(B143="V","MINOR VISUAL",IF(B143="M","MAJOR VISUAL",IF(B143="B","BARCODE FAIL",IF(B143="D","DELAMINATION",IF(COUNTIF(B143,Specifications!$K$4)=1,"INDETERMINATE",IF(COUNTIF(B143,$D$128)&lt;&gt;1,"MAJOR FUNCTIONAL",IF('Data - Sample Type 1'!Q97="","DATA ENTRY ERROR",IF('Data - Sample Type 1'!Q97=0,"SPC CT=0","PASS"))))))))))))</f>
        <v/>
      </c>
      <c r="D143" s="79" t="str">
        <f>IF(C143="","",IF('Data - Sample Type 1'!FY97="","N/A",IF('Data - Sample Type 1'!FY97&lt;Specifications!$D$3,"PASS","FAIL")))</f>
        <v/>
      </c>
      <c r="E143" s="65"/>
    </row>
    <row r="144" spans="1:5" ht="14" x14ac:dyDescent="0.15">
      <c r="A144" s="75" t="str">
        <f>IF('Data - Sample Type 1'!C98="","",'Data - Sample Type 1'!C98)</f>
        <v/>
      </c>
      <c r="B144" s="76" t="str">
        <f>IF('Data - Sample Type 1'!L98="","",'Data - Sample Type 1'!L98)</f>
        <v/>
      </c>
      <c r="C144" s="77" t="str">
        <f>IF(B144="","",IF(B144="INVALID",IF('Data - Sample Type 1'!GA98="","INVALID",'Data - Sample Type 1'!GA98),IF(B144="ERROR",'Data - Sample Type 1'!GA98,IF(B144="NO RESULT",'Data - Sample Type 1'!GA98,IF(B144="V","MINOR VISUAL",IF(B144="M","MAJOR VISUAL",IF(B144="B","BARCODE FAIL",IF(B144="D","DELAMINATION",IF(COUNTIF(B144,Specifications!$K$4)=1,"INDETERMINATE",IF(COUNTIF(B144,$D$128)&lt;&gt;1,"MAJOR FUNCTIONAL",IF('Data - Sample Type 1'!Q98="","DATA ENTRY ERROR",IF('Data - Sample Type 1'!Q98=0,"SPC CT=0","PASS"))))))))))))</f>
        <v/>
      </c>
      <c r="D144" s="79" t="str">
        <f>IF(C144="","",IF('Data - Sample Type 1'!FY98="","N/A",IF('Data - Sample Type 1'!FY98&lt;Specifications!$D$3,"PASS","FAIL")))</f>
        <v/>
      </c>
      <c r="E144" s="65"/>
    </row>
    <row r="145" spans="1:5" ht="14" x14ac:dyDescent="0.15">
      <c r="A145" s="75" t="str">
        <f>IF('Data - Sample Type 1'!C99="","",'Data - Sample Type 1'!C99)</f>
        <v/>
      </c>
      <c r="B145" s="76" t="str">
        <f>IF('Data - Sample Type 1'!L99="","",'Data - Sample Type 1'!L99)</f>
        <v/>
      </c>
      <c r="C145" s="77" t="str">
        <f>IF(B145="","",IF(B145="INVALID",IF('Data - Sample Type 1'!GA99="","INVALID",'Data - Sample Type 1'!GA99),IF(B145="ERROR",'Data - Sample Type 1'!GA99,IF(B145="NO RESULT",'Data - Sample Type 1'!GA99,IF(B145="V","MINOR VISUAL",IF(B145="M","MAJOR VISUAL",IF(B145="B","BARCODE FAIL",IF(B145="D","DELAMINATION",IF(COUNTIF(B145,Specifications!$K$4)=1,"INDETERMINATE",IF(COUNTIF(B145,$D$128)&lt;&gt;1,"MAJOR FUNCTIONAL",IF('Data - Sample Type 1'!Q99="","DATA ENTRY ERROR",IF('Data - Sample Type 1'!Q99=0,"SPC CT=0","PASS"))))))))))))</f>
        <v/>
      </c>
      <c r="D145" s="79" t="str">
        <f>IF(C145="","",IF('Data - Sample Type 1'!FY99="","N/A",IF('Data - Sample Type 1'!FY99&lt;Specifications!$D$3,"PASS","FAIL")))</f>
        <v/>
      </c>
      <c r="E145" s="65"/>
    </row>
    <row r="146" spans="1:5" ht="14" x14ac:dyDescent="0.15">
      <c r="A146" s="75" t="str">
        <f>IF('Data - Sample Type 1'!C100="","",'Data - Sample Type 1'!C100)</f>
        <v/>
      </c>
      <c r="B146" s="76" t="str">
        <f>IF('Data - Sample Type 1'!L100="","",'Data - Sample Type 1'!L100)</f>
        <v/>
      </c>
      <c r="C146" s="77" t="str">
        <f>IF(B146="","",IF(B146="INVALID",IF('Data - Sample Type 1'!GA100="","INVALID",'Data - Sample Type 1'!GA100),IF(B146="ERROR",'Data - Sample Type 1'!GA100,IF(B146="NO RESULT",'Data - Sample Type 1'!GA100,IF(B146="V","MINOR VISUAL",IF(B146="M","MAJOR VISUAL",IF(B146="B","BARCODE FAIL",IF(B146="D","DELAMINATION",IF(COUNTIF(B146,Specifications!$K$4)=1,"INDETERMINATE",IF(COUNTIF(B146,$D$128)&lt;&gt;1,"MAJOR FUNCTIONAL",IF('Data - Sample Type 1'!Q100="","DATA ENTRY ERROR",IF('Data - Sample Type 1'!Q100=0,"SPC CT=0","PASS"))))))))))))</f>
        <v/>
      </c>
      <c r="D146" s="79" t="str">
        <f>IF(C146="","",IF('Data - Sample Type 1'!FY100="","N/A",IF('Data - Sample Type 1'!FY100&lt;Specifications!$D$3,"PASS","FAIL")))</f>
        <v/>
      </c>
      <c r="E146" s="65"/>
    </row>
    <row r="147" spans="1:5" ht="14" x14ac:dyDescent="0.15">
      <c r="A147" s="75" t="str">
        <f>IF('Data - Sample Type 1'!C101="","",'Data - Sample Type 1'!C101)</f>
        <v/>
      </c>
      <c r="B147" s="76" t="str">
        <f>IF('Data - Sample Type 1'!L101="","",'Data - Sample Type 1'!L101)</f>
        <v/>
      </c>
      <c r="C147" s="77" t="str">
        <f>IF(B147="","",IF(B147="INVALID",IF('Data - Sample Type 1'!GA101="","INVALID",'Data - Sample Type 1'!GA101),IF(B147="ERROR",'Data - Sample Type 1'!GA101,IF(B147="NO RESULT",'Data - Sample Type 1'!GA101,IF(B147="V","MINOR VISUAL",IF(B147="M","MAJOR VISUAL",IF(B147="B","BARCODE FAIL",IF(B147="D","DELAMINATION",IF(COUNTIF(B147,Specifications!$K$4)=1,"INDETERMINATE",IF(COUNTIF(B147,$D$128)&lt;&gt;1,"MAJOR FUNCTIONAL",IF('Data - Sample Type 1'!Q101="","DATA ENTRY ERROR",IF('Data - Sample Type 1'!Q101=0,"SPC CT=0","PASS"))))))))))))</f>
        <v/>
      </c>
      <c r="D147" s="79" t="str">
        <f>IF(C147="","",IF('Data - Sample Type 1'!FY101="","N/A",IF('Data - Sample Type 1'!FY101&lt;Specifications!$D$3,"PASS","FAIL")))</f>
        <v/>
      </c>
      <c r="E147" s="65"/>
    </row>
    <row r="148" spans="1:5" ht="14" x14ac:dyDescent="0.15">
      <c r="A148" s="75" t="str">
        <f>IF('Data - Sample Type 1'!C102="","",'Data - Sample Type 1'!C102)</f>
        <v/>
      </c>
      <c r="B148" s="76" t="str">
        <f>IF('Data - Sample Type 1'!L102="","",'Data - Sample Type 1'!L102)</f>
        <v/>
      </c>
      <c r="C148" s="77" t="str">
        <f>IF(B148="","",IF(B148="INVALID",IF('Data - Sample Type 1'!GA102="","INVALID",'Data - Sample Type 1'!GA102),IF(B148="ERROR",'Data - Sample Type 1'!GA102,IF(B148="NO RESULT",'Data - Sample Type 1'!GA102,IF(B148="V","MINOR VISUAL",IF(B148="M","MAJOR VISUAL",IF(B148="B","BARCODE FAIL",IF(B148="D","DELAMINATION",IF(COUNTIF(B148,Specifications!$K$4)=1,"INDETERMINATE",IF(COUNTIF(B148,$D$128)&lt;&gt;1,"MAJOR FUNCTIONAL",IF('Data - Sample Type 1'!Q102="","DATA ENTRY ERROR",IF('Data - Sample Type 1'!Q102=0,"SPC CT=0","PASS"))))))))))))</f>
        <v/>
      </c>
      <c r="D148" s="79" t="str">
        <f>IF(C148="","",IF('Data - Sample Type 1'!FY102="","N/A",IF('Data - Sample Type 1'!FY102&lt;Specifications!$D$3,"PASS","FAIL")))</f>
        <v/>
      </c>
      <c r="E148" s="65"/>
    </row>
    <row r="149" spans="1:5" ht="14" x14ac:dyDescent="0.15">
      <c r="A149" s="75" t="str">
        <f>IF('Data - Sample Type 1'!C103="","",'Data - Sample Type 1'!C103)</f>
        <v/>
      </c>
      <c r="B149" s="76" t="str">
        <f>IF('Data - Sample Type 1'!L103="","",'Data - Sample Type 1'!L103)</f>
        <v/>
      </c>
      <c r="C149" s="77" t="str">
        <f>IF(B149="","",IF(B149="INVALID",IF('Data - Sample Type 1'!GA103="","INVALID",'Data - Sample Type 1'!GA103),IF(B149="ERROR",'Data - Sample Type 1'!GA103,IF(B149="NO RESULT",'Data - Sample Type 1'!GA103,IF(B149="V","MINOR VISUAL",IF(B149="M","MAJOR VISUAL",IF(B149="B","BARCODE FAIL",IF(B149="D","DELAMINATION",IF(COUNTIF(B149,Specifications!$K$4)=1,"INDETERMINATE",IF(COUNTIF(B149,$D$128)&lt;&gt;1,"MAJOR FUNCTIONAL",IF('Data - Sample Type 1'!Q103="","DATA ENTRY ERROR",IF('Data - Sample Type 1'!Q103=0,"SPC CT=0","PASS"))))))))))))</f>
        <v/>
      </c>
      <c r="D149" s="79" t="str">
        <f>IF(C149="","",IF('Data - Sample Type 1'!FY103="","N/A",IF('Data - Sample Type 1'!FY103&lt;Specifications!$D$3,"PASS","FAIL")))</f>
        <v/>
      </c>
      <c r="E149" s="65"/>
    </row>
    <row r="150" spans="1:5" ht="14" x14ac:dyDescent="0.15">
      <c r="A150" s="75" t="str">
        <f>IF('Data - Sample Type 1'!C104="","",'Data - Sample Type 1'!C104)</f>
        <v/>
      </c>
      <c r="B150" s="76" t="str">
        <f>IF('Data - Sample Type 1'!L104="","",'Data - Sample Type 1'!L104)</f>
        <v/>
      </c>
      <c r="C150" s="77" t="str">
        <f>IF(B150="","",IF(B150="INVALID",IF('Data - Sample Type 1'!GA104="","INVALID",'Data - Sample Type 1'!GA104),IF(B150="ERROR",'Data - Sample Type 1'!GA104,IF(B150="NO RESULT",'Data - Sample Type 1'!GA104,IF(B150="V","MINOR VISUAL",IF(B150="M","MAJOR VISUAL",IF(B150="B","BARCODE FAIL",IF(B150="D","DELAMINATION",IF(COUNTIF(B150,Specifications!$K$4)=1,"INDETERMINATE",IF(COUNTIF(B150,$D$128)&lt;&gt;1,"MAJOR FUNCTIONAL",IF('Data - Sample Type 1'!Q104="","DATA ENTRY ERROR",IF('Data - Sample Type 1'!Q104=0,"SPC CT=0","PASS"))))))))))))</f>
        <v/>
      </c>
      <c r="D150" s="79" t="str">
        <f>IF(C150="","",IF('Data - Sample Type 1'!FY104="","N/A",IF('Data - Sample Type 1'!FY104&lt;Specifications!$D$3,"PASS","FAIL")))</f>
        <v/>
      </c>
      <c r="E150" s="65"/>
    </row>
    <row r="151" spans="1:5" ht="14" x14ac:dyDescent="0.15">
      <c r="A151" s="75" t="str">
        <f>IF('Data - Sample Type 1'!C105="","",'Data - Sample Type 1'!C105)</f>
        <v/>
      </c>
      <c r="B151" s="76" t="str">
        <f>IF('Data - Sample Type 1'!L105="","",'Data - Sample Type 1'!L105)</f>
        <v/>
      </c>
      <c r="C151" s="77" t="str">
        <f>IF(B151="","",IF(B151="INVALID",IF('Data - Sample Type 1'!GA105="","INVALID",'Data - Sample Type 1'!GA105),IF(B151="ERROR",'Data - Sample Type 1'!GA105,IF(B151="NO RESULT",'Data - Sample Type 1'!GA105,IF(B151="V","MINOR VISUAL",IF(B151="M","MAJOR VISUAL",IF(B151="B","BARCODE FAIL",IF(B151="D","DELAMINATION",IF(COUNTIF(B151,Specifications!$K$4)=1,"INDETERMINATE",IF(COUNTIF(B151,$D$128)&lt;&gt;1,"MAJOR FUNCTIONAL",IF('Data - Sample Type 1'!Q105="","DATA ENTRY ERROR",IF('Data - Sample Type 1'!Q105=0,"SPC CT=0","PASS"))))))))))))</f>
        <v/>
      </c>
      <c r="D151" s="79" t="str">
        <f>IF(C151="","",IF('Data - Sample Type 1'!FY105="","N/A",IF('Data - Sample Type 1'!FY105&lt;Specifications!$D$3,"PASS","FAIL")))</f>
        <v/>
      </c>
      <c r="E151" s="65"/>
    </row>
    <row r="152" spans="1:5" ht="14" x14ac:dyDescent="0.15">
      <c r="A152" s="75" t="str">
        <f>IF('Data - Sample Type 1'!C106="","",'Data - Sample Type 1'!C106)</f>
        <v/>
      </c>
      <c r="B152" s="76" t="str">
        <f>IF('Data - Sample Type 1'!L106="","",'Data - Sample Type 1'!L106)</f>
        <v/>
      </c>
      <c r="C152" s="77" t="str">
        <f>IF(B152="","",IF(B152="INVALID",IF('Data - Sample Type 1'!GA106="","INVALID",'Data - Sample Type 1'!GA106),IF(B152="ERROR",'Data - Sample Type 1'!GA106,IF(B152="NO RESULT",'Data - Sample Type 1'!GA106,IF(B152="V","MINOR VISUAL",IF(B152="M","MAJOR VISUAL",IF(B152="B","BARCODE FAIL",IF(B152="D","DELAMINATION",IF(COUNTIF(B152,Specifications!$K$4)=1,"INDETERMINATE",IF(COUNTIF(B152,$D$128)&lt;&gt;1,"MAJOR FUNCTIONAL",IF('Data - Sample Type 1'!Q106="","DATA ENTRY ERROR",IF('Data - Sample Type 1'!Q106=0,"SPC CT=0","PASS"))))))))))))</f>
        <v/>
      </c>
      <c r="D152" s="79" t="str">
        <f>IF(C152="","",IF('Data - Sample Type 1'!FY106="","N/A",IF('Data - Sample Type 1'!FY106&lt;Specifications!$D$3,"PASS","FAIL")))</f>
        <v/>
      </c>
      <c r="E152" s="65"/>
    </row>
    <row r="153" spans="1:5" ht="14" x14ac:dyDescent="0.15">
      <c r="A153" s="75" t="str">
        <f>IF('Data - Sample Type 1'!C107="","",'Data - Sample Type 1'!C107)</f>
        <v/>
      </c>
      <c r="B153" s="76" t="str">
        <f>IF('Data - Sample Type 1'!L107="","",'Data - Sample Type 1'!L107)</f>
        <v/>
      </c>
      <c r="C153" s="77" t="str">
        <f>IF(B153="","",IF(B153="INVALID",IF('Data - Sample Type 1'!GA107="","INVALID",'Data - Sample Type 1'!GA107),IF(B153="ERROR",'Data - Sample Type 1'!GA107,IF(B153="NO RESULT",'Data - Sample Type 1'!GA107,IF(B153="V","MINOR VISUAL",IF(B153="M","MAJOR VISUAL",IF(B153="B","BARCODE FAIL",IF(B153="D","DELAMINATION",IF(COUNTIF(B153,Specifications!$K$4)=1,"INDETERMINATE",IF(COUNTIF(B153,$D$128)&lt;&gt;1,"MAJOR FUNCTIONAL",IF('Data - Sample Type 1'!Q107="","DATA ENTRY ERROR",IF('Data - Sample Type 1'!Q107=0,"SPC CT=0","PASS"))))))))))))</f>
        <v/>
      </c>
      <c r="D153" s="79" t="str">
        <f>IF(C153="","",IF('Data - Sample Type 1'!FY107="","N/A",IF('Data - Sample Type 1'!FY107&lt;Specifications!$D$3,"PASS","FAIL")))</f>
        <v/>
      </c>
      <c r="E153" s="65"/>
    </row>
    <row r="154" spans="1:5" ht="14" x14ac:dyDescent="0.15">
      <c r="A154" s="75" t="str">
        <f>IF('Data - Sample Type 1'!C108="","",'Data - Sample Type 1'!C108)</f>
        <v/>
      </c>
      <c r="B154" s="76" t="str">
        <f>IF('Data - Sample Type 1'!L108="","",'Data - Sample Type 1'!L108)</f>
        <v/>
      </c>
      <c r="C154" s="77" t="str">
        <f>IF(B154="","",IF(B154="INVALID",IF('Data - Sample Type 1'!GA108="","INVALID",'Data - Sample Type 1'!GA108),IF(B154="ERROR",'Data - Sample Type 1'!GA108,IF(B154="NO RESULT",'Data - Sample Type 1'!GA108,IF(B154="V","MINOR VISUAL",IF(B154="M","MAJOR VISUAL",IF(B154="B","BARCODE FAIL",IF(B154="D","DELAMINATION",IF(COUNTIF(B154,Specifications!$K$4)=1,"INDETERMINATE",IF(COUNTIF(B154,$D$128)&lt;&gt;1,"MAJOR FUNCTIONAL",IF('Data - Sample Type 1'!Q108="","DATA ENTRY ERROR",IF('Data - Sample Type 1'!Q108=0,"SPC CT=0","PASS"))))))))))))</f>
        <v/>
      </c>
      <c r="D154" s="79" t="str">
        <f>IF(C154="","",IF('Data - Sample Type 1'!FY108="","N/A",IF('Data - Sample Type 1'!FY108&lt;Specifications!$D$3,"PASS","FAIL")))</f>
        <v/>
      </c>
      <c r="E154" s="65"/>
    </row>
    <row r="155" spans="1:5" ht="14" x14ac:dyDescent="0.15">
      <c r="A155" s="75" t="str">
        <f>IF('Data - Sample Type 1'!C109="","",'Data - Sample Type 1'!C109)</f>
        <v/>
      </c>
      <c r="B155" s="76" t="str">
        <f>IF('Data - Sample Type 1'!L109="","",'Data - Sample Type 1'!L109)</f>
        <v/>
      </c>
      <c r="C155" s="77" t="str">
        <f>IF(B155="","",IF(B155="INVALID",IF('Data - Sample Type 1'!GA109="","INVALID",'Data - Sample Type 1'!GA109),IF(B155="ERROR",'Data - Sample Type 1'!GA109,IF(B155="NO RESULT",'Data - Sample Type 1'!GA109,IF(B155="V","MINOR VISUAL",IF(B155="M","MAJOR VISUAL",IF(B155="B","BARCODE FAIL",IF(B155="D","DELAMINATION",IF(COUNTIF(B155,Specifications!$K$4)=1,"INDETERMINATE",IF(COUNTIF(B155,$D$128)&lt;&gt;1,"MAJOR FUNCTIONAL",IF('Data - Sample Type 1'!Q109="","DATA ENTRY ERROR",IF('Data - Sample Type 1'!Q109=0,"SPC CT=0","PASS"))))))))))))</f>
        <v/>
      </c>
      <c r="D155" s="79" t="str">
        <f>IF(C155="","",IF('Data - Sample Type 1'!FY109="","N/A",IF('Data - Sample Type 1'!FY109&lt;Specifications!$D$3,"PASS","FAIL")))</f>
        <v/>
      </c>
      <c r="E155" s="65"/>
    </row>
    <row r="156" spans="1:5" ht="14" x14ac:dyDescent="0.15">
      <c r="A156" s="75" t="str">
        <f>IF('Data - Sample Type 1'!C110="","",'Data - Sample Type 1'!C110)</f>
        <v/>
      </c>
      <c r="B156" s="76" t="str">
        <f>IF('Data - Sample Type 1'!L110="","",'Data - Sample Type 1'!L110)</f>
        <v/>
      </c>
      <c r="C156" s="77" t="str">
        <f>IF(B156="","",IF(B156="INVALID",IF('Data - Sample Type 1'!GA110="","INVALID",'Data - Sample Type 1'!GA110),IF(B156="ERROR",'Data - Sample Type 1'!GA110,IF(B156="NO RESULT",'Data - Sample Type 1'!GA110,IF(B156="V","MINOR VISUAL",IF(B156="M","MAJOR VISUAL",IF(B156="B","BARCODE FAIL",IF(B156="D","DELAMINATION",IF(COUNTIF(B156,Specifications!$K$4)=1,"INDETERMINATE",IF(COUNTIF(B156,$D$128)&lt;&gt;1,"MAJOR FUNCTIONAL",IF('Data - Sample Type 1'!Q110="","DATA ENTRY ERROR",IF('Data - Sample Type 1'!Q110=0,"SPC CT=0","PASS"))))))))))))</f>
        <v/>
      </c>
      <c r="D156" s="79" t="str">
        <f>IF(C156="","",IF('Data - Sample Type 1'!FY110="","N/A",IF('Data - Sample Type 1'!FY110&lt;Specifications!$D$3,"PASS","FAIL")))</f>
        <v/>
      </c>
      <c r="E156" s="65"/>
    </row>
    <row r="157" spans="1:5" ht="14" x14ac:dyDescent="0.15">
      <c r="A157" s="75" t="str">
        <f>IF('Data - Sample Type 1'!C111="","",'Data - Sample Type 1'!C111)</f>
        <v/>
      </c>
      <c r="B157" s="76" t="str">
        <f>IF('Data - Sample Type 1'!L111="","",'Data - Sample Type 1'!L111)</f>
        <v/>
      </c>
      <c r="C157" s="77" t="str">
        <f>IF(B157="","",IF(B157="INVALID",IF('Data - Sample Type 1'!GA111="","INVALID",'Data - Sample Type 1'!GA111),IF(B157="ERROR",'Data - Sample Type 1'!GA111,IF(B157="NO RESULT",'Data - Sample Type 1'!GA111,IF(B157="V","MINOR VISUAL",IF(B157="M","MAJOR VISUAL",IF(B157="B","BARCODE FAIL",IF(B157="D","DELAMINATION",IF(COUNTIF(B157,Specifications!$K$4)=1,"INDETERMINATE",IF(COUNTIF(B157,$D$128)&lt;&gt;1,"MAJOR FUNCTIONAL",IF('Data - Sample Type 1'!Q111="","DATA ENTRY ERROR",IF('Data - Sample Type 1'!Q111=0,"SPC CT=0","PASS"))))))))))))</f>
        <v/>
      </c>
      <c r="D157" s="79" t="str">
        <f>IF(C157="","",IF('Data - Sample Type 1'!FY111="","N/A",IF('Data - Sample Type 1'!FY111&lt;Specifications!$D$3,"PASS","FAIL")))</f>
        <v/>
      </c>
      <c r="E157" s="65"/>
    </row>
    <row r="158" spans="1:5" ht="14" x14ac:dyDescent="0.15">
      <c r="A158" s="75" t="str">
        <f>IF('Data - Sample Type 1'!C112="","",'Data - Sample Type 1'!C112)</f>
        <v/>
      </c>
      <c r="B158" s="76" t="str">
        <f>IF('Data - Sample Type 1'!L112="","",'Data - Sample Type 1'!L112)</f>
        <v/>
      </c>
      <c r="C158" s="77" t="str">
        <f>IF(B158="","",IF(B158="INVALID",IF('Data - Sample Type 1'!GA112="","INVALID",'Data - Sample Type 1'!GA112),IF(B158="ERROR",'Data - Sample Type 1'!GA112,IF(B158="NO RESULT",'Data - Sample Type 1'!GA112,IF(B158="V","MINOR VISUAL",IF(B158="M","MAJOR VISUAL",IF(B158="B","BARCODE FAIL",IF(B158="D","DELAMINATION",IF(COUNTIF(B158,Specifications!$K$4)=1,"INDETERMINATE",IF(COUNTIF(B158,$D$128)&lt;&gt;1,"MAJOR FUNCTIONAL",IF('Data - Sample Type 1'!Q112="","DATA ENTRY ERROR",IF('Data - Sample Type 1'!Q112=0,"SPC CT=0","PASS"))))))))))))</f>
        <v/>
      </c>
      <c r="D158" s="79" t="str">
        <f>IF(C158="","",IF('Data - Sample Type 1'!FY112="","N/A",IF('Data - Sample Type 1'!FY112&lt;Specifications!$D$3,"PASS","FAIL")))</f>
        <v/>
      </c>
      <c r="E158" s="65"/>
    </row>
    <row r="159" spans="1:5" ht="14" x14ac:dyDescent="0.15">
      <c r="A159" s="75" t="str">
        <f>IF('Data - Sample Type 1'!C113="","",'Data - Sample Type 1'!C113)</f>
        <v/>
      </c>
      <c r="B159" s="76" t="str">
        <f>IF('Data - Sample Type 1'!L113="","",'Data - Sample Type 1'!L113)</f>
        <v/>
      </c>
      <c r="C159" s="77" t="str">
        <f>IF(B159="","",IF(B159="INVALID",IF('Data - Sample Type 1'!GA113="","INVALID",'Data - Sample Type 1'!GA113),IF(B159="ERROR",'Data - Sample Type 1'!GA113,IF(B159="NO RESULT",'Data - Sample Type 1'!GA113,IF(B159="V","MINOR VISUAL",IF(B159="M","MAJOR VISUAL",IF(B159="B","BARCODE FAIL",IF(B159="D","DELAMINATION",IF(COUNTIF(B159,Specifications!$K$4)=1,"INDETERMINATE",IF(COUNTIF(B159,$D$128)&lt;&gt;1,"MAJOR FUNCTIONAL",IF('Data - Sample Type 1'!Q113="","DATA ENTRY ERROR",IF('Data - Sample Type 1'!Q113=0,"SPC CT=0","PASS"))))))))))))</f>
        <v/>
      </c>
      <c r="D159" s="79" t="str">
        <f>IF(C159="","",IF('Data - Sample Type 1'!FY113="","N/A",IF('Data - Sample Type 1'!FY113&lt;Specifications!$D$3,"PASS","FAIL")))</f>
        <v/>
      </c>
      <c r="E159" s="65"/>
    </row>
    <row r="160" spans="1:5" ht="14" x14ac:dyDescent="0.15">
      <c r="A160" s="75" t="str">
        <f>IF('Data - Sample Type 1'!C114="","",'Data - Sample Type 1'!C114)</f>
        <v/>
      </c>
      <c r="B160" s="76" t="str">
        <f>IF('Data - Sample Type 1'!L114="","",'Data - Sample Type 1'!L114)</f>
        <v/>
      </c>
      <c r="C160" s="77" t="str">
        <f>IF(B160="","",IF(B160="INVALID",IF('Data - Sample Type 1'!GA114="","INVALID",'Data - Sample Type 1'!GA114),IF(B160="ERROR",'Data - Sample Type 1'!GA114,IF(B160="NO RESULT",'Data - Sample Type 1'!GA114,IF(B160="V","MINOR VISUAL",IF(B160="M","MAJOR VISUAL",IF(B160="B","BARCODE FAIL",IF(B160="D","DELAMINATION",IF(COUNTIF(B160,Specifications!$K$4)=1,"INDETERMINATE",IF(COUNTIF(B160,$D$128)&lt;&gt;1,"MAJOR FUNCTIONAL",IF('Data - Sample Type 1'!Q114="","DATA ENTRY ERROR",IF('Data - Sample Type 1'!Q114=0,"SPC CT=0","PASS"))))))))))))</f>
        <v/>
      </c>
      <c r="D160" s="79" t="str">
        <f>IF(C160="","",IF('Data - Sample Type 1'!FY114="","N/A",IF('Data - Sample Type 1'!FY114&lt;Specifications!$D$3,"PASS","FAIL")))</f>
        <v/>
      </c>
      <c r="E160" s="65"/>
    </row>
    <row r="161" spans="1:5" ht="14" x14ac:dyDescent="0.15">
      <c r="A161" s="75" t="str">
        <f>IF('Data - Sample Type 1'!C115="","",'Data - Sample Type 1'!C115)</f>
        <v/>
      </c>
      <c r="B161" s="76" t="str">
        <f>IF('Data - Sample Type 1'!L115="","",'Data - Sample Type 1'!L115)</f>
        <v/>
      </c>
      <c r="C161" s="77" t="str">
        <f>IF(B161="","",IF(B161="INVALID",IF('Data - Sample Type 1'!GA115="","INVALID",'Data - Sample Type 1'!GA115),IF(B161="ERROR",'Data - Sample Type 1'!GA115,IF(B161="NO RESULT",'Data - Sample Type 1'!GA115,IF(B161="V","MINOR VISUAL",IF(B161="M","MAJOR VISUAL",IF(B161="B","BARCODE FAIL",IF(B161="D","DELAMINATION",IF(COUNTIF(B161,Specifications!$K$4)=1,"INDETERMINATE",IF(COUNTIF(B161,$D$128)&lt;&gt;1,"MAJOR FUNCTIONAL",IF('Data - Sample Type 1'!Q115="","DATA ENTRY ERROR",IF('Data - Sample Type 1'!Q115=0,"SPC CT=0","PASS"))))))))))))</f>
        <v/>
      </c>
      <c r="D161" s="79" t="str">
        <f>IF(C161="","",IF('Data - Sample Type 1'!FY115="","N/A",IF('Data - Sample Type 1'!FY115&lt;Specifications!$D$3,"PASS","FAIL")))</f>
        <v/>
      </c>
      <c r="E161" s="65"/>
    </row>
    <row r="162" spans="1:5" ht="14" x14ac:dyDescent="0.15">
      <c r="A162" s="75" t="str">
        <f>IF('Data - Sample Type 1'!C116="","",'Data - Sample Type 1'!C116)</f>
        <v/>
      </c>
      <c r="B162" s="76" t="str">
        <f>IF('Data - Sample Type 1'!L116="","",'Data - Sample Type 1'!L116)</f>
        <v/>
      </c>
      <c r="C162" s="77" t="str">
        <f>IF(B162="","",IF(B162="INVALID",IF('Data - Sample Type 1'!GA116="","INVALID",'Data - Sample Type 1'!GA116),IF(B162="ERROR",'Data - Sample Type 1'!GA116,IF(B162="NO RESULT",'Data - Sample Type 1'!GA116,IF(B162="V","MINOR VISUAL",IF(B162="M","MAJOR VISUAL",IF(B162="B","BARCODE FAIL",IF(B162="D","DELAMINATION",IF(COUNTIF(B162,Specifications!$K$4)=1,"INDETERMINATE",IF(COUNTIF(B162,$D$128)&lt;&gt;1,"MAJOR FUNCTIONAL",IF('Data - Sample Type 1'!Q116="","DATA ENTRY ERROR",IF('Data - Sample Type 1'!Q116=0,"SPC CT=0","PASS"))))))))))))</f>
        <v/>
      </c>
      <c r="D162" s="79" t="str">
        <f>IF(C162="","",IF('Data - Sample Type 1'!FY116="","N/A",IF('Data - Sample Type 1'!FY116&lt;Specifications!$D$3,"PASS","FAIL")))</f>
        <v/>
      </c>
      <c r="E162" s="65"/>
    </row>
    <row r="163" spans="1:5" ht="14" x14ac:dyDescent="0.15">
      <c r="A163" s="75" t="str">
        <f>IF('Data - Sample Type 1'!C117="","",'Data - Sample Type 1'!C117)</f>
        <v/>
      </c>
      <c r="B163" s="76" t="str">
        <f>IF('Data - Sample Type 1'!L117="","",'Data - Sample Type 1'!L117)</f>
        <v/>
      </c>
      <c r="C163" s="77" t="str">
        <f>IF(B163="","",IF(B163="INVALID",IF('Data - Sample Type 1'!GA117="","INVALID",'Data - Sample Type 1'!GA117),IF(B163="ERROR",'Data - Sample Type 1'!GA117,IF(B163="NO RESULT",'Data - Sample Type 1'!GA117,IF(B163="V","MINOR VISUAL",IF(B163="M","MAJOR VISUAL",IF(B163="B","BARCODE FAIL",IF(B163="D","DELAMINATION",IF(COUNTIF(B163,Specifications!$K$4)=1,"INDETERMINATE",IF(COUNTIF(B163,$D$128)&lt;&gt;1,"MAJOR FUNCTIONAL",IF('Data - Sample Type 1'!Q117="","DATA ENTRY ERROR",IF('Data - Sample Type 1'!Q117=0,"SPC CT=0","PASS"))))))))))))</f>
        <v/>
      </c>
      <c r="D163" s="79" t="str">
        <f>IF(C163="","",IF('Data - Sample Type 1'!FY117="","N/A",IF('Data - Sample Type 1'!FY117&lt;Specifications!$D$3,"PASS","FAIL")))</f>
        <v/>
      </c>
      <c r="E163" s="65"/>
    </row>
    <row r="164" spans="1:5" ht="14" x14ac:dyDescent="0.15">
      <c r="A164" s="75" t="str">
        <f>IF('Data - Sample Type 1'!C118="","",'Data - Sample Type 1'!C118)</f>
        <v/>
      </c>
      <c r="B164" s="76" t="str">
        <f>IF('Data - Sample Type 1'!L118="","",'Data - Sample Type 1'!L118)</f>
        <v/>
      </c>
      <c r="C164" s="77" t="str">
        <f>IF(B164="","",IF(B164="INVALID",IF('Data - Sample Type 1'!GA118="","INVALID",'Data - Sample Type 1'!GA118),IF(B164="ERROR",'Data - Sample Type 1'!GA118,IF(B164="NO RESULT",'Data - Sample Type 1'!GA118,IF(B164="V","MINOR VISUAL",IF(B164="M","MAJOR VISUAL",IF(B164="B","BARCODE FAIL",IF(B164="D","DELAMINATION",IF(COUNTIF(B164,Specifications!$K$4)=1,"INDETERMINATE",IF(COUNTIF(B164,$D$128)&lt;&gt;1,"MAJOR FUNCTIONAL",IF('Data - Sample Type 1'!Q118="","DATA ENTRY ERROR",IF('Data - Sample Type 1'!Q118=0,"SPC CT=0","PASS"))))))))))))</f>
        <v/>
      </c>
      <c r="D164" s="79" t="str">
        <f>IF(C164="","",IF('Data - Sample Type 1'!FY118="","N/A",IF('Data - Sample Type 1'!FY118&lt;Specifications!$D$3,"PASS","FAIL")))</f>
        <v/>
      </c>
      <c r="E164" s="65"/>
    </row>
    <row r="165" spans="1:5" ht="14" x14ac:dyDescent="0.15">
      <c r="A165" s="75" t="str">
        <f>IF('Data - Sample Type 1'!C119="","",'Data - Sample Type 1'!C119)</f>
        <v/>
      </c>
      <c r="B165" s="76" t="str">
        <f>IF('Data - Sample Type 1'!L119="","",'Data - Sample Type 1'!L119)</f>
        <v/>
      </c>
      <c r="C165" s="77" t="str">
        <f>IF(B165="","",IF(B165="INVALID",IF('Data - Sample Type 1'!GA119="","INVALID",'Data - Sample Type 1'!GA119),IF(B165="ERROR",'Data - Sample Type 1'!GA119,IF(B165="NO RESULT",'Data - Sample Type 1'!GA119,IF(B165="V","MINOR VISUAL",IF(B165="M","MAJOR VISUAL",IF(B165="B","BARCODE FAIL",IF(B165="D","DELAMINATION",IF(COUNTIF(B165,Specifications!$K$4)=1,"INDETERMINATE",IF(COUNTIF(B165,$D$128)&lt;&gt;1,"MAJOR FUNCTIONAL",IF('Data - Sample Type 1'!Q119="","DATA ENTRY ERROR",IF('Data - Sample Type 1'!Q119=0,"SPC CT=0","PASS"))))))))))))</f>
        <v/>
      </c>
      <c r="D165" s="79" t="str">
        <f>IF(C165="","",IF('Data - Sample Type 1'!FY119="","N/A",IF('Data - Sample Type 1'!FY119&lt;Specifications!$D$3,"PASS","FAIL")))</f>
        <v/>
      </c>
      <c r="E165" s="65"/>
    </row>
    <row r="166" spans="1:5" ht="14" x14ac:dyDescent="0.15">
      <c r="A166" s="75" t="str">
        <f>IF('Data - Sample Type 1'!C120="","",'Data - Sample Type 1'!C120)</f>
        <v/>
      </c>
      <c r="B166" s="76" t="str">
        <f>IF('Data - Sample Type 1'!L120="","",'Data - Sample Type 1'!L120)</f>
        <v/>
      </c>
      <c r="C166" s="77" t="str">
        <f>IF(B166="","",IF(B166="INVALID",IF('Data - Sample Type 1'!GA120="","INVALID",'Data - Sample Type 1'!GA120),IF(B166="ERROR",'Data - Sample Type 1'!GA120,IF(B166="NO RESULT",'Data - Sample Type 1'!GA120,IF(B166="V","MINOR VISUAL",IF(B166="M","MAJOR VISUAL",IF(B166="B","BARCODE FAIL",IF(B166="D","DELAMINATION",IF(COUNTIF(B166,Specifications!$K$4)=1,"INDETERMINATE",IF(COUNTIF(B166,$D$128)&lt;&gt;1,"MAJOR FUNCTIONAL",IF('Data - Sample Type 1'!Q120="","DATA ENTRY ERROR",IF('Data - Sample Type 1'!Q120=0,"SPC CT=0","PASS"))))))))))))</f>
        <v/>
      </c>
      <c r="D166" s="79" t="str">
        <f>IF(C166="","",IF('Data - Sample Type 1'!FY120="","N/A",IF('Data - Sample Type 1'!FY120&lt;Specifications!$D$3,"PASS","FAIL")))</f>
        <v/>
      </c>
      <c r="E166" s="65"/>
    </row>
    <row r="167" spans="1:5" ht="14" x14ac:dyDescent="0.15">
      <c r="A167" s="75" t="str">
        <f>IF('Data - Sample Type 1'!C121="","",'Data - Sample Type 1'!C121)</f>
        <v/>
      </c>
      <c r="B167" s="76" t="str">
        <f>IF('Data - Sample Type 1'!L121="","",'Data - Sample Type 1'!L121)</f>
        <v/>
      </c>
      <c r="C167" s="77" t="str">
        <f>IF(B167="","",IF(B167="INVALID",IF('Data - Sample Type 1'!GA121="","INVALID",'Data - Sample Type 1'!GA121),IF(B167="ERROR",'Data - Sample Type 1'!GA121,IF(B167="NO RESULT",'Data - Sample Type 1'!GA121,IF(B167="V","MINOR VISUAL",IF(B167="M","MAJOR VISUAL",IF(B167="B","BARCODE FAIL",IF(B167="D","DELAMINATION",IF(COUNTIF(B167,Specifications!$K$4)=1,"INDETERMINATE",IF(COUNTIF(B167,$D$128)&lt;&gt;1,"MAJOR FUNCTIONAL",IF('Data - Sample Type 1'!Q121="","DATA ENTRY ERROR",IF('Data - Sample Type 1'!Q121=0,"SPC CT=0","PASS"))))))))))))</f>
        <v/>
      </c>
      <c r="D167" s="79" t="str">
        <f>IF(C167="","",IF('Data - Sample Type 1'!FY121="","N/A",IF('Data - Sample Type 1'!FY121&lt;Specifications!$D$3,"PASS","FAIL")))</f>
        <v/>
      </c>
      <c r="E167" s="65"/>
    </row>
    <row r="168" spans="1:5" ht="14" x14ac:dyDescent="0.15">
      <c r="A168" s="75" t="str">
        <f>IF('Data - Sample Type 1'!C122="","",'Data - Sample Type 1'!C122)</f>
        <v/>
      </c>
      <c r="B168" s="76" t="str">
        <f>IF('Data - Sample Type 1'!L122="","",'Data - Sample Type 1'!L122)</f>
        <v/>
      </c>
      <c r="C168" s="77" t="str">
        <f>IF(B168="","",IF(B168="INVALID",IF('Data - Sample Type 1'!GA122="","INVALID",'Data - Sample Type 1'!GA122),IF(B168="ERROR",'Data - Sample Type 1'!GA122,IF(B168="NO RESULT",'Data - Sample Type 1'!GA122,IF(B168="V","MINOR VISUAL",IF(B168="M","MAJOR VISUAL",IF(B168="B","BARCODE FAIL",IF(B168="D","DELAMINATION",IF(COUNTIF(B168,Specifications!$K$4)=1,"INDETERMINATE",IF(COUNTIF(B168,$D$128)&lt;&gt;1,"MAJOR FUNCTIONAL",IF('Data - Sample Type 1'!Q122="","DATA ENTRY ERROR",IF('Data - Sample Type 1'!Q122=0,"SPC CT=0","PASS"))))))))))))</f>
        <v/>
      </c>
      <c r="D168" s="79" t="str">
        <f>IF(C168="","",IF('Data - Sample Type 1'!FY122="","N/A",IF('Data - Sample Type 1'!FY122&lt;Specifications!$D$3,"PASS","FAIL")))</f>
        <v/>
      </c>
      <c r="E168" s="65"/>
    </row>
    <row r="169" spans="1:5" ht="14" x14ac:dyDescent="0.15">
      <c r="A169" s="75" t="str">
        <f>IF('Data - Sample Type 1'!C123="","",'Data - Sample Type 1'!C123)</f>
        <v/>
      </c>
      <c r="B169" s="76" t="str">
        <f>IF('Data - Sample Type 1'!L123="","",'Data - Sample Type 1'!L123)</f>
        <v/>
      </c>
      <c r="C169" s="77" t="str">
        <f>IF(B169="","",IF(B169="INVALID",IF('Data - Sample Type 1'!GA123="","INVALID",'Data - Sample Type 1'!GA123),IF(B169="ERROR",'Data - Sample Type 1'!GA123,IF(B169="NO RESULT",'Data - Sample Type 1'!GA123,IF(B169="V","MINOR VISUAL",IF(B169="M","MAJOR VISUAL",IF(B169="B","BARCODE FAIL",IF(B169="D","DELAMINATION",IF(COUNTIF(B169,Specifications!$K$4)=1,"INDETERMINATE",IF(COUNTIF(B169,$D$128)&lt;&gt;1,"MAJOR FUNCTIONAL",IF('Data - Sample Type 1'!Q123="","DATA ENTRY ERROR",IF('Data - Sample Type 1'!Q123=0,"SPC CT=0","PASS"))))))))))))</f>
        <v/>
      </c>
      <c r="D169" s="79" t="str">
        <f>IF(C169="","",IF('Data - Sample Type 1'!FY123="","N/A",IF('Data - Sample Type 1'!FY123&lt;Specifications!$D$3,"PASS","FAIL")))</f>
        <v/>
      </c>
      <c r="E169" s="65"/>
    </row>
    <row r="170" spans="1:5" ht="14" x14ac:dyDescent="0.15">
      <c r="A170" s="75" t="str">
        <f>IF('Data - Sample Type 1'!C124="","",'Data - Sample Type 1'!C124)</f>
        <v/>
      </c>
      <c r="B170" s="76" t="str">
        <f>IF('Data - Sample Type 1'!L124="","",'Data - Sample Type 1'!L124)</f>
        <v/>
      </c>
      <c r="C170" s="77" t="str">
        <f>IF(B170="","",IF(B170="INVALID",IF('Data - Sample Type 1'!GA124="","INVALID",'Data - Sample Type 1'!GA124),IF(B170="ERROR",'Data - Sample Type 1'!GA124,IF(B170="NO RESULT",'Data - Sample Type 1'!GA124,IF(B170="V","MINOR VISUAL",IF(B170="M","MAJOR VISUAL",IF(B170="B","BARCODE FAIL",IF(B170="D","DELAMINATION",IF(COUNTIF(B170,Specifications!$K$4)=1,"INDETERMINATE",IF(COUNTIF(B170,$D$128)&lt;&gt;1,"MAJOR FUNCTIONAL",IF('Data - Sample Type 1'!Q124="","DATA ENTRY ERROR",IF('Data - Sample Type 1'!Q124=0,"SPC CT=0","PASS"))))))))))))</f>
        <v/>
      </c>
      <c r="D170" s="79" t="str">
        <f>IF(C170="","",IF('Data - Sample Type 1'!FY124="","N/A",IF('Data - Sample Type 1'!FY124&lt;Specifications!$D$3,"PASS","FAIL")))</f>
        <v/>
      </c>
      <c r="E170" s="65"/>
    </row>
    <row r="171" spans="1:5" ht="14" x14ac:dyDescent="0.15">
      <c r="A171" s="75" t="str">
        <f>IF('Data - Sample Type 1'!C125="","",'Data - Sample Type 1'!C125)</f>
        <v/>
      </c>
      <c r="B171" s="76" t="str">
        <f>IF('Data - Sample Type 1'!L125="","",'Data - Sample Type 1'!L125)</f>
        <v/>
      </c>
      <c r="C171" s="77" t="str">
        <f>IF(B171="","",IF(B171="INVALID",IF('Data - Sample Type 1'!GA125="","INVALID",'Data - Sample Type 1'!GA125),IF(B171="ERROR",'Data - Sample Type 1'!GA125,IF(B171="NO RESULT",'Data - Sample Type 1'!GA125,IF(B171="V","MINOR VISUAL",IF(B171="M","MAJOR VISUAL",IF(B171="B","BARCODE FAIL",IF(B171="D","DELAMINATION",IF(COUNTIF(B171,Specifications!$K$4)=1,"INDETERMINATE",IF(COUNTIF(B171,$D$128)&lt;&gt;1,"MAJOR FUNCTIONAL",IF('Data - Sample Type 1'!Q125="","DATA ENTRY ERROR",IF('Data - Sample Type 1'!Q125=0,"SPC CT=0","PASS"))))))))))))</f>
        <v/>
      </c>
      <c r="D171" s="79" t="str">
        <f>IF(C171="","",IF('Data - Sample Type 1'!FY125="","N/A",IF('Data - Sample Type 1'!FY125&lt;Specifications!$D$3,"PASS","FAIL")))</f>
        <v/>
      </c>
      <c r="E171" s="65"/>
    </row>
    <row r="172" spans="1:5" ht="14" x14ac:dyDescent="0.15">
      <c r="A172" s="75" t="str">
        <f>IF('Data - Sample Type 1'!C126="","",'Data - Sample Type 1'!C126)</f>
        <v/>
      </c>
      <c r="B172" s="76" t="str">
        <f>IF('Data - Sample Type 1'!L126="","",'Data - Sample Type 1'!L126)</f>
        <v/>
      </c>
      <c r="C172" s="77" t="str">
        <f>IF(B172="","",IF(B172="INVALID",IF('Data - Sample Type 1'!GA126="","INVALID",'Data - Sample Type 1'!GA126),IF(B172="ERROR",'Data - Sample Type 1'!GA126,IF(B172="NO RESULT",'Data - Sample Type 1'!GA126,IF(B172="V","MINOR VISUAL",IF(B172="M","MAJOR VISUAL",IF(B172="B","BARCODE FAIL",IF(B172="D","DELAMINATION",IF(COUNTIF(B172,Specifications!$K$4)=1,"INDETERMINATE",IF(COUNTIF(B172,$D$128)&lt;&gt;1,"MAJOR FUNCTIONAL",IF('Data - Sample Type 1'!Q126="","DATA ENTRY ERROR",IF('Data - Sample Type 1'!Q126=0,"SPC CT=0","PASS"))))))))))))</f>
        <v/>
      </c>
      <c r="D172" s="79" t="str">
        <f>IF(C172="","",IF('Data - Sample Type 1'!FY126="","N/A",IF('Data - Sample Type 1'!FY126&lt;Specifications!$D$3,"PASS","FAIL")))</f>
        <v/>
      </c>
      <c r="E172" s="65"/>
    </row>
    <row r="173" spans="1:5" ht="14" x14ac:dyDescent="0.15">
      <c r="A173" s="75" t="str">
        <f>IF('Data - Sample Type 1'!C127="","",'Data - Sample Type 1'!C127)</f>
        <v/>
      </c>
      <c r="B173" s="76" t="str">
        <f>IF('Data - Sample Type 1'!L127="","",'Data - Sample Type 1'!L127)</f>
        <v/>
      </c>
      <c r="C173" s="77" t="str">
        <f>IF(B173="","",IF(B173="INVALID",IF('Data - Sample Type 1'!GA127="","INVALID",'Data - Sample Type 1'!GA127),IF(B173="ERROR",'Data - Sample Type 1'!GA127,IF(B173="NO RESULT",'Data - Sample Type 1'!GA127,IF(B173="V","MINOR VISUAL",IF(B173="M","MAJOR VISUAL",IF(B173="B","BARCODE FAIL",IF(B173="D","DELAMINATION",IF(COUNTIF(B173,Specifications!$K$4)=1,"INDETERMINATE",IF(COUNTIF(B173,$D$128)&lt;&gt;1,"MAJOR FUNCTIONAL",IF('Data - Sample Type 1'!Q127="","DATA ENTRY ERROR",IF('Data - Sample Type 1'!Q127=0,"SPC CT=0","PASS"))))))))))))</f>
        <v/>
      </c>
      <c r="D173" s="79" t="str">
        <f>IF(C173="","",IF('Data - Sample Type 1'!FY127="","N/A",IF('Data - Sample Type 1'!FY127&lt;Specifications!$D$3,"PASS","FAIL")))</f>
        <v/>
      </c>
      <c r="E173" s="65"/>
    </row>
    <row r="174" spans="1:5" ht="14" x14ac:dyDescent="0.15">
      <c r="A174" s="75" t="str">
        <f>IF('Data - Sample Type 1'!C128="","",'Data - Sample Type 1'!C128)</f>
        <v/>
      </c>
      <c r="B174" s="76" t="str">
        <f>IF('Data - Sample Type 1'!L128="","",'Data - Sample Type 1'!L128)</f>
        <v/>
      </c>
      <c r="C174" s="77" t="str">
        <f>IF(B174="","",IF(B174="INVALID",IF('Data - Sample Type 1'!GA128="","INVALID",'Data - Sample Type 1'!GA128),IF(B174="ERROR",'Data - Sample Type 1'!GA128,IF(B174="NO RESULT",'Data - Sample Type 1'!GA128,IF(B174="V","MINOR VISUAL",IF(B174="M","MAJOR VISUAL",IF(B174="B","BARCODE FAIL",IF(B174="D","DELAMINATION",IF(COUNTIF(B174,Specifications!$K$4)=1,"INDETERMINATE",IF(COUNTIF(B174,$D$128)&lt;&gt;1,"MAJOR FUNCTIONAL",IF('Data - Sample Type 1'!Q128="","DATA ENTRY ERROR",IF('Data - Sample Type 1'!Q128=0,"SPC CT=0","PASS"))))))))))))</f>
        <v/>
      </c>
      <c r="D174" s="79" t="str">
        <f>IF(C174="","",IF('Data - Sample Type 1'!FY128="","N/A",IF('Data - Sample Type 1'!FY128&lt;Specifications!$D$3,"PASS","FAIL")))</f>
        <v/>
      </c>
      <c r="E174" s="65"/>
    </row>
    <row r="175" spans="1:5" ht="14" x14ac:dyDescent="0.15">
      <c r="A175" s="75" t="str">
        <f>IF('Data - Sample Type 1'!C129="","",'Data - Sample Type 1'!C129)</f>
        <v/>
      </c>
      <c r="B175" s="76" t="str">
        <f>IF('Data - Sample Type 1'!L129="","",'Data - Sample Type 1'!L129)</f>
        <v/>
      </c>
      <c r="C175" s="77" t="str">
        <f>IF(B175="","",IF(B175="INVALID",IF('Data - Sample Type 1'!GA129="","INVALID",'Data - Sample Type 1'!GA129),IF(B175="ERROR",'Data - Sample Type 1'!GA129,IF(B175="NO RESULT",'Data - Sample Type 1'!GA129,IF(B175="V","MINOR VISUAL",IF(B175="M","MAJOR VISUAL",IF(B175="B","BARCODE FAIL",IF(B175="D","DELAMINATION",IF(COUNTIF(B175,Specifications!$K$4)=1,"INDETERMINATE",IF(COUNTIF(B175,$D$128)&lt;&gt;1,"MAJOR FUNCTIONAL",IF('Data - Sample Type 1'!Q129="","DATA ENTRY ERROR",IF('Data - Sample Type 1'!Q129=0,"SPC CT=0","PASS"))))))))))))</f>
        <v/>
      </c>
      <c r="D175" s="79" t="str">
        <f>IF(C175="","",IF('Data - Sample Type 1'!FY129="","N/A",IF('Data - Sample Type 1'!FY129&lt;Specifications!$D$3,"PASS","FAIL")))</f>
        <v/>
      </c>
      <c r="E175" s="65"/>
    </row>
    <row r="176" spans="1:5" ht="14" x14ac:dyDescent="0.15">
      <c r="A176" s="75" t="str">
        <f>IF('Data - Sample Type 1'!C130="","",'Data - Sample Type 1'!C130)</f>
        <v/>
      </c>
      <c r="B176" s="76" t="str">
        <f>IF('Data - Sample Type 1'!L130="","",'Data - Sample Type 1'!L130)</f>
        <v/>
      </c>
      <c r="C176" s="77" t="str">
        <f>IF(B176="","",IF(B176="INVALID",IF('Data - Sample Type 1'!GA130="","INVALID",'Data - Sample Type 1'!GA130),IF(B176="ERROR",'Data - Sample Type 1'!GA130,IF(B176="NO RESULT",'Data - Sample Type 1'!GA130,IF(B176="V","MINOR VISUAL",IF(B176="M","MAJOR VISUAL",IF(B176="B","BARCODE FAIL",IF(B176="D","DELAMINATION",IF(COUNTIF(B176,Specifications!$K$4)=1,"INDETERMINATE",IF(COUNTIF(B176,$D$128)&lt;&gt;1,"MAJOR FUNCTIONAL",IF('Data - Sample Type 1'!Q130="","DATA ENTRY ERROR",IF('Data - Sample Type 1'!Q130=0,"SPC CT=0","PASS"))))))))))))</f>
        <v/>
      </c>
      <c r="D176" s="79" t="str">
        <f>IF(C176="","",IF('Data - Sample Type 1'!FY130="","N/A",IF('Data - Sample Type 1'!FY130&lt;Specifications!$D$3,"PASS","FAIL")))</f>
        <v/>
      </c>
      <c r="E176" s="65"/>
    </row>
    <row r="177" spans="1:5" ht="14" x14ac:dyDescent="0.15">
      <c r="A177" s="75" t="str">
        <f>IF('Data - Sample Type 1'!C131="","",'Data - Sample Type 1'!C131)</f>
        <v/>
      </c>
      <c r="B177" s="76" t="str">
        <f>IF('Data - Sample Type 1'!L131="","",'Data - Sample Type 1'!L131)</f>
        <v/>
      </c>
      <c r="C177" s="77" t="str">
        <f>IF(B177="","",IF(B177="INVALID",IF('Data - Sample Type 1'!GA131="","INVALID",'Data - Sample Type 1'!GA131),IF(B177="ERROR",'Data - Sample Type 1'!GA131,IF(B177="NO RESULT",'Data - Sample Type 1'!GA131,IF(B177="V","MINOR VISUAL",IF(B177="M","MAJOR VISUAL",IF(B177="B","BARCODE FAIL",IF(B177="D","DELAMINATION",IF(COUNTIF(B177,Specifications!$K$4)=1,"INDETERMINATE",IF(COUNTIF(B177,$D$128)&lt;&gt;1,"MAJOR FUNCTIONAL",IF('Data - Sample Type 1'!Q131="","DATA ENTRY ERROR",IF('Data - Sample Type 1'!Q131=0,"SPC CT=0","PASS"))))))))))))</f>
        <v/>
      </c>
      <c r="D177" s="79" t="str">
        <f>IF(C177="","",IF('Data - Sample Type 1'!FY131="","N/A",IF('Data - Sample Type 1'!FY131&lt;Specifications!$D$3,"PASS","FAIL")))</f>
        <v/>
      </c>
      <c r="E177" s="65"/>
    </row>
    <row r="178" spans="1:5" ht="14" x14ac:dyDescent="0.15">
      <c r="A178" s="75" t="str">
        <f>IF('Data - Sample Type 1'!C132="","",'Data - Sample Type 1'!C132)</f>
        <v/>
      </c>
      <c r="B178" s="76" t="str">
        <f>IF('Data - Sample Type 1'!L132="","",'Data - Sample Type 1'!L132)</f>
        <v/>
      </c>
      <c r="C178" s="77" t="str">
        <f>IF(B178="","",IF(B178="INVALID",IF('Data - Sample Type 1'!GA132="","INVALID",'Data - Sample Type 1'!GA132),IF(B178="ERROR",'Data - Sample Type 1'!GA132,IF(B178="NO RESULT",'Data - Sample Type 1'!GA132,IF(B178="V","MINOR VISUAL",IF(B178="M","MAJOR VISUAL",IF(B178="B","BARCODE FAIL",IF(B178="D","DELAMINATION",IF(COUNTIF(B178,Specifications!$K$4)=1,"INDETERMINATE",IF(COUNTIF(B178,$D$128)&lt;&gt;1,"MAJOR FUNCTIONAL",IF('Data - Sample Type 1'!Q132="","DATA ENTRY ERROR",IF('Data - Sample Type 1'!Q132=0,"SPC CT=0","PASS"))))))))))))</f>
        <v/>
      </c>
      <c r="D178" s="79" t="str">
        <f>IF(C178="","",IF('Data - Sample Type 1'!FY132="","N/A",IF('Data - Sample Type 1'!FY132&lt;Specifications!$D$3,"PASS","FAIL")))</f>
        <v/>
      </c>
      <c r="E178" s="65"/>
    </row>
    <row r="179" spans="1:5" ht="14" x14ac:dyDescent="0.15">
      <c r="A179" s="75" t="str">
        <f>IF('Data - Sample Type 1'!C133="","",'Data - Sample Type 1'!C133)</f>
        <v/>
      </c>
      <c r="B179" s="76" t="str">
        <f>IF('Data - Sample Type 1'!L133="","",'Data - Sample Type 1'!L133)</f>
        <v/>
      </c>
      <c r="C179" s="77" t="str">
        <f>IF(B179="","",IF(B179="INVALID",IF('Data - Sample Type 1'!GA133="","INVALID",'Data - Sample Type 1'!GA133),IF(B179="ERROR",'Data - Sample Type 1'!GA133,IF(B179="NO RESULT",'Data - Sample Type 1'!GA133,IF(B179="V","MINOR VISUAL",IF(B179="M","MAJOR VISUAL",IF(B179="B","BARCODE FAIL",IF(B179="D","DELAMINATION",IF(COUNTIF(B179,Specifications!$K$4)=1,"INDETERMINATE",IF(COUNTIF(B179,$D$128)&lt;&gt;1,"MAJOR FUNCTIONAL",IF('Data - Sample Type 1'!Q133="","DATA ENTRY ERROR",IF('Data - Sample Type 1'!Q133=0,"SPC CT=0","PASS"))))))))))))</f>
        <v/>
      </c>
      <c r="D179" s="79" t="str">
        <f>IF(C179="","",IF('Data - Sample Type 1'!FY133="","N/A",IF('Data - Sample Type 1'!FY133&lt;Specifications!$D$3,"PASS","FAIL")))</f>
        <v/>
      </c>
      <c r="E179" s="65"/>
    </row>
    <row r="180" spans="1:5" ht="14" x14ac:dyDescent="0.15">
      <c r="A180" s="75" t="str">
        <f>IF('Data - Sample Type 1'!C134="","",'Data - Sample Type 1'!C134)</f>
        <v/>
      </c>
      <c r="B180" s="76" t="str">
        <f>IF('Data - Sample Type 1'!L134="","",'Data - Sample Type 1'!L134)</f>
        <v/>
      </c>
      <c r="C180" s="77" t="str">
        <f>IF(B180="","",IF(B180="INVALID",IF('Data - Sample Type 1'!GA134="","INVALID",'Data - Sample Type 1'!GA134),IF(B180="ERROR",'Data - Sample Type 1'!GA134,IF(B180="NO RESULT",'Data - Sample Type 1'!GA134,IF(B180="V","MINOR VISUAL",IF(B180="M","MAJOR VISUAL",IF(B180="B","BARCODE FAIL",IF(B180="D","DELAMINATION",IF(COUNTIF(B180,Specifications!$K$4)=1,"INDETERMINATE",IF(COUNTIF(B180,$D$128)&lt;&gt;1,"MAJOR FUNCTIONAL",IF('Data - Sample Type 1'!Q134="","DATA ENTRY ERROR",IF('Data - Sample Type 1'!Q134=0,"SPC CT=0","PASS"))))))))))))</f>
        <v/>
      </c>
      <c r="D180" s="79" t="str">
        <f>IF(C180="","",IF('Data - Sample Type 1'!FY134="","N/A",IF('Data - Sample Type 1'!FY134&lt;Specifications!$D$3,"PASS","FAIL")))</f>
        <v/>
      </c>
      <c r="E180" s="65"/>
    </row>
    <row r="181" spans="1:5" ht="14" x14ac:dyDescent="0.15">
      <c r="A181" s="75" t="str">
        <f>IF('Data - Sample Type 1'!C135="","",'Data - Sample Type 1'!C135)</f>
        <v/>
      </c>
      <c r="B181" s="76" t="str">
        <f>IF('Data - Sample Type 1'!L135="","",'Data - Sample Type 1'!L135)</f>
        <v/>
      </c>
      <c r="C181" s="77" t="str">
        <f>IF(B181="","",IF(B181="INVALID",IF('Data - Sample Type 1'!GA135="","INVALID",'Data - Sample Type 1'!GA135),IF(B181="ERROR",'Data - Sample Type 1'!GA135,IF(B181="NO RESULT",'Data - Sample Type 1'!GA135,IF(B181="V","MINOR VISUAL",IF(B181="M","MAJOR VISUAL",IF(B181="B","BARCODE FAIL",IF(B181="D","DELAMINATION",IF(COUNTIF(B181,Specifications!$K$4)=1,"INDETERMINATE",IF(COUNTIF(B181,$D$128)&lt;&gt;1,"MAJOR FUNCTIONAL",IF('Data - Sample Type 1'!Q135="","DATA ENTRY ERROR",IF('Data - Sample Type 1'!Q135=0,"SPC CT=0","PASS"))))))))))))</f>
        <v/>
      </c>
      <c r="D181" s="79" t="str">
        <f>IF(C181="","",IF('Data - Sample Type 1'!FY135="","N/A",IF('Data - Sample Type 1'!FY135&lt;Specifications!$D$3,"PASS","FAIL")))</f>
        <v/>
      </c>
      <c r="E181" s="65"/>
    </row>
    <row r="182" spans="1:5" ht="14" x14ac:dyDescent="0.15">
      <c r="A182" s="75" t="str">
        <f>IF('Data - Sample Type 1'!C136="","",'Data - Sample Type 1'!C136)</f>
        <v/>
      </c>
      <c r="B182" s="76" t="str">
        <f>IF('Data - Sample Type 1'!L136="","",'Data - Sample Type 1'!L136)</f>
        <v/>
      </c>
      <c r="C182" s="77" t="str">
        <f>IF(B182="","",IF(B182="INVALID",IF('Data - Sample Type 1'!GA136="","INVALID",'Data - Sample Type 1'!GA136),IF(B182="ERROR",'Data - Sample Type 1'!GA136,IF(B182="NO RESULT",'Data - Sample Type 1'!GA136,IF(B182="V","MINOR VISUAL",IF(B182="M","MAJOR VISUAL",IF(B182="B","BARCODE FAIL",IF(B182="D","DELAMINATION",IF(COUNTIF(B182,Specifications!$K$4)=1,"INDETERMINATE",IF(COUNTIF(B182,$D$128)&lt;&gt;1,"MAJOR FUNCTIONAL",IF('Data - Sample Type 1'!Q136="","DATA ENTRY ERROR",IF('Data - Sample Type 1'!Q136=0,"SPC CT=0","PASS"))))))))))))</f>
        <v/>
      </c>
      <c r="D182" s="79" t="str">
        <f>IF(C182="","",IF('Data - Sample Type 1'!FY136="","N/A",IF('Data - Sample Type 1'!FY136&lt;Specifications!$D$3,"PASS","FAIL")))</f>
        <v/>
      </c>
      <c r="E182" s="65"/>
    </row>
    <row r="183" spans="1:5" ht="14" x14ac:dyDescent="0.15">
      <c r="A183" s="75" t="str">
        <f>IF('Data - Sample Type 1'!C137="","",'Data - Sample Type 1'!C137)</f>
        <v/>
      </c>
      <c r="B183" s="76" t="str">
        <f>IF('Data - Sample Type 1'!L137="","",'Data - Sample Type 1'!L137)</f>
        <v/>
      </c>
      <c r="C183" s="77" t="str">
        <f>IF(B183="","",IF(B183="INVALID",IF('Data - Sample Type 1'!GA137="","INVALID",'Data - Sample Type 1'!GA137),IF(B183="ERROR",'Data - Sample Type 1'!GA137,IF(B183="NO RESULT",'Data - Sample Type 1'!GA137,IF(B183="V","MINOR VISUAL",IF(B183="M","MAJOR VISUAL",IF(B183="B","BARCODE FAIL",IF(B183="D","DELAMINATION",IF(COUNTIF(B183,Specifications!$K$4)=1,"INDETERMINATE",IF(COUNTIF(B183,$D$128)&lt;&gt;1,"MAJOR FUNCTIONAL",IF('Data - Sample Type 1'!Q137="","DATA ENTRY ERROR",IF('Data - Sample Type 1'!Q137=0,"SPC CT=0","PASS"))))))))))))</f>
        <v/>
      </c>
      <c r="D183" s="79" t="str">
        <f>IF(C183="","",IF('Data - Sample Type 1'!FY137="","N/A",IF('Data - Sample Type 1'!FY137&lt;Specifications!$D$3,"PASS","FAIL")))</f>
        <v/>
      </c>
      <c r="E183" s="65"/>
    </row>
    <row r="184" spans="1:5" ht="14" x14ac:dyDescent="0.15">
      <c r="A184" s="75" t="str">
        <f>IF('Data - Sample Type 1'!C138="","",'Data - Sample Type 1'!C138)</f>
        <v/>
      </c>
      <c r="B184" s="76" t="str">
        <f>IF('Data - Sample Type 1'!L138="","",'Data - Sample Type 1'!L138)</f>
        <v/>
      </c>
      <c r="C184" s="77" t="str">
        <f>IF(B184="","",IF(B184="INVALID",IF('Data - Sample Type 1'!GA138="","INVALID",'Data - Sample Type 1'!GA138),IF(B184="ERROR",'Data - Sample Type 1'!GA138,IF(B184="NO RESULT",'Data - Sample Type 1'!GA138,IF(B184="V","MINOR VISUAL",IF(B184="M","MAJOR VISUAL",IF(B184="B","BARCODE FAIL",IF(B184="D","DELAMINATION",IF(COUNTIF(B184,Specifications!$K$4)=1,"INDETERMINATE",IF(COUNTIF(B184,$D$128)&lt;&gt;1,"MAJOR FUNCTIONAL",IF('Data - Sample Type 1'!Q138="","DATA ENTRY ERROR",IF('Data - Sample Type 1'!Q138=0,"SPC CT=0","PASS"))))))))))))</f>
        <v/>
      </c>
      <c r="D184" s="79" t="str">
        <f>IF(C184="","",IF('Data - Sample Type 1'!FY138="","N/A",IF('Data - Sample Type 1'!FY138&lt;Specifications!$D$3,"PASS","FAIL")))</f>
        <v/>
      </c>
      <c r="E184" s="65"/>
    </row>
    <row r="185" spans="1:5" ht="14" x14ac:dyDescent="0.15">
      <c r="A185" s="75" t="str">
        <f>IF('Data - Sample Type 1'!C139="","",'Data - Sample Type 1'!C139)</f>
        <v/>
      </c>
      <c r="B185" s="76" t="str">
        <f>IF('Data - Sample Type 1'!L139="","",'Data - Sample Type 1'!L139)</f>
        <v/>
      </c>
      <c r="C185" s="77" t="str">
        <f>IF(B185="","",IF(B185="INVALID",IF('Data - Sample Type 1'!GA139="","INVALID",'Data - Sample Type 1'!GA139),IF(B185="ERROR",'Data - Sample Type 1'!GA139,IF(B185="NO RESULT",'Data - Sample Type 1'!GA139,IF(B185="V","MINOR VISUAL",IF(B185="M","MAJOR VISUAL",IF(B185="B","BARCODE FAIL",IF(B185="D","DELAMINATION",IF(COUNTIF(B185,Specifications!$K$4)=1,"INDETERMINATE",IF(COUNTIF(B185,$D$128)&lt;&gt;1,"MAJOR FUNCTIONAL",IF('Data - Sample Type 1'!Q139="","DATA ENTRY ERROR",IF('Data - Sample Type 1'!Q139=0,"SPC CT=0","PASS"))))))))))))</f>
        <v/>
      </c>
      <c r="D185" s="79" t="str">
        <f>IF(C185="","",IF('Data - Sample Type 1'!FY139="","N/A",IF('Data - Sample Type 1'!FY139&lt;Specifications!$D$3,"PASS","FAIL")))</f>
        <v/>
      </c>
      <c r="E185" s="65"/>
    </row>
    <row r="186" spans="1:5" ht="14" x14ac:dyDescent="0.15">
      <c r="A186" s="75" t="str">
        <f>IF('Data - Sample Type 1'!C140="","",'Data - Sample Type 1'!C140)</f>
        <v/>
      </c>
      <c r="B186" s="76" t="str">
        <f>IF('Data - Sample Type 1'!L140="","",'Data - Sample Type 1'!L140)</f>
        <v/>
      </c>
      <c r="C186" s="77" t="str">
        <f>IF(B186="","",IF(B186="INVALID",IF('Data - Sample Type 1'!GA140="","INVALID",'Data - Sample Type 1'!GA140),IF(B186="ERROR",'Data - Sample Type 1'!GA140,IF(B186="NO RESULT",'Data - Sample Type 1'!GA140,IF(B186="V","MINOR VISUAL",IF(B186="M","MAJOR VISUAL",IF(B186="B","BARCODE FAIL",IF(B186="D","DELAMINATION",IF(COUNTIF(B186,Specifications!$K$4)=1,"INDETERMINATE",IF(COUNTIF(B186,$D$128)&lt;&gt;1,"MAJOR FUNCTIONAL",IF('Data - Sample Type 1'!Q140="","DATA ENTRY ERROR",IF('Data - Sample Type 1'!Q140=0,"SPC CT=0","PASS"))))))))))))</f>
        <v/>
      </c>
      <c r="D186" s="79" t="str">
        <f>IF(C186="","",IF('Data - Sample Type 1'!FY140="","N/A",IF('Data - Sample Type 1'!FY140&lt;Specifications!$D$3,"PASS","FAIL")))</f>
        <v/>
      </c>
      <c r="E186" s="65"/>
    </row>
    <row r="187" spans="1:5" ht="14" x14ac:dyDescent="0.15">
      <c r="A187" s="75" t="str">
        <f>IF('Data - Sample Type 1'!C141="","",'Data - Sample Type 1'!C141)</f>
        <v/>
      </c>
      <c r="B187" s="76" t="str">
        <f>IF('Data - Sample Type 1'!L141="","",'Data - Sample Type 1'!L141)</f>
        <v/>
      </c>
      <c r="C187" s="77" t="str">
        <f>IF(B187="","",IF(B187="INVALID",IF('Data - Sample Type 1'!GA141="","INVALID",'Data - Sample Type 1'!GA141),IF(B187="ERROR",'Data - Sample Type 1'!GA141,IF(B187="NO RESULT",'Data - Sample Type 1'!GA141,IF(B187="V","MINOR VISUAL",IF(B187="M","MAJOR VISUAL",IF(B187="B","BARCODE FAIL",IF(B187="D","DELAMINATION",IF(COUNTIF(B187,Specifications!$K$4)=1,"INDETERMINATE",IF(COUNTIF(B187,$D$128)&lt;&gt;1,"MAJOR FUNCTIONAL",IF('Data - Sample Type 1'!Q141="","DATA ENTRY ERROR",IF('Data - Sample Type 1'!Q141=0,"SPC CT=0","PASS"))))))))))))</f>
        <v/>
      </c>
      <c r="D187" s="79" t="str">
        <f>IF(C187="","",IF('Data - Sample Type 1'!FY141="","N/A",IF('Data - Sample Type 1'!FY141&lt;Specifications!$D$3,"PASS","FAIL")))</f>
        <v/>
      </c>
      <c r="E187" s="65"/>
    </row>
    <row r="188" spans="1:5" ht="14" x14ac:dyDescent="0.15">
      <c r="A188" s="75" t="str">
        <f>IF('Data - Sample Type 1'!C142="","",'Data - Sample Type 1'!C142)</f>
        <v/>
      </c>
      <c r="B188" s="76" t="str">
        <f>IF('Data - Sample Type 1'!L142="","",'Data - Sample Type 1'!L142)</f>
        <v/>
      </c>
      <c r="C188" s="77" t="str">
        <f>IF(B188="","",IF(B188="INVALID",IF('Data - Sample Type 1'!GA142="","INVALID",'Data - Sample Type 1'!GA142),IF(B188="ERROR",'Data - Sample Type 1'!GA142,IF(B188="NO RESULT",'Data - Sample Type 1'!GA142,IF(B188="V","MINOR VISUAL",IF(B188="M","MAJOR VISUAL",IF(B188="B","BARCODE FAIL",IF(B188="D","DELAMINATION",IF(COUNTIF(B188,Specifications!$K$4)=1,"INDETERMINATE",IF(COUNTIF(B188,$D$128)&lt;&gt;1,"MAJOR FUNCTIONAL",IF('Data - Sample Type 1'!Q142="","DATA ENTRY ERROR",IF('Data - Sample Type 1'!Q142=0,"SPC CT=0","PASS"))))))))))))</f>
        <v/>
      </c>
      <c r="D188" s="79" t="str">
        <f>IF(C188="","",IF('Data - Sample Type 1'!FY142="","N/A",IF('Data - Sample Type 1'!FY142&lt;Specifications!$D$3,"PASS","FAIL")))</f>
        <v/>
      </c>
      <c r="E188" s="65"/>
    </row>
    <row r="189" spans="1:5" ht="14" x14ac:dyDescent="0.15">
      <c r="A189" s="75" t="str">
        <f>IF('Data - Sample Type 1'!C143="","",'Data - Sample Type 1'!C143)</f>
        <v/>
      </c>
      <c r="B189" s="76" t="str">
        <f>IF('Data - Sample Type 1'!L143="","",'Data - Sample Type 1'!L143)</f>
        <v/>
      </c>
      <c r="C189" s="77" t="str">
        <f>IF(B189="","",IF(B189="INVALID",IF('Data - Sample Type 1'!GA143="","INVALID",'Data - Sample Type 1'!GA143),IF(B189="ERROR",'Data - Sample Type 1'!GA143,IF(B189="NO RESULT",'Data - Sample Type 1'!GA143,IF(B189="V","MINOR VISUAL",IF(B189="M","MAJOR VISUAL",IF(B189="B","BARCODE FAIL",IF(B189="D","DELAMINATION",IF(COUNTIF(B189,Specifications!$K$4)=1,"INDETERMINATE",IF(COUNTIF(B189,$D$128)&lt;&gt;1,"MAJOR FUNCTIONAL",IF('Data - Sample Type 1'!Q143="","DATA ENTRY ERROR",IF('Data - Sample Type 1'!Q143=0,"SPC CT=0","PASS"))))))))))))</f>
        <v/>
      </c>
      <c r="D189" s="79" t="str">
        <f>IF(C189="","",IF('Data - Sample Type 1'!FY143="","N/A",IF('Data - Sample Type 1'!FY143&lt;Specifications!$D$3,"PASS","FAIL")))</f>
        <v/>
      </c>
      <c r="E189" s="65"/>
    </row>
    <row r="190" spans="1:5" ht="14" x14ac:dyDescent="0.15">
      <c r="A190" s="75" t="str">
        <f>IF('Data - Sample Type 1'!C144="","",'Data - Sample Type 1'!C144)</f>
        <v/>
      </c>
      <c r="B190" s="76" t="str">
        <f>IF('Data - Sample Type 1'!L144="","",'Data - Sample Type 1'!L144)</f>
        <v/>
      </c>
      <c r="C190" s="77" t="str">
        <f>IF(B190="","",IF(B190="INVALID",IF('Data - Sample Type 1'!GA144="","INVALID",'Data - Sample Type 1'!GA144),IF(B190="ERROR",'Data - Sample Type 1'!GA144,IF(B190="NO RESULT",'Data - Sample Type 1'!GA144,IF(B190="V","MINOR VISUAL",IF(B190="M","MAJOR VISUAL",IF(B190="B","BARCODE FAIL",IF(B190="D","DELAMINATION",IF(COUNTIF(B190,Specifications!$K$4)=1,"INDETERMINATE",IF(COUNTIF(B190,$D$128)&lt;&gt;1,"MAJOR FUNCTIONAL",IF('Data - Sample Type 1'!Q144="","DATA ENTRY ERROR",IF('Data - Sample Type 1'!Q144=0,"SPC CT=0","PASS"))))))))))))</f>
        <v/>
      </c>
      <c r="D190" s="79" t="str">
        <f>IF(C190="","",IF('Data - Sample Type 1'!FY144="","N/A",IF('Data - Sample Type 1'!FY144&lt;Specifications!$D$3,"PASS","FAIL")))</f>
        <v/>
      </c>
      <c r="E190" s="65"/>
    </row>
    <row r="191" spans="1:5" ht="14" x14ac:dyDescent="0.15">
      <c r="A191" s="75" t="str">
        <f>IF('Data - Sample Type 1'!C145="","",'Data - Sample Type 1'!C145)</f>
        <v/>
      </c>
      <c r="B191" s="76" t="str">
        <f>IF('Data - Sample Type 1'!L145="","",'Data - Sample Type 1'!L145)</f>
        <v/>
      </c>
      <c r="C191" s="77" t="str">
        <f>IF(B191="","",IF(B191="INVALID",IF('Data - Sample Type 1'!GA145="","INVALID",'Data - Sample Type 1'!GA145),IF(B191="ERROR",'Data - Sample Type 1'!GA145,IF(B191="NO RESULT",'Data - Sample Type 1'!GA145,IF(B191="V","MINOR VISUAL",IF(B191="M","MAJOR VISUAL",IF(B191="B","BARCODE FAIL",IF(B191="D","DELAMINATION",IF(COUNTIF(B191,Specifications!$K$4)=1,"INDETERMINATE",IF(COUNTIF(B191,$D$128)&lt;&gt;1,"MAJOR FUNCTIONAL",IF('Data - Sample Type 1'!Q145="","DATA ENTRY ERROR",IF('Data - Sample Type 1'!Q145=0,"SPC CT=0","PASS"))))))))))))</f>
        <v/>
      </c>
      <c r="D191" s="79" t="str">
        <f>IF(C191="","",IF('Data - Sample Type 1'!FY145="","N/A",IF('Data - Sample Type 1'!FY145&lt;Specifications!$D$3,"PASS","FAIL")))</f>
        <v/>
      </c>
      <c r="E191" s="65"/>
    </row>
    <row r="192" spans="1:5" ht="14" x14ac:dyDescent="0.15">
      <c r="A192" s="75" t="str">
        <f>IF('Data - Sample Type 1'!C146="","",'Data - Sample Type 1'!C146)</f>
        <v/>
      </c>
      <c r="B192" s="76" t="str">
        <f>IF('Data - Sample Type 1'!L146="","",'Data - Sample Type 1'!L146)</f>
        <v/>
      </c>
      <c r="C192" s="77" t="str">
        <f>IF(B192="","",IF(B192="INVALID",IF('Data - Sample Type 1'!GA146="","INVALID",'Data - Sample Type 1'!GA146),IF(B192="ERROR",'Data - Sample Type 1'!GA146,IF(B192="NO RESULT",'Data - Sample Type 1'!GA146,IF(B192="V","MINOR VISUAL",IF(B192="M","MAJOR VISUAL",IF(B192="B","BARCODE FAIL",IF(B192="D","DELAMINATION",IF(COUNTIF(B192,Specifications!$K$4)=1,"INDETERMINATE",IF(COUNTIF(B192,$D$128)&lt;&gt;1,"MAJOR FUNCTIONAL",IF('Data - Sample Type 1'!Q146="","DATA ENTRY ERROR",IF('Data - Sample Type 1'!Q146=0,"SPC CT=0","PASS"))))))))))))</f>
        <v/>
      </c>
      <c r="D192" s="79" t="str">
        <f>IF(C192="","",IF('Data - Sample Type 1'!FY146="","N/A",IF('Data - Sample Type 1'!FY146&lt;Specifications!$D$3,"PASS","FAIL")))</f>
        <v/>
      </c>
      <c r="E192" s="65"/>
    </row>
    <row r="193" spans="1:5" ht="14" x14ac:dyDescent="0.15">
      <c r="A193" s="75" t="str">
        <f>IF('Data - Sample Type 1'!C147="","",'Data - Sample Type 1'!C147)</f>
        <v/>
      </c>
      <c r="B193" s="76" t="str">
        <f>IF('Data - Sample Type 1'!L147="","",'Data - Sample Type 1'!L147)</f>
        <v/>
      </c>
      <c r="C193" s="77" t="str">
        <f>IF(B193="","",IF(B193="INVALID",IF('Data - Sample Type 1'!GA147="","INVALID",'Data - Sample Type 1'!GA147),IF(B193="ERROR",'Data - Sample Type 1'!GA147,IF(B193="NO RESULT",'Data - Sample Type 1'!GA147,IF(B193="V","MINOR VISUAL",IF(B193="M","MAJOR VISUAL",IF(B193="B","BARCODE FAIL",IF(B193="D","DELAMINATION",IF(COUNTIF(B193,Specifications!$K$4)=1,"INDETERMINATE",IF(COUNTIF(B193,$D$128)&lt;&gt;1,"MAJOR FUNCTIONAL",IF('Data - Sample Type 1'!Q147="","DATA ENTRY ERROR",IF('Data - Sample Type 1'!Q147=0,"SPC CT=0","PASS"))))))))))))</f>
        <v/>
      </c>
      <c r="D193" s="79" t="str">
        <f>IF(C193="","",IF('Data - Sample Type 1'!FY147="","N/A",IF('Data - Sample Type 1'!FY147&lt;Specifications!$D$3,"PASS","FAIL")))</f>
        <v/>
      </c>
      <c r="E193" s="65"/>
    </row>
    <row r="194" spans="1:5" ht="14" x14ac:dyDescent="0.15">
      <c r="A194" s="75" t="str">
        <f>IF('Data - Sample Type 1'!C148="","",'Data - Sample Type 1'!C148)</f>
        <v/>
      </c>
      <c r="B194" s="76" t="str">
        <f>IF('Data - Sample Type 1'!L148="","",'Data - Sample Type 1'!L148)</f>
        <v/>
      </c>
      <c r="C194" s="77" t="str">
        <f>IF(B194="","",IF(B194="INVALID",IF('Data - Sample Type 1'!GA148="","INVALID",'Data - Sample Type 1'!GA148),IF(B194="ERROR",'Data - Sample Type 1'!GA148,IF(B194="NO RESULT",'Data - Sample Type 1'!GA148,IF(B194="V","MINOR VISUAL",IF(B194="M","MAJOR VISUAL",IF(B194="B","BARCODE FAIL",IF(B194="D","DELAMINATION",IF(COUNTIF(B194,Specifications!$K$4)=1,"INDETERMINATE",IF(COUNTIF(B194,$D$128)&lt;&gt;1,"MAJOR FUNCTIONAL",IF('Data - Sample Type 1'!Q148="","DATA ENTRY ERROR",IF('Data - Sample Type 1'!Q148=0,"SPC CT=0","PASS"))))))))))))</f>
        <v/>
      </c>
      <c r="D194" s="79" t="str">
        <f>IF(C194="","",IF('Data - Sample Type 1'!FY148="","N/A",IF('Data - Sample Type 1'!FY148&lt;Specifications!$D$3,"PASS","FAIL")))</f>
        <v/>
      </c>
      <c r="E194" s="65"/>
    </row>
    <row r="195" spans="1:5" ht="14" x14ac:dyDescent="0.15">
      <c r="A195" s="75" t="str">
        <f>IF('Data - Sample Type 1'!C149="","",'Data - Sample Type 1'!C149)</f>
        <v/>
      </c>
      <c r="B195" s="76" t="str">
        <f>IF('Data - Sample Type 1'!L149="","",'Data - Sample Type 1'!L149)</f>
        <v/>
      </c>
      <c r="C195" s="77" t="str">
        <f>IF(B195="","",IF(B195="INVALID",IF('Data - Sample Type 1'!GA149="","INVALID",'Data - Sample Type 1'!GA149),IF(B195="ERROR",'Data - Sample Type 1'!GA149,IF(B195="NO RESULT",'Data - Sample Type 1'!GA149,IF(B195="V","MINOR VISUAL",IF(B195="M","MAJOR VISUAL",IF(B195="B","BARCODE FAIL",IF(B195="D","DELAMINATION",IF(COUNTIF(B195,Specifications!$K$4)=1,"INDETERMINATE",IF(COUNTIF(B195,$D$128)&lt;&gt;1,"MAJOR FUNCTIONAL",IF('Data - Sample Type 1'!Q149="","DATA ENTRY ERROR",IF('Data - Sample Type 1'!Q149=0,"SPC CT=0","PASS"))))))))))))</f>
        <v/>
      </c>
      <c r="D195" s="79" t="str">
        <f>IF(C195="","",IF('Data - Sample Type 1'!FY149="","N/A",IF('Data - Sample Type 1'!FY149&lt;Specifications!$D$3,"PASS","FAIL")))</f>
        <v/>
      </c>
      <c r="E195" s="65"/>
    </row>
    <row r="196" spans="1:5" ht="14" x14ac:dyDescent="0.15">
      <c r="A196" s="75" t="str">
        <f>IF('Data - Sample Type 1'!C150="","",'Data - Sample Type 1'!C150)</f>
        <v/>
      </c>
      <c r="B196" s="76" t="str">
        <f>IF('Data - Sample Type 1'!L150="","",'Data - Sample Type 1'!L150)</f>
        <v/>
      </c>
      <c r="C196" s="77" t="str">
        <f>IF(B196="","",IF(B196="INVALID",IF('Data - Sample Type 1'!GA150="","INVALID",'Data - Sample Type 1'!GA150),IF(B196="ERROR",'Data - Sample Type 1'!GA150,IF(B196="NO RESULT",'Data - Sample Type 1'!GA150,IF(B196="V","MINOR VISUAL",IF(B196="M","MAJOR VISUAL",IF(B196="B","BARCODE FAIL",IF(B196="D","DELAMINATION",IF(COUNTIF(B196,Specifications!$K$4)=1,"INDETERMINATE",IF(COUNTIF(B196,$D$128)&lt;&gt;1,"MAJOR FUNCTIONAL",IF('Data - Sample Type 1'!Q150="","DATA ENTRY ERROR",IF('Data - Sample Type 1'!Q150=0,"SPC CT=0","PASS"))))))))))))</f>
        <v/>
      </c>
      <c r="D196" s="79" t="str">
        <f>IF(C196="","",IF('Data - Sample Type 1'!FY150="","N/A",IF('Data - Sample Type 1'!FY150&lt;Specifications!$D$3,"PASS","FAIL")))</f>
        <v/>
      </c>
      <c r="E196" s="65"/>
    </row>
    <row r="197" spans="1:5" ht="14" x14ac:dyDescent="0.15">
      <c r="A197" s="75" t="str">
        <f>IF('Data - Sample Type 1'!C151="","",'Data - Sample Type 1'!C151)</f>
        <v/>
      </c>
      <c r="B197" s="76" t="str">
        <f>IF('Data - Sample Type 1'!L151="","",'Data - Sample Type 1'!L151)</f>
        <v/>
      </c>
      <c r="C197" s="77" t="str">
        <f>IF(B197="","",IF(B197="INVALID",IF('Data - Sample Type 1'!GA151="","INVALID",'Data - Sample Type 1'!GA151),IF(B197="ERROR",'Data - Sample Type 1'!GA151,IF(B197="NO RESULT",'Data - Sample Type 1'!GA151,IF(B197="V","MINOR VISUAL",IF(B197="M","MAJOR VISUAL",IF(B197="B","BARCODE FAIL",IF(B197="D","DELAMINATION",IF(COUNTIF(B197,Specifications!$K$4)=1,"INDETERMINATE",IF(COUNTIF(B197,$D$128)&lt;&gt;1,"MAJOR FUNCTIONAL",IF('Data - Sample Type 1'!Q151="","DATA ENTRY ERROR",IF('Data - Sample Type 1'!Q151=0,"SPC CT=0","PASS"))))))))))))</f>
        <v/>
      </c>
      <c r="D197" s="79" t="str">
        <f>IF(C197="","",IF('Data - Sample Type 1'!FY151="","N/A",IF('Data - Sample Type 1'!FY151&lt;Specifications!$D$3,"PASS","FAIL")))</f>
        <v/>
      </c>
      <c r="E197" s="65"/>
    </row>
    <row r="198" spans="1:5" ht="14" x14ac:dyDescent="0.15">
      <c r="A198" s="75" t="str">
        <f>IF('Data - Sample Type 1'!C152="","",'Data - Sample Type 1'!C152)</f>
        <v/>
      </c>
      <c r="B198" s="76" t="str">
        <f>IF('Data - Sample Type 1'!L152="","",'Data - Sample Type 1'!L152)</f>
        <v/>
      </c>
      <c r="C198" s="77" t="str">
        <f>IF(B198="","",IF(B198="INVALID",IF('Data - Sample Type 1'!GA152="","INVALID",'Data - Sample Type 1'!GA152),IF(B198="ERROR",'Data - Sample Type 1'!GA152,IF(B198="NO RESULT",'Data - Sample Type 1'!GA152,IF(B198="V","MINOR VISUAL",IF(B198="M","MAJOR VISUAL",IF(B198="B","BARCODE FAIL",IF(B198="D","DELAMINATION",IF(COUNTIF(B198,Specifications!$K$4)=1,"INDETERMINATE",IF(COUNTIF(B198,$D$128)&lt;&gt;1,"MAJOR FUNCTIONAL",IF('Data - Sample Type 1'!Q152="","DATA ENTRY ERROR",IF('Data - Sample Type 1'!Q152=0,"SPC CT=0","PASS"))))))))))))</f>
        <v/>
      </c>
      <c r="D198" s="79" t="str">
        <f>IF(C198="","",IF('Data - Sample Type 1'!FY152="","N/A",IF('Data - Sample Type 1'!FY152&lt;Specifications!$D$3,"PASS","FAIL")))</f>
        <v/>
      </c>
      <c r="E198" s="65"/>
    </row>
    <row r="199" spans="1:5" ht="14" x14ac:dyDescent="0.15">
      <c r="A199" s="75" t="str">
        <f>IF('Data - Sample Type 1'!C153="","",'Data - Sample Type 1'!C153)</f>
        <v/>
      </c>
      <c r="B199" s="76" t="str">
        <f>IF('Data - Sample Type 1'!L153="","",'Data - Sample Type 1'!L153)</f>
        <v/>
      </c>
      <c r="C199" s="77" t="str">
        <f>IF(B199="","",IF(B199="INVALID",IF('Data - Sample Type 1'!GA153="","INVALID",'Data - Sample Type 1'!GA153),IF(B199="ERROR",'Data - Sample Type 1'!GA153,IF(B199="NO RESULT",'Data - Sample Type 1'!GA153,IF(B199="V","MINOR VISUAL",IF(B199="M","MAJOR VISUAL",IF(B199="B","BARCODE FAIL",IF(B199="D","DELAMINATION",IF(COUNTIF(B199,Specifications!$K$4)=1,"INDETERMINATE",IF(COUNTIF(B199,$D$128)&lt;&gt;1,"MAJOR FUNCTIONAL",IF('Data - Sample Type 1'!Q153="","DATA ENTRY ERROR",IF('Data - Sample Type 1'!Q153=0,"SPC CT=0","PASS"))))))))))))</f>
        <v/>
      </c>
      <c r="D199" s="79" t="str">
        <f>IF(C199="","",IF('Data - Sample Type 1'!FY153="","N/A",IF('Data - Sample Type 1'!FY153&lt;Specifications!$D$3,"PASS","FAIL")))</f>
        <v/>
      </c>
      <c r="E199" s="65"/>
    </row>
    <row r="200" spans="1:5" ht="14" x14ac:dyDescent="0.15">
      <c r="A200" s="75" t="str">
        <f>IF('Data - Sample Type 1'!C154="","",'Data - Sample Type 1'!C154)</f>
        <v/>
      </c>
      <c r="B200" s="76" t="str">
        <f>IF('Data - Sample Type 1'!L154="","",'Data - Sample Type 1'!L154)</f>
        <v/>
      </c>
      <c r="C200" s="77" t="str">
        <f>IF(B200="","",IF(B200="INVALID",IF('Data - Sample Type 1'!GA154="","INVALID",'Data - Sample Type 1'!GA154),IF(B200="ERROR",'Data - Sample Type 1'!GA154,IF(B200="NO RESULT",'Data - Sample Type 1'!GA154,IF(B200="V","MINOR VISUAL",IF(B200="M","MAJOR VISUAL",IF(B200="B","BARCODE FAIL",IF(B200="D","DELAMINATION",IF(COUNTIF(B200,Specifications!$K$4)=1,"INDETERMINATE",IF(COUNTIF(B200,$D$128)&lt;&gt;1,"MAJOR FUNCTIONAL",IF('Data - Sample Type 1'!Q154="","DATA ENTRY ERROR",IF('Data - Sample Type 1'!Q154=0,"SPC CT=0","PASS"))))))))))))</f>
        <v/>
      </c>
      <c r="D200" s="79" t="str">
        <f>IF(C200="","",IF('Data - Sample Type 1'!FY154="","N/A",IF('Data - Sample Type 1'!FY154&lt;Specifications!$D$3,"PASS","FAIL")))</f>
        <v/>
      </c>
      <c r="E200" s="65"/>
    </row>
    <row r="201" spans="1:5" ht="14" x14ac:dyDescent="0.15">
      <c r="A201" s="75" t="str">
        <f>IF('Data - Sample Type 1'!C155="","",'Data - Sample Type 1'!C155)</f>
        <v/>
      </c>
      <c r="B201" s="76" t="str">
        <f>IF('Data - Sample Type 1'!L155="","",'Data - Sample Type 1'!L155)</f>
        <v/>
      </c>
      <c r="C201" s="77" t="str">
        <f>IF(B201="","",IF(B201="INVALID",IF('Data - Sample Type 1'!GA155="","INVALID",'Data - Sample Type 1'!GA155),IF(B201="ERROR",'Data - Sample Type 1'!GA155,IF(B201="NO RESULT",'Data - Sample Type 1'!GA155,IF(B201="V","MINOR VISUAL",IF(B201="M","MAJOR VISUAL",IF(B201="B","BARCODE FAIL",IF(B201="D","DELAMINATION",IF(COUNTIF(B201,Specifications!$K$4)=1,"INDETERMINATE",IF(COUNTIF(B201,$D$128)&lt;&gt;1,"MAJOR FUNCTIONAL",IF('Data - Sample Type 1'!Q155="","DATA ENTRY ERROR",IF('Data - Sample Type 1'!Q155=0,"SPC CT=0","PASS"))))))))))))</f>
        <v/>
      </c>
      <c r="D201" s="79" t="str">
        <f>IF(C201="","",IF('Data - Sample Type 1'!FY155="","N/A",IF('Data - Sample Type 1'!FY155&lt;Specifications!$D$3,"PASS","FAIL")))</f>
        <v/>
      </c>
      <c r="E201" s="65"/>
    </row>
    <row r="202" spans="1:5" ht="14" x14ac:dyDescent="0.15">
      <c r="A202" s="75" t="str">
        <f>IF('Data - Sample Type 1'!C156="","",'Data - Sample Type 1'!C156)</f>
        <v/>
      </c>
      <c r="B202" s="76" t="str">
        <f>IF('Data - Sample Type 1'!L156="","",'Data - Sample Type 1'!L156)</f>
        <v/>
      </c>
      <c r="C202" s="77" t="str">
        <f>IF(B202="","",IF(B202="INVALID",IF('Data - Sample Type 1'!GA156="","INVALID",'Data - Sample Type 1'!GA156),IF(B202="ERROR",'Data - Sample Type 1'!GA156,IF(B202="NO RESULT",'Data - Sample Type 1'!GA156,IF(B202="V","MINOR VISUAL",IF(B202="M","MAJOR VISUAL",IF(B202="B","BARCODE FAIL",IF(B202="D","DELAMINATION",IF(COUNTIF(B202,Specifications!$K$4)=1,"INDETERMINATE",IF(COUNTIF(B202,$D$128)&lt;&gt;1,"MAJOR FUNCTIONAL",IF('Data - Sample Type 1'!Q156="","DATA ENTRY ERROR",IF('Data - Sample Type 1'!Q156=0,"SPC CT=0","PASS"))))))))))))</f>
        <v/>
      </c>
      <c r="D202" s="79" t="str">
        <f>IF(C202="","",IF('Data - Sample Type 1'!FY156="","N/A",IF('Data - Sample Type 1'!FY156&lt;Specifications!$D$3,"PASS","FAIL")))</f>
        <v/>
      </c>
      <c r="E202" s="65"/>
    </row>
    <row r="203" spans="1:5" ht="14" x14ac:dyDescent="0.15">
      <c r="A203" s="75" t="str">
        <f>IF('Data - Sample Type 1'!C157="","",'Data - Sample Type 1'!C157)</f>
        <v/>
      </c>
      <c r="B203" s="76" t="str">
        <f>IF('Data - Sample Type 1'!L157="","",'Data - Sample Type 1'!L157)</f>
        <v/>
      </c>
      <c r="C203" s="77" t="str">
        <f>IF(B203="","",IF(B203="INVALID",IF('Data - Sample Type 1'!GA157="","INVALID",'Data - Sample Type 1'!GA157),IF(B203="ERROR",'Data - Sample Type 1'!GA157,IF(B203="NO RESULT",'Data - Sample Type 1'!GA157,IF(B203="V","MINOR VISUAL",IF(B203="M","MAJOR VISUAL",IF(B203="B","BARCODE FAIL",IF(B203="D","DELAMINATION",IF(COUNTIF(B203,Specifications!$K$4)=1,"INDETERMINATE",IF(COUNTIF(B203,$D$128)&lt;&gt;1,"MAJOR FUNCTIONAL",IF('Data - Sample Type 1'!Q157="","DATA ENTRY ERROR",IF('Data - Sample Type 1'!Q157=0,"SPC CT=0","PASS"))))))))))))</f>
        <v/>
      </c>
      <c r="D203" s="79" t="str">
        <f>IF(C203="","",IF('Data - Sample Type 1'!FY157="","N/A",IF('Data - Sample Type 1'!FY157&lt;Specifications!$D$3,"PASS","FAIL")))</f>
        <v/>
      </c>
      <c r="E203" s="65"/>
    </row>
    <row r="204" spans="1:5" ht="14" x14ac:dyDescent="0.15">
      <c r="A204" s="75" t="str">
        <f>IF('Data - Sample Type 1'!C158="","",'Data - Sample Type 1'!C158)</f>
        <v/>
      </c>
      <c r="B204" s="76" t="str">
        <f>IF('Data - Sample Type 1'!L158="","",'Data - Sample Type 1'!L158)</f>
        <v/>
      </c>
      <c r="C204" s="77" t="str">
        <f>IF(B204="","",IF(B204="INVALID",IF('Data - Sample Type 1'!GA158="","INVALID",'Data - Sample Type 1'!GA158),IF(B204="ERROR",'Data - Sample Type 1'!GA158,IF(B204="NO RESULT",'Data - Sample Type 1'!GA158,IF(B204="V","MINOR VISUAL",IF(B204="M","MAJOR VISUAL",IF(B204="B","BARCODE FAIL",IF(B204="D","DELAMINATION",IF(COUNTIF(B204,Specifications!$K$4)=1,"INDETERMINATE",IF(COUNTIF(B204,$D$128)&lt;&gt;1,"MAJOR FUNCTIONAL",IF('Data - Sample Type 1'!Q158="","DATA ENTRY ERROR",IF('Data - Sample Type 1'!Q158=0,"SPC CT=0","PASS"))))))))))))</f>
        <v/>
      </c>
      <c r="D204" s="79" t="str">
        <f>IF(C204="","",IF('Data - Sample Type 1'!FY158="","N/A",IF('Data - Sample Type 1'!FY158&lt;Specifications!$D$3,"PASS","FAIL")))</f>
        <v/>
      </c>
      <c r="E204" s="65"/>
    </row>
    <row r="205" spans="1:5" ht="14" x14ac:dyDescent="0.15">
      <c r="A205" s="75" t="str">
        <f>IF('Data - Sample Type 1'!C159="","",'Data - Sample Type 1'!C159)</f>
        <v/>
      </c>
      <c r="B205" s="76" t="str">
        <f>IF('Data - Sample Type 1'!L159="","",'Data - Sample Type 1'!L159)</f>
        <v/>
      </c>
      <c r="C205" s="77" t="str">
        <f>IF(B205="","",IF(B205="INVALID",IF('Data - Sample Type 1'!GA159="","INVALID",'Data - Sample Type 1'!GA159),IF(B205="ERROR",'Data - Sample Type 1'!GA159,IF(B205="NO RESULT",'Data - Sample Type 1'!GA159,IF(B205="V","MINOR VISUAL",IF(B205="M","MAJOR VISUAL",IF(B205="B","BARCODE FAIL",IF(B205="D","DELAMINATION",IF(COUNTIF(B205,Specifications!$K$4)=1,"INDETERMINATE",IF(COUNTIF(B205,$D$128)&lt;&gt;1,"MAJOR FUNCTIONAL",IF('Data - Sample Type 1'!Q159="","DATA ENTRY ERROR",IF('Data - Sample Type 1'!Q159=0,"SPC CT=0","PASS"))))))))))))</f>
        <v/>
      </c>
      <c r="D205" s="79" t="str">
        <f>IF(C205="","",IF('Data - Sample Type 1'!FY159="","N/A",IF('Data - Sample Type 1'!FY159&lt;Specifications!$D$3,"PASS","FAIL")))</f>
        <v/>
      </c>
      <c r="E205" s="65"/>
    </row>
    <row r="206" spans="1:5" ht="14" x14ac:dyDescent="0.15">
      <c r="A206" s="75" t="str">
        <f>IF('Data - Sample Type 1'!C160="","",'Data - Sample Type 1'!C160)</f>
        <v/>
      </c>
      <c r="B206" s="76" t="str">
        <f>IF('Data - Sample Type 1'!L160="","",'Data - Sample Type 1'!L160)</f>
        <v/>
      </c>
      <c r="C206" s="77" t="str">
        <f>IF(B206="","",IF(B206="INVALID",IF('Data - Sample Type 1'!GA160="","INVALID",'Data - Sample Type 1'!GA160),IF(B206="ERROR",'Data - Sample Type 1'!GA160,IF(B206="NO RESULT",'Data - Sample Type 1'!GA160,IF(B206="V","MINOR VISUAL",IF(B206="M","MAJOR VISUAL",IF(B206="B","BARCODE FAIL",IF(B206="D","DELAMINATION",IF(COUNTIF(B206,Specifications!$K$4)=1,"INDETERMINATE",IF(COUNTIF(B206,$D$128)&lt;&gt;1,"MAJOR FUNCTIONAL",IF('Data - Sample Type 1'!Q160="","DATA ENTRY ERROR",IF('Data - Sample Type 1'!Q160=0,"SPC CT=0","PASS"))))))))))))</f>
        <v/>
      </c>
      <c r="D206" s="79" t="str">
        <f>IF(C206="","",IF('Data - Sample Type 1'!FY160="","N/A",IF('Data - Sample Type 1'!FY160&lt;Specifications!$D$3,"PASS","FAIL")))</f>
        <v/>
      </c>
      <c r="E206" s="65"/>
    </row>
    <row r="207" spans="1:5" ht="14" x14ac:dyDescent="0.15">
      <c r="A207" s="75" t="str">
        <f>IF('Data - Sample Type 1'!C161="","",'Data - Sample Type 1'!C161)</f>
        <v/>
      </c>
      <c r="B207" s="76" t="str">
        <f>IF('Data - Sample Type 1'!L161="","",'Data - Sample Type 1'!L161)</f>
        <v/>
      </c>
      <c r="C207" s="77" t="str">
        <f>IF(B207="","",IF(B207="INVALID",IF('Data - Sample Type 1'!GA161="","INVALID",'Data - Sample Type 1'!GA161),IF(B207="ERROR",'Data - Sample Type 1'!GA161,IF(B207="NO RESULT",'Data - Sample Type 1'!GA161,IF(B207="V","MINOR VISUAL",IF(B207="M","MAJOR VISUAL",IF(B207="B","BARCODE FAIL",IF(B207="D","DELAMINATION",IF(COUNTIF(B207,Specifications!$K$4)=1,"INDETERMINATE",IF(COUNTIF(B207,$D$128)&lt;&gt;1,"MAJOR FUNCTIONAL",IF('Data - Sample Type 1'!Q161="","DATA ENTRY ERROR",IF('Data - Sample Type 1'!Q161=0,"SPC CT=0","PASS"))))))))))))</f>
        <v/>
      </c>
      <c r="D207" s="79" t="str">
        <f>IF(C207="","",IF('Data - Sample Type 1'!FY161="","N/A",IF('Data - Sample Type 1'!FY161&lt;Specifications!$D$3,"PASS","FAIL")))</f>
        <v/>
      </c>
      <c r="E207" s="65"/>
    </row>
    <row r="208" spans="1:5" ht="14" x14ac:dyDescent="0.15">
      <c r="A208" s="75" t="str">
        <f>IF('Data - Sample Type 1'!C162="","",'Data - Sample Type 1'!C162)</f>
        <v/>
      </c>
      <c r="B208" s="76" t="str">
        <f>IF('Data - Sample Type 1'!L162="","",'Data - Sample Type 1'!L162)</f>
        <v/>
      </c>
      <c r="C208" s="77" t="str">
        <f>IF(B208="","",IF(B208="INVALID",IF('Data - Sample Type 1'!GA162="","INVALID",'Data - Sample Type 1'!GA162),IF(B208="ERROR",'Data - Sample Type 1'!GA162,IF(B208="NO RESULT",'Data - Sample Type 1'!GA162,IF(B208="V","MINOR VISUAL",IF(B208="M","MAJOR VISUAL",IF(B208="B","BARCODE FAIL",IF(B208="D","DELAMINATION",IF(COUNTIF(B208,Specifications!$K$4)=1,"INDETERMINATE",IF(COUNTIF(B208,$D$128)&lt;&gt;1,"MAJOR FUNCTIONAL",IF('Data - Sample Type 1'!Q162="","DATA ENTRY ERROR",IF('Data - Sample Type 1'!Q162=0,"SPC CT=0","PASS"))))))))))))</f>
        <v/>
      </c>
      <c r="D208" s="79" t="str">
        <f>IF(C208="","",IF('Data - Sample Type 1'!FY162="","N/A",IF('Data - Sample Type 1'!FY162&lt;Specifications!$D$3,"PASS","FAIL")))</f>
        <v/>
      </c>
      <c r="E208" s="65"/>
    </row>
    <row r="209" spans="1:5" ht="14" x14ac:dyDescent="0.15">
      <c r="A209" s="75" t="str">
        <f>IF('Data - Sample Type 1'!C163="","",'Data - Sample Type 1'!C163)</f>
        <v/>
      </c>
      <c r="B209" s="76" t="str">
        <f>IF('Data - Sample Type 1'!L163="","",'Data - Sample Type 1'!L163)</f>
        <v/>
      </c>
      <c r="C209" s="77" t="str">
        <f>IF(B209="","",IF(B209="INVALID",IF('Data - Sample Type 1'!GA163="","INVALID",'Data - Sample Type 1'!GA163),IF(B209="ERROR",'Data - Sample Type 1'!GA163,IF(B209="NO RESULT",'Data - Sample Type 1'!GA163,IF(B209="V","MINOR VISUAL",IF(B209="M","MAJOR VISUAL",IF(B209="B","BARCODE FAIL",IF(B209="D","DELAMINATION",IF(COUNTIF(B209,Specifications!$K$4)=1,"INDETERMINATE",IF(COUNTIF(B209,$D$128)&lt;&gt;1,"MAJOR FUNCTIONAL",IF('Data - Sample Type 1'!Q163="","DATA ENTRY ERROR",IF('Data - Sample Type 1'!Q163=0,"SPC CT=0","PASS"))))))))))))</f>
        <v/>
      </c>
      <c r="D209" s="79" t="str">
        <f>IF(C209="","",IF('Data - Sample Type 1'!FY163="","N/A",IF('Data - Sample Type 1'!FY163&lt;Specifications!$D$3,"PASS","FAIL")))</f>
        <v/>
      </c>
      <c r="E209" s="65"/>
    </row>
    <row r="211" spans="1:5" s="87" customFormat="1" ht="17" x14ac:dyDescent="0.15">
      <c r="A211" s="88" t="s">
        <v>537</v>
      </c>
      <c r="B211" s="89">
        <v>2</v>
      </c>
      <c r="C211" s="90" t="s">
        <v>529</v>
      </c>
      <c r="D211" s="372">
        <f>COUNTIF('Data - Sample Type 2'!A24:A43,"&lt;&gt;"&amp;"")</f>
        <v>0</v>
      </c>
      <c r="E211" s="372"/>
    </row>
    <row r="212" spans="1:5" s="87" customFormat="1" ht="17" x14ac:dyDescent="0.15">
      <c r="A212" s="88" t="s">
        <v>530</v>
      </c>
      <c r="B212" s="91" t="str">
        <f>IF($C$3="","",IF(D211=2,"NO DATA",IF(COUNTIF('Data - Sample Type 2'!$E$24:$E$43,$C$3)=D211,"VALID","")))</f>
        <v>VALID</v>
      </c>
      <c r="C212" s="92" t="s">
        <v>531</v>
      </c>
      <c r="D212" s="372" t="str">
        <f>IF($C$4="","",IF(D211=0,"NO DATA",IF(COUNTIF('Data - Sample Type 2'!$A$24:$A$43,$C$4)=D211,"VALID","")))</f>
        <v>NO DATA</v>
      </c>
      <c r="E212" s="372"/>
    </row>
    <row r="213" spans="1:5" s="87" customFormat="1" ht="34" x14ac:dyDescent="0.15">
      <c r="A213" s="92" t="s">
        <v>532</v>
      </c>
      <c r="B213" s="91" t="str">
        <f>IF(Specifications!$B$9=$D$211,"PASS","FAIL")</f>
        <v>FAIL</v>
      </c>
      <c r="C213" s="101" t="s">
        <v>533</v>
      </c>
      <c r="D213" s="367" t="str">
        <f>LOOKUP($C$2,Specifications!$A$11:$A$22,Specifications!$F$11:F$22)</f>
        <v>MTB DETECTED *;Rif Resistance NOT DETECTED</v>
      </c>
      <c r="E213" s="368"/>
    </row>
    <row r="214" spans="1:5" ht="14" x14ac:dyDescent="0.15">
      <c r="A214" s="71" t="s">
        <v>319</v>
      </c>
      <c r="B214" s="72" t="s">
        <v>274</v>
      </c>
      <c r="C214" s="73" t="s">
        <v>534</v>
      </c>
      <c r="D214" s="71" t="s">
        <v>535</v>
      </c>
      <c r="E214" s="74" t="s">
        <v>536</v>
      </c>
    </row>
    <row r="215" spans="1:5" ht="14" x14ac:dyDescent="0.15">
      <c r="A215" s="75" t="str">
        <f>IF('Data - Sample Type 2'!C24="","",'Data - Sample Type 2'!C24)</f>
        <v/>
      </c>
      <c r="B215" s="76" t="str">
        <f>IF('Data - Sample Type 2'!L24="","",'Data - Sample Type 2'!L24)</f>
        <v/>
      </c>
      <c r="C215" s="77" t="str">
        <f>IF(B215="","",IF(B215="INVALID",IF('Data - Sample Type 2'!GA24="","INVALID",'Data - Sample Type 2'!GA24),IF(B215="ERROR",'Data - Sample Type 2'!GA24,IF(B215="NO RESULT",'Data - Sample Type 2'!GA24,IF(B215="V","MINOR VISUAL",IF(B215="M","MAJOR VISUAL",IF(B215="B","BARCODE FAIL",IF(B215="D","DELAMINATION",IF(COUNTIF(B215,Specifications!$K$4)=1,"INDETERMINATE",IF(COUNTIF(B215,$D$213)&lt;&gt;1,"MAJOR FUNCTIONAL",IF('Data - Sample Type 2'!Q24="","DATA ENTRY ERROR",IF('Data - Sample Type 2'!Q24=0,"SPC CT=0","PASS"))))))))))))</f>
        <v/>
      </c>
      <c r="D215" s="78" t="str">
        <f>IF(C215="","",IF('Data - Sample Type 2'!FY24="","N/A",IF('Data - Sample Type 2'!FY24&lt;Specifications!$D$3,"PASS","FAIL")))</f>
        <v/>
      </c>
      <c r="E215" s="65"/>
    </row>
    <row r="216" spans="1:5" ht="14" x14ac:dyDescent="0.15">
      <c r="A216" s="75" t="str">
        <f>IF('Data - Sample Type 2'!C25="","",'Data - Sample Type 2'!C25)</f>
        <v/>
      </c>
      <c r="B216" s="76" t="str">
        <f>IF('Data - Sample Type 2'!L25="","",'Data - Sample Type 2'!L25)</f>
        <v/>
      </c>
      <c r="C216" s="77" t="str">
        <f>IF(B216="","",IF(B216="INVALID",IF('Data - Sample Type 2'!GA25="","INVALID",'Data - Sample Type 2'!GA25),IF(B216="ERROR",'Data - Sample Type 2'!GA25,IF(B216="NO RESULT",'Data - Sample Type 2'!GA25,IF(B216="V","MINOR VISUAL",IF(B216="M","MAJOR VISUAL",IF(B216="B","BARCODE FAIL",IF(B216="D","DELAMINATION",IF(COUNTIF(B216,Specifications!$K$4)=1,"INDETERMINATE",IF(COUNTIF(B216,$D$213)&lt;&gt;1,"MAJOR FUNCTIONAL",IF('Data - Sample Type 2'!Q25="","DATA ENTRY ERROR",IF('Data - Sample Type 2'!Q25=0,"SPC CT=0","PASS"))))))))))))</f>
        <v/>
      </c>
      <c r="D216" s="78" t="str">
        <f>IF(C216="","",IF('Data - Sample Type 2'!FY25="","N/A",IF('Data - Sample Type 2'!FY25&lt;Specifications!$D$3,"PASS","FAIL")))</f>
        <v/>
      </c>
      <c r="E216" s="65"/>
    </row>
    <row r="217" spans="1:5" ht="14" x14ac:dyDescent="0.15">
      <c r="A217" s="75" t="str">
        <f>IF('Data - Sample Type 2'!C26="","",'Data - Sample Type 2'!C26)</f>
        <v/>
      </c>
      <c r="B217" s="76" t="str">
        <f>IF('Data - Sample Type 2'!L26="","",'Data - Sample Type 2'!L26)</f>
        <v/>
      </c>
      <c r="C217" s="77" t="str">
        <f>IF(B217="","",IF(B217="INVALID",IF('Data - Sample Type 2'!GA26="","INVALID",'Data - Sample Type 2'!GA26),IF(B217="ERROR",'Data - Sample Type 2'!GA26,IF(B217="NO RESULT",'Data - Sample Type 2'!GA26,IF(B217="V","MINOR VISUAL",IF(B217="M","MAJOR VISUAL",IF(B217="B","BARCODE FAIL",IF(B217="D","DELAMINATION",IF(COUNTIF(B217,Specifications!$K$4)=1,"INDETERMINATE",IF(COUNTIF(B217,$D$213)&lt;&gt;1,"MAJOR FUNCTIONAL",IF('Data - Sample Type 2'!Q26="","DATA ENTRY ERROR",IF('Data - Sample Type 2'!Q26=0,"SPC CT=0","PASS"))))))))))))</f>
        <v/>
      </c>
      <c r="D217" s="78" t="str">
        <f>IF(C217="","",IF('Data - Sample Type 2'!FY26="","N/A",IF('Data - Sample Type 2'!FY26&lt;Specifications!$D$3,"PASS","FAIL")))</f>
        <v/>
      </c>
      <c r="E217" s="65"/>
    </row>
    <row r="218" spans="1:5" ht="14" x14ac:dyDescent="0.15">
      <c r="A218" s="75" t="str">
        <f>IF('Data - Sample Type 2'!C27="","",'Data - Sample Type 2'!C27)</f>
        <v/>
      </c>
      <c r="B218" s="76" t="str">
        <f>IF('Data - Sample Type 2'!L27="","",'Data - Sample Type 2'!L27)</f>
        <v/>
      </c>
      <c r="C218" s="77" t="str">
        <f>IF(B218="","",IF(B218="INVALID",IF('Data - Sample Type 2'!GA27="","INVALID",'Data - Sample Type 2'!GA27),IF(B218="ERROR",'Data - Sample Type 2'!GA27,IF(B218="NO RESULT",'Data - Sample Type 2'!GA27,IF(B218="V","MINOR VISUAL",IF(B218="M","MAJOR VISUAL",IF(B218="B","BARCODE FAIL",IF(B218="D","DELAMINATION",IF(COUNTIF(B218,Specifications!$K$4)=1,"INDETERMINATE",IF(COUNTIF(B218,$D$213)&lt;&gt;1,"MAJOR FUNCTIONAL",IF('Data - Sample Type 2'!Q27="","DATA ENTRY ERROR",IF('Data - Sample Type 2'!Q27=0,"SPC CT=0","PASS"))))))))))))</f>
        <v/>
      </c>
      <c r="D218" s="78" t="str">
        <f>IF(C218="","",IF('Data - Sample Type 2'!FY27="","N/A",IF('Data - Sample Type 2'!FY27&lt;Specifications!$D$3,"PASS","FAIL")))</f>
        <v/>
      </c>
      <c r="E218" s="65"/>
    </row>
    <row r="219" spans="1:5" ht="14" x14ac:dyDescent="0.15">
      <c r="A219" s="75" t="str">
        <f>IF('Data - Sample Type 2'!C28="","",'Data - Sample Type 2'!C28)</f>
        <v/>
      </c>
      <c r="B219" s="76" t="str">
        <f>IF('Data - Sample Type 2'!L28="","",'Data - Sample Type 2'!L28)</f>
        <v/>
      </c>
      <c r="C219" s="77" t="str">
        <f>IF(B219="","",IF(B219="INVALID",IF('Data - Sample Type 2'!GA28="","INVALID",'Data - Sample Type 2'!GA28),IF(B219="ERROR",'Data - Sample Type 2'!GA28,IF(B219="NO RESULT",'Data - Sample Type 2'!GA28,IF(B219="V","MINOR VISUAL",IF(B219="M","MAJOR VISUAL",IF(B219="B","BARCODE FAIL",IF(B219="D","DELAMINATION",IF(COUNTIF(B219,Specifications!$K$4)=1,"INDETERMINATE",IF(COUNTIF(B219,$D$213)&lt;&gt;1,"MAJOR FUNCTIONAL",IF('Data - Sample Type 2'!Q28="","DATA ENTRY ERROR",IF('Data - Sample Type 2'!Q28=0,"SPC CT=0","PASS"))))))))))))</f>
        <v/>
      </c>
      <c r="D219" s="78" t="str">
        <f>IF(C219="","",IF('Data - Sample Type 2'!FY28="","N/A",IF('Data - Sample Type 2'!FY28&lt;Specifications!$D$3,"PASS","FAIL")))</f>
        <v/>
      </c>
      <c r="E219" s="65"/>
    </row>
    <row r="220" spans="1:5" ht="14" x14ac:dyDescent="0.15">
      <c r="A220" s="75" t="str">
        <f>IF('Data - Sample Type 2'!C29="","",'Data - Sample Type 2'!C29)</f>
        <v/>
      </c>
      <c r="B220" s="76" t="str">
        <f>IF('Data - Sample Type 2'!L29="","",'Data - Sample Type 2'!L29)</f>
        <v/>
      </c>
      <c r="C220" s="77" t="str">
        <f>IF(B220="","",IF(B220="INVALID",IF('Data - Sample Type 2'!GA29="","INVALID",'Data - Sample Type 2'!GA29),IF(B220="ERROR",'Data - Sample Type 2'!GA29,IF(B220="NO RESULT",'Data - Sample Type 2'!GA29,IF(B220="V","MINOR VISUAL",IF(B220="M","MAJOR VISUAL",IF(B220="B","BARCODE FAIL",IF(B220="D","DELAMINATION",IF(COUNTIF(B220,Specifications!$K$4)=1,"INDETERMINATE",IF(COUNTIF(B220,$D$213)&lt;&gt;1,"MAJOR FUNCTIONAL",IF('Data - Sample Type 2'!Q29="","DATA ENTRY ERROR",IF('Data - Sample Type 2'!Q29=0,"SPC CT=0","PASS"))))))))))))</f>
        <v/>
      </c>
      <c r="D220" s="78" t="str">
        <f>IF(C220="","",IF('Data - Sample Type 2'!FY29="","N/A",IF('Data - Sample Type 2'!FY29&lt;Specifications!$D$3,"PASS","FAIL")))</f>
        <v/>
      </c>
      <c r="E220" s="65"/>
    </row>
    <row r="221" spans="1:5" ht="14" x14ac:dyDescent="0.15">
      <c r="A221" s="75" t="str">
        <f>IF('Data - Sample Type 2'!C30="","",'Data - Sample Type 2'!C30)</f>
        <v/>
      </c>
      <c r="B221" s="76" t="str">
        <f>IF('Data - Sample Type 2'!L30="","",'Data - Sample Type 2'!L30)</f>
        <v/>
      </c>
      <c r="C221" s="77" t="str">
        <f>IF(B221="","",IF(B221="INVALID",IF('Data - Sample Type 2'!GA30="","INVALID",'Data - Sample Type 2'!GA30),IF(B221="ERROR",'Data - Sample Type 2'!GA30,IF(B221="NO RESULT",'Data - Sample Type 2'!GA30,IF(B221="V","MINOR VISUAL",IF(B221="M","MAJOR VISUAL",IF(B221="B","BARCODE FAIL",IF(B221="D","DELAMINATION",IF(COUNTIF(B221,Specifications!$K$4)=1,"INDETERMINATE",IF(COUNTIF(B221,$D$213)&lt;&gt;1,"MAJOR FUNCTIONAL",IF('Data - Sample Type 2'!Q30="","DATA ENTRY ERROR",IF('Data - Sample Type 2'!Q30=0,"SPC CT=0","PASS"))))))))))))</f>
        <v/>
      </c>
      <c r="D221" s="78" t="str">
        <f>IF(C221="","",IF('Data - Sample Type 2'!FY30="","N/A",IF('Data - Sample Type 2'!FY30&lt;Specifications!$D$3,"PASS","FAIL")))</f>
        <v/>
      </c>
      <c r="E221" s="65"/>
    </row>
    <row r="222" spans="1:5" ht="14" x14ac:dyDescent="0.15">
      <c r="A222" s="75" t="str">
        <f>IF('Data - Sample Type 2'!C31="","",'Data - Sample Type 2'!C31)</f>
        <v/>
      </c>
      <c r="B222" s="76" t="str">
        <f>IF('Data - Sample Type 2'!L31="","",'Data - Sample Type 2'!L31)</f>
        <v/>
      </c>
      <c r="C222" s="77" t="str">
        <f>IF(B222="","",IF(B222="INVALID",IF('Data - Sample Type 2'!GA31="","INVALID",'Data - Sample Type 2'!GA31),IF(B222="ERROR",'Data - Sample Type 2'!GA31,IF(B222="NO RESULT",'Data - Sample Type 2'!GA31,IF(B222="V","MINOR VISUAL",IF(B222="M","MAJOR VISUAL",IF(B222="B","BARCODE FAIL",IF(B222="D","DELAMINATION",IF(COUNTIF(B222,Specifications!$K$4)=1,"INDETERMINATE",IF(COUNTIF(B222,$D$213)&lt;&gt;1,"MAJOR FUNCTIONAL",IF('Data - Sample Type 2'!Q31="","DATA ENTRY ERROR",IF('Data - Sample Type 2'!Q31=0,"SPC CT=0","PASS"))))))))))))</f>
        <v/>
      </c>
      <c r="D222" s="78" t="str">
        <f>IF(C222="","",IF('Data - Sample Type 2'!FY31="","N/A",IF('Data - Sample Type 2'!FY31&lt;Specifications!$D$3,"PASS","FAIL")))</f>
        <v/>
      </c>
      <c r="E222" s="65"/>
    </row>
    <row r="223" spans="1:5" ht="14" x14ac:dyDescent="0.15">
      <c r="A223" s="75" t="str">
        <f>IF('Data - Sample Type 2'!C32="","",'Data - Sample Type 2'!C32)</f>
        <v/>
      </c>
      <c r="B223" s="76" t="str">
        <f>IF('Data - Sample Type 2'!L32="","",'Data - Sample Type 2'!L32)</f>
        <v/>
      </c>
      <c r="C223" s="77" t="str">
        <f>IF(B223="","",IF(B223="INVALID",IF('Data - Sample Type 2'!GA32="","INVALID",'Data - Sample Type 2'!GA32),IF(B223="ERROR",'Data - Sample Type 2'!GA32,IF(B223="NO RESULT",'Data - Sample Type 2'!GA32,IF(B223="V","MINOR VISUAL",IF(B223="M","MAJOR VISUAL",IF(B223="B","BARCODE FAIL",IF(B223="D","DELAMINATION",IF(COUNTIF(B223,Specifications!$K$4)=1,"INDETERMINATE",IF(COUNTIF(B223,$D$213)&lt;&gt;1,"MAJOR FUNCTIONAL",IF('Data - Sample Type 2'!Q32="","DATA ENTRY ERROR",IF('Data - Sample Type 2'!Q32=0,"SPC CT=0","PASS"))))))))))))</f>
        <v/>
      </c>
      <c r="D223" s="78" t="str">
        <f>IF(C223="","",IF('Data - Sample Type 2'!FY32="","N/A",IF('Data - Sample Type 2'!FY32&lt;Specifications!$D$3,"PASS","FAIL")))</f>
        <v/>
      </c>
      <c r="E223" s="65"/>
    </row>
    <row r="224" spans="1:5" ht="14" x14ac:dyDescent="0.15">
      <c r="A224" s="75" t="str">
        <f>IF('Data - Sample Type 2'!C33="","",'Data - Sample Type 2'!C33)</f>
        <v/>
      </c>
      <c r="B224" s="76" t="str">
        <f>IF('Data - Sample Type 2'!L33="","",'Data - Sample Type 2'!L33)</f>
        <v/>
      </c>
      <c r="C224" s="77" t="str">
        <f>IF(B224="","",IF(B224="INVALID",IF('Data - Sample Type 2'!GA33="","INVALID",'Data - Sample Type 2'!GA33),IF(B224="ERROR",'Data - Sample Type 2'!GA33,IF(B224="NO RESULT",'Data - Sample Type 2'!GA33,IF(B224="V","MINOR VISUAL",IF(B224="M","MAJOR VISUAL",IF(B224="B","BARCODE FAIL",IF(B224="D","DELAMINATION",IF(COUNTIF(B224,Specifications!$K$4)=1,"INDETERMINATE",IF(COUNTIF(B224,$D$213)&lt;&gt;1,"MAJOR FUNCTIONAL",IF('Data - Sample Type 2'!Q33="","DATA ENTRY ERROR",IF('Data - Sample Type 2'!Q33=0,"SPC CT=0","PASS"))))))))))))</f>
        <v/>
      </c>
      <c r="D224" s="78" t="str">
        <f>IF(C224="","",IF('Data - Sample Type 2'!FY33="","N/A",IF('Data - Sample Type 2'!FY33&lt;Specifications!$D$3,"PASS","FAIL")))</f>
        <v/>
      </c>
      <c r="E224" s="65"/>
    </row>
    <row r="225" spans="1:6" ht="14" x14ac:dyDescent="0.15">
      <c r="A225" s="75" t="str">
        <f>IF('Data - Sample Type 2'!C34="","",'Data - Sample Type 2'!C34)</f>
        <v/>
      </c>
      <c r="B225" s="76" t="str">
        <f>IF('Data - Sample Type 2'!L34="","",'Data - Sample Type 2'!L34)</f>
        <v/>
      </c>
      <c r="C225" s="77" t="str">
        <f>IF(B225="","",IF(B225="INVALID",IF('Data - Sample Type 2'!GA34="","INVALID",'Data - Sample Type 2'!GA34),IF(B225="ERROR",'Data - Sample Type 2'!GA34,IF(B225="NO RESULT",'Data - Sample Type 2'!GA34,IF(B225="V","MINOR VISUAL",IF(B225="M","MAJOR VISUAL",IF(B225="B","BARCODE FAIL",IF(B225="D","DELAMINATION",IF(COUNTIF(B225,Specifications!$K$4)=1,"INDETERMINATE",IF(COUNTIF(B225,$D$213)&lt;&gt;1,"MAJOR FUNCTIONAL",IF('Data - Sample Type 2'!Q34="","DATA ENTRY ERROR",IF('Data - Sample Type 2'!Q34=0,"SPC CT=0","PASS"))))))))))))</f>
        <v/>
      </c>
      <c r="D225" s="78" t="str">
        <f>IF(C225="","",IF('Data - Sample Type 2'!FY34="","N/A",IF('Data - Sample Type 2'!FY34&lt;Specifications!$D$3,"PASS","FAIL")))</f>
        <v/>
      </c>
      <c r="E225" s="65"/>
    </row>
    <row r="226" spans="1:6" ht="14" x14ac:dyDescent="0.15">
      <c r="A226" s="75" t="str">
        <f>IF('Data - Sample Type 2'!C35="","",'Data - Sample Type 2'!C35)</f>
        <v/>
      </c>
      <c r="B226" s="76" t="str">
        <f>IF('Data - Sample Type 2'!L35="","",'Data - Sample Type 2'!L35)</f>
        <v/>
      </c>
      <c r="C226" s="77" t="str">
        <f>IF(B226="","",IF(B226="INVALID",IF('Data - Sample Type 2'!GA35="","INVALID",'Data - Sample Type 2'!GA35),IF(B226="ERROR",'Data - Sample Type 2'!GA35,IF(B226="NO RESULT",'Data - Sample Type 2'!GA35,IF(B226="V","MINOR VISUAL",IF(B226="M","MAJOR VISUAL",IF(B226="B","BARCODE FAIL",IF(B226="D","DELAMINATION",IF(COUNTIF(B226,Specifications!$K$4)=1,"INDETERMINATE",IF(COUNTIF(B226,$D$213)&lt;&gt;1,"MAJOR FUNCTIONAL",IF('Data - Sample Type 2'!Q35="","DATA ENTRY ERROR",IF('Data - Sample Type 2'!Q35=0,"SPC CT=0","PASS"))))))))))))</f>
        <v/>
      </c>
      <c r="D226" s="78" t="str">
        <f>IF(C226="","",IF('Data - Sample Type 2'!FY35="","N/A",IF('Data - Sample Type 2'!FY35&lt;Specifications!$D$3,"PASS","FAIL")))</f>
        <v/>
      </c>
      <c r="E226" s="65"/>
    </row>
    <row r="227" spans="1:6" ht="14" x14ac:dyDescent="0.15">
      <c r="A227" s="75" t="str">
        <f>IF('Data - Sample Type 2'!C36="","",'Data - Sample Type 2'!C36)</f>
        <v/>
      </c>
      <c r="B227" s="76" t="str">
        <f>IF('Data - Sample Type 2'!L36="","",'Data - Sample Type 2'!L36)</f>
        <v/>
      </c>
      <c r="C227" s="77" t="str">
        <f>IF(B227="","",IF(B227="INVALID",IF('Data - Sample Type 2'!GA36="","INVALID",'Data - Sample Type 2'!GA36),IF(B227="ERROR",'Data - Sample Type 2'!GA36,IF(B227="NO RESULT",'Data - Sample Type 2'!GA36,IF(B227="V","MINOR VISUAL",IF(B227="M","MAJOR VISUAL",IF(B227="B","BARCODE FAIL",IF(B227="D","DELAMINATION",IF(COUNTIF(B227,Specifications!$K$4)=1,"INDETERMINATE",IF(COUNTIF(B227,$D$213)&lt;&gt;1,"MAJOR FUNCTIONAL",IF('Data - Sample Type 2'!Q36="","DATA ENTRY ERROR",IF('Data - Sample Type 2'!Q36=0,"SPC CT=0","PASS"))))))))))))</f>
        <v/>
      </c>
      <c r="D227" s="78" t="str">
        <f>IF(C227="","",IF('Data - Sample Type 2'!FY36="","N/A",IF('Data - Sample Type 2'!FY36&lt;Specifications!$D$3,"PASS","FAIL")))</f>
        <v/>
      </c>
      <c r="E227" s="65"/>
    </row>
    <row r="228" spans="1:6" ht="14" x14ac:dyDescent="0.15">
      <c r="A228" s="75" t="str">
        <f>IF('Data - Sample Type 2'!C37="","",'Data - Sample Type 2'!C37)</f>
        <v/>
      </c>
      <c r="B228" s="76" t="str">
        <f>IF('Data - Sample Type 2'!L37="","",'Data - Sample Type 2'!L37)</f>
        <v/>
      </c>
      <c r="C228" s="77" t="str">
        <f>IF(B228="","",IF(B228="INVALID",IF('Data - Sample Type 2'!GA37="","INVALID",'Data - Sample Type 2'!GA37),IF(B228="ERROR",'Data - Sample Type 2'!GA37,IF(B228="NO RESULT",'Data - Sample Type 2'!GA37,IF(B228="V","MINOR VISUAL",IF(B228="M","MAJOR VISUAL",IF(B228="B","BARCODE FAIL",IF(B228="D","DELAMINATION",IF(COUNTIF(B228,Specifications!$K$4)=1,"INDETERMINATE",IF(COUNTIF(B228,$D$213)&lt;&gt;1,"MAJOR FUNCTIONAL",IF('Data - Sample Type 2'!Q37="","DATA ENTRY ERROR",IF('Data - Sample Type 2'!Q37=0,"SPC CT=0","PASS"))))))))))))</f>
        <v/>
      </c>
      <c r="D228" s="78" t="str">
        <f>IF(C228="","",IF('Data - Sample Type 2'!FY37="","N/A",IF('Data - Sample Type 2'!FY37&lt;Specifications!$D$3,"PASS","FAIL")))</f>
        <v/>
      </c>
      <c r="E228" s="65"/>
    </row>
    <row r="229" spans="1:6" ht="14" x14ac:dyDescent="0.15">
      <c r="A229" s="75" t="str">
        <f>IF('Data - Sample Type 2'!C38="","",'Data - Sample Type 2'!C38)</f>
        <v/>
      </c>
      <c r="B229" s="76" t="str">
        <f>IF('Data - Sample Type 2'!L38="","",'Data - Sample Type 2'!L38)</f>
        <v/>
      </c>
      <c r="C229" s="77" t="str">
        <f>IF(B229="","",IF(B229="INVALID",IF('Data - Sample Type 2'!GA38="","INVALID",'Data - Sample Type 2'!GA38),IF(B229="ERROR",'Data - Sample Type 2'!GA38,IF(B229="NO RESULT",'Data - Sample Type 2'!GA38,IF(B229="V","MINOR VISUAL",IF(B229="M","MAJOR VISUAL",IF(B229="B","BARCODE FAIL",IF(B229="D","DELAMINATION",IF(COUNTIF(B229,Specifications!$K$4)=1,"INDETERMINATE",IF(COUNTIF(B229,$D$213)&lt;&gt;1,"MAJOR FUNCTIONAL",IF('Data - Sample Type 2'!Q38="","DATA ENTRY ERROR",IF('Data - Sample Type 2'!Q38=0,"SPC CT=0","PASS"))))))))))))</f>
        <v/>
      </c>
      <c r="D229" s="78" t="str">
        <f>IF(C229="","",IF('Data - Sample Type 2'!FY38="","N/A",IF('Data - Sample Type 2'!FY38&lt;Specifications!$D$3,"PASS","FAIL")))</f>
        <v/>
      </c>
      <c r="E229" s="65"/>
    </row>
    <row r="230" spans="1:6" ht="14" x14ac:dyDescent="0.15">
      <c r="A230" s="75" t="str">
        <f>IF('Data - Sample Type 2'!C39="","",'Data - Sample Type 2'!C39)</f>
        <v/>
      </c>
      <c r="B230" s="76" t="str">
        <f>IF('Data - Sample Type 2'!L39="","",'Data - Sample Type 2'!L39)</f>
        <v/>
      </c>
      <c r="C230" s="77" t="str">
        <f>IF(B230="","",IF(B230="INVALID",IF('Data - Sample Type 2'!GA39="","INVALID",'Data - Sample Type 2'!GA39),IF(B230="ERROR",'Data - Sample Type 2'!GA39,IF(B230="NO RESULT",'Data - Sample Type 2'!GA39,IF(B230="V","MINOR VISUAL",IF(B230="M","MAJOR VISUAL",IF(B230="B","BARCODE FAIL",IF(B230="D","DELAMINATION",IF(COUNTIF(B230,Specifications!$K$4)=1,"INDETERMINATE",IF(COUNTIF(B230,$D$213)&lt;&gt;1,"MAJOR FUNCTIONAL",IF('Data - Sample Type 2'!Q39="","DATA ENTRY ERROR",IF('Data - Sample Type 2'!Q39=0,"SPC CT=0","PASS"))))))))))))</f>
        <v/>
      </c>
      <c r="D230" s="78" t="str">
        <f>IF(C230="","",IF('Data - Sample Type 2'!FY39="","N/A",IF('Data - Sample Type 2'!FY39&lt;Specifications!$D$3,"PASS","FAIL")))</f>
        <v/>
      </c>
      <c r="E230" s="65"/>
    </row>
    <row r="231" spans="1:6" ht="14" x14ac:dyDescent="0.15">
      <c r="A231" s="75" t="str">
        <f>IF('Data - Sample Type 2'!C40="","",'Data - Sample Type 2'!C40)</f>
        <v/>
      </c>
      <c r="B231" s="76" t="str">
        <f>IF('Data - Sample Type 2'!L40="","",'Data - Sample Type 2'!L40)</f>
        <v/>
      </c>
      <c r="C231" s="77" t="str">
        <f>IF(B231="","",IF(B231="INVALID",IF('Data - Sample Type 2'!GA40="","INVALID",'Data - Sample Type 2'!GA40),IF(B231="ERROR",'Data - Sample Type 2'!GA40,IF(B231="NO RESULT",'Data - Sample Type 2'!GA40,IF(B231="V","MINOR VISUAL",IF(B231="M","MAJOR VISUAL",IF(B231="B","BARCODE FAIL",IF(B231="D","DELAMINATION",IF(COUNTIF(B231,Specifications!$K$4)=1,"INDETERMINATE",IF(COUNTIF(B231,$D$213)&lt;&gt;1,"MAJOR FUNCTIONAL",IF('Data - Sample Type 2'!Q40="","DATA ENTRY ERROR",IF('Data - Sample Type 2'!Q40=0,"SPC CT=0","PASS"))))))))))))</f>
        <v/>
      </c>
      <c r="D231" s="78" t="str">
        <f>IF(C231="","",IF('Data - Sample Type 2'!FY40="","N/A",IF('Data - Sample Type 2'!FY40&lt;Specifications!$D$3,"PASS","FAIL")))</f>
        <v/>
      </c>
      <c r="E231" s="65"/>
    </row>
    <row r="232" spans="1:6" ht="14" x14ac:dyDescent="0.15">
      <c r="A232" s="75" t="str">
        <f>IF('Data - Sample Type 2'!C41="","",'Data - Sample Type 2'!C41)</f>
        <v/>
      </c>
      <c r="B232" s="76" t="str">
        <f>IF('Data - Sample Type 2'!L41="","",'Data - Sample Type 2'!L41)</f>
        <v/>
      </c>
      <c r="C232" s="77" t="str">
        <f>IF(B232="","",IF(B232="INVALID",IF('Data - Sample Type 2'!GA41="","INVALID",'Data - Sample Type 2'!GA41),IF(B232="ERROR",'Data - Sample Type 2'!GA41,IF(B232="NO RESULT",'Data - Sample Type 2'!GA41,IF(B232="V","MINOR VISUAL",IF(B232="M","MAJOR VISUAL",IF(B232="B","BARCODE FAIL",IF(B232="D","DELAMINATION",IF(COUNTIF(B232,Specifications!$K$4)=1,"INDETERMINATE",IF(COUNTIF(B232,$D$213)&lt;&gt;1,"MAJOR FUNCTIONAL",IF('Data - Sample Type 2'!Q41="","DATA ENTRY ERROR",IF('Data - Sample Type 2'!Q41=0,"SPC CT=0","PASS"))))))))))))</f>
        <v/>
      </c>
      <c r="D232" s="78" t="str">
        <f>IF(C232="","",IF('Data - Sample Type 2'!FY41="","N/A",IF('Data - Sample Type 2'!FY41&lt;Specifications!$D$3,"PASS","FAIL")))</f>
        <v/>
      </c>
      <c r="E232" s="65"/>
    </row>
    <row r="233" spans="1:6" ht="14" x14ac:dyDescent="0.15">
      <c r="A233" s="75" t="str">
        <f>IF('Data - Sample Type 2'!C42="","",'Data - Sample Type 2'!C42)</f>
        <v/>
      </c>
      <c r="B233" s="76" t="str">
        <f>IF('Data - Sample Type 2'!L42="","",'Data - Sample Type 2'!L42)</f>
        <v/>
      </c>
      <c r="C233" s="77" t="str">
        <f>IF(B233="","",IF(B233="INVALID",IF('Data - Sample Type 2'!GA42="","INVALID",'Data - Sample Type 2'!GA42),IF(B233="ERROR",'Data - Sample Type 2'!GA42,IF(B233="NO RESULT",'Data - Sample Type 2'!GA42,IF(B233="V","MINOR VISUAL",IF(B233="M","MAJOR VISUAL",IF(B233="B","BARCODE FAIL",IF(B233="D","DELAMINATION",IF(COUNTIF(B233,Specifications!$K$4)=1,"INDETERMINATE",IF(COUNTIF(B233,$D$213)&lt;&gt;1,"MAJOR FUNCTIONAL",IF('Data - Sample Type 2'!Q42="","DATA ENTRY ERROR",IF('Data - Sample Type 2'!Q42=0,"SPC CT=0","PASS"))))))))))))</f>
        <v/>
      </c>
      <c r="D233" s="78" t="str">
        <f>IF(C233="","",IF('Data - Sample Type 2'!FY42="","N/A",IF('Data - Sample Type 2'!FY42&lt;Specifications!$D$3,"PASS","FAIL")))</f>
        <v/>
      </c>
      <c r="E233" s="65"/>
    </row>
    <row r="234" spans="1:6" ht="14" x14ac:dyDescent="0.15">
      <c r="A234" s="75" t="str">
        <f>IF('Data - Sample Type 2'!C43="","",'Data - Sample Type 2'!C43)</f>
        <v/>
      </c>
      <c r="B234" s="76" t="str">
        <f>IF('Data - Sample Type 2'!L43="","",'Data - Sample Type 2'!L43)</f>
        <v/>
      </c>
      <c r="C234" s="77" t="str">
        <f>IF(B234="","",IF(B234="INVALID",IF('Data - Sample Type 2'!GA43="","INVALID",'Data - Sample Type 2'!GA43),IF(B234="ERROR",'Data - Sample Type 2'!GA43,IF(B234="NO RESULT",'Data - Sample Type 2'!GA43,IF(B234="V","MINOR VISUAL",IF(B234="M","MAJOR VISUAL",IF(B234="B","BARCODE FAIL",IF(B234="D","DELAMINATION",IF(COUNTIF(B234,Specifications!$K$4)=1,"INDETERMINATE",IF(COUNTIF(B234,$D$213)&lt;&gt;1,"MAJOR FUNCTIONAL",IF('Data - Sample Type 2'!Q43="","DATA ENTRY ERROR",IF('Data - Sample Type 2'!Q43=0,"SPC CT=0","PASS"))))))))))))</f>
        <v/>
      </c>
      <c r="D234" s="78" t="str">
        <f>IF(C234="","",IF('Data - Sample Type 2'!FY43="","N/A",IF('Data - Sample Type 2'!FY43&lt;Specifications!$D$3,"PASS","FAIL")))</f>
        <v/>
      </c>
      <c r="E234" s="65"/>
    </row>
    <row r="236" spans="1:6" ht="16" x14ac:dyDescent="0.15">
      <c r="A236" s="83" t="s">
        <v>538</v>
      </c>
      <c r="B236" s="86" t="s">
        <v>315</v>
      </c>
      <c r="C236" s="84" t="s">
        <v>529</v>
      </c>
      <c r="D236" s="81">
        <f>COUNTIF('Data - Resample Replaced'!A2:A1048576,"&lt;&gt;"&amp;"")</f>
        <v>0</v>
      </c>
      <c r="E236" s="87"/>
      <c r="F236" s="87"/>
    </row>
    <row r="237" spans="1:6" ht="14" x14ac:dyDescent="0.15">
      <c r="A237" s="71" t="s">
        <v>319</v>
      </c>
      <c r="B237" s="72" t="s">
        <v>274</v>
      </c>
      <c r="C237" s="73" t="s">
        <v>534</v>
      </c>
      <c r="D237" s="71" t="s">
        <v>535</v>
      </c>
      <c r="E237" s="74" t="s">
        <v>536</v>
      </c>
    </row>
    <row r="238" spans="1:6" ht="14" x14ac:dyDescent="0.15">
      <c r="A238" s="75" t="str">
        <f>IF('Data - Resample Replaced'!C2="","",'Data - Resample Replaced'!C2)</f>
        <v/>
      </c>
      <c r="B238" s="76" t="str">
        <f>IF('Data - Resample Replaced'!L2="","",'Data - Resample Replaced'!L2)</f>
        <v/>
      </c>
      <c r="C238" s="77" t="str">
        <f>IF('Data - Resample Replaced'!GA2="","",'Data - Resample Replaced'!GA2)</f>
        <v/>
      </c>
      <c r="D238" s="79" t="str">
        <f>IF(C238="","",IF('Data - Resample Replaced'!FY2="","N/A",IF('Data - Resample Replaced'!FY2&lt;Specifications!$D$3,"PASS","FAIL")))</f>
        <v/>
      </c>
      <c r="E238" s="80"/>
    </row>
    <row r="239" spans="1:6" ht="14" x14ac:dyDescent="0.15">
      <c r="A239" s="75" t="str">
        <f>IF('Data - Resample Replaced'!C3="","",'Data - Resample Replaced'!C3)</f>
        <v/>
      </c>
      <c r="B239" s="76" t="str">
        <f>IF('Data - Resample Replaced'!L3="","",'Data - Resample Replaced'!L3)</f>
        <v/>
      </c>
      <c r="C239" s="77" t="str">
        <f>IF('Data - Resample Replaced'!GA3="","",'Data - Resample Replaced'!GA3)</f>
        <v/>
      </c>
      <c r="D239" s="79" t="str">
        <f>IF(C239="","",IF('Data - Resample Replaced'!FY3="","N/A",IF('Data - Resample Replaced'!FY3&lt;Specifications!$D$3,"PASS","FAIL")))</f>
        <v/>
      </c>
      <c r="E239" s="80"/>
    </row>
    <row r="240" spans="1:6" ht="14" x14ac:dyDescent="0.15">
      <c r="A240" s="75" t="str">
        <f>IF('Data - Resample Replaced'!C4="","",'Data - Resample Replaced'!C4)</f>
        <v/>
      </c>
      <c r="B240" s="76" t="str">
        <f>IF('Data - Resample Replaced'!L4="","",'Data - Resample Replaced'!L4)</f>
        <v/>
      </c>
      <c r="C240" s="77" t="str">
        <f>IF('Data - Resample Replaced'!GA4="","",'Data - Resample Replaced'!GA4)</f>
        <v/>
      </c>
      <c r="D240" s="79" t="str">
        <f>IF(C240="","",IF('Data - Resample Replaced'!FY4="","N/A",IF('Data - Resample Replaced'!FY4&lt;Specifications!$D$3,"PASS","FAIL")))</f>
        <v/>
      </c>
      <c r="E240" s="80"/>
    </row>
    <row r="241" spans="1:5" ht="14" x14ac:dyDescent="0.15">
      <c r="A241" s="75" t="str">
        <f>IF('Data - Resample Replaced'!C5="","",'Data - Resample Replaced'!C5)</f>
        <v/>
      </c>
      <c r="B241" s="76" t="str">
        <f>IF('Data - Resample Replaced'!L5="","",'Data - Resample Replaced'!L5)</f>
        <v/>
      </c>
      <c r="C241" s="77" t="str">
        <f>IF('Data - Resample Replaced'!GA5="","",'Data - Resample Replaced'!GA5)</f>
        <v/>
      </c>
      <c r="D241" s="79" t="str">
        <f>IF(C241="","",IF('Data - Resample Replaced'!FY5="","N/A",IF('Data - Resample Replaced'!FY5&lt;Specifications!$D$3,"PASS","FAIL")))</f>
        <v/>
      </c>
      <c r="E241" s="80"/>
    </row>
    <row r="242" spans="1:5" ht="14" x14ac:dyDescent="0.15">
      <c r="A242" s="75" t="str">
        <f>IF('Data - Resample Replaced'!C6="","",'Data - Resample Replaced'!C6)</f>
        <v/>
      </c>
      <c r="B242" s="76" t="str">
        <f>IF('Data - Resample Replaced'!L6="","",'Data - Resample Replaced'!L6)</f>
        <v/>
      </c>
      <c r="C242" s="77" t="str">
        <f>IF('Data - Resample Replaced'!GA6="","",'Data - Resample Replaced'!GA6)</f>
        <v/>
      </c>
      <c r="D242" s="79" t="str">
        <f>IF(C242="","",IF('Data - Resample Replaced'!FY6="","N/A",IF('Data - Resample Replaced'!FY6&lt;Specifications!$D$3,"PASS","FAIL")))</f>
        <v/>
      </c>
      <c r="E242" s="80"/>
    </row>
    <row r="243" spans="1:5" ht="14" x14ac:dyDescent="0.15">
      <c r="A243" s="75" t="str">
        <f>IF('Data - Resample Replaced'!C7="","",'Data - Resample Replaced'!C7)</f>
        <v/>
      </c>
      <c r="B243" s="76" t="str">
        <f>IF('Data - Resample Replaced'!L7="","",'Data - Resample Replaced'!L7)</f>
        <v/>
      </c>
      <c r="C243" s="77" t="str">
        <f>IF('Data - Resample Replaced'!GA7="","",'Data - Resample Replaced'!GA7)</f>
        <v/>
      </c>
      <c r="D243" s="79" t="str">
        <f>IF(C243="","",IF('Data - Resample Replaced'!FY7="","N/A",IF('Data - Resample Replaced'!FY7&lt;Specifications!$D$3,"PASS","FAIL")))</f>
        <v/>
      </c>
      <c r="E243" s="80"/>
    </row>
    <row r="244" spans="1:5" ht="14" x14ac:dyDescent="0.15">
      <c r="A244" s="75" t="str">
        <f>IF('Data - Resample Replaced'!C8="","",'Data - Resample Replaced'!C8)</f>
        <v/>
      </c>
      <c r="B244" s="76" t="str">
        <f>IF('Data - Resample Replaced'!L8="","",'Data - Resample Replaced'!L8)</f>
        <v/>
      </c>
      <c r="C244" s="77" t="str">
        <f>IF('Data - Resample Replaced'!GA8="","",'Data - Resample Replaced'!GA8)</f>
        <v/>
      </c>
      <c r="D244" s="79" t="str">
        <f>IF(C244="","",IF('Data - Resample Replaced'!FY8="","N/A",IF('Data - Resample Replaced'!FY8&lt;Specifications!$D$3,"PASS","FAIL")))</f>
        <v/>
      </c>
      <c r="E244" s="80"/>
    </row>
    <row r="245" spans="1:5" ht="14" x14ac:dyDescent="0.15">
      <c r="A245" s="75" t="str">
        <f>IF('Data - Resample Replaced'!C9="","",'Data - Resample Replaced'!C9)</f>
        <v/>
      </c>
      <c r="B245" s="76" t="str">
        <f>IF('Data - Resample Replaced'!L9="","",'Data - Resample Replaced'!L9)</f>
        <v/>
      </c>
      <c r="C245" s="77" t="str">
        <f>IF('Data - Resample Replaced'!GA9="","",'Data - Resample Replaced'!GA9)</f>
        <v/>
      </c>
      <c r="D245" s="79" t="str">
        <f>IF(C245="","",IF('Data - Resample Replaced'!FY9="","N/A",IF('Data - Resample Replaced'!FY9&lt;Specifications!$D$3,"PASS","FAIL")))</f>
        <v/>
      </c>
      <c r="E245" s="80"/>
    </row>
    <row r="246" spans="1:5" ht="14" x14ac:dyDescent="0.15">
      <c r="A246" s="75" t="str">
        <f>IF('Data - Resample Replaced'!C10="","",'Data - Resample Replaced'!C10)</f>
        <v/>
      </c>
      <c r="B246" s="76" t="str">
        <f>IF('Data - Resample Replaced'!L10="","",'Data - Resample Replaced'!L10)</f>
        <v/>
      </c>
      <c r="C246" s="77" t="str">
        <f>IF('Data - Resample Replaced'!GA10="","",'Data - Resample Replaced'!GA10)</f>
        <v/>
      </c>
      <c r="D246" s="79" t="str">
        <f>IF(C246="","",IF('Data - Resample Replaced'!FY10="","N/A",IF('Data - Resample Replaced'!FY10&lt;Specifications!$D$3,"PASS","FAIL")))</f>
        <v/>
      </c>
      <c r="E246" s="80"/>
    </row>
    <row r="247" spans="1:5" ht="14" x14ac:dyDescent="0.15">
      <c r="A247" s="75" t="str">
        <f>IF('Data - Resample Replaced'!C11="","",'Data - Resample Replaced'!C11)</f>
        <v/>
      </c>
      <c r="B247" s="76" t="str">
        <f>IF('Data - Resample Replaced'!L11="","",'Data - Resample Replaced'!L11)</f>
        <v/>
      </c>
      <c r="C247" s="77" t="str">
        <f>IF('Data - Resample Replaced'!GA11="","",'Data - Resample Replaced'!GA11)</f>
        <v/>
      </c>
      <c r="D247" s="79" t="str">
        <f>IF(C247="","",IF('Data - Resample Replaced'!FY11="","N/A",IF('Data - Resample Replaced'!FY11&lt;Specifications!$D$3,"PASS","FAIL")))</f>
        <v/>
      </c>
      <c r="E247" s="80"/>
    </row>
    <row r="248" spans="1:5" ht="14" x14ac:dyDescent="0.15">
      <c r="A248" s="75" t="str">
        <f>IF('Data - Resample Replaced'!C12="","",'Data - Resample Replaced'!C12)</f>
        <v/>
      </c>
      <c r="B248" s="76" t="str">
        <f>IF('Data - Resample Replaced'!L12="","",'Data - Resample Replaced'!L12)</f>
        <v/>
      </c>
      <c r="C248" s="77" t="str">
        <f>IF('Data - Resample Replaced'!GA12="","",'Data - Resample Replaced'!GA12)</f>
        <v/>
      </c>
      <c r="D248" s="79" t="str">
        <f>IF(C248="","",IF('Data - Resample Replaced'!FY12="","N/A",IF('Data - Resample Replaced'!FY12&lt;Specifications!$D$3,"PASS","FAIL")))</f>
        <v/>
      </c>
      <c r="E248" s="80"/>
    </row>
    <row r="249" spans="1:5" ht="14" x14ac:dyDescent="0.15">
      <c r="A249" s="75" t="str">
        <f>IF('Data - Resample Replaced'!C13="","",'Data - Resample Replaced'!C13)</f>
        <v/>
      </c>
      <c r="B249" s="76" t="str">
        <f>IF('Data - Resample Replaced'!L13="","",'Data - Resample Replaced'!L13)</f>
        <v/>
      </c>
      <c r="C249" s="77" t="str">
        <f>IF('Data - Resample Replaced'!GA13="","",'Data - Resample Replaced'!GA13)</f>
        <v/>
      </c>
      <c r="D249" s="79" t="str">
        <f>IF(C249="","",IF('Data - Resample Replaced'!FY13="","N/A",IF('Data - Resample Replaced'!FY13&lt;Specifications!$D$3,"PASS","FAIL")))</f>
        <v/>
      </c>
      <c r="E249" s="80"/>
    </row>
    <row r="250" spans="1:5" ht="14" x14ac:dyDescent="0.15">
      <c r="A250" s="75" t="str">
        <f>IF('Data - Resample Replaced'!C14="","",'Data - Resample Replaced'!C14)</f>
        <v/>
      </c>
      <c r="B250" s="76" t="str">
        <f>IF('Data - Resample Replaced'!L14="","",'Data - Resample Replaced'!L14)</f>
        <v/>
      </c>
      <c r="C250" s="77" t="str">
        <f>IF('Data - Resample Replaced'!GA14="","",'Data - Resample Replaced'!GA14)</f>
        <v/>
      </c>
      <c r="D250" s="79" t="str">
        <f>IF(C250="","",IF('Data - Resample Replaced'!FY14="","N/A",IF('Data - Resample Replaced'!FY14&lt;Specifications!$D$3,"PASS","FAIL")))</f>
        <v/>
      </c>
      <c r="E250" s="80"/>
    </row>
    <row r="251" spans="1:5" ht="14" x14ac:dyDescent="0.15">
      <c r="A251" s="75" t="str">
        <f>IF('Data - Resample Replaced'!C15="","",'Data - Resample Replaced'!C15)</f>
        <v/>
      </c>
      <c r="B251" s="76" t="str">
        <f>IF('Data - Resample Replaced'!L15="","",'Data - Resample Replaced'!L15)</f>
        <v/>
      </c>
      <c r="C251" s="77" t="str">
        <f>IF('Data - Resample Replaced'!GA15="","",'Data - Resample Replaced'!GA15)</f>
        <v/>
      </c>
      <c r="D251" s="79" t="str">
        <f>IF(C251="","",IF('Data - Resample Replaced'!FY15="","N/A",IF('Data - Resample Replaced'!FY15&lt;Specifications!$D$3,"PASS","FAIL")))</f>
        <v/>
      </c>
      <c r="E251" s="80"/>
    </row>
    <row r="252" spans="1:5" ht="14" x14ac:dyDescent="0.15">
      <c r="A252" s="75" t="str">
        <f>IF('Data - Resample Replaced'!C16="","",'Data - Resample Replaced'!C16)</f>
        <v/>
      </c>
      <c r="B252" s="76" t="str">
        <f>IF('Data - Resample Replaced'!L16="","",'Data - Resample Replaced'!L16)</f>
        <v/>
      </c>
      <c r="C252" s="77" t="str">
        <f>IF('Data - Resample Replaced'!GA16="","",'Data - Resample Replaced'!GA16)</f>
        <v/>
      </c>
      <c r="D252" s="79" t="str">
        <f>IF(C252="","",IF('Data - Resample Replaced'!FY16="","N/A",IF('Data - Resample Replaced'!FY16&lt;Specifications!$D$3,"PASS","FAIL")))</f>
        <v/>
      </c>
      <c r="E252" s="80"/>
    </row>
    <row r="253" spans="1:5" ht="14" x14ac:dyDescent="0.15">
      <c r="A253" s="75" t="str">
        <f>IF('Data - Resample Replaced'!C17="","",'Data - Resample Replaced'!C17)</f>
        <v/>
      </c>
      <c r="B253" s="76" t="str">
        <f>IF('Data - Resample Replaced'!L17="","",'Data - Resample Replaced'!L17)</f>
        <v/>
      </c>
      <c r="C253" s="77" t="str">
        <f>IF('Data - Resample Replaced'!GA17="","",'Data - Resample Replaced'!GA17)</f>
        <v/>
      </c>
      <c r="D253" s="79" t="str">
        <f>IF(C253="","",IF('Data - Resample Replaced'!FY17="","N/A",IF('Data - Resample Replaced'!FY17&lt;Specifications!$D$3,"PASS","FAIL")))</f>
        <v/>
      </c>
      <c r="E253" s="80"/>
    </row>
    <row r="254" spans="1:5" ht="14" x14ac:dyDescent="0.15">
      <c r="A254" s="75" t="str">
        <f>IF('Data - Resample Replaced'!C18="","",'Data - Resample Replaced'!C18)</f>
        <v/>
      </c>
      <c r="B254" s="76" t="str">
        <f>IF('Data - Resample Replaced'!L18="","",'Data - Resample Replaced'!L18)</f>
        <v/>
      </c>
      <c r="C254" s="77" t="str">
        <f>IF('Data - Resample Replaced'!GA18="","",'Data - Resample Replaced'!GA18)</f>
        <v/>
      </c>
      <c r="D254" s="79" t="str">
        <f>IF(C254="","",IF('Data - Resample Replaced'!FY18="","N/A",IF('Data - Resample Replaced'!FY18&lt;Specifications!$D$3,"PASS","FAIL")))</f>
        <v/>
      </c>
      <c r="E254" s="80"/>
    </row>
    <row r="255" spans="1:5" ht="14" x14ac:dyDescent="0.15">
      <c r="A255" s="75" t="str">
        <f>IF('Data - Resample Replaced'!C19="","",'Data - Resample Replaced'!C19)</f>
        <v/>
      </c>
      <c r="B255" s="76" t="str">
        <f>IF('Data - Resample Replaced'!L19="","",'Data - Resample Replaced'!L19)</f>
        <v/>
      </c>
      <c r="C255" s="77" t="str">
        <f>IF('Data - Resample Replaced'!GA19="","",'Data - Resample Replaced'!GA19)</f>
        <v/>
      </c>
      <c r="D255" s="79" t="str">
        <f>IF(C255="","",IF('Data - Resample Replaced'!FY19="","N/A",IF('Data - Resample Replaced'!FY19&lt;Specifications!$D$3,"PASS","FAIL")))</f>
        <v/>
      </c>
      <c r="E255" s="80"/>
    </row>
    <row r="256" spans="1:5" ht="14" x14ac:dyDescent="0.15">
      <c r="A256" s="75" t="str">
        <f>IF('Data - Resample Replaced'!C20="","",'Data - Resample Replaced'!C20)</f>
        <v/>
      </c>
      <c r="B256" s="76" t="str">
        <f>IF('Data - Resample Replaced'!L20="","",'Data - Resample Replaced'!L20)</f>
        <v/>
      </c>
      <c r="C256" s="77" t="str">
        <f>IF('Data - Resample Replaced'!GA20="","",'Data - Resample Replaced'!GA20)</f>
        <v/>
      </c>
      <c r="D256" s="79" t="str">
        <f>IF(C256="","",IF('Data - Resample Replaced'!FY20="","N/A",IF('Data - Resample Replaced'!FY20&lt;Specifications!$D$3,"PASS","FAIL")))</f>
        <v/>
      </c>
      <c r="E256" s="80"/>
    </row>
    <row r="257" spans="1:5" ht="14" x14ac:dyDescent="0.15">
      <c r="A257" s="75" t="str">
        <f>IF('Data - Resample Replaced'!C21="","",'Data - Resample Replaced'!C21)</f>
        <v/>
      </c>
      <c r="B257" s="76" t="str">
        <f>IF('Data - Resample Replaced'!L21="","",'Data - Resample Replaced'!L21)</f>
        <v/>
      </c>
      <c r="C257" s="77" t="str">
        <f>IF('Data - Resample Replaced'!GA21="","",'Data - Resample Replaced'!GA21)</f>
        <v/>
      </c>
      <c r="D257" s="79" t="str">
        <f>IF(C257="","",IF('Data - Resample Replaced'!FY21="","N/A",IF('Data - Resample Replaced'!FY21&lt;Specifications!$D$3,"PASS","FAIL")))</f>
        <v/>
      </c>
      <c r="E257" s="80"/>
    </row>
    <row r="258" spans="1:5" ht="14" x14ac:dyDescent="0.15">
      <c r="A258" s="75" t="str">
        <f>IF('Data - Resample Replaced'!C22="","",'Data - Resample Replaced'!C22)</f>
        <v/>
      </c>
      <c r="B258" s="76" t="str">
        <f>IF('Data - Resample Replaced'!L22="","",'Data - Resample Replaced'!L22)</f>
        <v/>
      </c>
      <c r="C258" s="77" t="str">
        <f>IF('Data - Resample Replaced'!GA22="","",'Data - Resample Replaced'!GA22)</f>
        <v/>
      </c>
      <c r="D258" s="79" t="str">
        <f>IF(C258="","",IF('Data - Resample Replaced'!FY22="","N/A",IF('Data - Resample Replaced'!FY22&lt;Specifications!$D$3,"PASS","FAIL")))</f>
        <v/>
      </c>
      <c r="E258" s="80"/>
    </row>
    <row r="259" spans="1:5" ht="14" x14ac:dyDescent="0.15">
      <c r="A259" s="75" t="str">
        <f>IF('Data - Resample Replaced'!C23="","",'Data - Resample Replaced'!C23)</f>
        <v/>
      </c>
      <c r="B259" s="76" t="str">
        <f>IF('Data - Resample Replaced'!L23="","",'Data - Resample Replaced'!L23)</f>
        <v/>
      </c>
      <c r="C259" s="77" t="str">
        <f>IF('Data - Resample Replaced'!GA23="","",'Data - Resample Replaced'!GA23)</f>
        <v/>
      </c>
      <c r="D259" s="79" t="str">
        <f>IF(C259="","",IF('Data - Resample Replaced'!FY23="","N/A",IF('Data - Resample Replaced'!FY23&lt;Specifications!$D$3,"PASS","FAIL")))</f>
        <v/>
      </c>
      <c r="E259" s="80"/>
    </row>
    <row r="260" spans="1:5" ht="14" x14ac:dyDescent="0.15">
      <c r="A260" s="75" t="str">
        <f>IF('Data - Resample Replaced'!C24="","",'Data - Resample Replaced'!C24)</f>
        <v/>
      </c>
      <c r="B260" s="76" t="str">
        <f>IF('Data - Resample Replaced'!L24="","",'Data - Resample Replaced'!L24)</f>
        <v/>
      </c>
      <c r="C260" s="77" t="str">
        <f>IF('Data - Resample Replaced'!GA24="","",'Data - Resample Replaced'!GA24)</f>
        <v/>
      </c>
      <c r="D260" s="79" t="str">
        <f>IF(C260="","",IF('Data - Resample Replaced'!FY24="","N/A",IF('Data - Resample Replaced'!FY24&lt;Specifications!$D$3,"PASS","FAIL")))</f>
        <v/>
      </c>
      <c r="E260" s="80"/>
    </row>
    <row r="261" spans="1:5" ht="14" x14ac:dyDescent="0.15">
      <c r="A261" s="75" t="str">
        <f>IF('Data - Resample Replaced'!C25="","",'Data - Resample Replaced'!C25)</f>
        <v/>
      </c>
      <c r="B261" s="76" t="str">
        <f>IF('Data - Resample Replaced'!L25="","",'Data - Resample Replaced'!L25)</f>
        <v/>
      </c>
      <c r="C261" s="77" t="str">
        <f>IF('Data - Resample Replaced'!GA25="","",'Data - Resample Replaced'!GA25)</f>
        <v/>
      </c>
      <c r="D261" s="79" t="str">
        <f>IF(C261="","",IF('Data - Resample Replaced'!FY25="","N/A",IF('Data - Resample Replaced'!FY25&lt;Specifications!$D$3,"PASS","FAIL")))</f>
        <v/>
      </c>
      <c r="E261" s="80"/>
    </row>
    <row r="262" spans="1:5" ht="14" x14ac:dyDescent="0.15">
      <c r="A262" s="75" t="str">
        <f>IF('Data - Resample Replaced'!C26="","",'Data - Resample Replaced'!C26)</f>
        <v/>
      </c>
      <c r="B262" s="76" t="str">
        <f>IF('Data - Resample Replaced'!L26="","",'Data - Resample Replaced'!L26)</f>
        <v/>
      </c>
      <c r="C262" s="77" t="str">
        <f>IF('Data - Resample Replaced'!GA26="","",'Data - Resample Replaced'!GA26)</f>
        <v/>
      </c>
      <c r="D262" s="79" t="str">
        <f>IF(C262="","",IF('Data - Resample Replaced'!FY26="","N/A",IF('Data - Resample Replaced'!FY26&lt;Specifications!$D$3,"PASS","FAIL")))</f>
        <v/>
      </c>
      <c r="E262" s="80"/>
    </row>
    <row r="263" spans="1:5" ht="14" x14ac:dyDescent="0.15">
      <c r="A263" s="75" t="str">
        <f>IF('Data - Resample Replaced'!C27="","",'Data - Resample Replaced'!C27)</f>
        <v/>
      </c>
      <c r="B263" s="76" t="str">
        <f>IF('Data - Resample Replaced'!L27="","",'Data - Resample Replaced'!L27)</f>
        <v/>
      </c>
      <c r="C263" s="77" t="str">
        <f>IF('Data - Resample Replaced'!GA27="","",'Data - Resample Replaced'!GA27)</f>
        <v/>
      </c>
      <c r="D263" s="79" t="str">
        <f>IF(C263="","",IF('Data - Resample Replaced'!FY27="","N/A",IF('Data - Resample Replaced'!FY27&lt;Specifications!$D$3,"PASS","FAIL")))</f>
        <v/>
      </c>
      <c r="E263" s="80"/>
    </row>
    <row r="264" spans="1:5" ht="14" x14ac:dyDescent="0.15">
      <c r="A264" s="75" t="str">
        <f>IF('Data - Resample Replaced'!C28="","",'Data - Resample Replaced'!C28)</f>
        <v/>
      </c>
      <c r="B264" s="76" t="str">
        <f>IF('Data - Resample Replaced'!L28="","",'Data - Resample Replaced'!L28)</f>
        <v/>
      </c>
      <c r="C264" s="77" t="str">
        <f>IF('Data - Resample Replaced'!GA28="","",'Data - Resample Replaced'!GA28)</f>
        <v/>
      </c>
      <c r="D264" s="79" t="str">
        <f>IF(C264="","",IF('Data - Resample Replaced'!FY28="","N/A",IF('Data - Resample Replaced'!FY28&lt;Specifications!$D$3,"PASS","FAIL")))</f>
        <v/>
      </c>
      <c r="E264" s="80"/>
    </row>
    <row r="265" spans="1:5" ht="14" x14ac:dyDescent="0.15">
      <c r="A265" s="75" t="str">
        <f>IF('Data - Resample Replaced'!C29="","",'Data - Resample Replaced'!C29)</f>
        <v/>
      </c>
      <c r="B265" s="76" t="str">
        <f>IF('Data - Resample Replaced'!L29="","",'Data - Resample Replaced'!L29)</f>
        <v/>
      </c>
      <c r="C265" s="77" t="str">
        <f>IF('Data - Resample Replaced'!GA29="","",'Data - Resample Replaced'!GA29)</f>
        <v/>
      </c>
      <c r="D265" s="79" t="str">
        <f>IF(C265="","",IF('Data - Resample Replaced'!FY29="","N/A",IF('Data - Resample Replaced'!FY29&lt;Specifications!$D$3,"PASS","FAIL")))</f>
        <v/>
      </c>
      <c r="E265" s="80"/>
    </row>
    <row r="266" spans="1:5" ht="14" x14ac:dyDescent="0.15">
      <c r="A266" s="75" t="str">
        <f>IF('Data - Resample Replaced'!C30="","",'Data - Resample Replaced'!C30)</f>
        <v/>
      </c>
      <c r="B266" s="76" t="str">
        <f>IF('Data - Resample Replaced'!L30="","",'Data - Resample Replaced'!L30)</f>
        <v/>
      </c>
      <c r="C266" s="77" t="str">
        <f>IF('Data - Resample Replaced'!GA30="","",'Data - Resample Replaced'!GA30)</f>
        <v/>
      </c>
      <c r="D266" s="79" t="str">
        <f>IF(C266="","",IF('Data - Resample Replaced'!FY30="","N/A",IF('Data - Resample Replaced'!FY30&lt;Specifications!$D$3,"PASS","FAIL")))</f>
        <v/>
      </c>
      <c r="E266" s="80"/>
    </row>
    <row r="267" spans="1:5" ht="14" x14ac:dyDescent="0.15">
      <c r="A267" s="75" t="str">
        <f>IF('Data - Resample Replaced'!C31="","",'Data - Resample Replaced'!C31)</f>
        <v/>
      </c>
      <c r="B267" s="76" t="str">
        <f>IF('Data - Resample Replaced'!L31="","",'Data - Resample Replaced'!L31)</f>
        <v/>
      </c>
      <c r="C267" s="77" t="str">
        <f>IF('Data - Resample Replaced'!GA31="","",'Data - Resample Replaced'!GA31)</f>
        <v/>
      </c>
      <c r="D267" s="79" t="str">
        <f>IF(C267="","",IF('Data - Resample Replaced'!FY31="","N/A",IF('Data - Resample Replaced'!FY31&lt;Specifications!$D$3,"PASS","FAIL")))</f>
        <v/>
      </c>
      <c r="E267" s="80"/>
    </row>
    <row r="268" spans="1:5" ht="14" x14ac:dyDescent="0.15">
      <c r="A268" s="75" t="str">
        <f>IF('Data - Resample Replaced'!C32="","",'Data - Resample Replaced'!C32)</f>
        <v/>
      </c>
      <c r="B268" s="76" t="str">
        <f>IF('Data - Resample Replaced'!L32="","",'Data - Resample Replaced'!L32)</f>
        <v/>
      </c>
      <c r="C268" s="77" t="str">
        <f>IF('Data - Resample Replaced'!GA32="","",'Data - Resample Replaced'!GA32)</f>
        <v/>
      </c>
      <c r="D268" s="79" t="str">
        <f>IF(C268="","",IF('Data - Resample Replaced'!FY32="","N/A",IF('Data - Resample Replaced'!FY32&lt;Specifications!$D$3,"PASS","FAIL")))</f>
        <v/>
      </c>
      <c r="E268" s="80"/>
    </row>
    <row r="269" spans="1:5" ht="14" x14ac:dyDescent="0.15">
      <c r="A269" s="75" t="str">
        <f>IF('Data - Resample Replaced'!C33="","",'Data - Resample Replaced'!C33)</f>
        <v/>
      </c>
      <c r="B269" s="76" t="str">
        <f>IF('Data - Resample Replaced'!L33="","",'Data - Resample Replaced'!L33)</f>
        <v/>
      </c>
      <c r="C269" s="77" t="str">
        <f>IF('Data - Resample Replaced'!GA33="","",'Data - Resample Replaced'!GA33)</f>
        <v/>
      </c>
      <c r="D269" s="79" t="str">
        <f>IF(C269="","",IF('Data - Resample Replaced'!FY33="","N/A",IF('Data - Resample Replaced'!FY33&lt;Specifications!$D$3,"PASS","FAIL")))</f>
        <v/>
      </c>
      <c r="E269" s="80"/>
    </row>
    <row r="270" spans="1:5" ht="14" x14ac:dyDescent="0.15">
      <c r="A270" s="75" t="str">
        <f>IF('Data - Resample Replaced'!C34="","",'Data - Resample Replaced'!C34)</f>
        <v/>
      </c>
      <c r="B270" s="76" t="str">
        <f>IF('Data - Resample Replaced'!L34="","",'Data - Resample Replaced'!L34)</f>
        <v/>
      </c>
      <c r="C270" s="77" t="str">
        <f>IF('Data - Resample Replaced'!GA34="","",'Data - Resample Replaced'!GA34)</f>
        <v/>
      </c>
      <c r="D270" s="79" t="str">
        <f>IF(C270="","",IF('Data - Resample Replaced'!FY34="","N/A",IF('Data - Resample Replaced'!FY34&lt;Specifications!$D$3,"PASS","FAIL")))</f>
        <v/>
      </c>
      <c r="E270" s="80"/>
    </row>
    <row r="271" spans="1:5" ht="14" x14ac:dyDescent="0.15">
      <c r="A271" s="75" t="str">
        <f>IF('Data - Resample Replaced'!C35="","",'Data - Resample Replaced'!C35)</f>
        <v/>
      </c>
      <c r="B271" s="76" t="str">
        <f>IF('Data - Resample Replaced'!L35="","",'Data - Resample Replaced'!L35)</f>
        <v/>
      </c>
      <c r="C271" s="77" t="str">
        <f>IF('Data - Resample Replaced'!GA35="","",'Data - Resample Replaced'!GA35)</f>
        <v/>
      </c>
      <c r="D271" s="79" t="str">
        <f>IF(C271="","",IF('Data - Resample Replaced'!FY35="","N/A",IF('Data - Resample Replaced'!FY35&lt;Specifications!$D$3,"PASS","FAIL")))</f>
        <v/>
      </c>
      <c r="E271" s="80"/>
    </row>
    <row r="272" spans="1:5" ht="14" x14ac:dyDescent="0.15">
      <c r="A272" s="75" t="str">
        <f>IF('Data - Resample Replaced'!C36="","",'Data - Resample Replaced'!C36)</f>
        <v/>
      </c>
      <c r="B272" s="76" t="str">
        <f>IF('Data - Resample Replaced'!L36="","",'Data - Resample Replaced'!L36)</f>
        <v/>
      </c>
      <c r="C272" s="77" t="str">
        <f>IF('Data - Resample Replaced'!GA36="","",'Data - Resample Replaced'!GA36)</f>
        <v/>
      </c>
      <c r="D272" s="79" t="str">
        <f>IF(C272="","",IF('Data - Resample Replaced'!FY36="","N/A",IF('Data - Resample Replaced'!FY36&lt;Specifications!$D$3,"PASS","FAIL")))</f>
        <v/>
      </c>
      <c r="E272" s="80"/>
    </row>
    <row r="273" spans="1:6" ht="14" x14ac:dyDescent="0.15">
      <c r="A273" s="75" t="str">
        <f>IF('Data - Resample Replaced'!C37="","",'Data - Resample Replaced'!C37)</f>
        <v/>
      </c>
      <c r="B273" s="76" t="str">
        <f>IF('Data - Resample Replaced'!L37="","",'Data - Resample Replaced'!L37)</f>
        <v/>
      </c>
      <c r="C273" s="77" t="str">
        <f>IF('Data - Resample Replaced'!GA37="","",'Data - Resample Replaced'!GA37)</f>
        <v/>
      </c>
      <c r="D273" s="79" t="str">
        <f>IF(C273="","",IF('Data - Resample Replaced'!FY37="","N/A",IF('Data - Resample Replaced'!FY37&lt;Specifications!$D$3,"PASS","FAIL")))</f>
        <v/>
      </c>
      <c r="E273" s="80"/>
    </row>
    <row r="274" spans="1:6" ht="14" x14ac:dyDescent="0.15">
      <c r="A274" s="75" t="str">
        <f>IF('Data - Resample Replaced'!C38="","",'Data - Resample Replaced'!C38)</f>
        <v/>
      </c>
      <c r="B274" s="76" t="str">
        <f>IF('Data - Resample Replaced'!L38="","",'Data - Resample Replaced'!L38)</f>
        <v/>
      </c>
      <c r="C274" s="77" t="str">
        <f>IF('Data - Resample Replaced'!GA38="","",'Data - Resample Replaced'!GA38)</f>
        <v/>
      </c>
      <c r="D274" s="79" t="str">
        <f>IF(C274="","",IF('Data - Resample Replaced'!FY38="","N/A",IF('Data - Resample Replaced'!FY38&lt;Specifications!$D$3,"PASS","FAIL")))</f>
        <v/>
      </c>
      <c r="E274" s="80"/>
    </row>
    <row r="275" spans="1:6" ht="14" x14ac:dyDescent="0.15">
      <c r="A275" s="75" t="str">
        <f>IF('Data - Resample Replaced'!C39="","",'Data - Resample Replaced'!C39)</f>
        <v/>
      </c>
      <c r="B275" s="76" t="str">
        <f>IF('Data - Resample Replaced'!L39="","",'Data - Resample Replaced'!L39)</f>
        <v/>
      </c>
      <c r="C275" s="77" t="str">
        <f>IF('Data - Resample Replaced'!GA39="","",'Data - Resample Replaced'!GA39)</f>
        <v/>
      </c>
      <c r="D275" s="79" t="str">
        <f>IF(C275="","",IF('Data - Resample Replaced'!FY39="","N/A",IF('Data - Resample Replaced'!FY39&lt;Specifications!$D$3,"PASS","FAIL")))</f>
        <v/>
      </c>
      <c r="E275" s="80"/>
    </row>
    <row r="276" spans="1:6" ht="14" x14ac:dyDescent="0.15">
      <c r="A276" s="75" t="str">
        <f>IF('Data - Resample Replaced'!C40="","",'Data - Resample Replaced'!C40)</f>
        <v/>
      </c>
      <c r="B276" s="76" t="str">
        <f>IF('Data - Resample Replaced'!L40="","",'Data - Resample Replaced'!L40)</f>
        <v/>
      </c>
      <c r="C276" s="77" t="str">
        <f>IF('Data - Resample Replaced'!GA40="","",'Data - Resample Replaced'!GA40)</f>
        <v/>
      </c>
      <c r="D276" s="79" t="str">
        <f>IF(C276="","",IF('Data - Resample Replaced'!FY40="","N/A",IF('Data - Resample Replaced'!FY40&lt;Specifications!$D$3,"PASS","FAIL")))</f>
        <v/>
      </c>
      <c r="E276" s="80"/>
    </row>
    <row r="277" spans="1:6" ht="14" x14ac:dyDescent="0.15">
      <c r="A277" s="75" t="str">
        <f>IF('Data - Resample Replaced'!C41="","",'Data - Resample Replaced'!C41)</f>
        <v/>
      </c>
      <c r="B277" s="76" t="str">
        <f>IF('Data - Resample Replaced'!L41="","",'Data - Resample Replaced'!L41)</f>
        <v/>
      </c>
      <c r="C277" s="77" t="str">
        <f>IF('Data - Resample Replaced'!GA41="","",'Data - Resample Replaced'!GA41)</f>
        <v/>
      </c>
      <c r="D277" s="79" t="str">
        <f>IF(C277="","",IF('Data - Resample Replaced'!FY41="","N/A",IF('Data - Resample Replaced'!FY41&lt;Specifications!$D$3,"PASS","FAIL")))</f>
        <v/>
      </c>
      <c r="E277" s="80"/>
    </row>
    <row r="278" spans="1:6" ht="14" x14ac:dyDescent="0.15">
      <c r="A278" s="75" t="str">
        <f>IF('Data - Resample Replaced'!C42="","",'Data - Resample Replaced'!C42)</f>
        <v/>
      </c>
      <c r="B278" s="76" t="str">
        <f>IF('Data - Resample Replaced'!L42="","",'Data - Resample Replaced'!L42)</f>
        <v/>
      </c>
      <c r="C278" s="77" t="str">
        <f>IF('Data - Resample Replaced'!GA42="","",'Data - Resample Replaced'!GA42)</f>
        <v/>
      </c>
      <c r="D278" s="79" t="str">
        <f>IF(C278="","",IF('Data - Resample Replaced'!FY42="","N/A",IF('Data - Resample Replaced'!FY42&lt;Specifications!$D$3,"PASS","FAIL")))</f>
        <v/>
      </c>
      <c r="E278" s="80"/>
    </row>
    <row r="279" spans="1:6" ht="14" x14ac:dyDescent="0.15">
      <c r="A279" s="75" t="str">
        <f>IF('Data - Resample Replaced'!C43="","",'Data - Resample Replaced'!C43)</f>
        <v/>
      </c>
      <c r="B279" s="76" t="str">
        <f>IF('Data - Resample Replaced'!L43="","",'Data - Resample Replaced'!L43)</f>
        <v/>
      </c>
      <c r="C279" s="77" t="str">
        <f>IF('Data - Resample Replaced'!GA43="","",'Data - Resample Replaced'!GA43)</f>
        <v/>
      </c>
      <c r="D279" s="79" t="str">
        <f>IF(C279="","",IF('Data - Resample Replaced'!FY43="","N/A",IF('Data - Resample Replaced'!FY43&lt;Specifications!$D$3,"PASS","FAIL")))</f>
        <v/>
      </c>
      <c r="E279" s="80"/>
    </row>
    <row r="280" spans="1:6" ht="14" x14ac:dyDescent="0.15">
      <c r="A280" s="75" t="str">
        <f>IF('Data - Resample Replaced'!C44="","",'Data - Resample Replaced'!C44)</f>
        <v/>
      </c>
      <c r="B280" s="76" t="str">
        <f>IF('Data - Resample Replaced'!L44="","",'Data - Resample Replaced'!L44)</f>
        <v/>
      </c>
      <c r="C280" s="77" t="str">
        <f>IF('Data - Resample Replaced'!GA44="","",'Data - Resample Replaced'!GA44)</f>
        <v/>
      </c>
      <c r="D280" s="79" t="str">
        <f>IF(C280="","",IF('Data - Resample Replaced'!FY44="","N/A",IF('Data - Resample Replaced'!FY44&lt;Specifications!$D$3,"PASS","FAIL")))</f>
        <v/>
      </c>
      <c r="E280" s="80"/>
    </row>
    <row r="281" spans="1:6" ht="14" x14ac:dyDescent="0.15">
      <c r="A281" s="75" t="str">
        <f>IF('Data - Resample Replaced'!C45="","",'Data - Resample Replaced'!C45)</f>
        <v/>
      </c>
      <c r="B281" s="76" t="str">
        <f>IF('Data - Resample Replaced'!L45="","",'Data - Resample Replaced'!L45)</f>
        <v/>
      </c>
      <c r="C281" s="77" t="str">
        <f>IF('Data - Resample Replaced'!GA45="","",'Data - Resample Replaced'!GA45)</f>
        <v/>
      </c>
      <c r="D281" s="79" t="str">
        <f>IF(C281="","",IF('Data - Resample Replaced'!FY45="","N/A",IF('Data - Resample Replaced'!FY45&lt;Specifications!$D$3,"PASS","FAIL")))</f>
        <v/>
      </c>
      <c r="E281" s="80"/>
    </row>
    <row r="282" spans="1:6" ht="14" x14ac:dyDescent="0.15">
      <c r="A282" s="75" t="str">
        <f>IF('Data - Resample Replaced'!C46="","",'Data - Resample Replaced'!C46)</f>
        <v/>
      </c>
      <c r="B282" s="76" t="str">
        <f>IF('Data - Resample Replaced'!L46="","",'Data - Resample Replaced'!L46)</f>
        <v/>
      </c>
      <c r="C282" s="77" t="str">
        <f>IF('Data - Resample Replaced'!GA46="","",'Data - Resample Replaced'!GA46)</f>
        <v/>
      </c>
      <c r="D282" s="79" t="str">
        <f>IF(C282="","",IF('Data - Resample Replaced'!FY46="","N/A",IF('Data - Resample Replaced'!FY46&lt;Specifications!$D$3,"PASS","FAIL")))</f>
        <v/>
      </c>
      <c r="E282" s="80"/>
    </row>
    <row r="283" spans="1:6" ht="14" x14ac:dyDescent="0.15">
      <c r="A283" s="75" t="str">
        <f>IF('Data - Resample Replaced'!C47="","",'Data - Resample Replaced'!C47)</f>
        <v/>
      </c>
      <c r="B283" s="76" t="str">
        <f>IF('Data - Resample Replaced'!L47="","",'Data - Resample Replaced'!L47)</f>
        <v/>
      </c>
      <c r="C283" s="77" t="str">
        <f>IF('Data - Resample Replaced'!GA47="","",'Data - Resample Replaced'!GA47)</f>
        <v/>
      </c>
      <c r="D283" s="79" t="str">
        <f>IF(C283="","",IF('Data - Resample Replaced'!FY47="","N/A",IF('Data - Resample Replaced'!FY47&lt;Specifications!$D$3,"PASS","FAIL")))</f>
        <v/>
      </c>
      <c r="E283" s="80"/>
    </row>
    <row r="284" spans="1:6" ht="14" x14ac:dyDescent="0.15">
      <c r="A284" s="75" t="str">
        <f>IF('Data - Resample Replaced'!C48="","",'Data - Resample Replaced'!C48)</f>
        <v/>
      </c>
      <c r="B284" s="76" t="str">
        <f>IF('Data - Resample Replaced'!L48="","",'Data - Resample Replaced'!L48)</f>
        <v/>
      </c>
      <c r="C284" s="77" t="str">
        <f>IF('Data - Resample Replaced'!GA48="","",'Data - Resample Replaced'!GA48)</f>
        <v/>
      </c>
      <c r="D284" s="79" t="str">
        <f>IF(C284="","",IF('Data - Resample Replaced'!FY48="","N/A",IF('Data - Resample Replaced'!FY48&lt;Specifications!$D$3,"PASS","FAIL")))</f>
        <v/>
      </c>
      <c r="E284" s="80"/>
    </row>
    <row r="285" spans="1:6" ht="14" x14ac:dyDescent="0.15">
      <c r="A285" s="75" t="str">
        <f>IF('Data - Resample Replaced'!C49="","",'Data - Resample Replaced'!C49)</f>
        <v/>
      </c>
      <c r="B285" s="76" t="str">
        <f>IF('Data - Resample Replaced'!L49="","",'Data - Resample Replaced'!L49)</f>
        <v/>
      </c>
      <c r="C285" s="77" t="str">
        <f>IF('Data - Resample Replaced'!GA49="","",'Data - Resample Replaced'!GA49)</f>
        <v/>
      </c>
      <c r="D285" s="79" t="str">
        <f>IF(C285="","",IF('Data - Resample Replaced'!FY49="","N/A",IF('Data - Resample Replaced'!FY49&lt;Specifications!$D$3,"PASS","FAIL")))</f>
        <v/>
      </c>
      <c r="E285" s="80"/>
    </row>
    <row r="286" spans="1:6" s="87" customFormat="1" ht="16" x14ac:dyDescent="0.15">
      <c r="A286" s="75" t="str">
        <f>IF('Data - Resample Replaced'!C50="","",'Data - Resample Replaced'!C50)</f>
        <v/>
      </c>
      <c r="B286" s="76" t="str">
        <f>IF('Data - Resample Replaced'!L50="","",'Data - Resample Replaced'!L50)</f>
        <v/>
      </c>
      <c r="C286" s="77" t="str">
        <f>IF('Data - Resample Replaced'!GA50="","",'Data - Resample Replaced'!GA50)</f>
        <v/>
      </c>
      <c r="D286" s="79" t="str">
        <f>IF(C286="","",IF('Data - Resample Replaced'!FY50="","N/A",IF('Data - Resample Replaced'!FY50&lt;Specifications!$D$3,"PASS","FAIL")))</f>
        <v/>
      </c>
      <c r="E286" s="80"/>
      <c r="F286" s="58"/>
    </row>
    <row r="287" spans="1:6" ht="14" x14ac:dyDescent="0.15">
      <c r="A287" s="75" t="str">
        <f>IF('Data - Resample Replaced'!C51="","",'Data - Resample Replaced'!C51)</f>
        <v/>
      </c>
      <c r="B287" s="76" t="str">
        <f>IF('Data - Resample Replaced'!L51="","",'Data - Resample Replaced'!L51)</f>
        <v/>
      </c>
      <c r="C287" s="77" t="str">
        <f>IF('Data - Resample Replaced'!GA51="","",'Data - Resample Replaced'!GA51)</f>
        <v/>
      </c>
      <c r="D287" s="79" t="str">
        <f>IF(C287="","",IF('Data - Resample Replaced'!FY51="","N/A",IF('Data - Resample Replaced'!FY51&lt;Specifications!$D$3,"PASS","FAIL")))</f>
        <v/>
      </c>
      <c r="E287" s="80"/>
    </row>
    <row r="288" spans="1:6" ht="14" x14ac:dyDescent="0.15">
      <c r="A288" s="75" t="str">
        <f>IF('Data - Resample Replaced'!C52="","",'Data - Resample Replaced'!C52)</f>
        <v/>
      </c>
      <c r="B288" s="76" t="str">
        <f>IF('Data - Resample Replaced'!L52="","",'Data - Resample Replaced'!L52)</f>
        <v/>
      </c>
      <c r="C288" s="77" t="str">
        <f>IF('Data - Resample Replaced'!GA52="","",'Data - Resample Replaced'!GA52)</f>
        <v/>
      </c>
      <c r="D288" s="79" t="str">
        <f>IF(C288="","",IF('Data - Resample Replaced'!FY52="","N/A",IF('Data - Resample Replaced'!FY52&lt;Specifications!$D$3,"PASS","FAIL")))</f>
        <v/>
      </c>
      <c r="E288" s="80"/>
    </row>
    <row r="289" spans="1:5" ht="14" x14ac:dyDescent="0.15">
      <c r="A289" s="75" t="str">
        <f>IF('Data - Resample Replaced'!C53="","",'Data - Resample Replaced'!C53)</f>
        <v/>
      </c>
      <c r="B289" s="76" t="str">
        <f>IF('Data - Resample Replaced'!L53="","",'Data - Resample Replaced'!L53)</f>
        <v/>
      </c>
      <c r="C289" s="77" t="str">
        <f>IF('Data - Resample Replaced'!GA53="","",'Data - Resample Replaced'!GA53)</f>
        <v/>
      </c>
      <c r="D289" s="79" t="str">
        <f>IF(C289="","",IF('Data - Resample Replaced'!FY53="","N/A",IF('Data - Resample Replaced'!FY53&lt;Specifications!$D$3,"PASS","FAIL")))</f>
        <v/>
      </c>
      <c r="E289" s="80"/>
    </row>
    <row r="290" spans="1:5" ht="14" x14ac:dyDescent="0.15">
      <c r="A290" s="75" t="str">
        <f>IF('Data - Resample Replaced'!C54="","",'Data - Resample Replaced'!C54)</f>
        <v/>
      </c>
      <c r="B290" s="76" t="str">
        <f>IF('Data - Resample Replaced'!L54="","",'Data - Resample Replaced'!L54)</f>
        <v/>
      </c>
      <c r="C290" s="77" t="str">
        <f>IF('Data - Resample Replaced'!GA54="","",'Data - Resample Replaced'!GA54)</f>
        <v/>
      </c>
      <c r="D290" s="79" t="str">
        <f>IF(C290="","",IF('Data - Resample Replaced'!FY54="","N/A",IF('Data - Resample Replaced'!FY54&lt;Specifications!$D$3,"PASS","FAIL")))</f>
        <v/>
      </c>
      <c r="E290" s="80"/>
    </row>
    <row r="291" spans="1:5" ht="14" x14ac:dyDescent="0.15">
      <c r="A291" s="75" t="str">
        <f>IF('Data - Resample Replaced'!C55="","",'Data - Resample Replaced'!C55)</f>
        <v/>
      </c>
      <c r="B291" s="76" t="str">
        <f>IF('Data - Resample Replaced'!L55="","",'Data - Resample Replaced'!L55)</f>
        <v/>
      </c>
      <c r="C291" s="77" t="str">
        <f>IF('Data - Resample Replaced'!GA55="","",'Data - Resample Replaced'!GA55)</f>
        <v/>
      </c>
      <c r="D291" s="79" t="str">
        <f>IF(C291="","",IF('Data - Resample Replaced'!FY55="","N/A",IF('Data - Resample Replaced'!FY55&lt;Specifications!$D$3,"PASS","FAIL")))</f>
        <v/>
      </c>
      <c r="E291" s="80"/>
    </row>
    <row r="292" spans="1:5" ht="14" x14ac:dyDescent="0.15">
      <c r="A292" s="75" t="str">
        <f>IF('Data - Resample Replaced'!C56="","",'Data - Resample Replaced'!C56)</f>
        <v/>
      </c>
      <c r="B292" s="76" t="str">
        <f>IF('Data - Resample Replaced'!L56="","",'Data - Resample Replaced'!L56)</f>
        <v/>
      </c>
      <c r="C292" s="77" t="str">
        <f>IF('Data - Resample Replaced'!GA56="","",'Data - Resample Replaced'!GA56)</f>
        <v/>
      </c>
      <c r="D292" s="79" t="str">
        <f>IF(C292="","",IF('Data - Resample Replaced'!FY56="","N/A",IF('Data - Resample Replaced'!FY56&lt;Specifications!$D$3,"PASS","FAIL")))</f>
        <v/>
      </c>
      <c r="E292" s="80"/>
    </row>
    <row r="293" spans="1:5" ht="14" x14ac:dyDescent="0.15">
      <c r="A293" s="75" t="str">
        <f>IF('Data - Resample Replaced'!C57="","",'Data - Resample Replaced'!C57)</f>
        <v/>
      </c>
      <c r="B293" s="76" t="str">
        <f>IF('Data - Resample Replaced'!L57="","",'Data - Resample Replaced'!L57)</f>
        <v/>
      </c>
      <c r="C293" s="77" t="str">
        <f>IF('Data - Resample Replaced'!GA57="","",'Data - Resample Replaced'!GA57)</f>
        <v/>
      </c>
      <c r="D293" s="79" t="str">
        <f>IF(C293="","",IF('Data - Resample Replaced'!FY57="","N/A",IF('Data - Resample Replaced'!FY57&lt;Specifications!$D$3,"PASS","FAIL")))</f>
        <v/>
      </c>
      <c r="E293" s="80"/>
    </row>
    <row r="294" spans="1:5" ht="14" x14ac:dyDescent="0.15">
      <c r="A294" s="75" t="str">
        <f>IF('Data - Resample Replaced'!C58="","",'Data - Resample Replaced'!C58)</f>
        <v/>
      </c>
      <c r="B294" s="76" t="str">
        <f>IF('Data - Resample Replaced'!L58="","",'Data - Resample Replaced'!L58)</f>
        <v/>
      </c>
      <c r="C294" s="77" t="str">
        <f>IF('Data - Resample Replaced'!GA58="","",'Data - Resample Replaced'!GA58)</f>
        <v/>
      </c>
      <c r="D294" s="79" t="str">
        <f>IF(C294="","",IF('Data - Resample Replaced'!FY58="","N/A",IF('Data - Resample Replaced'!FY58&lt;Specifications!$D$3,"PASS","FAIL")))</f>
        <v/>
      </c>
      <c r="E294" s="80"/>
    </row>
    <row r="295" spans="1:5" ht="14" x14ac:dyDescent="0.15">
      <c r="A295" s="75" t="str">
        <f>IF('Data - Resample Replaced'!C59="","",'Data - Resample Replaced'!C59)</f>
        <v/>
      </c>
      <c r="B295" s="76" t="str">
        <f>IF('Data - Resample Replaced'!L59="","",'Data - Resample Replaced'!L59)</f>
        <v/>
      </c>
      <c r="C295" s="77" t="str">
        <f>IF('Data - Resample Replaced'!GA59="","",'Data - Resample Replaced'!GA59)</f>
        <v/>
      </c>
      <c r="D295" s="79" t="str">
        <f>IF(C295="","",IF('Data - Resample Replaced'!FY59="","N/A",IF('Data - Resample Replaced'!FY59&lt;Specifications!$D$3,"PASS","FAIL")))</f>
        <v/>
      </c>
      <c r="E295" s="80"/>
    </row>
    <row r="296" spans="1:5" ht="14" x14ac:dyDescent="0.15">
      <c r="A296" s="75" t="str">
        <f>IF('Data - Resample Replaced'!C60="","",'Data - Resample Replaced'!C60)</f>
        <v/>
      </c>
      <c r="B296" s="76" t="str">
        <f>IF('Data - Resample Replaced'!L60="","",'Data - Resample Replaced'!L60)</f>
        <v/>
      </c>
      <c r="C296" s="77" t="str">
        <f>IF('Data - Resample Replaced'!GA60="","",'Data - Resample Replaced'!GA60)</f>
        <v/>
      </c>
      <c r="D296" s="79" t="str">
        <f>IF(C296="","",IF('Data - Resample Replaced'!FY60="","N/A",IF('Data - Resample Replaced'!FY60&lt;Specifications!$D$3,"PASS","FAIL")))</f>
        <v/>
      </c>
      <c r="E296" s="80"/>
    </row>
    <row r="297" spans="1:5" ht="14" x14ac:dyDescent="0.15">
      <c r="A297" s="75" t="str">
        <f>IF('Data - Resample Replaced'!C61="","",'Data - Resample Replaced'!C61)</f>
        <v/>
      </c>
      <c r="B297" s="76" t="str">
        <f>IF('Data - Resample Replaced'!L61="","",'Data - Resample Replaced'!L61)</f>
        <v/>
      </c>
      <c r="C297" s="77" t="str">
        <f>IF('Data - Resample Replaced'!GA61="","",'Data - Resample Replaced'!GA61)</f>
        <v/>
      </c>
      <c r="D297" s="79" t="str">
        <f>IF(C297="","",IF('Data - Resample Replaced'!FY61="","N/A",IF('Data - Resample Replaced'!FY61&lt;Specifications!$D$3,"PASS","FAIL")))</f>
        <v/>
      </c>
      <c r="E297" s="80"/>
    </row>
    <row r="298" spans="1:5" ht="14" x14ac:dyDescent="0.15">
      <c r="A298" s="75" t="str">
        <f>IF('Data - Resample Replaced'!C62="","",'Data - Resample Replaced'!C62)</f>
        <v/>
      </c>
      <c r="B298" s="76" t="str">
        <f>IF('Data - Resample Replaced'!L62="","",'Data - Resample Replaced'!L62)</f>
        <v/>
      </c>
      <c r="C298" s="77" t="str">
        <f>IF('Data - Resample Replaced'!GA62="","",'Data - Resample Replaced'!GA62)</f>
        <v/>
      </c>
      <c r="D298" s="79" t="str">
        <f>IF(C298="","",IF('Data - Resample Replaced'!FY62="","N/A",IF('Data - Resample Replaced'!FY62&lt;Specifications!$D$3,"PASS","FAIL")))</f>
        <v/>
      </c>
      <c r="E298" s="80"/>
    </row>
    <row r="299" spans="1:5" ht="14" x14ac:dyDescent="0.15">
      <c r="A299" s="75" t="str">
        <f>IF('Data - Resample Replaced'!C63="","",'Data - Resample Replaced'!C63)</f>
        <v/>
      </c>
      <c r="B299" s="76" t="str">
        <f>IF('Data - Resample Replaced'!L63="","",'Data - Resample Replaced'!L63)</f>
        <v/>
      </c>
      <c r="C299" s="77" t="str">
        <f>IF('Data - Resample Replaced'!GA63="","",'Data - Resample Replaced'!GA63)</f>
        <v/>
      </c>
      <c r="D299" s="79" t="str">
        <f>IF(C299="","",IF('Data - Resample Replaced'!FY63="","N/A",IF('Data - Resample Replaced'!FY63&lt;Specifications!$D$3,"PASS","FAIL")))</f>
        <v/>
      </c>
      <c r="E299" s="80"/>
    </row>
    <row r="300" spans="1:5" ht="14" x14ac:dyDescent="0.15">
      <c r="A300" s="75" t="str">
        <f>IF('Data - Resample Replaced'!C64="","",'Data - Resample Replaced'!C64)</f>
        <v/>
      </c>
      <c r="B300" s="76" t="str">
        <f>IF('Data - Resample Replaced'!L64="","",'Data - Resample Replaced'!L64)</f>
        <v/>
      </c>
      <c r="C300" s="77" t="str">
        <f>IF('Data - Resample Replaced'!GA64="","",'Data - Resample Replaced'!GA64)</f>
        <v/>
      </c>
      <c r="D300" s="79" t="str">
        <f>IF(C300="","",IF('Data - Resample Replaced'!FY64="","N/A",IF('Data - Resample Replaced'!FY64&lt;Specifications!$D$3,"PASS","FAIL")))</f>
        <v/>
      </c>
      <c r="E300" s="80"/>
    </row>
    <row r="301" spans="1:5" ht="14" x14ac:dyDescent="0.15">
      <c r="A301" s="75" t="str">
        <f>IF('Data - Resample Replaced'!C65="","",'Data - Resample Replaced'!C65)</f>
        <v/>
      </c>
      <c r="B301" s="76" t="str">
        <f>IF('Data - Resample Replaced'!L65="","",'Data - Resample Replaced'!L65)</f>
        <v/>
      </c>
      <c r="C301" s="77" t="str">
        <f>IF('Data - Resample Replaced'!GA65="","",'Data - Resample Replaced'!GA65)</f>
        <v/>
      </c>
      <c r="D301" s="79" t="str">
        <f>IF(C301="","",IF('Data - Resample Replaced'!FY65="","N/A",IF('Data - Resample Replaced'!FY65&lt;Specifications!$D$3,"PASS","FAIL")))</f>
        <v/>
      </c>
      <c r="E301" s="80"/>
    </row>
    <row r="302" spans="1:5" ht="14" x14ac:dyDescent="0.15">
      <c r="A302" s="75" t="str">
        <f>IF('Data - Resample Replaced'!C66="","",'Data - Resample Replaced'!C66)</f>
        <v/>
      </c>
      <c r="B302" s="76" t="str">
        <f>IF('Data - Resample Replaced'!L66="","",'Data - Resample Replaced'!L66)</f>
        <v/>
      </c>
      <c r="C302" s="77" t="str">
        <f>IF('Data - Resample Replaced'!GA66="","",'Data - Resample Replaced'!GA66)</f>
        <v/>
      </c>
      <c r="D302" s="79" t="str">
        <f>IF(C302="","",IF('Data - Resample Replaced'!FY66="","N/A",IF('Data - Resample Replaced'!FY66&lt;Specifications!$D$3,"PASS","FAIL")))</f>
        <v/>
      </c>
      <c r="E302" s="80"/>
    </row>
    <row r="303" spans="1:5" ht="14" x14ac:dyDescent="0.15">
      <c r="A303" s="75" t="str">
        <f>IF('Data - Resample Replaced'!C67="","",'Data - Resample Replaced'!C67)</f>
        <v/>
      </c>
      <c r="B303" s="76" t="str">
        <f>IF('Data - Resample Replaced'!L67="","",'Data - Resample Replaced'!L67)</f>
        <v/>
      </c>
      <c r="C303" s="77" t="str">
        <f>IF('Data - Resample Replaced'!GA67="","",'Data - Resample Replaced'!GA67)</f>
        <v/>
      </c>
      <c r="D303" s="79" t="str">
        <f>IF(C303="","",IF('Data - Resample Replaced'!FY67="","N/A",IF('Data - Resample Replaced'!FY67&lt;Specifications!$D$3,"PASS","FAIL")))</f>
        <v/>
      </c>
      <c r="E303" s="80"/>
    </row>
    <row r="304" spans="1:5" ht="14" x14ac:dyDescent="0.15">
      <c r="A304" s="75" t="str">
        <f>IF('Data - Resample Replaced'!C68="","",'Data - Resample Replaced'!C68)</f>
        <v/>
      </c>
      <c r="B304" s="76" t="str">
        <f>IF('Data - Resample Replaced'!L68="","",'Data - Resample Replaced'!L68)</f>
        <v/>
      </c>
      <c r="C304" s="77" t="str">
        <f>IF('Data - Resample Replaced'!GA68="","",'Data - Resample Replaced'!GA68)</f>
        <v/>
      </c>
      <c r="D304" s="79" t="str">
        <f>IF(C304="","",IF('Data - Resample Replaced'!FY68="","N/A",IF('Data - Resample Replaced'!FY68&lt;Specifications!$D$3,"PASS","FAIL")))</f>
        <v/>
      </c>
      <c r="E304" s="80"/>
    </row>
    <row r="305" spans="1:5" ht="14" x14ac:dyDescent="0.15">
      <c r="A305" s="75" t="str">
        <f>IF('Data - Resample Replaced'!C69="","",'Data - Resample Replaced'!C69)</f>
        <v/>
      </c>
      <c r="B305" s="76" t="str">
        <f>IF('Data - Resample Replaced'!L69="","",'Data - Resample Replaced'!L69)</f>
        <v/>
      </c>
      <c r="C305" s="77" t="str">
        <f>IF('Data - Resample Replaced'!GA69="","",'Data - Resample Replaced'!GA69)</f>
        <v/>
      </c>
      <c r="D305" s="79" t="str">
        <f>IF(C305="","",IF('Data - Resample Replaced'!FY69="","N/A",IF('Data - Resample Replaced'!FY69&lt;Specifications!$D$3,"PASS","FAIL")))</f>
        <v/>
      </c>
      <c r="E305" s="80"/>
    </row>
    <row r="306" spans="1:5" ht="14" x14ac:dyDescent="0.15">
      <c r="A306" s="75" t="str">
        <f>IF('Data - Resample Replaced'!C70="","",'Data - Resample Replaced'!C70)</f>
        <v/>
      </c>
      <c r="B306" s="76" t="str">
        <f>IF('Data - Resample Replaced'!L70="","",'Data - Resample Replaced'!L70)</f>
        <v/>
      </c>
      <c r="C306" s="77" t="str">
        <f>IF('Data - Resample Replaced'!GA70="","",'Data - Resample Replaced'!GA70)</f>
        <v/>
      </c>
      <c r="D306" s="79" t="str">
        <f>IF(C306="","",IF('Data - Resample Replaced'!FY70="","N/A",IF('Data - Resample Replaced'!FY70&lt;Specifications!$D$3,"PASS","FAIL")))</f>
        <v/>
      </c>
      <c r="E306" s="80"/>
    </row>
    <row r="307" spans="1:5" ht="14" x14ac:dyDescent="0.15">
      <c r="A307" s="75" t="str">
        <f>IF('Data - Resample Replaced'!C71="","",'Data - Resample Replaced'!C71)</f>
        <v/>
      </c>
      <c r="B307" s="76" t="str">
        <f>IF('Data - Resample Replaced'!L71="","",'Data - Resample Replaced'!L71)</f>
        <v/>
      </c>
      <c r="C307" s="77" t="str">
        <f>IF('Data - Resample Replaced'!GA71="","",'Data - Resample Replaced'!GA71)</f>
        <v/>
      </c>
      <c r="D307" s="79" t="str">
        <f>IF(C307="","",IF('Data - Resample Replaced'!FY71="","N/A",IF('Data - Resample Replaced'!FY71&lt;Specifications!$D$3,"PASS","FAIL")))</f>
        <v/>
      </c>
      <c r="E307" s="80"/>
    </row>
    <row r="308" spans="1:5" ht="14" x14ac:dyDescent="0.15">
      <c r="A308" s="75" t="str">
        <f>IF('Data - Resample Replaced'!C72="","",'Data - Resample Replaced'!C72)</f>
        <v/>
      </c>
      <c r="B308" s="76" t="str">
        <f>IF('Data - Resample Replaced'!L72="","",'Data - Resample Replaced'!L72)</f>
        <v/>
      </c>
      <c r="C308" s="77" t="str">
        <f>IF('Data - Resample Replaced'!GA72="","",'Data - Resample Replaced'!GA72)</f>
        <v/>
      </c>
      <c r="D308" s="79" t="str">
        <f>IF(C308="","",IF('Data - Resample Replaced'!FY72="","N/A",IF('Data - Resample Replaced'!FY72&lt;Specifications!$D$3,"PASS","FAIL")))</f>
        <v/>
      </c>
      <c r="E308" s="80"/>
    </row>
    <row r="309" spans="1:5" ht="14" x14ac:dyDescent="0.15">
      <c r="A309" s="75" t="str">
        <f>IF('Data - Resample Replaced'!C73="","",'Data - Resample Replaced'!C73)</f>
        <v/>
      </c>
      <c r="B309" s="76" t="str">
        <f>IF('Data - Resample Replaced'!L73="","",'Data - Resample Replaced'!L73)</f>
        <v/>
      </c>
      <c r="C309" s="77" t="str">
        <f>IF('Data - Resample Replaced'!GA73="","",'Data - Resample Replaced'!GA73)</f>
        <v/>
      </c>
      <c r="D309" s="79" t="str">
        <f>IF(C309="","",IF('Data - Resample Replaced'!FY73="","N/A",IF('Data - Resample Replaced'!FY73&lt;Specifications!$D$3,"PASS","FAIL")))</f>
        <v/>
      </c>
      <c r="E309" s="80"/>
    </row>
    <row r="310" spans="1:5" ht="14" x14ac:dyDescent="0.15">
      <c r="A310" s="75" t="str">
        <f>IF('Data - Resample Replaced'!C74="","",'Data - Resample Replaced'!C74)</f>
        <v/>
      </c>
      <c r="B310" s="76" t="str">
        <f>IF('Data - Resample Replaced'!L74="","",'Data - Resample Replaced'!L74)</f>
        <v/>
      </c>
      <c r="C310" s="77" t="str">
        <f>IF('Data - Resample Replaced'!GA74="","",'Data - Resample Replaced'!GA74)</f>
        <v/>
      </c>
      <c r="D310" s="79" t="str">
        <f>IF(C310="","",IF('Data - Resample Replaced'!FY74="","N/A",IF('Data - Resample Replaced'!FY74&lt;Specifications!$D$3,"PASS","FAIL")))</f>
        <v/>
      </c>
      <c r="E310" s="80"/>
    </row>
    <row r="311" spans="1:5" ht="14" x14ac:dyDescent="0.15">
      <c r="A311" s="75" t="str">
        <f>IF('Data - Resample Replaced'!C75="","",'Data - Resample Replaced'!C75)</f>
        <v/>
      </c>
      <c r="B311" s="76" t="str">
        <f>IF('Data - Resample Replaced'!L75="","",'Data - Resample Replaced'!L75)</f>
        <v/>
      </c>
      <c r="C311" s="77" t="str">
        <f>IF('Data - Resample Replaced'!GA75="","",'Data - Resample Replaced'!GA75)</f>
        <v/>
      </c>
      <c r="D311" s="79" t="str">
        <f>IF(C311="","",IF('Data - Resample Replaced'!FY75="","N/A",IF('Data - Resample Replaced'!FY75&lt;Specifications!$D$3,"PASS","FAIL")))</f>
        <v/>
      </c>
      <c r="E311" s="80"/>
    </row>
    <row r="312" spans="1:5" ht="14" x14ac:dyDescent="0.15">
      <c r="A312" s="75" t="str">
        <f>IF('Data - Resample Replaced'!C76="","",'Data - Resample Replaced'!C76)</f>
        <v/>
      </c>
      <c r="B312" s="76" t="str">
        <f>IF('Data - Resample Replaced'!L76="","",'Data - Resample Replaced'!L76)</f>
        <v/>
      </c>
      <c r="C312" s="77" t="str">
        <f>IF('Data - Resample Replaced'!GA76="","",'Data - Resample Replaced'!GA76)</f>
        <v/>
      </c>
      <c r="D312" s="79" t="str">
        <f>IF(C312="","",IF('Data - Resample Replaced'!FY76="","N/A",IF('Data - Resample Replaced'!FY76&lt;Specifications!$D$3,"PASS","FAIL")))</f>
        <v/>
      </c>
      <c r="E312" s="80"/>
    </row>
    <row r="313" spans="1:5" ht="14" x14ac:dyDescent="0.15">
      <c r="A313" s="75" t="str">
        <f>IF('Data - Resample Replaced'!C77="","",'Data - Resample Replaced'!C77)</f>
        <v/>
      </c>
      <c r="B313" s="76" t="str">
        <f>IF('Data - Resample Replaced'!L77="","",'Data - Resample Replaced'!L77)</f>
        <v/>
      </c>
      <c r="C313" s="77" t="str">
        <f>IF('Data - Resample Replaced'!GA77="","",'Data - Resample Replaced'!GA77)</f>
        <v/>
      </c>
      <c r="D313" s="79" t="str">
        <f>IF(C313="","",IF('Data - Resample Replaced'!FY77="","N/A",IF('Data - Resample Replaced'!FY77&lt;Specifications!$D$3,"PASS","FAIL")))</f>
        <v/>
      </c>
      <c r="E313" s="80"/>
    </row>
    <row r="314" spans="1:5" ht="14" x14ac:dyDescent="0.15">
      <c r="A314" s="75" t="str">
        <f>IF('Data - Resample Replaced'!C78="","",'Data - Resample Replaced'!C78)</f>
        <v/>
      </c>
      <c r="B314" s="76" t="str">
        <f>IF('Data - Resample Replaced'!L78="","",'Data - Resample Replaced'!L78)</f>
        <v/>
      </c>
      <c r="C314" s="77" t="str">
        <f>IF('Data - Resample Replaced'!GA78="","",'Data - Resample Replaced'!GA78)</f>
        <v/>
      </c>
      <c r="D314" s="79" t="str">
        <f>IF(C314="","",IF('Data - Resample Replaced'!FY78="","N/A",IF('Data - Resample Replaced'!FY78&lt;Specifications!$D$3,"PASS","FAIL")))</f>
        <v/>
      </c>
      <c r="E314" s="80"/>
    </row>
    <row r="315" spans="1:5" ht="14" x14ac:dyDescent="0.15">
      <c r="A315" s="75" t="str">
        <f>IF('Data - Resample Replaced'!C79="","",'Data - Resample Replaced'!C79)</f>
        <v/>
      </c>
      <c r="B315" s="76" t="str">
        <f>IF('Data - Resample Replaced'!L79="","",'Data - Resample Replaced'!L79)</f>
        <v/>
      </c>
      <c r="C315" s="77" t="str">
        <f>IF('Data - Resample Replaced'!GA79="","",'Data - Resample Replaced'!GA79)</f>
        <v/>
      </c>
      <c r="D315" s="79" t="str">
        <f>IF(C315="","",IF('Data - Resample Replaced'!FY79="","N/A",IF('Data - Resample Replaced'!FY79&lt;Specifications!$D$3,"PASS","FAIL")))</f>
        <v/>
      </c>
      <c r="E315" s="80"/>
    </row>
    <row r="316" spans="1:5" ht="14" x14ac:dyDescent="0.15">
      <c r="A316" s="75" t="str">
        <f>IF('Data - Resample Replaced'!C80="","",'Data - Resample Replaced'!C80)</f>
        <v/>
      </c>
      <c r="B316" s="76" t="str">
        <f>IF('Data - Resample Replaced'!L80="","",'Data - Resample Replaced'!L80)</f>
        <v/>
      </c>
      <c r="C316" s="77" t="str">
        <f>IF('Data - Resample Replaced'!GA80="","",'Data - Resample Replaced'!GA80)</f>
        <v/>
      </c>
      <c r="D316" s="79" t="str">
        <f>IF(C316="","",IF('Data - Resample Replaced'!FY80="","N/A",IF('Data - Resample Replaced'!FY80&lt;Specifications!$D$3,"PASS","FAIL")))</f>
        <v/>
      </c>
      <c r="E316" s="80"/>
    </row>
    <row r="317" spans="1:5" ht="14" x14ac:dyDescent="0.15">
      <c r="A317" s="75" t="str">
        <f>IF('Data - Resample Replaced'!C81="","",'Data - Resample Replaced'!C81)</f>
        <v/>
      </c>
      <c r="B317" s="76" t="str">
        <f>IF('Data - Resample Replaced'!L81="","",'Data - Resample Replaced'!L81)</f>
        <v/>
      </c>
      <c r="C317" s="77" t="str">
        <f>IF('Data - Resample Replaced'!GA81="","",'Data - Resample Replaced'!GA81)</f>
        <v/>
      </c>
      <c r="D317" s="79" t="str">
        <f>IF(C317="","",IF('Data - Resample Replaced'!FY81="","N/A",IF('Data - Resample Replaced'!FY81&lt;Specifications!$D$3,"PASS","FAIL")))</f>
        <v/>
      </c>
      <c r="E317" s="80"/>
    </row>
    <row r="318" spans="1:5" ht="14" x14ac:dyDescent="0.15">
      <c r="A318" s="75" t="str">
        <f>IF('Data - Resample Replaced'!C82="","",'Data - Resample Replaced'!C82)</f>
        <v/>
      </c>
      <c r="B318" s="76" t="str">
        <f>IF('Data - Resample Replaced'!L82="","",'Data - Resample Replaced'!L82)</f>
        <v/>
      </c>
      <c r="C318" s="77" t="str">
        <f>IF('Data - Resample Replaced'!GA82="","",'Data - Resample Replaced'!GA82)</f>
        <v/>
      </c>
      <c r="D318" s="79" t="str">
        <f>IF(C318="","",IF('Data - Resample Replaced'!FY82="","N/A",IF('Data - Resample Replaced'!FY82&lt;Specifications!$D$3,"PASS","FAIL")))</f>
        <v/>
      </c>
      <c r="E318" s="80"/>
    </row>
    <row r="319" spans="1:5" ht="14" x14ac:dyDescent="0.15">
      <c r="A319" s="75" t="str">
        <f>IF('Data - Resample Replaced'!C83="","",'Data - Resample Replaced'!C83)</f>
        <v/>
      </c>
      <c r="B319" s="76" t="str">
        <f>IF('Data - Resample Replaced'!L83="","",'Data - Resample Replaced'!L83)</f>
        <v/>
      </c>
      <c r="C319" s="77" t="str">
        <f>IF('Data - Resample Replaced'!GA83="","",'Data - Resample Replaced'!GA83)</f>
        <v/>
      </c>
      <c r="D319" s="79" t="str">
        <f>IF(C319="","",IF('Data - Resample Replaced'!FY83="","N/A",IF('Data - Resample Replaced'!FY83&lt;Specifications!$D$3,"PASS","FAIL")))</f>
        <v/>
      </c>
      <c r="E319" s="80"/>
    </row>
    <row r="320" spans="1:5" ht="14" x14ac:dyDescent="0.15">
      <c r="A320" s="75" t="str">
        <f>IF('Data - Resample Replaced'!C84="","",'Data - Resample Replaced'!C84)</f>
        <v/>
      </c>
      <c r="B320" s="76" t="str">
        <f>IF('Data - Resample Replaced'!L84="","",'Data - Resample Replaced'!L84)</f>
        <v/>
      </c>
      <c r="C320" s="77" t="str">
        <f>IF('Data - Resample Replaced'!GA84="","",'Data - Resample Replaced'!GA84)</f>
        <v/>
      </c>
      <c r="D320" s="79" t="str">
        <f>IF(C320="","",IF('Data - Resample Replaced'!FY84="","N/A",IF('Data - Resample Replaced'!FY84&lt;Specifications!$D$3,"PASS","FAIL")))</f>
        <v/>
      </c>
      <c r="E320" s="80"/>
    </row>
    <row r="321" spans="1:5" ht="14" x14ac:dyDescent="0.15">
      <c r="A321" s="75" t="str">
        <f>IF('Data - Resample Replaced'!C85="","",'Data - Resample Replaced'!C85)</f>
        <v/>
      </c>
      <c r="B321" s="76" t="str">
        <f>IF('Data - Resample Replaced'!L85="","",'Data - Resample Replaced'!L85)</f>
        <v/>
      </c>
      <c r="C321" s="77" t="str">
        <f>IF('Data - Resample Replaced'!GA85="","",'Data - Resample Replaced'!GA85)</f>
        <v/>
      </c>
      <c r="D321" s="79" t="str">
        <f>IF(C321="","",IF('Data - Resample Replaced'!FY85="","N/A",IF('Data - Resample Replaced'!FY85&lt;Specifications!$D$3,"PASS","FAIL")))</f>
        <v/>
      </c>
      <c r="E321" s="80"/>
    </row>
    <row r="322" spans="1:5" ht="14" x14ac:dyDescent="0.15">
      <c r="A322" s="75" t="str">
        <f>IF('Data - Resample Replaced'!C86="","",'Data - Resample Replaced'!C86)</f>
        <v/>
      </c>
      <c r="B322" s="76" t="str">
        <f>IF('Data - Resample Replaced'!L86="","",'Data - Resample Replaced'!L86)</f>
        <v/>
      </c>
      <c r="C322" s="77" t="str">
        <f>IF('Data - Resample Replaced'!GA86="","",'Data - Resample Replaced'!GA86)</f>
        <v/>
      </c>
      <c r="D322" s="79" t="str">
        <f>IF(C322="","",IF('Data - Resample Replaced'!FY86="","N/A",IF('Data - Resample Replaced'!FY86&lt;Specifications!$D$3,"PASS","FAIL")))</f>
        <v/>
      </c>
      <c r="E322" s="80"/>
    </row>
    <row r="323" spans="1:5" ht="14" x14ac:dyDescent="0.15">
      <c r="A323" s="75" t="str">
        <f>IF('Data - Resample Replaced'!C87="","",'Data - Resample Replaced'!C87)</f>
        <v/>
      </c>
      <c r="B323" s="76" t="str">
        <f>IF('Data - Resample Replaced'!L87="","",'Data - Resample Replaced'!L87)</f>
        <v/>
      </c>
      <c r="C323" s="77" t="str">
        <f>IF('Data - Resample Replaced'!GA87="","",'Data - Resample Replaced'!GA87)</f>
        <v/>
      </c>
      <c r="D323" s="79" t="str">
        <f>IF(C323="","",IF('Data - Resample Replaced'!FY87="","N/A",IF('Data - Resample Replaced'!FY87&lt;Specifications!$D$3,"PASS","FAIL")))</f>
        <v/>
      </c>
      <c r="E323" s="80"/>
    </row>
    <row r="324" spans="1:5" ht="14" x14ac:dyDescent="0.15">
      <c r="A324" s="75" t="str">
        <f>IF('Data - Resample Replaced'!C88="","",'Data - Resample Replaced'!C88)</f>
        <v/>
      </c>
      <c r="B324" s="76" t="str">
        <f>IF('Data - Resample Replaced'!L88="","",'Data - Resample Replaced'!L88)</f>
        <v/>
      </c>
      <c r="C324" s="77" t="str">
        <f>IF('Data - Resample Replaced'!GA88="","",'Data - Resample Replaced'!GA88)</f>
        <v/>
      </c>
      <c r="D324" s="79" t="str">
        <f>IF(C324="","",IF('Data - Resample Replaced'!FY88="","N/A",IF('Data - Resample Replaced'!FY88&lt;Specifications!$D$3,"PASS","FAIL")))</f>
        <v/>
      </c>
      <c r="E324" s="80"/>
    </row>
    <row r="325" spans="1:5" ht="14" x14ac:dyDescent="0.15">
      <c r="A325" s="75" t="str">
        <f>IF('Data - Resample Replaced'!C89="","",'Data - Resample Replaced'!C89)</f>
        <v/>
      </c>
      <c r="B325" s="76" t="str">
        <f>IF('Data - Resample Replaced'!L89="","",'Data - Resample Replaced'!L89)</f>
        <v/>
      </c>
      <c r="C325" s="77" t="str">
        <f>IF('Data - Resample Replaced'!GA89="","",'Data - Resample Replaced'!GA89)</f>
        <v/>
      </c>
      <c r="D325" s="79" t="str">
        <f>IF(C325="","",IF('Data - Resample Replaced'!FY89="","N/A",IF('Data - Resample Replaced'!FY89&lt;Specifications!$D$3,"PASS","FAIL")))</f>
        <v/>
      </c>
      <c r="E325" s="80"/>
    </row>
    <row r="326" spans="1:5" ht="14" x14ac:dyDescent="0.15">
      <c r="A326" s="75" t="str">
        <f>IF('Data - Resample Replaced'!C90="","",'Data - Resample Replaced'!C90)</f>
        <v/>
      </c>
      <c r="B326" s="76" t="str">
        <f>IF('Data - Resample Replaced'!L90="","",'Data - Resample Replaced'!L90)</f>
        <v/>
      </c>
      <c r="C326" s="77" t="str">
        <f>IF('Data - Resample Replaced'!GA90="","",'Data - Resample Replaced'!GA90)</f>
        <v/>
      </c>
      <c r="D326" s="79" t="str">
        <f>IF(C326="","",IF('Data - Resample Replaced'!FY90="","N/A",IF('Data - Resample Replaced'!FY90&lt;Specifications!$D$3,"PASS","FAIL")))</f>
        <v/>
      </c>
      <c r="E326" s="80"/>
    </row>
    <row r="327" spans="1:5" ht="14" x14ac:dyDescent="0.15">
      <c r="A327" s="75" t="str">
        <f>IF('Data - Resample Replaced'!C91="","",'Data - Resample Replaced'!C91)</f>
        <v/>
      </c>
      <c r="B327" s="76" t="str">
        <f>IF('Data - Resample Replaced'!L91="","",'Data - Resample Replaced'!L91)</f>
        <v/>
      </c>
      <c r="C327" s="77" t="str">
        <f>IF('Data - Resample Replaced'!GA91="","",'Data - Resample Replaced'!GA91)</f>
        <v/>
      </c>
      <c r="D327" s="79" t="str">
        <f>IF(C327="","",IF('Data - Resample Replaced'!FY91="","N/A",IF('Data - Resample Replaced'!FY91&lt;Specifications!$D$3,"PASS","FAIL")))</f>
        <v/>
      </c>
      <c r="E327" s="80"/>
    </row>
    <row r="328" spans="1:5" ht="14" x14ac:dyDescent="0.15">
      <c r="A328" s="75" t="str">
        <f>IF('Data - Resample Replaced'!C92="","",'Data - Resample Replaced'!C92)</f>
        <v/>
      </c>
      <c r="B328" s="76" t="str">
        <f>IF('Data - Resample Replaced'!L92="","",'Data - Resample Replaced'!L92)</f>
        <v/>
      </c>
      <c r="C328" s="77" t="str">
        <f>IF('Data - Resample Replaced'!GA92="","",'Data - Resample Replaced'!GA92)</f>
        <v/>
      </c>
      <c r="D328" s="79" t="str">
        <f>IF(C328="","",IF('Data - Resample Replaced'!FY92="","N/A",IF('Data - Resample Replaced'!FY92&lt;Specifications!$D$3,"PASS","FAIL")))</f>
        <v/>
      </c>
      <c r="E328" s="80"/>
    </row>
    <row r="329" spans="1:5" ht="14" x14ac:dyDescent="0.15">
      <c r="A329" s="75" t="str">
        <f>IF('Data - Resample Replaced'!C93="","",'Data - Resample Replaced'!C93)</f>
        <v/>
      </c>
      <c r="B329" s="76" t="str">
        <f>IF('Data - Resample Replaced'!L93="","",'Data - Resample Replaced'!L93)</f>
        <v/>
      </c>
      <c r="C329" s="77" t="str">
        <f>IF('Data - Resample Replaced'!GA93="","",'Data - Resample Replaced'!GA93)</f>
        <v/>
      </c>
      <c r="D329" s="79" t="str">
        <f>IF(C329="","",IF('Data - Resample Replaced'!FY93="","N/A",IF('Data - Resample Replaced'!FY93&lt;Specifications!$D$3,"PASS","FAIL")))</f>
        <v/>
      </c>
      <c r="E329" s="80"/>
    </row>
    <row r="330" spans="1:5" ht="14" x14ac:dyDescent="0.15">
      <c r="A330" s="75" t="str">
        <f>IF('Data - Resample Replaced'!C94="","",'Data - Resample Replaced'!C94)</f>
        <v/>
      </c>
      <c r="B330" s="76" t="str">
        <f>IF('Data - Resample Replaced'!L94="","",'Data - Resample Replaced'!L94)</f>
        <v/>
      </c>
      <c r="C330" s="77" t="str">
        <f>IF('Data - Resample Replaced'!GA94="","",'Data - Resample Replaced'!GA94)</f>
        <v/>
      </c>
      <c r="D330" s="79" t="str">
        <f>IF(C330="","",IF('Data - Resample Replaced'!FY94="","N/A",IF('Data - Resample Replaced'!FY94&lt;Specifications!$D$3,"PASS","FAIL")))</f>
        <v/>
      </c>
      <c r="E330" s="80"/>
    </row>
    <row r="331" spans="1:5" ht="14" x14ac:dyDescent="0.15">
      <c r="A331" s="75" t="str">
        <f>IF('Data - Resample Replaced'!C95="","",'Data - Resample Replaced'!C95)</f>
        <v/>
      </c>
      <c r="B331" s="76" t="str">
        <f>IF('Data - Resample Replaced'!L95="","",'Data - Resample Replaced'!L95)</f>
        <v/>
      </c>
      <c r="C331" s="77" t="str">
        <f>IF('Data - Resample Replaced'!GA95="","",'Data - Resample Replaced'!GA95)</f>
        <v/>
      </c>
      <c r="D331" s="79" t="str">
        <f>IF(C331="","",IF('Data - Resample Replaced'!FY95="","N/A",IF('Data - Resample Replaced'!FY95&lt;Specifications!$D$3,"PASS","FAIL")))</f>
        <v/>
      </c>
      <c r="E331" s="80"/>
    </row>
    <row r="332" spans="1:5" ht="14" x14ac:dyDescent="0.15">
      <c r="A332" s="75" t="str">
        <f>IF('Data - Resample Replaced'!C96="","",'Data - Resample Replaced'!C96)</f>
        <v/>
      </c>
      <c r="B332" s="76" t="str">
        <f>IF('Data - Resample Replaced'!L96="","",'Data - Resample Replaced'!L96)</f>
        <v/>
      </c>
      <c r="C332" s="77" t="str">
        <f>IF('Data - Resample Replaced'!GA96="","",'Data - Resample Replaced'!GA96)</f>
        <v/>
      </c>
      <c r="D332" s="79" t="str">
        <f>IF(C332="","",IF('Data - Resample Replaced'!FY96="","N/A",IF('Data - Resample Replaced'!FY96&lt;Specifications!$D$3,"PASS","FAIL")))</f>
        <v/>
      </c>
      <c r="E332" s="80"/>
    </row>
    <row r="333" spans="1:5" ht="14" x14ac:dyDescent="0.15">
      <c r="A333" s="75" t="str">
        <f>IF('Data - Resample Replaced'!C97="","",'Data - Resample Replaced'!C97)</f>
        <v/>
      </c>
      <c r="B333" s="76" t="str">
        <f>IF('Data - Resample Replaced'!L97="","",'Data - Resample Replaced'!L97)</f>
        <v/>
      </c>
      <c r="C333" s="77" t="str">
        <f>IF('Data - Resample Replaced'!GA97="","",'Data - Resample Replaced'!GA97)</f>
        <v/>
      </c>
      <c r="D333" s="79" t="str">
        <f>IF(C333="","",IF('Data - Resample Replaced'!FY97="","N/A",IF('Data - Resample Replaced'!FY97&lt;Specifications!$D$3,"PASS","FAIL")))</f>
        <v/>
      </c>
      <c r="E333" s="80"/>
    </row>
    <row r="334" spans="1:5" ht="14" x14ac:dyDescent="0.15">
      <c r="A334" s="75" t="str">
        <f>IF('Data - Resample Replaced'!C98="","",'Data - Resample Replaced'!C98)</f>
        <v/>
      </c>
      <c r="B334" s="76" t="str">
        <f>IF('Data - Resample Replaced'!L98="","",'Data - Resample Replaced'!L98)</f>
        <v/>
      </c>
      <c r="C334" s="77" t="str">
        <f>IF('Data - Resample Replaced'!GA98="","",'Data - Resample Replaced'!GA98)</f>
        <v/>
      </c>
      <c r="D334" s="79" t="str">
        <f>IF(C334="","",IF('Data - Resample Replaced'!FY98="","N/A",IF('Data - Resample Replaced'!FY98&lt;Specifications!$D$3,"PASS","FAIL")))</f>
        <v/>
      </c>
      <c r="E334" s="80"/>
    </row>
    <row r="335" spans="1:5" ht="14" x14ac:dyDescent="0.15">
      <c r="A335" s="75" t="str">
        <f>IF('Data - Resample Replaced'!C99="","",'Data - Resample Replaced'!C99)</f>
        <v/>
      </c>
      <c r="B335" s="76" t="str">
        <f>IF('Data - Resample Replaced'!L99="","",'Data - Resample Replaced'!L99)</f>
        <v/>
      </c>
      <c r="C335" s="77" t="str">
        <f>IF('Data - Resample Replaced'!GA99="","",'Data - Resample Replaced'!GA99)</f>
        <v/>
      </c>
      <c r="D335" s="79" t="str">
        <f>IF(C335="","",IF('Data - Resample Replaced'!FY99="","N/A",IF('Data - Resample Replaced'!FY99&lt;Specifications!$D$3,"PASS","FAIL")))</f>
        <v/>
      </c>
      <c r="E335" s="80"/>
    </row>
    <row r="336" spans="1:5" ht="14" x14ac:dyDescent="0.15">
      <c r="A336" s="75" t="str">
        <f>IF('Data - Resample Replaced'!C100="","",'Data - Resample Replaced'!C100)</f>
        <v/>
      </c>
      <c r="B336" s="76" t="str">
        <f>IF('Data - Resample Replaced'!L100="","",'Data - Resample Replaced'!L100)</f>
        <v/>
      </c>
      <c r="C336" s="77" t="str">
        <f>IF('Data - Resample Replaced'!GA100="","",'Data - Resample Replaced'!GA100)</f>
        <v/>
      </c>
      <c r="D336" s="79" t="str">
        <f>IF(C336="","",IF('Data - Resample Replaced'!FY100="","N/A",IF('Data - Resample Replaced'!FY100&lt;Specifications!$D$3,"PASS","FAIL")))</f>
        <v/>
      </c>
      <c r="E336" s="80"/>
    </row>
    <row r="337" spans="1:5" ht="14" x14ac:dyDescent="0.15">
      <c r="A337" s="75" t="str">
        <f>IF('Data - Resample Replaced'!C101="","",'Data - Resample Replaced'!C101)</f>
        <v/>
      </c>
      <c r="B337" s="76" t="str">
        <f>IF('Data - Resample Replaced'!L101="","",'Data - Resample Replaced'!L101)</f>
        <v/>
      </c>
      <c r="C337" s="77" t="str">
        <f>IF('Data - Resample Replaced'!GA101="","",'Data - Resample Replaced'!GA101)</f>
        <v/>
      </c>
      <c r="D337" s="79" t="str">
        <f>IF(C337="","",IF('Data - Resample Replaced'!FY101="","N/A",IF('Data - Resample Replaced'!FY101&lt;Specifications!$D$3,"PASS","FAIL")))</f>
        <v/>
      </c>
      <c r="E337" s="80"/>
    </row>
    <row r="339" spans="1:5" ht="16" x14ac:dyDescent="0.2">
      <c r="A339" s="97" t="s">
        <v>316</v>
      </c>
      <c r="B339" s="98"/>
      <c r="C339" s="97" t="s">
        <v>317</v>
      </c>
      <c r="D339" s="177"/>
    </row>
  </sheetData>
  <mergeCells count="16">
    <mergeCell ref="A4:B4"/>
    <mergeCell ref="A3:B3"/>
    <mergeCell ref="A2:B2"/>
    <mergeCell ref="A1:E1"/>
    <mergeCell ref="D128:E128"/>
    <mergeCell ref="D8:E8"/>
    <mergeCell ref="D7:E7"/>
    <mergeCell ref="D6:E6"/>
    <mergeCell ref="D21:E21"/>
    <mergeCell ref="D22:E22"/>
    <mergeCell ref="D213:E213"/>
    <mergeCell ref="D23:E23"/>
    <mergeCell ref="D126:E126"/>
    <mergeCell ref="D127:E127"/>
    <mergeCell ref="D212:E212"/>
    <mergeCell ref="D211:E211"/>
  </mergeCells>
  <conditionalFormatting sqref="A8">
    <cfRule type="cellIs" dxfId="363" priority="102" operator="equal">
      <formula>"SPC CT=0"</formula>
    </cfRule>
    <cfRule type="cellIs" dxfId="362" priority="103" operator="equal">
      <formula>"INVALID"</formula>
    </cfRule>
    <cfRule type="cellIs" dxfId="361" priority="97" operator="equal">
      <formula>"BARCODE FAIL"</formula>
    </cfRule>
    <cfRule type="cellIs" dxfId="360" priority="106" operator="equal">
      <formula>"PASS"</formula>
    </cfRule>
    <cfRule type="cellIs" dxfId="359" priority="105" operator="equal">
      <formula>"MAJOR FUNCTIONAL"</formula>
    </cfRule>
    <cfRule type="cellIs" dxfId="358" priority="104" operator="equal">
      <formula>"MAJOR VISUAL"</formula>
    </cfRule>
    <cfRule type="cellIs" dxfId="357" priority="98" operator="equal">
      <formula>"MINOR VISUAL"</formula>
    </cfRule>
    <cfRule type="containsText" dxfId="356" priority="99" operator="containsText" text="Error">
      <formula>NOT(ISERROR(SEARCH("Error",A8)))</formula>
    </cfRule>
    <cfRule type="cellIs" dxfId="355" priority="100" operator="equal">
      <formula>"SEAL TEST FAILURE"</formula>
    </cfRule>
    <cfRule type="cellIs" dxfId="354" priority="101" operator="equal">
      <formula>"E*"</formula>
    </cfRule>
  </conditionalFormatting>
  <conditionalFormatting sqref="A23">
    <cfRule type="cellIs" dxfId="353" priority="19" operator="equal">
      <formula>"INVALID"</formula>
    </cfRule>
    <cfRule type="containsText" dxfId="352" priority="15" operator="containsText" text="Error">
      <formula>NOT(ISERROR(SEARCH("Error",A23)))</formula>
    </cfRule>
    <cfRule type="cellIs" dxfId="351" priority="16" operator="equal">
      <formula>"SEAL TEST FAILURE"</formula>
    </cfRule>
    <cfRule type="cellIs" dxfId="350" priority="17" operator="equal">
      <formula>"E*"</formula>
    </cfRule>
    <cfRule type="cellIs" dxfId="349" priority="18" operator="equal">
      <formula>"SPC CT=0"</formula>
    </cfRule>
    <cfRule type="cellIs" dxfId="348" priority="14" operator="equal">
      <formula>"MINOR VISUAL"</formula>
    </cfRule>
    <cfRule type="cellIs" dxfId="347" priority="20" operator="equal">
      <formula>"MAJOR VISUAL"</formula>
    </cfRule>
    <cfRule type="cellIs" dxfId="346" priority="21" operator="equal">
      <formula>"MAJOR FUNCTIONAL"</formula>
    </cfRule>
    <cfRule type="cellIs" dxfId="345" priority="22" operator="equal">
      <formula>"PASS"</formula>
    </cfRule>
    <cfRule type="cellIs" dxfId="344" priority="13" operator="equal">
      <formula>"BARCODE FAIL"</formula>
    </cfRule>
  </conditionalFormatting>
  <conditionalFormatting sqref="A128">
    <cfRule type="cellIs" dxfId="343" priority="23" operator="equal">
      <formula>"BARCODE FAIL"</formula>
    </cfRule>
    <cfRule type="cellIs" dxfId="342" priority="24" operator="equal">
      <formula>"MINOR VISUAL"</formula>
    </cfRule>
    <cfRule type="containsText" dxfId="341" priority="25" operator="containsText" text="Error">
      <formula>NOT(ISERROR(SEARCH("Error",A128)))</formula>
    </cfRule>
    <cfRule type="cellIs" dxfId="340" priority="26" operator="equal">
      <formula>"SEAL TEST FAILURE"</formula>
    </cfRule>
    <cfRule type="cellIs" dxfId="339" priority="28" operator="equal">
      <formula>"SPC CT=0"</formula>
    </cfRule>
    <cfRule type="cellIs" dxfId="338" priority="29" operator="equal">
      <formula>"INVALID"</formula>
    </cfRule>
    <cfRule type="cellIs" dxfId="337" priority="30" operator="equal">
      <formula>"MAJOR VISUAL"</formula>
    </cfRule>
    <cfRule type="cellIs" dxfId="336" priority="31" operator="equal">
      <formula>"MAJOR FUNCTIONAL"</formula>
    </cfRule>
    <cfRule type="cellIs" dxfId="335" priority="32" operator="equal">
      <formula>"PASS"</formula>
    </cfRule>
    <cfRule type="cellIs" dxfId="334" priority="27" operator="equal">
      <formula>"E*"</formula>
    </cfRule>
  </conditionalFormatting>
  <conditionalFormatting sqref="A213">
    <cfRule type="cellIs" dxfId="333" priority="94" operator="equal">
      <formula>"MAJOR VISUAL"</formula>
    </cfRule>
    <cfRule type="cellIs" dxfId="332" priority="93" operator="equal">
      <formula>"INVALID"</formula>
    </cfRule>
    <cfRule type="cellIs" dxfId="331" priority="92" operator="equal">
      <formula>"SPC CT=0"</formula>
    </cfRule>
    <cfRule type="cellIs" dxfId="330" priority="91" operator="equal">
      <formula>"E*"</formula>
    </cfRule>
    <cfRule type="cellIs" dxfId="329" priority="90" operator="equal">
      <formula>"SEAL TEST FAILURE"</formula>
    </cfRule>
    <cfRule type="containsText" dxfId="328" priority="89" operator="containsText" text="Error">
      <formula>NOT(ISERROR(SEARCH("Error",A213)))</formula>
    </cfRule>
    <cfRule type="cellIs" dxfId="327" priority="88" operator="equal">
      <formula>"MINOR VISUAL"</formula>
    </cfRule>
    <cfRule type="cellIs" dxfId="326" priority="87" operator="equal">
      <formula>"BARCODE FAIL"</formula>
    </cfRule>
    <cfRule type="cellIs" dxfId="325" priority="96" operator="equal">
      <formula>"PASS"</formula>
    </cfRule>
    <cfRule type="cellIs" dxfId="324" priority="95" operator="equal">
      <formula>"MAJOR FUNCTIONAL"</formula>
    </cfRule>
  </conditionalFormatting>
  <conditionalFormatting sqref="B6:B7">
    <cfRule type="containsText" dxfId="323" priority="209" operator="containsText" text="Error">
      <formula>NOT(ISERROR(SEARCH("Error",B6)))</formula>
    </cfRule>
    <cfRule type="cellIs" dxfId="322" priority="211" operator="equal">
      <formula>"E*"</formula>
    </cfRule>
    <cfRule type="cellIs" dxfId="321" priority="212" operator="equal">
      <formula>"SPC CT=0"</formula>
    </cfRule>
    <cfRule type="cellIs" dxfId="320" priority="213" operator="equal">
      <formula>"INVALID"</formula>
    </cfRule>
    <cfRule type="cellIs" dxfId="319" priority="214" operator="equal">
      <formula>"MAJOR VISUAL"</formula>
    </cfRule>
    <cfRule type="cellIs" dxfId="318" priority="215" operator="equal">
      <formula>"MAJOR FUNCTIONAL"</formula>
    </cfRule>
    <cfRule type="cellIs" dxfId="317" priority="216" operator="equal">
      <formula>"PASS"</formula>
    </cfRule>
    <cfRule type="cellIs" dxfId="316" priority="207" operator="equal">
      <formula>"BARCODE FAIL"</formula>
    </cfRule>
    <cfRule type="cellIs" dxfId="315" priority="208" operator="equal">
      <formula>"MINOR VISUAL"</formula>
    </cfRule>
    <cfRule type="cellIs" dxfId="314" priority="210" operator="equal">
      <formula>"SEAL TEST FAILURE"</formula>
    </cfRule>
  </conditionalFormatting>
  <conditionalFormatting sqref="B22">
    <cfRule type="cellIs" dxfId="313" priority="178" operator="equal">
      <formula>"MINOR VISUAL"</formula>
    </cfRule>
    <cfRule type="containsText" dxfId="312" priority="179" operator="containsText" text="Error">
      <formula>NOT(ISERROR(SEARCH("Error",B22)))</formula>
    </cfRule>
    <cfRule type="cellIs" dxfId="311" priority="186" operator="equal">
      <formula>"PASS"</formula>
    </cfRule>
    <cfRule type="cellIs" dxfId="310" priority="185" operator="equal">
      <formula>"MAJOR FUNCTIONAL"</formula>
    </cfRule>
    <cfRule type="cellIs" dxfId="309" priority="184" operator="equal">
      <formula>"MAJOR VISUAL"</formula>
    </cfRule>
    <cfRule type="cellIs" dxfId="308" priority="183" operator="equal">
      <formula>"INVALID"</formula>
    </cfRule>
    <cfRule type="cellIs" dxfId="307" priority="182" operator="equal">
      <formula>"SPC CT=0"</formula>
    </cfRule>
    <cfRule type="cellIs" dxfId="306" priority="181" operator="equal">
      <formula>"E*"</formula>
    </cfRule>
    <cfRule type="cellIs" dxfId="305" priority="180" operator="equal">
      <formula>"SEAL TEST FAILURE"</formula>
    </cfRule>
    <cfRule type="cellIs" dxfId="304" priority="177" operator="equal">
      <formula>"BARCODE FAIL"</formula>
    </cfRule>
  </conditionalFormatting>
  <conditionalFormatting sqref="B127">
    <cfRule type="cellIs" dxfId="303" priority="62" operator="equal">
      <formula>"PASS"</formula>
    </cfRule>
    <cfRule type="cellIs" dxfId="302" priority="61" operator="equal">
      <formula>"MAJOR FUNCTIONAL"</formula>
    </cfRule>
    <cfRule type="cellIs" dxfId="301" priority="60" operator="equal">
      <formula>"MAJOR VISUAL"</formula>
    </cfRule>
    <cfRule type="containsText" dxfId="300" priority="55" operator="containsText" text="Error">
      <formula>NOT(ISERROR(SEARCH("Error",B127)))</formula>
    </cfRule>
    <cfRule type="cellIs" dxfId="299" priority="54" operator="equal">
      <formula>"MINOR VISUAL"</formula>
    </cfRule>
    <cfRule type="cellIs" dxfId="298" priority="53" operator="equal">
      <formula>"BARCODE FAIL"</formula>
    </cfRule>
  </conditionalFormatting>
  <conditionalFormatting sqref="B212">
    <cfRule type="cellIs" dxfId="297" priority="148" operator="equal">
      <formula>"MINOR VISUAL"</formula>
    </cfRule>
    <cfRule type="cellIs" dxfId="296" priority="147" operator="equal">
      <formula>"BARCODE FAIL"</formula>
    </cfRule>
    <cfRule type="containsText" dxfId="295" priority="149" operator="containsText" text="Error">
      <formula>NOT(ISERROR(SEARCH("Error",B212)))</formula>
    </cfRule>
  </conditionalFormatting>
  <conditionalFormatting sqref="B127:C127">
    <cfRule type="cellIs" dxfId="294" priority="59" operator="equal">
      <formula>"INVALID"</formula>
    </cfRule>
    <cfRule type="cellIs" dxfId="293" priority="58" operator="equal">
      <formula>"SPC CT=0"</formula>
    </cfRule>
    <cfRule type="cellIs" dxfId="292" priority="57" operator="equal">
      <formula>"E*"</formula>
    </cfRule>
    <cfRule type="cellIs" dxfId="291" priority="56" operator="equal">
      <formula>"SEAL TEST FAILURE"</formula>
    </cfRule>
  </conditionalFormatting>
  <conditionalFormatting sqref="B212:C212">
    <cfRule type="cellIs" dxfId="290" priority="150" operator="equal">
      <formula>"SEAL TEST FAILURE"</formula>
    </cfRule>
    <cfRule type="cellIs" dxfId="289" priority="151" operator="equal">
      <formula>"E*"</formula>
    </cfRule>
    <cfRule type="cellIs" dxfId="288" priority="152" operator="equal">
      <formula>"SPC CT=0"</formula>
    </cfRule>
    <cfRule type="cellIs" dxfId="287" priority="153" operator="equal">
      <formula>"INVALID"</formula>
    </cfRule>
    <cfRule type="cellIs" dxfId="286" priority="154" operator="equal">
      <formula>"MAJOR VISUAL"</formula>
    </cfRule>
    <cfRule type="cellIs" dxfId="285" priority="155" operator="equal">
      <formula>"MAJOR FUNCTIONAL"</formula>
    </cfRule>
    <cfRule type="cellIs" dxfId="284" priority="156" operator="equal">
      <formula>"PASS"</formula>
    </cfRule>
  </conditionalFormatting>
  <conditionalFormatting sqref="C2:C7">
    <cfRule type="cellIs" dxfId="283" priority="112" operator="equal">
      <formula>"SPC CT=0"</formula>
    </cfRule>
    <cfRule type="cellIs" dxfId="282" priority="116" operator="equal">
      <formula>"PASS"</formula>
    </cfRule>
    <cfRule type="cellIs" dxfId="281" priority="108" operator="equal">
      <formula>"MINOR VISUAL"</formula>
    </cfRule>
    <cfRule type="containsText" dxfId="280" priority="109" operator="containsText" text="Error">
      <formula>NOT(ISERROR(SEARCH("Error",C2)))</formula>
    </cfRule>
    <cfRule type="cellIs" dxfId="279" priority="110" operator="equal">
      <formula>"SEAL TEST FAILURE"</formula>
    </cfRule>
    <cfRule type="cellIs" dxfId="278" priority="111" operator="equal">
      <formula>"E*"</formula>
    </cfRule>
    <cfRule type="cellIs" dxfId="277" priority="107" operator="equal">
      <formula>"BARCODE FAIL"</formula>
    </cfRule>
    <cfRule type="cellIs" dxfId="276" priority="113" operator="equal">
      <formula>"INVALID"</formula>
    </cfRule>
    <cfRule type="cellIs" dxfId="275" priority="114" operator="equal">
      <formula>"MAJOR VISUAL"</formula>
    </cfRule>
    <cfRule type="cellIs" dxfId="274" priority="115" operator="equal">
      <formula>"MAJOR FUNCTIONAL"</formula>
    </cfRule>
  </conditionalFormatting>
  <conditionalFormatting sqref="C9:C22">
    <cfRule type="cellIs" dxfId="273" priority="188" operator="equal">
      <formula>"MINOR VISUAL"</formula>
    </cfRule>
    <cfRule type="cellIs" dxfId="272" priority="196" operator="equal">
      <formula>"PASS"</formula>
    </cfRule>
    <cfRule type="cellIs" dxfId="271" priority="195" operator="equal">
      <formula>"MAJOR FUNCTIONAL"</formula>
    </cfRule>
    <cfRule type="cellIs" dxfId="270" priority="194" operator="equal">
      <formula>"MAJOR VISUAL"</formula>
    </cfRule>
    <cfRule type="cellIs" dxfId="269" priority="193" operator="equal">
      <formula>"INVALID"</formula>
    </cfRule>
    <cfRule type="cellIs" dxfId="268" priority="192" operator="equal">
      <formula>"SPC CT=0"</formula>
    </cfRule>
    <cfRule type="cellIs" dxfId="267" priority="191" operator="equal">
      <formula>"E*"</formula>
    </cfRule>
    <cfRule type="cellIs" dxfId="266" priority="190" operator="equal">
      <formula>"SEAL TEST FAILURE"</formula>
    </cfRule>
    <cfRule type="containsText" dxfId="265" priority="189" operator="containsText" text="Error">
      <formula>NOT(ISERROR(SEARCH("Error",C9)))</formula>
    </cfRule>
    <cfRule type="cellIs" dxfId="264" priority="187" operator="equal">
      <formula>"BARCODE FAIL"</formula>
    </cfRule>
  </conditionalFormatting>
  <conditionalFormatting sqref="C10:C19 C25:C125 C130:C209 C215:C234">
    <cfRule type="cellIs" dxfId="263" priority="86" operator="equal">
      <formula>"DELAMINATION"</formula>
    </cfRule>
  </conditionalFormatting>
  <conditionalFormatting sqref="C24:C125 C214:C235 D236 C237 C338 C340:C1048576">
    <cfRule type="cellIs" dxfId="262" priority="256" operator="equal">
      <formula>"INVALID"</formula>
    </cfRule>
    <cfRule type="cellIs" dxfId="261" priority="255" operator="equal">
      <formula>"SPC CT=0"</formula>
    </cfRule>
    <cfRule type="cellIs" dxfId="260" priority="254" operator="equal">
      <formula>"E*"</formula>
    </cfRule>
    <cfRule type="cellIs" dxfId="259" priority="253" operator="equal">
      <formula>"SEAL TEST FAILURE"</formula>
    </cfRule>
  </conditionalFormatting>
  <conditionalFormatting sqref="C24:C127">
    <cfRule type="cellIs" dxfId="258" priority="64" operator="equal">
      <formula>"MINOR VISUAL"</formula>
    </cfRule>
    <cfRule type="cellIs" dxfId="257" priority="63" operator="equal">
      <formula>"BARCODE FAIL"</formula>
    </cfRule>
    <cfRule type="containsText" dxfId="256" priority="65" operator="containsText" text="Error">
      <formula>NOT(ISERROR(SEARCH("Error",C24)))</formula>
    </cfRule>
  </conditionalFormatting>
  <conditionalFormatting sqref="C127">
    <cfRule type="cellIs" dxfId="255" priority="70" operator="equal">
      <formula>"MAJOR VISUAL"</formula>
    </cfRule>
    <cfRule type="cellIs" dxfId="254" priority="71" operator="equal">
      <formula>"MAJOR FUNCTIONAL"</formula>
    </cfRule>
    <cfRule type="cellIs" dxfId="253" priority="72" operator="equal">
      <formula>"PASS"</formula>
    </cfRule>
  </conditionalFormatting>
  <conditionalFormatting sqref="C129:C210">
    <cfRule type="cellIs" dxfId="252" priority="85" operator="equal">
      <formula>"PASS"</formula>
    </cfRule>
    <cfRule type="cellIs" dxfId="251" priority="84" operator="equal">
      <formula>"MAJOR FUNCTIONAL"</formula>
    </cfRule>
    <cfRule type="cellIs" dxfId="250" priority="83" operator="equal">
      <formula>"MAJOR VISUAL"</formula>
    </cfRule>
    <cfRule type="cellIs" dxfId="249" priority="82" operator="equal">
      <formula>"INVALID"</formula>
    </cfRule>
    <cfRule type="cellIs" dxfId="248" priority="81" operator="equal">
      <formula>"SPC CT=0"</formula>
    </cfRule>
    <cfRule type="cellIs" dxfId="247" priority="80" operator="equal">
      <formula>"E*"</formula>
    </cfRule>
    <cfRule type="cellIs" dxfId="246" priority="79" operator="equal">
      <formula>"SEAL TEST FAILURE"</formula>
    </cfRule>
  </conditionalFormatting>
  <conditionalFormatting sqref="C129:C212">
    <cfRule type="cellIs" dxfId="245" priority="73" operator="equal">
      <formula>"BARCODE FAIL"</formula>
    </cfRule>
    <cfRule type="cellIs" dxfId="244" priority="74" operator="equal">
      <formula>"MINOR VISUAL"</formula>
    </cfRule>
    <cfRule type="containsText" dxfId="243" priority="76" operator="containsText" text="Error">
      <formula>NOT(ISERROR(SEARCH("Error",C129)))</formula>
    </cfRule>
  </conditionalFormatting>
  <conditionalFormatting sqref="C130:C234">
    <cfRule type="cellIs" dxfId="242" priority="1" operator="equal">
      <formula>"Indeterminate"</formula>
    </cfRule>
  </conditionalFormatting>
  <conditionalFormatting sqref="C214:C235 D236 C237 C338 C340:C1048576 C24:C125">
    <cfRule type="cellIs" dxfId="241" priority="259" operator="equal">
      <formula>"PASS"</formula>
    </cfRule>
    <cfRule type="cellIs" dxfId="240" priority="258" operator="equal">
      <formula>"MAJOR FUNCTIONAL"</formula>
    </cfRule>
    <cfRule type="cellIs" dxfId="239" priority="257" operator="equal">
      <formula>"MAJOR VISUAL"</formula>
    </cfRule>
  </conditionalFormatting>
  <conditionalFormatting sqref="C214:C235 D236 C237 C338 C340:C1048576">
    <cfRule type="containsText" dxfId="238" priority="250" operator="containsText" text="Error">
      <formula>NOT(ISERROR(SEARCH("Error",C214)))</formula>
    </cfRule>
    <cfRule type="cellIs" dxfId="237" priority="248" operator="equal">
      <formula>"MINOR VISUAL"</formula>
    </cfRule>
    <cfRule type="cellIs" dxfId="236" priority="247" operator="equal">
      <formula>"BARCODE FAIL"</formula>
    </cfRule>
  </conditionalFormatting>
  <conditionalFormatting sqref="D3:D4">
    <cfRule type="cellIs" dxfId="235" priority="246" operator="equal">
      <formula>"PASS"</formula>
    </cfRule>
    <cfRule type="cellIs" dxfId="234" priority="245" operator="equal">
      <formula>"MAJOR FUNCTIONAL"</formula>
    </cfRule>
    <cfRule type="cellIs" dxfId="233" priority="244" operator="equal">
      <formula>"MAJOR VISUAL"</formula>
    </cfRule>
    <cfRule type="cellIs" dxfId="232" priority="243" operator="equal">
      <formula>"INVALID"</formula>
    </cfRule>
    <cfRule type="cellIs" dxfId="231" priority="242" operator="equal">
      <formula>"SPC CT=0"</formula>
    </cfRule>
    <cfRule type="cellIs" dxfId="230" priority="241" operator="equal">
      <formula>"E*"</formula>
    </cfRule>
    <cfRule type="cellIs" dxfId="229" priority="240" operator="equal">
      <formula>"SEAL TEST FAILURE"</formula>
    </cfRule>
    <cfRule type="containsText" dxfId="228" priority="239" operator="containsText" text="Error">
      <formula>NOT(ISERROR(SEARCH("Error",D3)))</formula>
    </cfRule>
    <cfRule type="cellIs" dxfId="227" priority="238" operator="equal">
      <formula>"MINOR VISUAL"</formula>
    </cfRule>
    <cfRule type="cellIs" dxfId="226" priority="237" operator="equal">
      <formula>"BARCODE FAIL"</formula>
    </cfRule>
  </conditionalFormatting>
  <conditionalFormatting sqref="D5 D9:D20 D24:D125 D214:D235 D237 D338 D340:D1048576">
    <cfRule type="cellIs" dxfId="225" priority="249" operator="equal">
      <formula>"N/A"</formula>
    </cfRule>
    <cfRule type="cellIs" dxfId="224" priority="252" operator="equal">
      <formula>"Fail"</formula>
    </cfRule>
    <cfRule type="cellIs" dxfId="223" priority="251" operator="equal">
      <formula>"Pass"</formula>
    </cfRule>
  </conditionalFormatting>
  <conditionalFormatting sqref="D6:D7">
    <cfRule type="cellIs" dxfId="222" priority="203" operator="equal">
      <formula>"INVALID"</formula>
    </cfRule>
    <cfRule type="containsText" dxfId="221" priority="199" operator="containsText" text="Error">
      <formula>NOT(ISERROR(SEARCH("Error",D6)))</formula>
    </cfRule>
    <cfRule type="cellIs" dxfId="220" priority="200" operator="equal">
      <formula>"SEAL TEST FAILURE"</formula>
    </cfRule>
    <cfRule type="cellIs" dxfId="219" priority="201" operator="equal">
      <formula>"E*"</formula>
    </cfRule>
    <cfRule type="cellIs" dxfId="218" priority="202" operator="equal">
      <formula>"SPC CT=0"</formula>
    </cfRule>
    <cfRule type="cellIs" dxfId="217" priority="204" operator="equal">
      <formula>"MAJOR VISUAL"</formula>
    </cfRule>
    <cfRule type="cellIs" dxfId="216" priority="205" operator="equal">
      <formula>"MAJOR FUNCTIONAL"</formula>
    </cfRule>
    <cfRule type="cellIs" dxfId="215" priority="206" operator="equal">
      <formula>"PASS"</formula>
    </cfRule>
    <cfRule type="cellIs" dxfId="214" priority="197" operator="equal">
      <formula>"BARCODE FAIL"</formula>
    </cfRule>
    <cfRule type="cellIs" dxfId="213" priority="198" operator="equal">
      <formula>"MINOR VISUAL"</formula>
    </cfRule>
  </conditionalFormatting>
  <conditionalFormatting sqref="D21:D22">
    <cfRule type="cellIs" dxfId="212" priority="120" operator="equal">
      <formula>"SEAL TEST FAILURE"</formula>
    </cfRule>
    <cfRule type="cellIs" dxfId="211" priority="126" operator="equal">
      <formula>"PASS"</formula>
    </cfRule>
    <cfRule type="containsText" dxfId="210" priority="119" operator="containsText" text="Error">
      <formula>NOT(ISERROR(SEARCH("Error",D21)))</formula>
    </cfRule>
    <cfRule type="cellIs" dxfId="209" priority="118" operator="equal">
      <formula>"MINOR VISUAL"</formula>
    </cfRule>
    <cfRule type="cellIs" dxfId="208" priority="117" operator="equal">
      <formula>"BARCODE FAIL"</formula>
    </cfRule>
    <cfRule type="cellIs" dxfId="207" priority="125" operator="equal">
      <formula>"MAJOR FUNCTIONAL"</formula>
    </cfRule>
    <cfRule type="cellIs" dxfId="206" priority="124" operator="equal">
      <formula>"MAJOR VISUAL"</formula>
    </cfRule>
    <cfRule type="cellIs" dxfId="205" priority="123" operator="equal">
      <formula>"INVALID"</formula>
    </cfRule>
    <cfRule type="cellIs" dxfId="204" priority="122" operator="equal">
      <formula>"SPC CT=0"</formula>
    </cfRule>
    <cfRule type="cellIs" dxfId="203" priority="121" operator="equal">
      <formula>"E*"</formula>
    </cfRule>
  </conditionalFormatting>
  <conditionalFormatting sqref="D126:D127">
    <cfRule type="cellIs" dxfId="202" priority="41" operator="equal">
      <formula>"MAJOR FUNCTIONAL"</formula>
    </cfRule>
    <cfRule type="cellIs" dxfId="201" priority="34" operator="equal">
      <formula>"MINOR VISUAL"</formula>
    </cfRule>
    <cfRule type="cellIs" dxfId="200" priority="37" operator="equal">
      <formula>"E*"</formula>
    </cfRule>
    <cfRule type="cellIs" dxfId="199" priority="38" operator="equal">
      <formula>"SPC CT=0"</formula>
    </cfRule>
    <cfRule type="cellIs" dxfId="198" priority="39" operator="equal">
      <formula>"INVALID"</formula>
    </cfRule>
    <cfRule type="cellIs" dxfId="197" priority="40" operator="equal">
      <formula>"MAJOR VISUAL"</formula>
    </cfRule>
    <cfRule type="cellIs" dxfId="196" priority="42" operator="equal">
      <formula>"PASS"</formula>
    </cfRule>
    <cfRule type="cellIs" dxfId="195" priority="33" operator="equal">
      <formula>"BARCODE FAIL"</formula>
    </cfRule>
    <cfRule type="containsText" dxfId="194" priority="35" operator="containsText" text="Error">
      <formula>NOT(ISERROR(SEARCH("Error",D126)))</formula>
    </cfRule>
    <cfRule type="cellIs" dxfId="193" priority="36" operator="equal">
      <formula>"SEAL TEST FAILURE"</formula>
    </cfRule>
  </conditionalFormatting>
  <conditionalFormatting sqref="D129:D210">
    <cfRule type="cellIs" dxfId="192" priority="77" operator="equal">
      <formula>"Pass"</formula>
    </cfRule>
    <cfRule type="cellIs" dxfId="191" priority="75" operator="equal">
      <formula>"N/A"</formula>
    </cfRule>
    <cfRule type="cellIs" dxfId="190" priority="78" operator="equal">
      <formula>"Fail"</formula>
    </cfRule>
  </conditionalFormatting>
  <conditionalFormatting sqref="D211:D212">
    <cfRule type="cellIs" dxfId="189" priority="127" operator="equal">
      <formula>"BARCODE FAIL"</formula>
    </cfRule>
    <cfRule type="cellIs" dxfId="188" priority="128" operator="equal">
      <formula>"MINOR VISUAL"</formula>
    </cfRule>
    <cfRule type="containsText" dxfId="187" priority="129" operator="containsText" text="Error">
      <formula>NOT(ISERROR(SEARCH("Error",D211)))</formula>
    </cfRule>
    <cfRule type="cellIs" dxfId="186" priority="130" operator="equal">
      <formula>"SEAL TEST FAILURE"</formula>
    </cfRule>
    <cfRule type="cellIs" dxfId="185" priority="131" operator="equal">
      <formula>"E*"</formula>
    </cfRule>
    <cfRule type="cellIs" dxfId="184" priority="132" operator="equal">
      <formula>"SPC CT=0"</formula>
    </cfRule>
    <cfRule type="cellIs" dxfId="183" priority="133" operator="equal">
      <formula>"INVALID"</formula>
    </cfRule>
    <cfRule type="cellIs" dxfId="182" priority="134" operator="equal">
      <formula>"MAJOR VISUAL"</formula>
    </cfRule>
    <cfRule type="cellIs" dxfId="181" priority="135" operator="equal">
      <formula>"MAJOR FUNCTIONAL"</formula>
    </cfRule>
    <cfRule type="cellIs" dxfId="180" priority="136" operator="equal">
      <formula>"PASS"</formula>
    </cfRule>
  </conditionalFormatting>
  <pageMargins left="0.51181102362204722" right="0.51181102362204722" top="0.98425196850393704" bottom="0.98425196850393704" header="0.23622047244094491" footer="0.23622047244094491"/>
  <pageSetup scale="27" fitToHeight="0"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rowBreaks count="1" manualBreakCount="1">
    <brk id="125" max="1048575" man="1"/>
  </rowBreaks>
  <extLst>
    <ext xmlns:x14="http://schemas.microsoft.com/office/spreadsheetml/2009/9/main" uri="{CCE6A557-97BC-4b89-ADB6-D9C93CAAB3DF}">
      <x14:dataValidations xmlns:xm="http://schemas.microsoft.com/office/excel/2006/main" count="3">
        <x14:dataValidation type="list" showInputMessage="1" xr:uid="{00000000-0002-0000-0C00-000000000000}">
          <x14:formula1>
            <xm:f>'/Users/jesperfredriksson/Desktop/M:\Product Transfer\Shared\NPI\00_NPI General\10_QC-IPT consolidation\MTB RIF ULTRA V2\IPT\[Copy of Copy of D25862_ATTR 101010 attachment 3.xlsx]For Reference Only'!#REF!</xm:f>
          </x14:formula1>
          <xm:sqref>E10:E19 E125</xm:sqref>
        </x14:dataValidation>
        <x14:dataValidation type="list" showInputMessage="1" xr:uid="{00000000-0002-0000-0C00-000001000000}">
          <x14:formula1>
            <xm:f>'For Reference Only'!$C$2:$C$14</xm:f>
          </x14:formula1>
          <xm:sqref>E25:E124 E130:E209 E215:E234</xm:sqref>
        </x14:dataValidation>
        <x14:dataValidation type="list" allowBlank="1" showInputMessage="1" xr:uid="{6392B5E2-91E4-4919-99DB-2FB3800BD875}">
          <x14:formula1>
            <xm:f>'For Reference Only'!$A$2:$A$5</xm:f>
          </x14:formula1>
          <xm:sqref>E238:E337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102"/>
  <sheetViews>
    <sheetView zoomScaleNormal="100" zoomScaleSheetLayoutView="30" workbookViewId="0"/>
  </sheetViews>
  <sheetFormatPr baseColWidth="10" defaultColWidth="8.5" defaultRowHeight="13" x14ac:dyDescent="0.15"/>
  <cols>
    <col min="1" max="1" width="19.5" bestFit="1" customWidth="1"/>
    <col min="2" max="2" width="21.5" customWidth="1"/>
    <col min="3" max="3" width="10.5" customWidth="1"/>
    <col min="4" max="4" width="10.5" style="160" bestFit="1" customWidth="1"/>
    <col min="5" max="5" width="8.5" style="160" bestFit="1" customWidth="1"/>
    <col min="6" max="8" width="9.5" style="160" customWidth="1"/>
    <col min="9" max="9" width="18.5" style="160" customWidth="1"/>
    <col min="10" max="11" width="11.6640625" style="160" customWidth="1"/>
    <col min="12" max="13" width="11.6640625" customWidth="1"/>
    <col min="14" max="14" width="9" customWidth="1"/>
    <col min="15" max="19" width="8.5" style="64" customWidth="1"/>
    <col min="22" max="22" width="15.5" customWidth="1"/>
    <col min="23" max="27" width="11.6640625" customWidth="1"/>
    <col min="29" max="29" width="9.1640625" style="264" customWidth="1"/>
    <col min="31" max="31" width="9.1640625" style="264" customWidth="1"/>
    <col min="33" max="33" width="9.1640625" style="264" customWidth="1"/>
    <col min="35" max="35" width="9.1640625" style="264" customWidth="1"/>
  </cols>
  <sheetData>
    <row r="1" spans="1:35" ht="72" x14ac:dyDescent="0.15">
      <c r="A1" s="160"/>
      <c r="B1" s="209" t="s">
        <v>539</v>
      </c>
      <c r="C1" s="160"/>
      <c r="I1" s="209" t="s">
        <v>540</v>
      </c>
      <c r="V1" s="209" t="s">
        <v>541</v>
      </c>
    </row>
    <row r="2" spans="1:35" ht="80" customHeight="1" x14ac:dyDescent="0.15">
      <c r="A2" s="160"/>
      <c r="B2" s="174" t="s">
        <v>542</v>
      </c>
      <c r="C2" s="171" t="s">
        <v>543</v>
      </c>
      <c r="D2" s="172" t="s">
        <v>547</v>
      </c>
      <c r="E2" s="172" t="s">
        <v>545</v>
      </c>
      <c r="F2" s="169" t="s">
        <v>548</v>
      </c>
      <c r="I2" s="223" t="s">
        <v>542</v>
      </c>
      <c r="J2" s="224" t="s">
        <v>543</v>
      </c>
      <c r="K2" s="172" t="s">
        <v>549</v>
      </c>
      <c r="L2" s="172" t="s">
        <v>550</v>
      </c>
      <c r="M2" s="169" t="s">
        <v>551</v>
      </c>
      <c r="N2" s="171" t="s">
        <v>552</v>
      </c>
      <c r="O2" s="172" t="s">
        <v>553</v>
      </c>
      <c r="P2" s="172" t="s">
        <v>554</v>
      </c>
      <c r="Q2" s="172" t="s">
        <v>555</v>
      </c>
      <c r="R2" s="172" t="s">
        <v>556</v>
      </c>
      <c r="S2" s="169" t="s">
        <v>557</v>
      </c>
      <c r="V2" s="265" t="s">
        <v>542</v>
      </c>
      <c r="W2" s="267" t="s">
        <v>543</v>
      </c>
      <c r="X2" s="210" t="s">
        <v>549</v>
      </c>
      <c r="Y2" s="210" t="s">
        <v>550</v>
      </c>
      <c r="Z2" s="210" t="s">
        <v>558</v>
      </c>
      <c r="AA2" s="211" t="s">
        <v>551</v>
      </c>
      <c r="AB2" s="266" t="s">
        <v>552</v>
      </c>
      <c r="AC2" s="210" t="s">
        <v>553</v>
      </c>
      <c r="AD2" s="210" t="s">
        <v>554</v>
      </c>
      <c r="AE2" s="210" t="s">
        <v>555</v>
      </c>
      <c r="AF2" s="210" t="s">
        <v>559</v>
      </c>
      <c r="AG2" s="210" t="s">
        <v>560</v>
      </c>
      <c r="AH2" s="210" t="s">
        <v>556</v>
      </c>
      <c r="AI2" s="211" t="s">
        <v>557</v>
      </c>
    </row>
    <row r="3" spans="1:35" ht="27" customHeight="1" x14ac:dyDescent="0.15">
      <c r="A3" s="160"/>
      <c r="B3" s="390">
        <v>1</v>
      </c>
      <c r="C3" s="167" t="str">
        <f>IF('Resample Data Summary'!C25="PASS",IF('Data - Sample Type 0'!AE104=0,40,'Data - Sample Type 0'!AE104),"")</f>
        <v/>
      </c>
      <c r="D3" s="389" t="e">
        <f>ROUND(AVERAGE(C3:C12),1)</f>
        <v>#DIV/0!</v>
      </c>
      <c r="E3" s="167" t="str">
        <f>IF('Resample Data Summary'!C25="PASS",IF('Resample Data Summary'!A25="","",'Data - Sample Type 0'!Q104),"")</f>
        <v/>
      </c>
      <c r="F3" s="396" t="e">
        <f>ROUND(AVERAGE(E3:E12),1)</f>
        <v>#DIV/0!</v>
      </c>
      <c r="I3" s="384">
        <v>1</v>
      </c>
      <c r="J3" s="252" t="str">
        <f>IF('Resample Data Summary'!C130="PASS",IF('Data - Sample Type 1'!AE84=0,40,'Data - Sample Type 1'!AE84),"")</f>
        <v/>
      </c>
      <c r="K3" s="167" t="str">
        <f>IF('Resample Data Summary'!C130="PASS",IF('Data - Sample Type 1'!AS84=0,40,'Data - Sample Type 1'!AS84),"")</f>
        <v/>
      </c>
      <c r="L3" s="167" t="str">
        <f>IF('Resample Data Summary'!C130="PASS",IF('Data - Sample Type 1'!BG84=0,40,'Data - Sample Type 1'!BG84),"")</f>
        <v/>
      </c>
      <c r="M3" s="253" t="str">
        <f>IF('Resample Data Summary'!C130="PASS",IF('Data - Sample Type 1'!CI84=0,40,'Data - Sample Type 1'!CI84),"")</f>
        <v/>
      </c>
      <c r="N3" s="260" t="str">
        <f>IF('Resample Data Summary'!C130="PASS",'Data - Sample Type 1'!DK84,"")</f>
        <v/>
      </c>
      <c r="O3" s="379" t="e">
        <f>ROUND(AVERAGE(N3:N10),1)</f>
        <v>#DIV/0!</v>
      </c>
      <c r="P3" s="225" t="str">
        <f>IF('Resample Data Summary'!C130="PASS",'Data - Sample Type 1'!EY84,"")</f>
        <v/>
      </c>
      <c r="Q3" s="379" t="e">
        <f>ROUND(AVERAGE(P3:P10),1)</f>
        <v>#DIV/0!</v>
      </c>
      <c r="R3" s="225" t="str">
        <f>IF('Resample Data Summary'!C130="PASS",'Data - Sample Type 1'!FO84,"")</f>
        <v/>
      </c>
      <c r="S3" s="373" t="e">
        <f>ROUND(AVERAGE(R3:R10),1)</f>
        <v>#DIV/0!</v>
      </c>
      <c r="V3" s="439" t="s">
        <v>562</v>
      </c>
      <c r="W3" s="218" t="str">
        <f>IF('Resample Data Summary'!C215="PASS",IF('Data - Sample Type 2'!AE24=0,40,'Data - Sample Type 2'!AE24),"")</f>
        <v/>
      </c>
      <c r="X3" s="225" t="str">
        <f>IF('Resample Data Summary'!C215="PASS",IF('Data - Sample Type 2'!AS24=0,40,'Data - Sample Type 2'!AS24),"")</f>
        <v/>
      </c>
      <c r="Y3" s="225" t="str">
        <f>IF('Resample Data Summary'!C215="PASS",IF('Data - Sample Type 2'!BG24=0,40,'Data - Sample Type 2'!BG24),"")</f>
        <v/>
      </c>
      <c r="Z3" s="225" t="str">
        <f>IF('Resample Data Summary'!C215="PASS",IF('Data - Sample Type 2'!BU24=0,40,'Data - Sample Type 2'!BU24),"")</f>
        <v/>
      </c>
      <c r="AA3" s="229" t="str">
        <f>IF('Resample Data Summary'!C215="PASS",IF('Data - Sample Type 2'!CI24=0,40,'Data - Sample Type 2'!CI24),"")</f>
        <v/>
      </c>
      <c r="AB3" s="239" t="str">
        <f>IF('Resample Data Summary'!C215="PASS",'Data - Sample Type 2'!DK24,"")</f>
        <v/>
      </c>
      <c r="AC3" s="437" t="e">
        <f>ROUND(AVERAGE(AB3:AB12),1)</f>
        <v>#DIV/0!</v>
      </c>
      <c r="AD3" s="225" t="str">
        <f>IF('Resample Data Summary'!C215="PASS",'Data - Sample Type 2'!EY24,"")</f>
        <v/>
      </c>
      <c r="AE3" s="437" t="e">
        <f>ROUND(AVERAGE(AD3:AD12),1)</f>
        <v>#DIV/0!</v>
      </c>
      <c r="AF3" s="225" t="str">
        <f>IF('Resample Data Summary'!C215="PASS",'Data - Sample Type 2'!EA24,"")</f>
        <v/>
      </c>
      <c r="AG3" s="437" t="e">
        <f>ROUND(AVERAGE(AF3:AF12),1)</f>
        <v>#DIV/0!</v>
      </c>
      <c r="AH3" s="225" t="str">
        <f>IF('Resample Data Summary'!C215="PASS",'Data - Sample Type 2'!EI24,"")</f>
        <v/>
      </c>
      <c r="AI3" s="436" t="e">
        <f>ROUND(AVERAGE(AH3:AH12),1)</f>
        <v>#DIV/0!</v>
      </c>
    </row>
    <row r="4" spans="1:35" x14ac:dyDescent="0.15">
      <c r="A4" s="160"/>
      <c r="B4" s="391"/>
      <c r="C4" s="163" t="str">
        <f>IF('Resample Data Summary'!C26="PASS",IF('Data - Sample Type 0'!AE105=0,40,'Data - Sample Type 0'!AE105),"")</f>
        <v/>
      </c>
      <c r="D4" s="387"/>
      <c r="E4" s="163" t="str">
        <f>IF('Resample Data Summary'!C26="PASS",IF('Resample Data Summary'!A26="","",'Data - Sample Type 0'!Q105),"")</f>
        <v/>
      </c>
      <c r="F4" s="394"/>
      <c r="I4" s="385"/>
      <c r="J4" s="254" t="str">
        <f>IF('Resample Data Summary'!C131="PASS",IF('Data - Sample Type 1'!AE85=0,40,'Data - Sample Type 1'!AE85),"")</f>
        <v/>
      </c>
      <c r="K4" s="163" t="str">
        <f>IF('Resample Data Summary'!C131="PASS",IF('Data - Sample Type 1'!AS85=0,40,'Data - Sample Type 1'!AS85),"")</f>
        <v/>
      </c>
      <c r="L4" s="163" t="str">
        <f>IF('Resample Data Summary'!C131="PASS",IF('Data - Sample Type 1'!BG85=0,40,'Data - Sample Type 1'!BG85),"")</f>
        <v/>
      </c>
      <c r="M4" s="255" t="str">
        <f>IF('Resample Data Summary'!C131="PASS",IF('Data - Sample Type 1'!CI85=0,40,'Data - Sample Type 1'!CI85),"")</f>
        <v/>
      </c>
      <c r="N4" s="261" t="str">
        <f>IF('Resample Data Summary'!C131="PASS",'Data - Sample Type 1'!DK85,"")</f>
        <v/>
      </c>
      <c r="O4" s="377"/>
      <c r="P4" s="78" t="str">
        <f>IF('Resample Data Summary'!C131="PASS",'Data - Sample Type 1'!EY85,"")</f>
        <v/>
      </c>
      <c r="Q4" s="377"/>
      <c r="R4" s="78" t="str">
        <f>IF('Resample Data Summary'!C131="PASS",'Data - Sample Type 1'!FO85,"")</f>
        <v/>
      </c>
      <c r="S4" s="374"/>
      <c r="V4" s="385"/>
      <c r="W4" s="219" t="str">
        <f>IF('Resample Data Summary'!C216="PASS",IF('Data - Sample Type 2'!AE25=0,40,'Data - Sample Type 2'!AE25),"")</f>
        <v/>
      </c>
      <c r="X4" s="78" t="str">
        <f>IF('Resample Data Summary'!C216="PASS",IF('Data - Sample Type 2'!AS25=0,40,'Data - Sample Type 2'!AS25),"")</f>
        <v/>
      </c>
      <c r="Y4" s="78" t="str">
        <f>IF('Resample Data Summary'!C216="PASS",IF('Data - Sample Type 2'!BG25=0,40,'Data - Sample Type 2'!BG25),"")</f>
        <v/>
      </c>
      <c r="Z4" s="78" t="str">
        <f>IF('Resample Data Summary'!C216="PASS",IF('Data - Sample Type 2'!BU25=0,40,'Data - Sample Type 2'!BU25),"")</f>
        <v/>
      </c>
      <c r="AA4" s="231" t="str">
        <f>IF('Resample Data Summary'!C216="PASS",IF('Data - Sample Type 2'!CI25=0,40,'Data - Sample Type 2'!CI25),"")</f>
        <v/>
      </c>
      <c r="AB4" s="240" t="str">
        <f>IF('Resample Data Summary'!C216="PASS",'Data - Sample Type 2'!DK25,"")</f>
        <v/>
      </c>
      <c r="AC4" s="382"/>
      <c r="AD4" s="78" t="str">
        <f>IF('Resample Data Summary'!C216="PASS",'Data - Sample Type 2'!EY25,"")</f>
        <v/>
      </c>
      <c r="AE4" s="382"/>
      <c r="AF4" s="78" t="str">
        <f>IF('Resample Data Summary'!C216="PASS",'Data - Sample Type 2'!EA25,"")</f>
        <v/>
      </c>
      <c r="AG4" s="382"/>
      <c r="AH4" s="78" t="str">
        <f>IF('Resample Data Summary'!C216="PASS",'Data - Sample Type 2'!EI25,"")</f>
        <v/>
      </c>
      <c r="AI4" s="380"/>
    </row>
    <row r="5" spans="1:35" x14ac:dyDescent="0.15">
      <c r="A5" s="160"/>
      <c r="B5" s="391"/>
      <c r="C5" s="163" t="str">
        <f>IF('Resample Data Summary'!C27="PASS",IF('Data - Sample Type 0'!AE106=0,40,'Data - Sample Type 0'!AE106),"")</f>
        <v/>
      </c>
      <c r="D5" s="387"/>
      <c r="E5" s="163" t="str">
        <f>IF('Resample Data Summary'!C27="PASS",IF('Resample Data Summary'!A27="","",'Data - Sample Type 0'!Q106),"")</f>
        <v/>
      </c>
      <c r="F5" s="394"/>
      <c r="I5" s="385"/>
      <c r="J5" s="254" t="str">
        <f>IF('Resample Data Summary'!C132="PASS",IF('Data - Sample Type 1'!AE86=0,40,'Data - Sample Type 1'!AE86),"")</f>
        <v/>
      </c>
      <c r="K5" s="163" t="str">
        <f>IF('Resample Data Summary'!C132="PASS",IF('Data - Sample Type 1'!AS86=0,40,'Data - Sample Type 1'!AS86),"")</f>
        <v/>
      </c>
      <c r="L5" s="163" t="str">
        <f>IF('Resample Data Summary'!C132="PASS",IF('Data - Sample Type 1'!BG86=0,40,'Data - Sample Type 1'!BG86),"")</f>
        <v/>
      </c>
      <c r="M5" s="255" t="str">
        <f>IF('Resample Data Summary'!C132="PASS",IF('Data - Sample Type 1'!CI86=0,40,'Data - Sample Type 1'!CI86),"")</f>
        <v/>
      </c>
      <c r="N5" s="261" t="str">
        <f>IF('Resample Data Summary'!C132="PASS",'Data - Sample Type 1'!DK86,"")</f>
        <v/>
      </c>
      <c r="O5" s="377"/>
      <c r="P5" s="78" t="str">
        <f>IF('Resample Data Summary'!C132="PASS",'Data - Sample Type 1'!EY86,"")</f>
        <v/>
      </c>
      <c r="Q5" s="377"/>
      <c r="R5" s="78" t="str">
        <f>IF('Resample Data Summary'!C132="PASS",'Data - Sample Type 1'!FO86,"")</f>
        <v/>
      </c>
      <c r="S5" s="374"/>
      <c r="V5" s="385"/>
      <c r="W5" s="219" t="str">
        <f>IF('Resample Data Summary'!C217="PASS",IF('Data - Sample Type 2'!AE26=0,40,'Data - Sample Type 2'!AE26),"")</f>
        <v/>
      </c>
      <c r="X5" s="78" t="str">
        <f>IF('Resample Data Summary'!C217="PASS",IF('Data - Sample Type 2'!AS26=0,40,'Data - Sample Type 2'!AS26),"")</f>
        <v/>
      </c>
      <c r="Y5" s="78" t="str">
        <f>IF('Resample Data Summary'!C217="PASS",IF('Data - Sample Type 2'!BG26=0,40,'Data - Sample Type 2'!BG26),"")</f>
        <v/>
      </c>
      <c r="Z5" s="78" t="str">
        <f>IF('Resample Data Summary'!C217="PASS",IF('Data - Sample Type 2'!BU26=0,40,'Data - Sample Type 2'!BU26),"")</f>
        <v/>
      </c>
      <c r="AA5" s="231" t="str">
        <f>IF('Resample Data Summary'!C217="PASS",IF('Data - Sample Type 2'!CI26=0,40,'Data - Sample Type 2'!CI26),"")</f>
        <v/>
      </c>
      <c r="AB5" s="240" t="str">
        <f>IF('Resample Data Summary'!C217="PASS",'Data - Sample Type 2'!DK26,"")</f>
        <v/>
      </c>
      <c r="AC5" s="382"/>
      <c r="AD5" s="78" t="str">
        <f>IF('Resample Data Summary'!C217="PASS",'Data - Sample Type 2'!EY26,"")</f>
        <v/>
      </c>
      <c r="AE5" s="382"/>
      <c r="AF5" s="78" t="str">
        <f>IF('Resample Data Summary'!C217="PASS",'Data - Sample Type 2'!EA26,"")</f>
        <v/>
      </c>
      <c r="AG5" s="382"/>
      <c r="AH5" s="78" t="str">
        <f>IF('Resample Data Summary'!C217="PASS",'Data - Sample Type 2'!EI26,"")</f>
        <v/>
      </c>
      <c r="AI5" s="380"/>
    </row>
    <row r="6" spans="1:35" x14ac:dyDescent="0.15">
      <c r="A6" s="160"/>
      <c r="B6" s="391"/>
      <c r="C6" s="163" t="str">
        <f>IF('Resample Data Summary'!C28="PASS",IF('Data - Sample Type 0'!AE107=0,40,'Data - Sample Type 0'!AE107),"")</f>
        <v/>
      </c>
      <c r="D6" s="387"/>
      <c r="E6" s="163" t="str">
        <f>IF('Resample Data Summary'!C28="PASS",IF('Resample Data Summary'!A28="","",'Data - Sample Type 0'!Q107),"")</f>
        <v/>
      </c>
      <c r="F6" s="394"/>
      <c r="I6" s="385"/>
      <c r="J6" s="254" t="str">
        <f>IF('Resample Data Summary'!C133="PASS",IF('Data - Sample Type 1'!AE87=0,40,'Data - Sample Type 1'!AE87),"")</f>
        <v/>
      </c>
      <c r="K6" s="163" t="str">
        <f>IF('Resample Data Summary'!C133="PASS",IF('Data - Sample Type 1'!AS87=0,40,'Data - Sample Type 1'!AS87),"")</f>
        <v/>
      </c>
      <c r="L6" s="163" t="str">
        <f>IF('Resample Data Summary'!C133="PASS",IF('Data - Sample Type 1'!BG87=0,40,'Data - Sample Type 1'!BG87),"")</f>
        <v/>
      </c>
      <c r="M6" s="255" t="str">
        <f>IF('Resample Data Summary'!C133="PASS",IF('Data - Sample Type 1'!CI87=0,40,'Data - Sample Type 1'!CI87),"")</f>
        <v/>
      </c>
      <c r="N6" s="261" t="str">
        <f>IF('Resample Data Summary'!C133="PASS",'Data - Sample Type 1'!DK87,"")</f>
        <v/>
      </c>
      <c r="O6" s="377"/>
      <c r="P6" s="78" t="str">
        <f>IF('Resample Data Summary'!C133="PASS",'Data - Sample Type 1'!EY87,"")</f>
        <v/>
      </c>
      <c r="Q6" s="377"/>
      <c r="R6" s="78" t="str">
        <f>IF('Resample Data Summary'!C133="PASS",'Data - Sample Type 1'!FO87,"")</f>
        <v/>
      </c>
      <c r="S6" s="374"/>
      <c r="V6" s="385"/>
      <c r="W6" s="219" t="str">
        <f>IF('Resample Data Summary'!C218="PASS",IF('Data - Sample Type 2'!AE27=0,40,'Data - Sample Type 2'!AE27),"")</f>
        <v/>
      </c>
      <c r="X6" s="78" t="str">
        <f>IF('Resample Data Summary'!C218="PASS",IF('Data - Sample Type 2'!AS27=0,40,'Data - Sample Type 2'!AS27),"")</f>
        <v/>
      </c>
      <c r="Y6" s="78" t="str">
        <f>IF('Resample Data Summary'!C218="PASS",IF('Data - Sample Type 2'!BG27=0,40,'Data - Sample Type 2'!BG27),"")</f>
        <v/>
      </c>
      <c r="Z6" s="78" t="str">
        <f>IF('Resample Data Summary'!C218="PASS",IF('Data - Sample Type 2'!BU27=0,40,'Data - Sample Type 2'!BU27),"")</f>
        <v/>
      </c>
      <c r="AA6" s="231" t="str">
        <f>IF('Resample Data Summary'!C218="PASS",IF('Data - Sample Type 2'!CI27=0,40,'Data - Sample Type 2'!CI27),"")</f>
        <v/>
      </c>
      <c r="AB6" s="240" t="str">
        <f>IF('Resample Data Summary'!C218="PASS",'Data - Sample Type 2'!DK27,"")</f>
        <v/>
      </c>
      <c r="AC6" s="382"/>
      <c r="AD6" s="78" t="str">
        <f>IF('Resample Data Summary'!C218="PASS",'Data - Sample Type 2'!EY27,"")</f>
        <v/>
      </c>
      <c r="AE6" s="382"/>
      <c r="AF6" s="78" t="str">
        <f>IF('Resample Data Summary'!C218="PASS",'Data - Sample Type 2'!EA27,"")</f>
        <v/>
      </c>
      <c r="AG6" s="382"/>
      <c r="AH6" s="78" t="str">
        <f>IF('Resample Data Summary'!C218="PASS",'Data - Sample Type 2'!EI27,"")</f>
        <v/>
      </c>
      <c r="AI6" s="380"/>
    </row>
    <row r="7" spans="1:35" x14ac:dyDescent="0.15">
      <c r="A7" s="160"/>
      <c r="B7" s="391"/>
      <c r="C7" s="163" t="str">
        <f>IF('Resample Data Summary'!C29="PASS",IF('Data - Sample Type 0'!AE108=0,40,'Data - Sample Type 0'!AE108),"")</f>
        <v/>
      </c>
      <c r="D7" s="387"/>
      <c r="E7" s="163" t="str">
        <f>IF('Resample Data Summary'!C29="PASS",IF('Resample Data Summary'!A29="","",'Data - Sample Type 0'!Q108),"")</f>
        <v/>
      </c>
      <c r="F7" s="394"/>
      <c r="I7" s="385"/>
      <c r="J7" s="254" t="str">
        <f>IF('Resample Data Summary'!C134="PASS",IF('Data - Sample Type 1'!AE88=0,40,'Data - Sample Type 1'!AE88),"")</f>
        <v/>
      </c>
      <c r="K7" s="163" t="str">
        <f>IF('Resample Data Summary'!C134="PASS",IF('Data - Sample Type 1'!AS88=0,40,'Data - Sample Type 1'!AS88),"")</f>
        <v/>
      </c>
      <c r="L7" s="163" t="str">
        <f>IF('Resample Data Summary'!C134="PASS",IF('Data - Sample Type 1'!BG88=0,40,'Data - Sample Type 1'!BG88),"")</f>
        <v/>
      </c>
      <c r="M7" s="255" t="str">
        <f>IF('Resample Data Summary'!C134="PASS",IF('Data - Sample Type 1'!CI88=0,40,'Data - Sample Type 1'!CI88),"")</f>
        <v/>
      </c>
      <c r="N7" s="261" t="str">
        <f>IF('Resample Data Summary'!C134="PASS",'Data - Sample Type 1'!DK88,"")</f>
        <v/>
      </c>
      <c r="O7" s="377" t="str">
        <f>IF(COUNTIF(N5:N12,"&gt;0")=8-COUNTIF(N5:N12,""),"PASS","FAIL")</f>
        <v>PASS</v>
      </c>
      <c r="P7" s="78" t="str">
        <f>IF('Resample Data Summary'!C134="PASS",'Data - Sample Type 1'!EY88,"")</f>
        <v/>
      </c>
      <c r="Q7" s="377" t="str">
        <f>IF(COUNTIF(P3:P10,"&gt;0")=8-COUNTIF(P3:P10,""),"PASS","FAIL")</f>
        <v>PASS</v>
      </c>
      <c r="R7" s="78" t="str">
        <f>IF('Resample Data Summary'!C134="PASS",'Data - Sample Type 1'!FO88,"")</f>
        <v/>
      </c>
      <c r="S7" s="374" t="str">
        <f>IF(COUNTIF(R3:R10,"&gt;0")=8-COUNTIF(R3:R10,""),"PASS","FAIL")</f>
        <v>PASS</v>
      </c>
      <c r="V7" s="385"/>
      <c r="W7" s="219" t="str">
        <f>IF('Resample Data Summary'!C219="PASS",IF('Data - Sample Type 2'!AE28=0,40,'Data - Sample Type 2'!AE28),"")</f>
        <v/>
      </c>
      <c r="X7" s="78" t="str">
        <f>IF('Resample Data Summary'!C219="PASS",IF('Data - Sample Type 2'!AS28=0,40,'Data - Sample Type 2'!AS28),"")</f>
        <v/>
      </c>
      <c r="Y7" s="78" t="str">
        <f>IF('Resample Data Summary'!C219="PASS",IF('Data - Sample Type 2'!BG28=0,40,'Data - Sample Type 2'!BG28),"")</f>
        <v/>
      </c>
      <c r="Z7" s="78" t="str">
        <f>IF('Resample Data Summary'!C219="PASS",IF('Data - Sample Type 2'!BU28=0,40,'Data - Sample Type 2'!BU28),"")</f>
        <v/>
      </c>
      <c r="AA7" s="231" t="str">
        <f>IF('Resample Data Summary'!C219="PASS",IF('Data - Sample Type 2'!CI28=0,40,'Data - Sample Type 2'!CI28),"")</f>
        <v/>
      </c>
      <c r="AB7" s="240" t="str">
        <f>IF('Resample Data Summary'!C219="PASS",'Data - Sample Type 2'!DK28,"")</f>
        <v/>
      </c>
      <c r="AC7" s="382"/>
      <c r="AD7" s="78" t="str">
        <f>IF('Resample Data Summary'!C219="PASS",'Data - Sample Type 2'!EY28,"")</f>
        <v/>
      </c>
      <c r="AE7" s="382"/>
      <c r="AF7" s="78" t="str">
        <f>IF('Resample Data Summary'!C219="PASS",'Data - Sample Type 2'!EA28,"")</f>
        <v/>
      </c>
      <c r="AG7" s="382"/>
      <c r="AH7" s="78" t="str">
        <f>IF('Resample Data Summary'!C219="PASS",'Data - Sample Type 2'!EI28,"")</f>
        <v/>
      </c>
      <c r="AI7" s="380"/>
    </row>
    <row r="8" spans="1:35" x14ac:dyDescent="0.15">
      <c r="A8" s="160"/>
      <c r="B8" s="391"/>
      <c r="C8" s="163" t="str">
        <f>IF('Resample Data Summary'!C30="PASS",IF('Data - Sample Type 0'!AE109=0,40,'Data - Sample Type 0'!AE109),"")</f>
        <v/>
      </c>
      <c r="D8" s="387" t="e">
        <f>IF(D3&gt;=Specifications!$D$26,"PASS","FAIL")</f>
        <v>#DIV/0!</v>
      </c>
      <c r="E8" s="163" t="str">
        <f>IF('Resample Data Summary'!C30="PASS",IF('Resample Data Summary'!A30="","",'Data - Sample Type 0'!Q109),"")</f>
        <v/>
      </c>
      <c r="F8" s="394" t="e">
        <f>IF(F3&lt;=Specifications!$B$26,"PASS","FAIL")</f>
        <v>#DIV/0!</v>
      </c>
      <c r="I8" s="385"/>
      <c r="J8" s="254" t="str">
        <f>IF('Resample Data Summary'!C135="PASS",IF('Data - Sample Type 1'!AE89=0,40,'Data - Sample Type 1'!AE89),"")</f>
        <v/>
      </c>
      <c r="K8" s="163" t="str">
        <f>IF('Resample Data Summary'!C135="PASS",IF('Data - Sample Type 1'!AS89=0,40,'Data - Sample Type 1'!AS89),"")</f>
        <v/>
      </c>
      <c r="L8" s="163" t="str">
        <f>IF('Resample Data Summary'!C135="PASS",IF('Data - Sample Type 1'!BG89=0,40,'Data - Sample Type 1'!BG89),"")</f>
        <v/>
      </c>
      <c r="M8" s="255" t="str">
        <f>IF('Resample Data Summary'!C135="PASS",IF('Data - Sample Type 1'!CI89=0,40,'Data - Sample Type 1'!CI89),"")</f>
        <v/>
      </c>
      <c r="N8" s="261" t="str">
        <f>IF('Resample Data Summary'!C135="PASS",'Data - Sample Type 1'!DK89,"")</f>
        <v/>
      </c>
      <c r="O8" s="377"/>
      <c r="P8" s="78" t="str">
        <f>IF('Resample Data Summary'!C135="PASS",'Data - Sample Type 1'!EY89,"")</f>
        <v/>
      </c>
      <c r="Q8" s="377"/>
      <c r="R8" s="78" t="str">
        <f>IF('Resample Data Summary'!C135="PASS",'Data - Sample Type 1'!FO89,"")</f>
        <v/>
      </c>
      <c r="S8" s="374"/>
      <c r="V8" s="385"/>
      <c r="W8" s="219" t="str">
        <f>IF('Resample Data Summary'!C220="PASS",IF('Data - Sample Type 2'!AE29=0,40,'Data - Sample Type 2'!AE29),"")</f>
        <v/>
      </c>
      <c r="X8" s="78" t="str">
        <f>IF('Resample Data Summary'!C220="PASS",IF('Data - Sample Type 2'!AS29=0,40,'Data - Sample Type 2'!AS29),"")</f>
        <v/>
      </c>
      <c r="Y8" s="78" t="str">
        <f>IF('Resample Data Summary'!C220="PASS",IF('Data - Sample Type 2'!BG29=0,40,'Data - Sample Type 2'!BG29),"")</f>
        <v/>
      </c>
      <c r="Z8" s="78" t="str">
        <f>IF('Resample Data Summary'!C220="PASS",IF('Data - Sample Type 2'!BU29=0,40,'Data - Sample Type 2'!BU29),"")</f>
        <v/>
      </c>
      <c r="AA8" s="231" t="str">
        <f>IF('Resample Data Summary'!C220="PASS",IF('Data - Sample Type 2'!CI29=0,40,'Data - Sample Type 2'!CI29),"")</f>
        <v/>
      </c>
      <c r="AB8" s="240" t="str">
        <f>IF('Resample Data Summary'!C220="PASS",'Data - Sample Type 2'!DK29,"")</f>
        <v/>
      </c>
      <c r="AC8" s="382" t="str">
        <f>IF(COUNTIF('Data - Sample Type 2'!$A$24:$A$33,"&lt;&gt;"&amp;"")&gt;=10,IF(COUNTIF(AB3:AB12,"&gt;0")=10-COUNTIF(AB3:AB12,""),"PASS","FAIL"),"Not enough data")</f>
        <v>Not enough data</v>
      </c>
      <c r="AD8" s="78" t="str">
        <f>IF('Resample Data Summary'!C220="PASS",'Data - Sample Type 2'!EY29,"")</f>
        <v/>
      </c>
      <c r="AE8" s="382" t="str">
        <f>IF(COUNTIF('Data - Sample Type 2'!$A$24:$A$33,"&lt;&gt;"&amp;"")&gt;=10,IF(COUNTIF(AD3:AD12,"=0")=10-COUNTIF(AD3:AD12,""),"PASS","FAIL"),"Not enough data")</f>
        <v>Not enough data</v>
      </c>
      <c r="AF8" s="78" t="str">
        <f>IF('Resample Data Summary'!C220="PASS",'Data - Sample Type 2'!EA29,"")</f>
        <v/>
      </c>
      <c r="AG8" s="382" t="str">
        <f>IF(COUNTIF('Data - Sample Type 2'!$A$24:$A$33,"&lt;&gt;"&amp;"")&gt;=10,IF(COUNTIF(AF3:AF12,"&gt;0")=10-COUNTIF(AF3:AF12,""),"PASS","FAIL"),"Not enough data")</f>
        <v>Not enough data</v>
      </c>
      <c r="AH8" s="78" t="str">
        <f>IF('Resample Data Summary'!C220="PASS",'Data - Sample Type 2'!EI29,"")</f>
        <v/>
      </c>
      <c r="AI8" s="380" t="str">
        <f>IF(COUNTIF('Data - Sample Type 2'!$A$24:$A$33,"&lt;&gt;"&amp;"")&gt;=10,IF(COUNTIF(AH3:AH12,"&gt;0")=10-COUNTIF(AH3:AH12,""),"PASS","FAIL"),"Not enough data")</f>
        <v>Not enough data</v>
      </c>
    </row>
    <row r="9" spans="1:35" x14ac:dyDescent="0.15">
      <c r="A9" s="160"/>
      <c r="B9" s="391"/>
      <c r="C9" s="163" t="str">
        <f>IF('Resample Data Summary'!C31="PASS",IF('Data - Sample Type 0'!AE110=0,40,'Data - Sample Type 0'!AE110),"")</f>
        <v/>
      </c>
      <c r="D9" s="387"/>
      <c r="E9" s="163" t="str">
        <f>IF('Resample Data Summary'!C31="PASS",IF('Resample Data Summary'!A31="","",'Data - Sample Type 0'!Q110),"")</f>
        <v/>
      </c>
      <c r="F9" s="394"/>
      <c r="I9" s="385"/>
      <c r="J9" s="254" t="str">
        <f>IF('Resample Data Summary'!C136="PASS",IF('Data - Sample Type 1'!AE90=0,40,'Data - Sample Type 1'!AE90),"")</f>
        <v/>
      </c>
      <c r="K9" s="163" t="str">
        <f>IF('Resample Data Summary'!C136="PASS",IF('Data - Sample Type 1'!AS90=0,40,'Data - Sample Type 1'!AS90),"")</f>
        <v/>
      </c>
      <c r="L9" s="163" t="str">
        <f>IF('Resample Data Summary'!C136="PASS",IF('Data - Sample Type 1'!BG90=0,40,'Data - Sample Type 1'!BG90),"")</f>
        <v/>
      </c>
      <c r="M9" s="255" t="str">
        <f>IF('Resample Data Summary'!C136="PASS",IF('Data - Sample Type 1'!CI90=0,40,'Data - Sample Type 1'!CI90),"")</f>
        <v/>
      </c>
      <c r="N9" s="261" t="str">
        <f>IF('Resample Data Summary'!C136="PASS",'Data - Sample Type 1'!DK90,"")</f>
        <v/>
      </c>
      <c r="O9" s="377"/>
      <c r="P9" s="78" t="str">
        <f>IF('Resample Data Summary'!C136="PASS",'Data - Sample Type 1'!EY90,"")</f>
        <v/>
      </c>
      <c r="Q9" s="377"/>
      <c r="R9" s="78" t="str">
        <f>IF('Resample Data Summary'!C136="PASS",'Data - Sample Type 1'!FO90,"")</f>
        <v/>
      </c>
      <c r="S9" s="374"/>
      <c r="V9" s="385"/>
      <c r="W9" s="219" t="str">
        <f>IF('Resample Data Summary'!C221="PASS",IF('Data - Sample Type 2'!AE30=0,40,'Data - Sample Type 2'!AE30),"")</f>
        <v/>
      </c>
      <c r="X9" s="78" t="str">
        <f>IF('Resample Data Summary'!C221="PASS",IF('Data - Sample Type 2'!AS30=0,40,'Data - Sample Type 2'!AS30),"")</f>
        <v/>
      </c>
      <c r="Y9" s="78" t="str">
        <f>IF('Resample Data Summary'!C221="PASS",IF('Data - Sample Type 2'!BG30=0,40,'Data - Sample Type 2'!BG30),"")</f>
        <v/>
      </c>
      <c r="Z9" s="78" t="str">
        <f>IF('Resample Data Summary'!C221="PASS",IF('Data - Sample Type 2'!BU30=0,40,'Data - Sample Type 2'!BU30),"")</f>
        <v/>
      </c>
      <c r="AA9" s="231" t="str">
        <f>IF('Resample Data Summary'!C221="PASS",IF('Data - Sample Type 2'!CI30=0,40,'Data - Sample Type 2'!CI30),"")</f>
        <v/>
      </c>
      <c r="AB9" s="240" t="str">
        <f>IF('Resample Data Summary'!C221="PASS",'Data - Sample Type 2'!DK30,"")</f>
        <v/>
      </c>
      <c r="AC9" s="382"/>
      <c r="AD9" s="78" t="str">
        <f>IF('Resample Data Summary'!C221="PASS",'Data - Sample Type 2'!EY30,"")</f>
        <v/>
      </c>
      <c r="AE9" s="382"/>
      <c r="AF9" s="78" t="str">
        <f>IF('Resample Data Summary'!C221="PASS",'Data - Sample Type 2'!EA30,"")</f>
        <v/>
      </c>
      <c r="AG9" s="382"/>
      <c r="AH9" s="78" t="str">
        <f>IF('Resample Data Summary'!C221="PASS",'Data - Sample Type 2'!EI30,"")</f>
        <v/>
      </c>
      <c r="AI9" s="380"/>
    </row>
    <row r="10" spans="1:35" ht="27" customHeight="1" x14ac:dyDescent="0.15">
      <c r="A10" s="160"/>
      <c r="B10" s="391"/>
      <c r="C10" s="163" t="str">
        <f>IF('Resample Data Summary'!C32="PASS",IF('Data - Sample Type 0'!AE111=0,40,'Data - Sample Type 0'!AE111),"")</f>
        <v/>
      </c>
      <c r="D10" s="387"/>
      <c r="E10" s="163" t="str">
        <f>IF('Resample Data Summary'!C32="PASS",IF('Resample Data Summary'!A32="","",'Data - Sample Type 0'!Q111),"")</f>
        <v/>
      </c>
      <c r="F10" s="394"/>
      <c r="I10" s="386"/>
      <c r="J10" s="256" t="str">
        <f>IF('Resample Data Summary'!C137="PASS",IF('Data - Sample Type 1'!AE91=0,40,'Data - Sample Type 1'!AE91),"")</f>
        <v/>
      </c>
      <c r="K10" s="168" t="str">
        <f>IF('Resample Data Summary'!C137="PASS",IF('Data - Sample Type 1'!AS91=0,40,'Data - Sample Type 1'!AS91),"")</f>
        <v/>
      </c>
      <c r="L10" s="168" t="str">
        <f>IF('Resample Data Summary'!C137="PASS",IF('Data - Sample Type 1'!BG91=0,40,'Data - Sample Type 1'!BG91),"")</f>
        <v/>
      </c>
      <c r="M10" s="257" t="str">
        <f>IF('Resample Data Summary'!C137="PASS",IF('Data - Sample Type 1'!CI91=0,40,'Data - Sample Type 1'!CI91),"")</f>
        <v/>
      </c>
      <c r="N10" s="262" t="str">
        <f>IF('Resample Data Summary'!C137="PASS",'Data - Sample Type 1'!DK91,"")</f>
        <v/>
      </c>
      <c r="O10" s="378"/>
      <c r="P10" s="228" t="str">
        <f>IF('Resample Data Summary'!C137="PASS",'Data - Sample Type 1'!EY91,"")</f>
        <v/>
      </c>
      <c r="Q10" s="378"/>
      <c r="R10" s="228" t="str">
        <f>IF('Resample Data Summary'!C137="PASS",'Data - Sample Type 1'!FO91,"")</f>
        <v/>
      </c>
      <c r="S10" s="376"/>
      <c r="V10" s="385"/>
      <c r="W10" s="219" t="str">
        <f>IF('Resample Data Summary'!C222="PASS",IF('Data - Sample Type 2'!AE31=0,40,'Data - Sample Type 2'!AE31),"")</f>
        <v/>
      </c>
      <c r="X10" s="78" t="str">
        <f>IF('Resample Data Summary'!C222="PASS",IF('Data - Sample Type 2'!AS31=0,40,'Data - Sample Type 2'!AS31),"")</f>
        <v/>
      </c>
      <c r="Y10" s="78" t="str">
        <f>IF('Resample Data Summary'!C222="PASS",IF('Data - Sample Type 2'!BG31=0,40,'Data - Sample Type 2'!BG31),"")</f>
        <v/>
      </c>
      <c r="Z10" s="78" t="str">
        <f>IF('Resample Data Summary'!C222="PASS",IF('Data - Sample Type 2'!BU31=0,40,'Data - Sample Type 2'!BU31),"")</f>
        <v/>
      </c>
      <c r="AA10" s="231" t="str">
        <f>IF('Resample Data Summary'!C222="PASS",IF('Data - Sample Type 2'!CI31=0,40,'Data - Sample Type 2'!CI31),"")</f>
        <v/>
      </c>
      <c r="AB10" s="240" t="str">
        <f>IF('Resample Data Summary'!C222="PASS",'Data - Sample Type 2'!DK31,"")</f>
        <v/>
      </c>
      <c r="AC10" s="382"/>
      <c r="AD10" s="78" t="str">
        <f>IF('Resample Data Summary'!C222="PASS",'Data - Sample Type 2'!EY31,"")</f>
        <v/>
      </c>
      <c r="AE10" s="382"/>
      <c r="AF10" s="78" t="str">
        <f>IF('Resample Data Summary'!C222="PASS",'Data - Sample Type 2'!EA31,"")</f>
        <v/>
      </c>
      <c r="AG10" s="382"/>
      <c r="AH10" s="78" t="str">
        <f>IF('Resample Data Summary'!C222="PASS",'Data - Sample Type 2'!EI31,"")</f>
        <v/>
      </c>
      <c r="AI10" s="380"/>
    </row>
    <row r="11" spans="1:35" x14ac:dyDescent="0.15">
      <c r="A11" s="160"/>
      <c r="B11" s="391"/>
      <c r="C11" s="163" t="str">
        <f>IF('Resample Data Summary'!C33="PASS",IF('Data - Sample Type 0'!AE112=0,40,'Data - Sample Type 0'!AE112),"")</f>
        <v/>
      </c>
      <c r="D11" s="387"/>
      <c r="E11" s="163" t="str">
        <f>IF('Resample Data Summary'!C33="PASS",IF('Resample Data Summary'!A33="","",'Data - Sample Type 0'!Q112),"")</f>
        <v/>
      </c>
      <c r="F11" s="394"/>
      <c r="I11" s="384">
        <v>2</v>
      </c>
      <c r="J11" s="252" t="str">
        <f>IF('Resample Data Summary'!C138="PASS",IF('Data - Sample Type 1'!AE92=0,40,'Data - Sample Type 1'!AE92),"")</f>
        <v/>
      </c>
      <c r="K11" s="167" t="str">
        <f>IF('Resample Data Summary'!C138="PASS",IF('Data - Sample Type 1'!AS92=0,40,'Data - Sample Type 1'!AS92),"")</f>
        <v/>
      </c>
      <c r="L11" s="167" t="str">
        <f>IF('Resample Data Summary'!C138="PASS",IF('Data - Sample Type 1'!BG92=0,40,'Data - Sample Type 1'!BG92),"")</f>
        <v/>
      </c>
      <c r="M11" s="253" t="str">
        <f>IF('Resample Data Summary'!C138="PASS",IF('Data - Sample Type 1'!CI92=0,40,'Data - Sample Type 1'!CI92),"")</f>
        <v/>
      </c>
      <c r="N11" s="260" t="str">
        <f>IF('Resample Data Summary'!C138="PASS",'Data - Sample Type 1'!DK92,"")</f>
        <v/>
      </c>
      <c r="O11" s="379" t="e">
        <f>ROUND(AVERAGE(N11:N18),1)</f>
        <v>#DIV/0!</v>
      </c>
      <c r="P11" s="225" t="str">
        <f>IF('Resample Data Summary'!C138="PASS",'Data - Sample Type 1'!EY92,"")</f>
        <v/>
      </c>
      <c r="Q11" s="379" t="e">
        <f>ROUND(AVERAGE(P11:P18),1)</f>
        <v>#DIV/0!</v>
      </c>
      <c r="R11" s="225" t="str">
        <f>IF('Resample Data Summary'!C138="PASS",'Data - Sample Type 1'!FO92,"")</f>
        <v/>
      </c>
      <c r="S11" s="373" t="e">
        <f>ROUND(AVERAGE(R11:R18),1)</f>
        <v>#DIV/0!</v>
      </c>
      <c r="V11" s="385"/>
      <c r="W11" s="219" t="str">
        <f>IF('Resample Data Summary'!C223="PASS",IF('Data - Sample Type 2'!AE32=0,40,'Data - Sample Type 2'!AE32),"")</f>
        <v/>
      </c>
      <c r="X11" s="78" t="str">
        <f>IF('Resample Data Summary'!C223="PASS",IF('Data - Sample Type 2'!AS32=0,40,'Data - Sample Type 2'!AS32),"")</f>
        <v/>
      </c>
      <c r="Y11" s="78" t="str">
        <f>IF('Resample Data Summary'!C223="PASS",IF('Data - Sample Type 2'!BG32=0,40,'Data - Sample Type 2'!BG32),"")</f>
        <v/>
      </c>
      <c r="Z11" s="78" t="str">
        <f>IF('Resample Data Summary'!C223="PASS",IF('Data - Sample Type 2'!BU32=0,40,'Data - Sample Type 2'!BU32),"")</f>
        <v/>
      </c>
      <c r="AA11" s="231" t="str">
        <f>IF('Resample Data Summary'!C223="PASS",IF('Data - Sample Type 2'!CI32=0,40,'Data - Sample Type 2'!CI32),"")</f>
        <v/>
      </c>
      <c r="AB11" s="240" t="str">
        <f>IF('Resample Data Summary'!C223="PASS",'Data - Sample Type 2'!DK32,"")</f>
        <v/>
      </c>
      <c r="AC11" s="382"/>
      <c r="AD11" s="78" t="str">
        <f>IF('Resample Data Summary'!C223="PASS",'Data - Sample Type 2'!EY32,"")</f>
        <v/>
      </c>
      <c r="AE11" s="382"/>
      <c r="AF11" s="78" t="str">
        <f>IF('Resample Data Summary'!C223="PASS",'Data - Sample Type 2'!EA32,"")</f>
        <v/>
      </c>
      <c r="AG11" s="382"/>
      <c r="AH11" s="78" t="str">
        <f>IF('Resample Data Summary'!C223="PASS",'Data - Sample Type 2'!EI32,"")</f>
        <v/>
      </c>
      <c r="AI11" s="380"/>
    </row>
    <row r="12" spans="1:35" x14ac:dyDescent="0.15">
      <c r="A12" s="160"/>
      <c r="B12" s="392"/>
      <c r="C12" s="168" t="str">
        <f>IF('Resample Data Summary'!C34="PASS",IF('Data - Sample Type 0'!AE113=0,40,'Data - Sample Type 0'!AE113),"")</f>
        <v/>
      </c>
      <c r="D12" s="388"/>
      <c r="E12" s="168" t="str">
        <f>IF('Resample Data Summary'!C34="PASS",IF('Resample Data Summary'!A34="","",'Data - Sample Type 0'!Q113),"")</f>
        <v/>
      </c>
      <c r="F12" s="395"/>
      <c r="I12" s="385"/>
      <c r="J12" s="254" t="str">
        <f>IF('Resample Data Summary'!C139="PASS",IF('Data - Sample Type 1'!AE93=0,40,'Data - Sample Type 1'!AE93),"")</f>
        <v/>
      </c>
      <c r="K12" s="163" t="str">
        <f>IF('Resample Data Summary'!C139="PASS",IF('Data - Sample Type 1'!AS93=0,40,'Data - Sample Type 1'!AS93),"")</f>
        <v/>
      </c>
      <c r="L12" s="163" t="str">
        <f>IF('Resample Data Summary'!C139="PASS",IF('Data - Sample Type 1'!BG93=0,40,'Data - Sample Type 1'!BG93),"")</f>
        <v/>
      </c>
      <c r="M12" s="255" t="str">
        <f>IF('Resample Data Summary'!C139="PASS",IF('Data - Sample Type 1'!CI93=0,40,'Data - Sample Type 1'!CI93),"")</f>
        <v/>
      </c>
      <c r="N12" s="261" t="str">
        <f>IF('Resample Data Summary'!C139="PASS",'Data - Sample Type 1'!DK93,"")</f>
        <v/>
      </c>
      <c r="O12" s="377"/>
      <c r="P12" s="78" t="str">
        <f>IF('Resample Data Summary'!C139="PASS",'Data - Sample Type 1'!EY93,"")</f>
        <v/>
      </c>
      <c r="Q12" s="377"/>
      <c r="R12" s="78" t="str">
        <f>IF('Resample Data Summary'!C139="PASS",'Data - Sample Type 1'!FO93,"")</f>
        <v/>
      </c>
      <c r="S12" s="374"/>
      <c r="V12" s="386"/>
      <c r="W12" s="220" t="str">
        <f>IF('Resample Data Summary'!C224="PASS",IF('Data - Sample Type 2'!AE33=0,40,'Data - Sample Type 2'!AE33),"")</f>
        <v/>
      </c>
      <c r="X12" s="228" t="str">
        <f>IF('Resample Data Summary'!C224="PASS",IF('Data - Sample Type 2'!AS33=0,40,'Data - Sample Type 2'!AS33),"")</f>
        <v/>
      </c>
      <c r="Y12" s="228" t="str">
        <f>IF('Resample Data Summary'!C224="PASS",IF('Data - Sample Type 2'!BG33=0,40,'Data - Sample Type 2'!BG33),"")</f>
        <v/>
      </c>
      <c r="Z12" s="228" t="str">
        <f>IF('Resample Data Summary'!C224="PASS",IF('Data - Sample Type 2'!BU33=0,40,'Data - Sample Type 2'!BU33),"")</f>
        <v/>
      </c>
      <c r="AA12" s="235" t="str">
        <f>IF('Resample Data Summary'!C224="PASS",IF('Data - Sample Type 2'!CI33=0,40,'Data - Sample Type 2'!CI33),"")</f>
        <v/>
      </c>
      <c r="AB12" s="241" t="str">
        <f>IF('Resample Data Summary'!C224="PASS",'Data - Sample Type 2'!DK33,"")</f>
        <v/>
      </c>
      <c r="AC12" s="383"/>
      <c r="AD12" s="228" t="str">
        <f>IF('Resample Data Summary'!C224="PASS",'Data - Sample Type 2'!EY33,"")</f>
        <v/>
      </c>
      <c r="AE12" s="383"/>
      <c r="AF12" s="228" t="str">
        <f>IF('Resample Data Summary'!C224="PASS",'Data - Sample Type 2'!EA33,"")</f>
        <v/>
      </c>
      <c r="AG12" s="383"/>
      <c r="AH12" s="228" t="str">
        <f>IF('Resample Data Summary'!C224="PASS",'Data - Sample Type 2'!EI33,"")</f>
        <v/>
      </c>
      <c r="AI12" s="381"/>
    </row>
    <row r="13" spans="1:35" x14ac:dyDescent="0.15">
      <c r="A13" s="160"/>
      <c r="B13" s="390">
        <v>2</v>
      </c>
      <c r="C13" s="167" t="str">
        <f>IF('Resample Data Summary'!C35="PASS",IF('Data - Sample Type 0'!AE114=0,40,'Data - Sample Type 0'!AE114),"")</f>
        <v/>
      </c>
      <c r="D13" s="389" t="e">
        <f>ROUND(AVERAGE(C13:C22),1)</f>
        <v>#DIV/0!</v>
      </c>
      <c r="E13" s="167" t="str">
        <f>IF('Resample Data Summary'!C35="PASS",IF('Resample Data Summary'!A35="","",'Data - Sample Type 0'!Q114),"")</f>
        <v/>
      </c>
      <c r="F13" s="396" t="e">
        <f>ROUND(AVERAGE(E13:E22),1)</f>
        <v>#DIV/0!</v>
      </c>
      <c r="I13" s="385">
        <v>2</v>
      </c>
      <c r="J13" s="254" t="str">
        <f>IF('Resample Data Summary'!C140="PASS",IF('Data - Sample Type 1'!AE94=0,40,'Data - Sample Type 1'!AE94),"")</f>
        <v/>
      </c>
      <c r="K13" s="163" t="str">
        <f>IF('Resample Data Summary'!C140="PASS",IF('Data - Sample Type 1'!AS94=0,40,'Data - Sample Type 1'!AS94),"")</f>
        <v/>
      </c>
      <c r="L13" s="163" t="str">
        <f>IF('Resample Data Summary'!C140="PASS",IF('Data - Sample Type 1'!BG94=0,40,'Data - Sample Type 1'!BG94),"")</f>
        <v/>
      </c>
      <c r="M13" s="255" t="str">
        <f>IF('Resample Data Summary'!C140="PASS",IF('Data - Sample Type 1'!CI94=0,40,'Data - Sample Type 1'!CI94),"")</f>
        <v/>
      </c>
      <c r="N13" s="261" t="str">
        <f>IF('Resample Data Summary'!C140="PASS",'Data - Sample Type 1'!DK94,"")</f>
        <v/>
      </c>
      <c r="O13" s="377"/>
      <c r="P13" s="78" t="str">
        <f>IF('Resample Data Summary'!C140="PASS",'Data - Sample Type 1'!EY94,"")</f>
        <v/>
      </c>
      <c r="Q13" s="377"/>
      <c r="R13" s="78" t="str">
        <f>IF('Resample Data Summary'!C140="PASS",'Data - Sample Type 1'!FO94,"")</f>
        <v/>
      </c>
      <c r="S13" s="374"/>
      <c r="V13" s="399" t="s">
        <v>563</v>
      </c>
      <c r="W13" s="243" t="str">
        <f>IF('Resample Data Summary'!C225="PASS",IF('Data - Sample Type 2'!AE34=0,40,'Data - Sample Type 2'!AE34),"")</f>
        <v/>
      </c>
      <c r="X13" s="237" t="str">
        <f>IF('Resample Data Summary'!C225="PASS",IF('Data - Sample Type 2'!AS34=0,40,'Data - Sample Type 2'!AS34),"")</f>
        <v/>
      </c>
      <c r="Y13" s="237" t="str">
        <f>IF('Resample Data Summary'!C225="PASS",IF('Data - Sample Type 2'!BG34=0,40,'Data - Sample Type 2'!BG34),"")</f>
        <v/>
      </c>
      <c r="Z13" s="237" t="str">
        <f>IF('Resample Data Summary'!C225="PASS",IF('Data - Sample Type 2'!BU34=0,40,'Data - Sample Type 2'!BU34),"")</f>
        <v/>
      </c>
      <c r="AA13" s="244" t="str">
        <f>IF('Resample Data Summary'!C225="PASS",IF('Data - Sample Type 2'!CI34=0,40,'Data - Sample Type 2'!CI34),"")</f>
        <v/>
      </c>
      <c r="AB13" s="242" t="str">
        <f>IF('Resample Data Summary'!C225="PASS",'Data - Sample Type 2'!DK34,"")</f>
        <v/>
      </c>
      <c r="AC13" s="437" t="e">
        <f>ROUND(AVERAGE(AB13:AB22),1)</f>
        <v>#DIV/0!</v>
      </c>
      <c r="AD13" s="237" t="str">
        <f>IF('Resample Data Summary'!C225="PASS",'Data - Sample Type 2'!EY34,"")</f>
        <v/>
      </c>
      <c r="AE13" s="437" t="e">
        <f>ROUND(AVERAGE(AD13:AD22),1)</f>
        <v>#DIV/0!</v>
      </c>
      <c r="AF13" s="237" t="str">
        <f>IF('Resample Data Summary'!C225="PASS",'Data - Sample Type 2'!EA34,"")</f>
        <v/>
      </c>
      <c r="AG13" s="437" t="e">
        <f>ROUND(AVERAGE(AF13:AF22),1)</f>
        <v>#DIV/0!</v>
      </c>
      <c r="AH13" s="237" t="str">
        <f>IF('Resample Data Summary'!C225="PASS",'Data - Sample Type 2'!EI34,"")</f>
        <v/>
      </c>
      <c r="AI13" s="436" t="e">
        <f>ROUND(AVERAGE(AH13:AH22),1)</f>
        <v>#DIV/0!</v>
      </c>
    </row>
    <row r="14" spans="1:35" x14ac:dyDescent="0.15">
      <c r="B14" s="391">
        <v>2</v>
      </c>
      <c r="C14" s="163" t="str">
        <f>IF('Resample Data Summary'!C36="PASS",IF('Data - Sample Type 0'!AE115=0,40,'Data - Sample Type 0'!AE115),"")</f>
        <v/>
      </c>
      <c r="D14" s="387"/>
      <c r="E14" s="163" t="str">
        <f>IF('Resample Data Summary'!C36="PASS",IF('Resample Data Summary'!A36="","",'Data - Sample Type 0'!Q115),"")</f>
        <v/>
      </c>
      <c r="F14" s="394"/>
      <c r="I14" s="385"/>
      <c r="J14" s="254" t="str">
        <f>IF('Resample Data Summary'!C141="PASS",IF('Data - Sample Type 1'!AE95=0,40,'Data - Sample Type 1'!AE95),"")</f>
        <v/>
      </c>
      <c r="K14" s="163" t="str">
        <f>IF('Resample Data Summary'!C141="PASS",IF('Data - Sample Type 1'!AS95=0,40,'Data - Sample Type 1'!AS95),"")</f>
        <v/>
      </c>
      <c r="L14" s="163" t="str">
        <f>IF('Resample Data Summary'!C141="PASS",IF('Data - Sample Type 1'!BG95=0,40,'Data - Sample Type 1'!BG95),"")</f>
        <v/>
      </c>
      <c r="M14" s="255" t="str">
        <f>IF('Resample Data Summary'!C141="PASS",IF('Data - Sample Type 1'!CI95=0,40,'Data - Sample Type 1'!CI95),"")</f>
        <v/>
      </c>
      <c r="N14" s="261" t="str">
        <f>IF('Resample Data Summary'!C141="PASS",'Data - Sample Type 1'!DK95,"")</f>
        <v/>
      </c>
      <c r="O14" s="377"/>
      <c r="P14" s="78" t="str">
        <f>IF('Resample Data Summary'!C141="PASS",'Data - Sample Type 1'!EY95,"")</f>
        <v/>
      </c>
      <c r="Q14" s="377"/>
      <c r="R14" s="78" t="str">
        <f>IF('Resample Data Summary'!C141="PASS",'Data - Sample Type 1'!FO95,"")</f>
        <v/>
      </c>
      <c r="S14" s="374"/>
      <c r="V14" s="385"/>
      <c r="W14" s="219" t="str">
        <f>IF('Resample Data Summary'!C226="PASS",IF('Data - Sample Type 2'!AE35=0,40,'Data - Sample Type 2'!AE35),"")</f>
        <v/>
      </c>
      <c r="X14" s="78" t="str">
        <f>IF('Resample Data Summary'!C226="PASS",IF('Data - Sample Type 2'!AS35=0,40,'Data - Sample Type 2'!AS35),"")</f>
        <v/>
      </c>
      <c r="Y14" s="78" t="str">
        <f>IF('Resample Data Summary'!C226="PASS",IF('Data - Sample Type 2'!BG35=0,40,'Data - Sample Type 2'!BG35),"")</f>
        <v/>
      </c>
      <c r="Z14" s="78" t="str">
        <f>IF('Resample Data Summary'!C226="PASS",IF('Data - Sample Type 2'!BU35=0,40,'Data - Sample Type 2'!BU35),"")</f>
        <v/>
      </c>
      <c r="AA14" s="231" t="str">
        <f>IF('Resample Data Summary'!C226="PASS",IF('Data - Sample Type 2'!CI35=0,40,'Data - Sample Type 2'!CI35),"")</f>
        <v/>
      </c>
      <c r="AB14" s="240" t="str">
        <f>IF('Resample Data Summary'!C226="PASS",'Data - Sample Type 2'!DK35,"")</f>
        <v/>
      </c>
      <c r="AC14" s="382"/>
      <c r="AD14" s="78" t="str">
        <f>IF('Resample Data Summary'!C226="PASS",'Data - Sample Type 2'!EY35,"")</f>
        <v/>
      </c>
      <c r="AE14" s="382"/>
      <c r="AF14" s="78" t="str">
        <f>IF('Resample Data Summary'!C226="PASS",'Data - Sample Type 2'!EA35,"")</f>
        <v/>
      </c>
      <c r="AG14" s="382"/>
      <c r="AH14" s="78" t="str">
        <f>IF('Resample Data Summary'!C226="PASS",'Data - Sample Type 2'!EI35,"")</f>
        <v/>
      </c>
      <c r="AI14" s="380"/>
    </row>
    <row r="15" spans="1:35" ht="16.25" customHeight="1" x14ac:dyDescent="0.15">
      <c r="B15" s="391"/>
      <c r="C15" s="163" t="str">
        <f>IF('Resample Data Summary'!C37="PASS",IF('Data - Sample Type 0'!AE116=0,40,'Data - Sample Type 0'!AE116),"")</f>
        <v/>
      </c>
      <c r="D15" s="387"/>
      <c r="E15" s="163" t="str">
        <f>IF('Resample Data Summary'!C37="PASS",IF('Resample Data Summary'!A37="","",'Data - Sample Type 0'!Q116),"")</f>
        <v/>
      </c>
      <c r="F15" s="394"/>
      <c r="I15" s="385"/>
      <c r="J15" s="254" t="str">
        <f>IF('Resample Data Summary'!C142="PASS",IF('Data - Sample Type 1'!AE96=0,40,'Data - Sample Type 1'!AE96),"")</f>
        <v/>
      </c>
      <c r="K15" s="163" t="str">
        <f>IF('Resample Data Summary'!C142="PASS",IF('Data - Sample Type 1'!AS96=0,40,'Data - Sample Type 1'!AS96),"")</f>
        <v/>
      </c>
      <c r="L15" s="163" t="str">
        <f>IF('Resample Data Summary'!C142="PASS",IF('Data - Sample Type 1'!BG96=0,40,'Data - Sample Type 1'!BG96),"")</f>
        <v/>
      </c>
      <c r="M15" s="255" t="str">
        <f>IF('Resample Data Summary'!C142="PASS",IF('Data - Sample Type 1'!CI96=0,40,'Data - Sample Type 1'!CI96),"")</f>
        <v/>
      </c>
      <c r="N15" s="261" t="str">
        <f>IF('Resample Data Summary'!C142="PASS",'Data - Sample Type 1'!DK96,"")</f>
        <v/>
      </c>
      <c r="O15" s="377" t="str">
        <f>IF(COUNTIF(N13:N20,"&gt;0")=8-COUNTIF(N13:N20,""),"PASS","FAIL")</f>
        <v>PASS</v>
      </c>
      <c r="P15" s="78" t="str">
        <f>IF('Resample Data Summary'!C142="PASS",'Data - Sample Type 1'!EY96,"")</f>
        <v/>
      </c>
      <c r="Q15" s="377" t="str">
        <f>IF(COUNTIF(P11:P18,"&gt;0")=8-COUNTIF(P11:P18,""),"PASS","FAIL")</f>
        <v>PASS</v>
      </c>
      <c r="R15" s="78" t="str">
        <f>IF('Resample Data Summary'!C142="PASS",'Data - Sample Type 1'!FO96,"")</f>
        <v/>
      </c>
      <c r="S15" s="374" t="str">
        <f>IF(COUNTIF(R11:R18,"&gt;0")=8-COUNTIF(R11:R18,""),"PASS","FAIL")</f>
        <v>PASS</v>
      </c>
      <c r="V15" s="385"/>
      <c r="W15" s="219" t="str">
        <f>IF('Resample Data Summary'!C227="PASS",IF('Data - Sample Type 2'!AE36=0,40,'Data - Sample Type 2'!AE36),"")</f>
        <v/>
      </c>
      <c r="X15" s="78" t="str">
        <f>IF('Resample Data Summary'!C227="PASS",IF('Data - Sample Type 2'!AS36=0,40,'Data - Sample Type 2'!AS36),"")</f>
        <v/>
      </c>
      <c r="Y15" s="78" t="str">
        <f>IF('Resample Data Summary'!C227="PASS",IF('Data - Sample Type 2'!BG36=0,40,'Data - Sample Type 2'!BG36),"")</f>
        <v/>
      </c>
      <c r="Z15" s="78" t="str">
        <f>IF('Resample Data Summary'!C227="PASS",IF('Data - Sample Type 2'!BU36=0,40,'Data - Sample Type 2'!BU36),"")</f>
        <v/>
      </c>
      <c r="AA15" s="231" t="str">
        <f>IF('Resample Data Summary'!C227="PASS",IF('Data - Sample Type 2'!CI36=0,40,'Data - Sample Type 2'!CI36),"")</f>
        <v/>
      </c>
      <c r="AB15" s="240" t="str">
        <f>IF('Resample Data Summary'!C227="PASS",'Data - Sample Type 2'!DK36,"")</f>
        <v/>
      </c>
      <c r="AC15" s="382"/>
      <c r="AD15" s="78" t="str">
        <f>IF('Resample Data Summary'!C227="PASS",'Data - Sample Type 2'!EY36,"")</f>
        <v/>
      </c>
      <c r="AE15" s="382"/>
      <c r="AF15" s="78" t="str">
        <f>IF('Resample Data Summary'!C227="PASS",'Data - Sample Type 2'!EA36,"")</f>
        <v/>
      </c>
      <c r="AG15" s="382"/>
      <c r="AH15" s="78" t="str">
        <f>IF('Resample Data Summary'!C227="PASS",'Data - Sample Type 2'!EI36,"")</f>
        <v/>
      </c>
      <c r="AI15" s="380"/>
    </row>
    <row r="16" spans="1:35" x14ac:dyDescent="0.15">
      <c r="B16" s="391"/>
      <c r="C16" s="163" t="str">
        <f>IF('Resample Data Summary'!C38="PASS",IF('Data - Sample Type 0'!AE117=0,40,'Data - Sample Type 0'!AE117),"")</f>
        <v/>
      </c>
      <c r="D16" s="387"/>
      <c r="E16" s="163" t="str">
        <f>IF('Resample Data Summary'!C38="PASS",IF('Resample Data Summary'!A38="","",'Data - Sample Type 0'!Q117),"")</f>
        <v/>
      </c>
      <c r="F16" s="394"/>
      <c r="I16" s="385"/>
      <c r="J16" s="254" t="str">
        <f>IF('Resample Data Summary'!C143="PASS",IF('Data - Sample Type 1'!AE97=0,40,'Data - Sample Type 1'!AE97),"")</f>
        <v/>
      </c>
      <c r="K16" s="163" t="str">
        <f>IF('Resample Data Summary'!C143="PASS",IF('Data - Sample Type 1'!AS97=0,40,'Data - Sample Type 1'!AS97),"")</f>
        <v/>
      </c>
      <c r="L16" s="163" t="str">
        <f>IF('Resample Data Summary'!C143="PASS",IF('Data - Sample Type 1'!BG97=0,40,'Data - Sample Type 1'!BG97),"")</f>
        <v/>
      </c>
      <c r="M16" s="255" t="str">
        <f>IF('Resample Data Summary'!C143="PASS",IF('Data - Sample Type 1'!CI97=0,40,'Data - Sample Type 1'!CI97),"")</f>
        <v/>
      </c>
      <c r="N16" s="261" t="str">
        <f>IF('Resample Data Summary'!C143="PASS",'Data - Sample Type 1'!DK97,"")</f>
        <v/>
      </c>
      <c r="O16" s="377"/>
      <c r="P16" s="78" t="str">
        <f>IF('Resample Data Summary'!C143="PASS",'Data - Sample Type 1'!EY97,"")</f>
        <v/>
      </c>
      <c r="Q16" s="377"/>
      <c r="R16" s="78" t="str">
        <f>IF('Resample Data Summary'!C143="PASS",'Data - Sample Type 1'!FO97,"")</f>
        <v/>
      </c>
      <c r="S16" s="374"/>
      <c r="V16" s="385"/>
      <c r="W16" s="219" t="str">
        <f>IF('Resample Data Summary'!C228="PASS",IF('Data - Sample Type 2'!AE37=0,40,'Data - Sample Type 2'!AE37),"")</f>
        <v/>
      </c>
      <c r="X16" s="78" t="str">
        <f>IF('Resample Data Summary'!C228="PASS",IF('Data - Sample Type 2'!AS37=0,40,'Data - Sample Type 2'!AS37),"")</f>
        <v/>
      </c>
      <c r="Y16" s="78" t="str">
        <f>IF('Resample Data Summary'!C228="PASS",IF('Data - Sample Type 2'!BG37=0,40,'Data - Sample Type 2'!BG37),"")</f>
        <v/>
      </c>
      <c r="Z16" s="78" t="str">
        <f>IF('Resample Data Summary'!C228="PASS",IF('Data - Sample Type 2'!BU37=0,40,'Data - Sample Type 2'!BU37),"")</f>
        <v/>
      </c>
      <c r="AA16" s="231" t="str">
        <f>IF('Resample Data Summary'!C228="PASS",IF('Data - Sample Type 2'!CI37=0,40,'Data - Sample Type 2'!CI37),"")</f>
        <v/>
      </c>
      <c r="AB16" s="240" t="str">
        <f>IF('Resample Data Summary'!C228="PASS",'Data - Sample Type 2'!DK37,"")</f>
        <v/>
      </c>
      <c r="AC16" s="382"/>
      <c r="AD16" s="78" t="str">
        <f>IF('Resample Data Summary'!C228="PASS",'Data - Sample Type 2'!EY37,"")</f>
        <v/>
      </c>
      <c r="AE16" s="382"/>
      <c r="AF16" s="78" t="str">
        <f>IF('Resample Data Summary'!C228="PASS",'Data - Sample Type 2'!EA37,"")</f>
        <v/>
      </c>
      <c r="AG16" s="382"/>
      <c r="AH16" s="78" t="str">
        <f>IF('Resample Data Summary'!C228="PASS",'Data - Sample Type 2'!EI37,"")</f>
        <v/>
      </c>
      <c r="AI16" s="380"/>
    </row>
    <row r="17" spans="2:35" ht="13.25" customHeight="1" x14ac:dyDescent="0.15">
      <c r="B17" s="391"/>
      <c r="C17" s="163" t="str">
        <f>IF('Resample Data Summary'!C39="PASS",IF('Data - Sample Type 0'!AE118=0,40,'Data - Sample Type 0'!AE118),"")</f>
        <v/>
      </c>
      <c r="D17" s="387"/>
      <c r="E17" s="163" t="str">
        <f>IF('Resample Data Summary'!C39="PASS",IF('Resample Data Summary'!A39="","",'Data - Sample Type 0'!Q118),"")</f>
        <v/>
      </c>
      <c r="F17" s="394"/>
      <c r="I17" s="385"/>
      <c r="J17" s="254" t="str">
        <f>IF('Resample Data Summary'!C144="PASS",IF('Data - Sample Type 1'!AE98=0,40,'Data - Sample Type 1'!AE98),"")</f>
        <v/>
      </c>
      <c r="K17" s="163" t="str">
        <f>IF('Resample Data Summary'!C144="PASS",IF('Data - Sample Type 1'!AS98=0,40,'Data - Sample Type 1'!AS98),"")</f>
        <v/>
      </c>
      <c r="L17" s="163" t="str">
        <f>IF('Resample Data Summary'!C144="PASS",IF('Data - Sample Type 1'!BG98=0,40,'Data - Sample Type 1'!BG98),"")</f>
        <v/>
      </c>
      <c r="M17" s="255" t="str">
        <f>IF('Resample Data Summary'!C144="PASS",IF('Data - Sample Type 1'!CI98=0,40,'Data - Sample Type 1'!CI98),"")</f>
        <v/>
      </c>
      <c r="N17" s="261" t="str">
        <f>IF('Resample Data Summary'!C144="PASS",'Data - Sample Type 1'!DK98,"")</f>
        <v/>
      </c>
      <c r="O17" s="377"/>
      <c r="P17" s="78" t="str">
        <f>IF('Resample Data Summary'!C144="PASS",'Data - Sample Type 1'!EY98,"")</f>
        <v/>
      </c>
      <c r="Q17" s="377"/>
      <c r="R17" s="78" t="str">
        <f>IF('Resample Data Summary'!C144="PASS",'Data - Sample Type 1'!FO98,"")</f>
        <v/>
      </c>
      <c r="S17" s="374"/>
      <c r="V17" s="385"/>
      <c r="W17" s="219" t="str">
        <f>IF('Resample Data Summary'!C229="PASS",IF('Data - Sample Type 2'!AE38=0,40,'Data - Sample Type 2'!AE38),"")</f>
        <v/>
      </c>
      <c r="X17" s="78" t="str">
        <f>IF('Resample Data Summary'!C229="PASS",IF('Data - Sample Type 2'!AS38=0,40,'Data - Sample Type 2'!AS38),"")</f>
        <v/>
      </c>
      <c r="Y17" s="78" t="str">
        <f>IF('Resample Data Summary'!C229="PASS",IF('Data - Sample Type 2'!BG38=0,40,'Data - Sample Type 2'!BG38),"")</f>
        <v/>
      </c>
      <c r="Z17" s="78" t="str">
        <f>IF('Resample Data Summary'!C229="PASS",IF('Data - Sample Type 2'!BU38=0,40,'Data - Sample Type 2'!BU38),"")</f>
        <v/>
      </c>
      <c r="AA17" s="231" t="str">
        <f>IF('Resample Data Summary'!C229="PASS",IF('Data - Sample Type 2'!CI38=0,40,'Data - Sample Type 2'!CI38),"")</f>
        <v/>
      </c>
      <c r="AB17" s="240" t="str">
        <f>IF('Resample Data Summary'!C229="PASS",'Data - Sample Type 2'!DK38,"")</f>
        <v/>
      </c>
      <c r="AC17" s="382"/>
      <c r="AD17" s="78" t="str">
        <f>IF('Resample Data Summary'!C229="PASS",'Data - Sample Type 2'!EY38,"")</f>
        <v/>
      </c>
      <c r="AE17" s="382"/>
      <c r="AF17" s="78" t="str">
        <f>IF('Resample Data Summary'!C229="PASS",'Data - Sample Type 2'!EA38,"")</f>
        <v/>
      </c>
      <c r="AG17" s="382"/>
      <c r="AH17" s="78" t="str">
        <f>IF('Resample Data Summary'!C229="PASS",'Data - Sample Type 2'!EI38,"")</f>
        <v/>
      </c>
      <c r="AI17" s="380"/>
    </row>
    <row r="18" spans="2:35" x14ac:dyDescent="0.15">
      <c r="B18" s="391"/>
      <c r="C18" s="163" t="str">
        <f>IF('Resample Data Summary'!C40="PASS",IF('Data - Sample Type 0'!AE119=0,40,'Data - Sample Type 0'!AE119),"")</f>
        <v/>
      </c>
      <c r="D18" s="387" t="e">
        <f>IF(D13&gt;=Specifications!$D$26,"PASS","FAIL")</f>
        <v>#DIV/0!</v>
      </c>
      <c r="E18" s="163" t="str">
        <f>IF('Resample Data Summary'!C40="PASS",IF('Resample Data Summary'!A40="","",'Data - Sample Type 0'!Q119),"")</f>
        <v/>
      </c>
      <c r="F18" s="394" t="e">
        <f>IF(F13&lt;=Specifications!$B$26,"PASS","FAIL")</f>
        <v>#DIV/0!</v>
      </c>
      <c r="I18" s="386"/>
      <c r="J18" s="256" t="str">
        <f>IF('Resample Data Summary'!C145="PASS",IF('Data - Sample Type 1'!AE99=0,40,'Data - Sample Type 1'!AE99),"")</f>
        <v/>
      </c>
      <c r="K18" s="168" t="str">
        <f>IF('Resample Data Summary'!C145="PASS",IF('Data - Sample Type 1'!AS99=0,40,'Data - Sample Type 1'!AS99),"")</f>
        <v/>
      </c>
      <c r="L18" s="168" t="str">
        <f>IF('Resample Data Summary'!C145="PASS",IF('Data - Sample Type 1'!BG99=0,40,'Data - Sample Type 1'!BG99),"")</f>
        <v/>
      </c>
      <c r="M18" s="257" t="str">
        <f>IF('Resample Data Summary'!C145="PASS",IF('Data - Sample Type 1'!CI99=0,40,'Data - Sample Type 1'!CI99),"")</f>
        <v/>
      </c>
      <c r="N18" s="262" t="str">
        <f>IF('Resample Data Summary'!C145="PASS",'Data - Sample Type 1'!DK99,"")</f>
        <v/>
      </c>
      <c r="O18" s="378"/>
      <c r="P18" s="228" t="str">
        <f>IF('Resample Data Summary'!C145="PASS",'Data - Sample Type 1'!EY99,"")</f>
        <v/>
      </c>
      <c r="Q18" s="378"/>
      <c r="R18" s="228" t="str">
        <f>IF('Resample Data Summary'!C145="PASS",'Data - Sample Type 1'!FO99,"")</f>
        <v/>
      </c>
      <c r="S18" s="376"/>
      <c r="V18" s="385"/>
      <c r="W18" s="219" t="str">
        <f>IF('Resample Data Summary'!C230="PASS",IF('Data - Sample Type 2'!AE39=0,40,'Data - Sample Type 2'!AE39),"")</f>
        <v/>
      </c>
      <c r="X18" s="78" t="str">
        <f>IF('Resample Data Summary'!C230="PASS",IF('Data - Sample Type 2'!AS39=0,40,'Data - Sample Type 2'!AS39),"")</f>
        <v/>
      </c>
      <c r="Y18" s="78" t="str">
        <f>IF('Resample Data Summary'!C230="PASS",IF('Data - Sample Type 2'!BG39=0,40,'Data - Sample Type 2'!BG39),"")</f>
        <v/>
      </c>
      <c r="Z18" s="78" t="str">
        <f>IF('Resample Data Summary'!C230="PASS",IF('Data - Sample Type 2'!BU39=0,40,'Data - Sample Type 2'!BU39),"")</f>
        <v/>
      </c>
      <c r="AA18" s="231" t="str">
        <f>IF('Resample Data Summary'!C230="PASS",IF('Data - Sample Type 2'!CI39=0,40,'Data - Sample Type 2'!CI39),"")</f>
        <v/>
      </c>
      <c r="AB18" s="240" t="str">
        <f>IF('Resample Data Summary'!C230="PASS",'Data - Sample Type 2'!DK39,"")</f>
        <v/>
      </c>
      <c r="AC18" s="382" t="str">
        <f>IF(COUNTIF('Data - Sample Type 2'!$A$34:$A$43,"&lt;&gt;"&amp;"")&gt;=10,IF(COUNTIF(AB13:AB22,"&gt;0")=10-COUNTIF(AB13:AB22,""),"PASS","FAIL"),"Not enough data")</f>
        <v>Not enough data</v>
      </c>
      <c r="AD18" s="78" t="str">
        <f>IF('Resample Data Summary'!C230="PASS",'Data - Sample Type 2'!EY39,"")</f>
        <v/>
      </c>
      <c r="AE18" s="382" t="str">
        <f>IF(COUNTIF('Data - Sample Type 2'!$A$34:$A$43,"&lt;&gt;"&amp;"")&gt;=10,IF(COUNTIF(AD13:AD22,"=0")=10-COUNTIF(AD13:AD22,""),"PASS","FAIL"),"Not enough data")</f>
        <v>Not enough data</v>
      </c>
      <c r="AF18" s="78" t="str">
        <f>IF('Resample Data Summary'!C230="PASS",'Data - Sample Type 2'!EA39,"")</f>
        <v/>
      </c>
      <c r="AG18" s="382" t="str">
        <f>IF(COUNTIF('Data - Sample Type 2'!$A$34:$A$43,"&lt;&gt;"&amp;"")&gt;=10,IF(COUNTIF(AF13:AF22,"&gt;0")=10-COUNTIF(AF13:AF22,""),"PASS","FAIL"),"Not enough data")</f>
        <v>Not enough data</v>
      </c>
      <c r="AH18" s="78" t="str">
        <f>IF('Resample Data Summary'!C230="PASS",'Data - Sample Type 2'!EI39,"")</f>
        <v/>
      </c>
      <c r="AI18" s="380" t="str">
        <f>IF(COUNTIF('Data - Sample Type 2'!$A$34:$A$43,"&lt;&gt;"&amp;"")&gt;=10,IF(COUNTIF(AH13:AH22,"&gt;0")=10-COUNTIF(AH13:AH22,""),"PASS","FAIL"),"Not enough data")</f>
        <v>Not enough data</v>
      </c>
    </row>
    <row r="19" spans="2:35" x14ac:dyDescent="0.15">
      <c r="B19" s="391"/>
      <c r="C19" s="163" t="str">
        <f>IF('Resample Data Summary'!C41="PASS",IF('Data - Sample Type 0'!AE120=0,40,'Data - Sample Type 0'!AE120),"")</f>
        <v/>
      </c>
      <c r="D19" s="387"/>
      <c r="E19" s="163" t="str">
        <f>IF('Resample Data Summary'!C41="PASS",IF('Resample Data Summary'!A41="","",'Data - Sample Type 0'!Q120),"")</f>
        <v/>
      </c>
      <c r="F19" s="394"/>
      <c r="I19" s="384">
        <v>3</v>
      </c>
      <c r="J19" s="252" t="str">
        <f>IF('Resample Data Summary'!C146="PASS",IF('Data - Sample Type 1'!AE100=0,40,'Data - Sample Type 1'!AE100),"")</f>
        <v/>
      </c>
      <c r="K19" s="167" t="str">
        <f>IF('Resample Data Summary'!C146="PASS",IF('Data - Sample Type 1'!AS100=0,40,'Data - Sample Type 1'!AS100),"")</f>
        <v/>
      </c>
      <c r="L19" s="167" t="str">
        <f>IF('Resample Data Summary'!C146="PASS",IF('Data - Sample Type 1'!BG100=0,40,'Data - Sample Type 1'!BG100),"")</f>
        <v/>
      </c>
      <c r="M19" s="253" t="str">
        <f>IF('Resample Data Summary'!C146="PASS",IF('Data - Sample Type 1'!CI100=0,40,'Data - Sample Type 1'!CI100),"")</f>
        <v/>
      </c>
      <c r="N19" s="260" t="str">
        <f>IF('Resample Data Summary'!C146="PASS",'Data - Sample Type 1'!DK100,"")</f>
        <v/>
      </c>
      <c r="O19" s="379" t="e">
        <f>ROUND(AVERAGE(N19:N26),1)</f>
        <v>#DIV/0!</v>
      </c>
      <c r="P19" s="225" t="str">
        <f>IF('Resample Data Summary'!C146="PASS",'Data - Sample Type 1'!EY100,"")</f>
        <v/>
      </c>
      <c r="Q19" s="379" t="e">
        <f>ROUND(AVERAGE(P19:P26),1)</f>
        <v>#DIV/0!</v>
      </c>
      <c r="R19" s="225" t="str">
        <f>IF('Resample Data Summary'!C146="PASS",'Data - Sample Type 1'!FO100,"")</f>
        <v/>
      </c>
      <c r="S19" s="373" t="e">
        <f>ROUND(AVERAGE(R19:R26),1)</f>
        <v>#DIV/0!</v>
      </c>
      <c r="V19" s="385"/>
      <c r="W19" s="219" t="str">
        <f>IF('Resample Data Summary'!C231="PASS",IF('Data - Sample Type 2'!AE40=0,40,'Data - Sample Type 2'!AE40),"")</f>
        <v/>
      </c>
      <c r="X19" s="78" t="str">
        <f>IF('Resample Data Summary'!C231="PASS",IF('Data - Sample Type 2'!AS40=0,40,'Data - Sample Type 2'!AS40),"")</f>
        <v/>
      </c>
      <c r="Y19" s="78" t="str">
        <f>IF('Resample Data Summary'!C231="PASS",IF('Data - Sample Type 2'!BG40=0,40,'Data - Sample Type 2'!BG40),"")</f>
        <v/>
      </c>
      <c r="Z19" s="78" t="str">
        <f>IF('Resample Data Summary'!C231="PASS",IF('Data - Sample Type 2'!BU40=0,40,'Data - Sample Type 2'!BU40),"")</f>
        <v/>
      </c>
      <c r="AA19" s="231" t="str">
        <f>IF('Resample Data Summary'!C231="PASS",IF('Data - Sample Type 2'!CI40=0,40,'Data - Sample Type 2'!CI40),"")</f>
        <v/>
      </c>
      <c r="AB19" s="240" t="str">
        <f>IF('Resample Data Summary'!C231="PASS",'Data - Sample Type 2'!DK40,"")</f>
        <v/>
      </c>
      <c r="AC19" s="382"/>
      <c r="AD19" s="78" t="str">
        <f>IF('Resample Data Summary'!C231="PASS",'Data - Sample Type 2'!EY40,"")</f>
        <v/>
      </c>
      <c r="AE19" s="382"/>
      <c r="AF19" s="78" t="str">
        <f>IF('Resample Data Summary'!C231="PASS",'Data - Sample Type 2'!EA40,"")</f>
        <v/>
      </c>
      <c r="AG19" s="382"/>
      <c r="AH19" s="78" t="str">
        <f>IF('Resample Data Summary'!C231="PASS",'Data - Sample Type 2'!EI40,"")</f>
        <v/>
      </c>
      <c r="AI19" s="380"/>
    </row>
    <row r="20" spans="2:35" x14ac:dyDescent="0.15">
      <c r="B20" s="391"/>
      <c r="C20" s="163" t="str">
        <f>IF('Resample Data Summary'!C42="PASS",IF('Data - Sample Type 0'!AE121=0,40,'Data - Sample Type 0'!AE121),"")</f>
        <v/>
      </c>
      <c r="D20" s="387"/>
      <c r="E20" s="163" t="str">
        <f>IF('Resample Data Summary'!C42="PASS",IF('Resample Data Summary'!A42="","",'Data - Sample Type 0'!Q121),"")</f>
        <v/>
      </c>
      <c r="F20" s="394"/>
      <c r="I20" s="385"/>
      <c r="J20" s="254" t="str">
        <f>IF('Resample Data Summary'!C147="PASS",IF('Data - Sample Type 1'!AE101=0,40,'Data - Sample Type 1'!AE101),"")</f>
        <v/>
      </c>
      <c r="K20" s="163" t="str">
        <f>IF('Resample Data Summary'!C147="PASS",IF('Data - Sample Type 1'!AS101=0,40,'Data - Sample Type 1'!AS101),"")</f>
        <v/>
      </c>
      <c r="L20" s="163" t="str">
        <f>IF('Resample Data Summary'!C147="PASS",IF('Data - Sample Type 1'!BG101=0,40,'Data - Sample Type 1'!BG101),"")</f>
        <v/>
      </c>
      <c r="M20" s="255" t="str">
        <f>IF('Resample Data Summary'!C147="PASS",IF('Data - Sample Type 1'!CI101=0,40,'Data - Sample Type 1'!CI101),"")</f>
        <v/>
      </c>
      <c r="N20" s="261" t="str">
        <f>IF('Resample Data Summary'!C147="PASS",'Data - Sample Type 1'!DK101,"")</f>
        <v/>
      </c>
      <c r="O20" s="377"/>
      <c r="P20" s="78" t="str">
        <f>IF('Resample Data Summary'!C147="PASS",'Data - Sample Type 1'!EY101,"")</f>
        <v/>
      </c>
      <c r="Q20" s="377"/>
      <c r="R20" s="78" t="str">
        <f>IF('Resample Data Summary'!C147="PASS",'Data - Sample Type 1'!FO101,"")</f>
        <v/>
      </c>
      <c r="S20" s="374"/>
      <c r="V20" s="385"/>
      <c r="W20" s="219" t="str">
        <f>IF('Resample Data Summary'!C232="PASS",IF('Data - Sample Type 2'!AE41=0,40,'Data - Sample Type 2'!AE41),"")</f>
        <v/>
      </c>
      <c r="X20" s="78" t="str">
        <f>IF('Resample Data Summary'!C232="PASS",IF('Data - Sample Type 2'!AS41=0,40,'Data - Sample Type 2'!AS41),"")</f>
        <v/>
      </c>
      <c r="Y20" s="78" t="str">
        <f>IF('Resample Data Summary'!C232="PASS",IF('Data - Sample Type 2'!BG41=0,40,'Data - Sample Type 2'!BG41),"")</f>
        <v/>
      </c>
      <c r="Z20" s="78" t="str">
        <f>IF('Resample Data Summary'!C232="PASS",IF('Data - Sample Type 2'!BU41=0,40,'Data - Sample Type 2'!BU41),"")</f>
        <v/>
      </c>
      <c r="AA20" s="231" t="str">
        <f>IF('Resample Data Summary'!C232="PASS",IF('Data - Sample Type 2'!CI41=0,40,'Data - Sample Type 2'!CI41),"")</f>
        <v/>
      </c>
      <c r="AB20" s="240" t="str">
        <f>IF('Resample Data Summary'!C232="PASS",'Data - Sample Type 2'!DK41,"")</f>
        <v/>
      </c>
      <c r="AC20" s="382"/>
      <c r="AD20" s="78" t="str">
        <f>IF('Resample Data Summary'!C232="PASS",'Data - Sample Type 2'!EY41,"")</f>
        <v/>
      </c>
      <c r="AE20" s="382"/>
      <c r="AF20" s="78" t="str">
        <f>IF('Resample Data Summary'!C232="PASS",'Data - Sample Type 2'!EA41,"")</f>
        <v/>
      </c>
      <c r="AG20" s="382"/>
      <c r="AH20" s="78" t="str">
        <f>IF('Resample Data Summary'!C232="PASS",'Data - Sample Type 2'!EI41,"")</f>
        <v/>
      </c>
      <c r="AI20" s="380"/>
    </row>
    <row r="21" spans="2:35" x14ac:dyDescent="0.15">
      <c r="B21" s="391"/>
      <c r="C21" s="163" t="str">
        <f>IF('Resample Data Summary'!C43="PASS",IF('Data - Sample Type 0'!AE122=0,40,'Data - Sample Type 0'!AE122),"")</f>
        <v/>
      </c>
      <c r="D21" s="387"/>
      <c r="E21" s="163" t="str">
        <f>IF('Resample Data Summary'!C43="PASS",IF('Resample Data Summary'!A43="","",'Data - Sample Type 0'!Q122),"")</f>
        <v/>
      </c>
      <c r="F21" s="394"/>
      <c r="I21" s="385"/>
      <c r="J21" s="254" t="str">
        <f>IF('Resample Data Summary'!C148="PASS",IF('Data - Sample Type 1'!AE102=0,40,'Data - Sample Type 1'!AE102),"")</f>
        <v/>
      </c>
      <c r="K21" s="163" t="str">
        <f>IF('Resample Data Summary'!C148="PASS",IF('Data - Sample Type 1'!AS102=0,40,'Data - Sample Type 1'!AS102),"")</f>
        <v/>
      </c>
      <c r="L21" s="163" t="str">
        <f>IF('Resample Data Summary'!C148="PASS",IF('Data - Sample Type 1'!BG102=0,40,'Data - Sample Type 1'!BG102),"")</f>
        <v/>
      </c>
      <c r="M21" s="255" t="str">
        <f>IF('Resample Data Summary'!C148="PASS",IF('Data - Sample Type 1'!CI102=0,40,'Data - Sample Type 1'!CI102),"")</f>
        <v/>
      </c>
      <c r="N21" s="261" t="str">
        <f>IF('Resample Data Summary'!C148="PASS",'Data - Sample Type 1'!DK102,"")</f>
        <v/>
      </c>
      <c r="O21" s="377"/>
      <c r="P21" s="78" t="str">
        <f>IF('Resample Data Summary'!C148="PASS",'Data - Sample Type 1'!EY102,"")</f>
        <v/>
      </c>
      <c r="Q21" s="377"/>
      <c r="R21" s="78" t="str">
        <f>IF('Resample Data Summary'!C148="PASS",'Data - Sample Type 1'!FO102,"")</f>
        <v/>
      </c>
      <c r="S21" s="374"/>
      <c r="V21" s="385"/>
      <c r="W21" s="219" t="str">
        <f>IF('Resample Data Summary'!C233="PASS",IF('Data - Sample Type 2'!AE42=0,40,'Data - Sample Type 2'!AE42),"")</f>
        <v/>
      </c>
      <c r="X21" s="78" t="str">
        <f>IF('Resample Data Summary'!C233="PASS",IF('Data - Sample Type 2'!AS42=0,40,'Data - Sample Type 2'!AS42),"")</f>
        <v/>
      </c>
      <c r="Y21" s="78" t="str">
        <f>IF('Resample Data Summary'!C233="PASS",IF('Data - Sample Type 2'!BG42=0,40,'Data - Sample Type 2'!BG42),"")</f>
        <v/>
      </c>
      <c r="Z21" s="78" t="str">
        <f>IF('Resample Data Summary'!C233="PASS",IF('Data - Sample Type 2'!BU42=0,40,'Data - Sample Type 2'!BU42),"")</f>
        <v/>
      </c>
      <c r="AA21" s="231" t="str">
        <f>IF('Resample Data Summary'!C233="PASS",IF('Data - Sample Type 2'!CI42=0,40,'Data - Sample Type 2'!CI42),"")</f>
        <v/>
      </c>
      <c r="AB21" s="240" t="str">
        <f>IF('Resample Data Summary'!C233="PASS",'Data - Sample Type 2'!DK42,"")</f>
        <v/>
      </c>
      <c r="AC21" s="382"/>
      <c r="AD21" s="78" t="str">
        <f>IF('Resample Data Summary'!C233="PASS",'Data - Sample Type 2'!EY42,"")</f>
        <v/>
      </c>
      <c r="AE21" s="382"/>
      <c r="AF21" s="78" t="str">
        <f>IF('Resample Data Summary'!C233="PASS",'Data - Sample Type 2'!EA42,"")</f>
        <v/>
      </c>
      <c r="AG21" s="382"/>
      <c r="AH21" s="78" t="str">
        <f>IF('Resample Data Summary'!C233="PASS",'Data - Sample Type 2'!EI42,"")</f>
        <v/>
      </c>
      <c r="AI21" s="380"/>
    </row>
    <row r="22" spans="2:35" ht="14" customHeight="1" x14ac:dyDescent="0.15">
      <c r="B22" s="392"/>
      <c r="C22" s="168" t="str">
        <f>IF('Resample Data Summary'!C44="PASS",IF('Data - Sample Type 0'!AE123=0,40,'Data - Sample Type 0'!AE123),"")</f>
        <v/>
      </c>
      <c r="D22" s="388"/>
      <c r="E22" s="168" t="str">
        <f>IF('Resample Data Summary'!C44="PASS",IF('Resample Data Summary'!A44="","",'Data - Sample Type 0'!Q123),"")</f>
        <v/>
      </c>
      <c r="F22" s="395"/>
      <c r="I22" s="385"/>
      <c r="J22" s="254" t="str">
        <f>IF('Resample Data Summary'!C149="PASS",IF('Data - Sample Type 1'!AE103=0,40,'Data - Sample Type 1'!AE103),"")</f>
        <v/>
      </c>
      <c r="K22" s="163" t="str">
        <f>IF('Resample Data Summary'!C149="PASS",IF('Data - Sample Type 1'!AS103=0,40,'Data - Sample Type 1'!AS103),"")</f>
        <v/>
      </c>
      <c r="L22" s="163" t="str">
        <f>IF('Resample Data Summary'!C149="PASS",IF('Data - Sample Type 1'!BG103=0,40,'Data - Sample Type 1'!BG103),"")</f>
        <v/>
      </c>
      <c r="M22" s="255" t="str">
        <f>IF('Resample Data Summary'!C149="PASS",IF('Data - Sample Type 1'!CI103=0,40,'Data - Sample Type 1'!CI103),"")</f>
        <v/>
      </c>
      <c r="N22" s="261" t="str">
        <f>IF('Resample Data Summary'!C149="PASS",'Data - Sample Type 1'!DK103,"")</f>
        <v/>
      </c>
      <c r="O22" s="377"/>
      <c r="P22" s="78" t="str">
        <f>IF('Resample Data Summary'!C149="PASS",'Data - Sample Type 1'!EY103,"")</f>
        <v/>
      </c>
      <c r="Q22" s="377"/>
      <c r="R22" s="78" t="str">
        <f>IF('Resample Data Summary'!C149="PASS",'Data - Sample Type 1'!FO103,"")</f>
        <v/>
      </c>
      <c r="S22" s="374"/>
      <c r="V22" s="386"/>
      <c r="W22" s="220" t="str">
        <f>IF('Resample Data Summary'!C234="PASS",IF('Data - Sample Type 2'!AE43=0,40,'Data - Sample Type 2'!AE43),"")</f>
        <v/>
      </c>
      <c r="X22" s="228" t="str">
        <f>IF('Resample Data Summary'!C234="PASS",IF('Data - Sample Type 2'!AS43=0,40,'Data - Sample Type 2'!AS43),"")</f>
        <v/>
      </c>
      <c r="Y22" s="228" t="str">
        <f>IF('Resample Data Summary'!C234="PASS",IF('Data - Sample Type 2'!BG43=0,40,'Data - Sample Type 2'!BG43),"")</f>
        <v/>
      </c>
      <c r="Z22" s="228" t="str">
        <f>IF('Resample Data Summary'!C234="PASS",IF('Data - Sample Type 2'!BU43=0,40,'Data - Sample Type 2'!BU43),"")</f>
        <v/>
      </c>
      <c r="AA22" s="235" t="str">
        <f>IF(LEFT('Data - Sample Type 2'!L43,3)="MTB",IF('Data - Sample Type 2'!Q43=0,"",IF('Data - Sample Type 2'!CI43=0,40,'Data - Sample Type 2'!CI43)),"")</f>
        <v/>
      </c>
      <c r="AB22" s="241" t="str">
        <f>IF('Resample Data Summary'!C234="PASS",'Data - Sample Type 2'!DK43,"")</f>
        <v/>
      </c>
      <c r="AC22" s="383"/>
      <c r="AD22" s="228" t="str">
        <f>IF('Resample Data Summary'!C234="PASS",'Data - Sample Type 2'!EY43,"")</f>
        <v/>
      </c>
      <c r="AE22" s="383"/>
      <c r="AF22" s="228" t="str">
        <f>IF('Resample Data Summary'!C234="PASS",'Data - Sample Type 2'!EA43,"")</f>
        <v/>
      </c>
      <c r="AG22" s="383"/>
      <c r="AH22" s="228" t="str">
        <f>IF('Resample Data Summary'!C234="PASS",'Data - Sample Type 2'!EI43,"")</f>
        <v/>
      </c>
      <c r="AI22" s="381"/>
    </row>
    <row r="23" spans="2:35" ht="56" x14ac:dyDescent="0.15">
      <c r="B23" s="390">
        <v>3</v>
      </c>
      <c r="C23" s="167" t="str">
        <f>IF('Resample Data Summary'!C45="PASS",IF('Data - Sample Type 0'!AE124=0,40,'Data - Sample Type 0'!AE124),"")</f>
        <v/>
      </c>
      <c r="D23" s="389" t="e">
        <f>ROUND(AVERAGE(C23:C32),1)</f>
        <v>#DIV/0!</v>
      </c>
      <c r="E23" s="167" t="str">
        <f>IF('Resample Data Summary'!C45="PASS",IF('Resample Data Summary'!A45="","",'Data - Sample Type 0'!Q124),"")</f>
        <v/>
      </c>
      <c r="F23" s="396" t="e">
        <f>ROUND(AVERAGE(E23:E32),1)</f>
        <v>#DIV/0!</v>
      </c>
      <c r="I23" s="385">
        <v>3</v>
      </c>
      <c r="J23" s="254" t="str">
        <f>IF('Resample Data Summary'!C150="PASS",IF('Data - Sample Type 1'!AE104=0,40,'Data - Sample Type 1'!AE104),"")</f>
        <v/>
      </c>
      <c r="K23" s="163" t="str">
        <f>IF('Resample Data Summary'!C150="PASS",IF('Data - Sample Type 1'!AS104=0,40,'Data - Sample Type 1'!AS104),"")</f>
        <v/>
      </c>
      <c r="L23" s="163" t="str">
        <f>IF('Resample Data Summary'!C150="PASS",IF('Data - Sample Type 1'!BG104=0,40,'Data - Sample Type 1'!BG104),"")</f>
        <v/>
      </c>
      <c r="M23" s="255" t="str">
        <f>IF('Resample Data Summary'!C150="PASS",IF('Data - Sample Type 1'!CI104=0,40,'Data - Sample Type 1'!CI104),"")</f>
        <v/>
      </c>
      <c r="N23" s="261" t="str">
        <f>IF('Resample Data Summary'!C150="PASS",'Data - Sample Type 1'!DK104,"")</f>
        <v/>
      </c>
      <c r="O23" s="377" t="str">
        <f>IF(COUNTIF(N21:N28,"&gt;0")=8-COUNTIF(N21:N28,""),"PASS","FAIL")</f>
        <v>PASS</v>
      </c>
      <c r="P23" s="78" t="str">
        <f>IF('Resample Data Summary'!C150="PASS",'Data - Sample Type 1'!EY104,"")</f>
        <v/>
      </c>
      <c r="Q23" s="377" t="str">
        <f>IF(COUNTIF(P19:P26,"&gt;0")=8-COUNTIF(P19:P26,""),"PASS","FAIL")</f>
        <v>PASS</v>
      </c>
      <c r="R23" s="78" t="str">
        <f>IF('Resample Data Summary'!C150="PASS",'Data - Sample Type 1'!FO104,"")</f>
        <v/>
      </c>
      <c r="S23" s="374" t="str">
        <f>IF(COUNTIF(R19:R26,"&gt;0")=8-COUNTIF(R19:R26,""),"PASS","FAIL")</f>
        <v>PASS</v>
      </c>
      <c r="V23" s="67"/>
      <c r="W23" s="224" t="s">
        <v>547</v>
      </c>
      <c r="X23" s="172" t="s">
        <v>564</v>
      </c>
      <c r="Y23" s="172" t="s">
        <v>565</v>
      </c>
      <c r="Z23" s="172" t="s">
        <v>566</v>
      </c>
      <c r="AA23" s="169" t="s">
        <v>567</v>
      </c>
    </row>
    <row r="24" spans="2:35" ht="23.25" customHeight="1" x14ac:dyDescent="0.15">
      <c r="B24" s="391"/>
      <c r="C24" s="163" t="str">
        <f>IF('Resample Data Summary'!C46="PASS",IF('Data - Sample Type 0'!AE125=0,40,'Data - Sample Type 0'!AE125),"")</f>
        <v/>
      </c>
      <c r="D24" s="387"/>
      <c r="E24" s="163" t="str">
        <f>IF('Resample Data Summary'!C46="PASS",IF('Resample Data Summary'!A46="","",'Data - Sample Type 0'!Q125),"")</f>
        <v/>
      </c>
      <c r="F24" s="394"/>
      <c r="I24" s="385"/>
      <c r="J24" s="254" t="str">
        <f>IF('Resample Data Summary'!C151="PASS",IF('Data - Sample Type 1'!AE105=0,40,'Data - Sample Type 1'!AE105),"")</f>
        <v/>
      </c>
      <c r="K24" s="163" t="str">
        <f>IF('Resample Data Summary'!C151="PASS",IF('Data - Sample Type 1'!AS105=0,40,'Data - Sample Type 1'!AS105),"")</f>
        <v/>
      </c>
      <c r="L24" s="163" t="str">
        <f>IF('Resample Data Summary'!C151="PASS",IF('Data - Sample Type 1'!BG105=0,40,'Data - Sample Type 1'!BG105),"")</f>
        <v/>
      </c>
      <c r="M24" s="255" t="str">
        <f>IF('Resample Data Summary'!C151="PASS",IF('Data - Sample Type 1'!CI105=0,40,'Data - Sample Type 1'!CI105),"")</f>
        <v/>
      </c>
      <c r="N24" s="261" t="str">
        <f>IF('Resample Data Summary'!C151="PASS",'Data - Sample Type 1'!DK105,"")</f>
        <v/>
      </c>
      <c r="O24" s="377"/>
      <c r="P24" s="78" t="str">
        <f>IF('Resample Data Summary'!C151="PASS",'Data - Sample Type 1'!EY105,"")</f>
        <v/>
      </c>
      <c r="Q24" s="377"/>
      <c r="R24" s="78" t="str">
        <f>IF('Resample Data Summary'!C151="PASS",'Data - Sample Type 1'!FO105,"")</f>
        <v/>
      </c>
      <c r="S24" s="374"/>
      <c r="V24" s="67"/>
      <c r="W24" s="219" t="e">
        <f>ROUND(AVERAGE(W3:W22),1)</f>
        <v>#DIV/0!</v>
      </c>
      <c r="X24" s="78" t="e">
        <f>ROUND(AVERAGE(X3:X22),1)</f>
        <v>#DIV/0!</v>
      </c>
      <c r="Y24" s="78" t="e">
        <f>ROUND(AVERAGE(Y3:Y22),1)</f>
        <v>#DIV/0!</v>
      </c>
      <c r="Z24" s="78" t="e">
        <f>ROUND(AVERAGE(Z3:Z22),1)</f>
        <v>#DIV/0!</v>
      </c>
      <c r="AA24" s="231" t="e">
        <f>ROUND(AVERAGE(AA3:AA22),1)</f>
        <v>#DIV/0!</v>
      </c>
      <c r="AC24" s="438"/>
      <c r="AE24" s="438"/>
      <c r="AG24" s="438"/>
      <c r="AI24" s="438"/>
    </row>
    <row r="25" spans="2:35" ht="36.75" customHeight="1" x14ac:dyDescent="0.15">
      <c r="B25" s="391">
        <v>3</v>
      </c>
      <c r="C25" s="163" t="str">
        <f>IF('Resample Data Summary'!C47="PASS",IF('Data - Sample Type 0'!AE126=0,40,'Data - Sample Type 0'!AE126),"")</f>
        <v/>
      </c>
      <c r="D25" s="387"/>
      <c r="E25" s="163" t="str">
        <f>IF('Resample Data Summary'!C47="PASS",IF('Resample Data Summary'!A47="","",'Data - Sample Type 0'!Q126),"")</f>
        <v/>
      </c>
      <c r="F25" s="394"/>
      <c r="I25" s="385"/>
      <c r="J25" s="254" t="str">
        <f>IF('Resample Data Summary'!C152="PASS",IF('Data - Sample Type 1'!AE106=0,40,'Data - Sample Type 1'!AE106),"")</f>
        <v/>
      </c>
      <c r="K25" s="163" t="str">
        <f>IF('Resample Data Summary'!C152="PASS",IF('Data - Sample Type 1'!AS106=0,40,'Data - Sample Type 1'!AS106),"")</f>
        <v/>
      </c>
      <c r="L25" s="163" t="str">
        <f>IF('Resample Data Summary'!C152="PASS",IF('Data - Sample Type 1'!BG106=0,40,'Data - Sample Type 1'!BG106),"")</f>
        <v/>
      </c>
      <c r="M25" s="255" t="str">
        <f>IF('Resample Data Summary'!C152="PASS",IF('Data - Sample Type 1'!CI106=0,40,'Data - Sample Type 1'!CI106),"")</f>
        <v/>
      </c>
      <c r="N25" s="261" t="str">
        <f>IF('Resample Data Summary'!C152="PASS",'Data - Sample Type 1'!DK106,"")</f>
        <v/>
      </c>
      <c r="O25" s="377"/>
      <c r="P25" s="78" t="str">
        <f>IF('Resample Data Summary'!C152="PASS",'Data - Sample Type 1'!EY106,"")</f>
        <v/>
      </c>
      <c r="Q25" s="377"/>
      <c r="R25" s="78" t="str">
        <f>IF('Resample Data Summary'!C152="PASS",'Data - Sample Type 1'!FO106,"")</f>
        <v/>
      </c>
      <c r="S25" s="374"/>
      <c r="V25" s="67"/>
      <c r="W25" s="249" t="str">
        <f>IF(COUNTBLANK(W13:W22)&lt;=8,IF(W24&lt;=Specifications!$D$28,"PASS","FAIL"),"Not enough data")</f>
        <v>Not enough data</v>
      </c>
      <c r="X25" s="250" t="str">
        <f>IF(COUNTBLANK(X13:X22)&lt;=8,IF(X24&lt;=Specifications!$E$28,"PASS","FAIL"),"Not enough data")</f>
        <v>Not enough data</v>
      </c>
      <c r="Y25" s="250" t="str">
        <f>IF(COUNTBLANK(Y13:Y22)&lt;=8,IF(Y24&lt;=Specifications!$G$28,"PASS","FAIL"),"Not enough data")</f>
        <v>Not enough data</v>
      </c>
      <c r="Z25" s="250" t="str">
        <f>IF(COUNTBLANK(Z13:Z22)&lt;=8,IF(Z24&lt;=Specifications!$I$28,"PASS","FAIL"),"Not enough data")</f>
        <v>Not enough data</v>
      </c>
      <c r="AA25" s="251" t="str">
        <f>IF(COUNTBLANK(AA13:AA22)&lt;=8,IF(AA24&lt;=Specifications!$K$28,"PASS","FAIL"),"Not enough data")</f>
        <v>Not enough data</v>
      </c>
      <c r="AC25" s="438"/>
      <c r="AE25" s="438"/>
      <c r="AG25" s="438"/>
      <c r="AI25" s="438"/>
    </row>
    <row r="26" spans="2:35" x14ac:dyDescent="0.15">
      <c r="B26" s="391"/>
      <c r="C26" s="163" t="str">
        <f>IF('Resample Data Summary'!C48="PASS",IF('Data - Sample Type 0'!AE127=0,40,'Data - Sample Type 0'!AE127),"")</f>
        <v/>
      </c>
      <c r="D26" s="387"/>
      <c r="E26" s="163" t="str">
        <f>IF('Resample Data Summary'!C48="PASS",IF('Resample Data Summary'!A48="","",'Data - Sample Type 0'!Q127),"")</f>
        <v/>
      </c>
      <c r="F26" s="394"/>
      <c r="I26" s="386"/>
      <c r="J26" s="256" t="str">
        <f>IF('Resample Data Summary'!C153="PASS",IF('Data - Sample Type 1'!AE107=0,40,'Data - Sample Type 1'!AE107),"")</f>
        <v/>
      </c>
      <c r="K26" s="168" t="str">
        <f>IF('Resample Data Summary'!C153="PASS",IF('Data - Sample Type 1'!AS107=0,40,'Data - Sample Type 1'!AS107),"")</f>
        <v/>
      </c>
      <c r="L26" s="168" t="str">
        <f>IF('Resample Data Summary'!C153="PASS",IF('Data - Sample Type 1'!BG107=0,40,'Data - Sample Type 1'!BG107),"")</f>
        <v/>
      </c>
      <c r="M26" s="257" t="str">
        <f>IF('Resample Data Summary'!C153="PASS",IF('Data - Sample Type 1'!CI107=0,40,'Data - Sample Type 1'!CI107),"")</f>
        <v/>
      </c>
      <c r="N26" s="262" t="str">
        <f>IF('Resample Data Summary'!C153="PASS",'Data - Sample Type 1'!DK107,"")</f>
        <v/>
      </c>
      <c r="O26" s="378"/>
      <c r="P26" s="228" t="str">
        <f>IF('Resample Data Summary'!C153="PASS",'Data - Sample Type 1'!EY107,"")</f>
        <v/>
      </c>
      <c r="Q26" s="378"/>
      <c r="R26" s="228" t="str">
        <f>IF('Resample Data Summary'!C153="PASS",'Data - Sample Type 1'!FO107,"")</f>
        <v/>
      </c>
      <c r="S26" s="376"/>
      <c r="V26" s="67"/>
      <c r="AC26" s="438"/>
      <c r="AE26" s="438"/>
      <c r="AG26" s="438"/>
      <c r="AI26" s="438"/>
    </row>
    <row r="27" spans="2:35" x14ac:dyDescent="0.15">
      <c r="B27" s="391"/>
      <c r="C27" s="163" t="str">
        <f>IF('Resample Data Summary'!C49="PASS",IF('Data - Sample Type 0'!AE128=0,40,'Data - Sample Type 0'!AE128),"")</f>
        <v/>
      </c>
      <c r="D27" s="387"/>
      <c r="E27" s="163" t="str">
        <f>IF('Resample Data Summary'!C49="PASS",IF('Resample Data Summary'!A49="","",'Data - Sample Type 0'!Q128),"")</f>
        <v/>
      </c>
      <c r="F27" s="394"/>
      <c r="I27" s="384">
        <v>4</v>
      </c>
      <c r="J27" s="252" t="str">
        <f>IF('Resample Data Summary'!C154="PASS",IF('Data - Sample Type 1'!AE108=0,40,'Data - Sample Type 1'!AE108),"")</f>
        <v/>
      </c>
      <c r="K27" s="167" t="str">
        <f>IF('Resample Data Summary'!C154="PASS",IF('Data - Sample Type 1'!AS108=0,40,'Data - Sample Type 1'!AS108),"")</f>
        <v/>
      </c>
      <c r="L27" s="167" t="str">
        <f>IF('Resample Data Summary'!C154="PASS",IF('Data - Sample Type 1'!BG108=0,40,'Data - Sample Type 1'!BG108),"")</f>
        <v/>
      </c>
      <c r="M27" s="253" t="str">
        <f>IF('Resample Data Summary'!C154="PASS",IF('Data - Sample Type 1'!CI108=0,40,'Data - Sample Type 1'!CI108),"")</f>
        <v/>
      </c>
      <c r="N27" s="260" t="str">
        <f>IF('Resample Data Summary'!C154="PASS",'Data - Sample Type 1'!DK108,"")</f>
        <v/>
      </c>
      <c r="O27" s="379" t="e">
        <f>ROUND(AVERAGE(N27:N34),1)</f>
        <v>#DIV/0!</v>
      </c>
      <c r="P27" s="225" t="str">
        <f>IF('Resample Data Summary'!C154="PASS",'Data - Sample Type 1'!EY108,"")</f>
        <v/>
      </c>
      <c r="Q27" s="379" t="e">
        <f>ROUND(AVERAGE(P27:P34),1)</f>
        <v>#DIV/0!</v>
      </c>
      <c r="R27" s="225" t="str">
        <f>IF('Resample Data Summary'!C154="PASS",'Data - Sample Type 1'!FO108,"")</f>
        <v/>
      </c>
      <c r="S27" s="373" t="e">
        <f>ROUND(AVERAGE(R27:R34),1)</f>
        <v>#DIV/0!</v>
      </c>
      <c r="V27" s="67"/>
      <c r="AC27" s="438"/>
      <c r="AE27" s="438"/>
      <c r="AG27" s="438"/>
      <c r="AI27" s="438"/>
    </row>
    <row r="28" spans="2:35" x14ac:dyDescent="0.15">
      <c r="B28" s="391"/>
      <c r="C28" s="163" t="str">
        <f>IF('Resample Data Summary'!C50="PASS",IF('Data - Sample Type 0'!AE129=0,40,'Data - Sample Type 0'!AE129),"")</f>
        <v/>
      </c>
      <c r="D28" s="387" t="e">
        <f>IF(D23&gt;=Specifications!$D$26,"PASS","FAIL")</f>
        <v>#DIV/0!</v>
      </c>
      <c r="E28" s="163" t="str">
        <f>IF('Resample Data Summary'!C50="PASS",IF('Resample Data Summary'!A50="","",'Data - Sample Type 0'!Q129),"")</f>
        <v/>
      </c>
      <c r="F28" s="394" t="e">
        <f>IF(F23&lt;=Specifications!$B$26,"PASS","FAIL")</f>
        <v>#DIV/0!</v>
      </c>
      <c r="I28" s="385"/>
      <c r="J28" s="254" t="str">
        <f>IF('Resample Data Summary'!C155="PASS",IF('Data - Sample Type 1'!AE109=0,40,'Data - Sample Type 1'!AE109),"")</f>
        <v/>
      </c>
      <c r="K28" s="163" t="str">
        <f>IF('Resample Data Summary'!C155="PASS",IF('Data - Sample Type 1'!AS109=0,40,'Data - Sample Type 1'!AS109),"")</f>
        <v/>
      </c>
      <c r="L28" s="163" t="str">
        <f>IF('Resample Data Summary'!C155="PASS",IF('Data - Sample Type 1'!BG109=0,40,'Data - Sample Type 1'!BG109),"")</f>
        <v/>
      </c>
      <c r="M28" s="255" t="str">
        <f>IF('Resample Data Summary'!C155="PASS",IF('Data - Sample Type 1'!CI109=0,40,'Data - Sample Type 1'!CI109),"")</f>
        <v/>
      </c>
      <c r="N28" s="261" t="str">
        <f>IF('Resample Data Summary'!C155="PASS",'Data - Sample Type 1'!DK109,"")</f>
        <v/>
      </c>
      <c r="O28" s="377"/>
      <c r="P28" s="78" t="str">
        <f>IF('Resample Data Summary'!C155="PASS",'Data - Sample Type 1'!EY109,"")</f>
        <v/>
      </c>
      <c r="Q28" s="377"/>
      <c r="R28" s="78" t="str">
        <f>IF('Resample Data Summary'!C155="PASS",'Data - Sample Type 1'!FO109,"")</f>
        <v/>
      </c>
      <c r="S28" s="374"/>
      <c r="V28" s="67"/>
      <c r="AC28" s="438"/>
      <c r="AE28" s="438"/>
      <c r="AG28" s="438"/>
      <c r="AI28" s="438"/>
    </row>
    <row r="29" spans="2:35" ht="14" customHeight="1" x14ac:dyDescent="0.15">
      <c r="B29" s="391"/>
      <c r="C29" s="163" t="str">
        <f>IF('Resample Data Summary'!C51="PASS",IF('Data - Sample Type 0'!AE130=0,40,'Data - Sample Type 0'!AE130),"")</f>
        <v/>
      </c>
      <c r="D29" s="387"/>
      <c r="E29" s="163" t="str">
        <f>IF('Resample Data Summary'!C51="PASS",IF('Resample Data Summary'!A51="","",'Data - Sample Type 0'!Q130),"")</f>
        <v/>
      </c>
      <c r="F29" s="394"/>
      <c r="I29" s="385"/>
      <c r="J29" s="254" t="str">
        <f>IF('Resample Data Summary'!C156="PASS",IF('Data - Sample Type 1'!AE110=0,40,'Data - Sample Type 1'!AE110),"")</f>
        <v/>
      </c>
      <c r="K29" s="163" t="str">
        <f>IF('Resample Data Summary'!C156="PASS",IF('Data - Sample Type 1'!AS110=0,40,'Data - Sample Type 1'!AS110),"")</f>
        <v/>
      </c>
      <c r="L29" s="163" t="str">
        <f>IF('Resample Data Summary'!C156="PASS",IF('Data - Sample Type 1'!BG110=0,40,'Data - Sample Type 1'!BG110),"")</f>
        <v/>
      </c>
      <c r="M29" s="255" t="str">
        <f>IF('Resample Data Summary'!C156="PASS",IF('Data - Sample Type 1'!CI110=0,40,'Data - Sample Type 1'!CI110),"")</f>
        <v/>
      </c>
      <c r="N29" s="261" t="str">
        <f>IF('Resample Data Summary'!C156="PASS",'Data - Sample Type 1'!DK110,"")</f>
        <v/>
      </c>
      <c r="O29" s="377"/>
      <c r="P29" s="78" t="str">
        <f>IF('Resample Data Summary'!C156="PASS",'Data - Sample Type 1'!EY110,"")</f>
        <v/>
      </c>
      <c r="Q29" s="377"/>
      <c r="R29" s="78" t="str">
        <f>IF('Resample Data Summary'!C156="PASS",'Data - Sample Type 1'!FO110,"")</f>
        <v/>
      </c>
      <c r="S29" s="374"/>
      <c r="V29" s="67"/>
      <c r="AC29" s="438"/>
      <c r="AE29" s="438"/>
      <c r="AG29" s="438"/>
      <c r="AI29" s="438"/>
    </row>
    <row r="30" spans="2:35" x14ac:dyDescent="0.15">
      <c r="B30" s="391"/>
      <c r="C30" s="163" t="str">
        <f>IF('Resample Data Summary'!C52="PASS",IF('Data - Sample Type 0'!AE131=0,40,'Data - Sample Type 0'!AE131),"")</f>
        <v/>
      </c>
      <c r="D30" s="387"/>
      <c r="E30" s="163" t="str">
        <f>IF('Resample Data Summary'!C52="PASS",IF('Resample Data Summary'!A52="","",'Data - Sample Type 0'!Q131),"")</f>
        <v/>
      </c>
      <c r="F30" s="394"/>
      <c r="I30" s="385"/>
      <c r="J30" s="254" t="str">
        <f>IF('Resample Data Summary'!C157="PASS",IF('Data - Sample Type 1'!AE111=0,40,'Data - Sample Type 1'!AE111),"")</f>
        <v/>
      </c>
      <c r="K30" s="163" t="str">
        <f>IF('Resample Data Summary'!C157="PASS",IF('Data - Sample Type 1'!AS111=0,40,'Data - Sample Type 1'!AS111),"")</f>
        <v/>
      </c>
      <c r="L30" s="163" t="str">
        <f>IF('Resample Data Summary'!C157="PASS",IF('Data - Sample Type 1'!BG111=0,40,'Data - Sample Type 1'!BG111),"")</f>
        <v/>
      </c>
      <c r="M30" s="255" t="str">
        <f>IF('Resample Data Summary'!C157="PASS",IF('Data - Sample Type 1'!CI111=0,40,'Data - Sample Type 1'!CI111),"")</f>
        <v/>
      </c>
      <c r="N30" s="261" t="str">
        <f>IF('Resample Data Summary'!C157="PASS",'Data - Sample Type 1'!DK111,"")</f>
        <v/>
      </c>
      <c r="O30" s="377"/>
      <c r="P30" s="78" t="str">
        <f>IF('Resample Data Summary'!C157="PASS",'Data - Sample Type 1'!EY111,"")</f>
        <v/>
      </c>
      <c r="Q30" s="377"/>
      <c r="R30" s="78" t="str">
        <f>IF('Resample Data Summary'!C157="PASS",'Data - Sample Type 1'!FO111,"")</f>
        <v/>
      </c>
      <c r="S30" s="374"/>
      <c r="V30" s="67"/>
      <c r="AC30" s="438"/>
      <c r="AE30" s="438"/>
      <c r="AG30" s="438"/>
      <c r="AI30" s="438"/>
    </row>
    <row r="31" spans="2:35" ht="13.25" customHeight="1" x14ac:dyDescent="0.15">
      <c r="B31" s="391"/>
      <c r="C31" s="163" t="str">
        <f>IF('Resample Data Summary'!C53="PASS",IF('Data - Sample Type 0'!AE132=0,40,'Data - Sample Type 0'!AE132),"")</f>
        <v/>
      </c>
      <c r="D31" s="387"/>
      <c r="E31" s="163" t="str">
        <f>IF('Resample Data Summary'!C53="PASS",IF('Resample Data Summary'!A53="","",'Data - Sample Type 0'!Q132),"")</f>
        <v/>
      </c>
      <c r="F31" s="394"/>
      <c r="I31" s="385"/>
      <c r="J31" s="254" t="str">
        <f>IF('Resample Data Summary'!C158="PASS",IF('Data - Sample Type 1'!AE112=0,40,'Data - Sample Type 1'!AE112),"")</f>
        <v/>
      </c>
      <c r="K31" s="163" t="str">
        <f>IF('Resample Data Summary'!C158="PASS",IF('Data - Sample Type 1'!AS112=0,40,'Data - Sample Type 1'!AS112),"")</f>
        <v/>
      </c>
      <c r="L31" s="163" t="str">
        <f>IF('Resample Data Summary'!C158="PASS",IF('Data - Sample Type 1'!BG112=0,40,'Data - Sample Type 1'!BG112),"")</f>
        <v/>
      </c>
      <c r="M31" s="255" t="str">
        <f>IF('Resample Data Summary'!C158="PASS",IF('Data - Sample Type 1'!CI112=0,40,'Data - Sample Type 1'!CI112),"")</f>
        <v/>
      </c>
      <c r="N31" s="261" t="str">
        <f>IF('Resample Data Summary'!C158="PASS",'Data - Sample Type 1'!DK112,"")</f>
        <v/>
      </c>
      <c r="O31" s="377" t="str">
        <f>IF(COUNTIF(N29:N36,"&gt;0")=8-COUNTIF(N29:N36,""),"PASS","FAIL")</f>
        <v>PASS</v>
      </c>
      <c r="P31" s="78" t="str">
        <f>IF('Resample Data Summary'!C158="PASS",'Data - Sample Type 1'!EY112,"")</f>
        <v/>
      </c>
      <c r="Q31" s="377" t="str">
        <f>IF(COUNTIF(P27:P34,"&gt;0")=8-COUNTIF(P27:P34,""),"PASS","FAIL")</f>
        <v>PASS</v>
      </c>
      <c r="R31" s="78" t="str">
        <f>IF('Resample Data Summary'!C158="PASS",'Data - Sample Type 1'!FO112,"")</f>
        <v/>
      </c>
      <c r="S31" s="374" t="str">
        <f>IF(COUNTIF(R27:R34,"&gt;0")=8-COUNTIF(R27:R34,""),"PASS","FAIL")</f>
        <v>PASS</v>
      </c>
      <c r="V31" s="67"/>
      <c r="AC31" s="438"/>
      <c r="AE31" s="438"/>
      <c r="AG31" s="438"/>
      <c r="AI31" s="438"/>
    </row>
    <row r="32" spans="2:35" x14ac:dyDescent="0.15">
      <c r="B32" s="392"/>
      <c r="C32" s="168" t="str">
        <f>IF('Resample Data Summary'!C54="PASS",IF('Data - Sample Type 0'!AE133=0,40,'Data - Sample Type 0'!AE133),"")</f>
        <v/>
      </c>
      <c r="D32" s="388"/>
      <c r="E32" s="168" t="str">
        <f>IF('Resample Data Summary'!C54="PASS",IF('Resample Data Summary'!A54="","",'Data - Sample Type 0'!Q133),"")</f>
        <v/>
      </c>
      <c r="F32" s="395"/>
      <c r="I32" s="385"/>
      <c r="J32" s="254" t="str">
        <f>IF('Resample Data Summary'!C159="PASS",IF('Data - Sample Type 1'!AE113=0,40,'Data - Sample Type 1'!AE113),"")</f>
        <v/>
      </c>
      <c r="K32" s="163" t="str">
        <f>IF('Resample Data Summary'!C159="PASS",IF('Data - Sample Type 1'!AS113=0,40,'Data - Sample Type 1'!AS113),"")</f>
        <v/>
      </c>
      <c r="L32" s="163" t="str">
        <f>IF('Resample Data Summary'!C159="PASS",IF('Data - Sample Type 1'!BG113=0,40,'Data - Sample Type 1'!BG113),"")</f>
        <v/>
      </c>
      <c r="M32" s="255" t="str">
        <f>IF('Resample Data Summary'!C159="PASS",IF('Data - Sample Type 1'!CI113=0,40,'Data - Sample Type 1'!CI113),"")</f>
        <v/>
      </c>
      <c r="N32" s="261" t="str">
        <f>IF('Resample Data Summary'!C159="PASS",'Data - Sample Type 1'!DK113,"")</f>
        <v/>
      </c>
      <c r="O32" s="377"/>
      <c r="P32" s="78" t="str">
        <f>IF('Resample Data Summary'!C159="PASS",'Data - Sample Type 1'!EY113,"")</f>
        <v/>
      </c>
      <c r="Q32" s="377"/>
      <c r="R32" s="78" t="str">
        <f>IF('Resample Data Summary'!C159="PASS",'Data - Sample Type 1'!FO113,"")</f>
        <v/>
      </c>
      <c r="S32" s="374"/>
      <c r="V32" s="67"/>
      <c r="AC32" s="438"/>
      <c r="AE32" s="438"/>
      <c r="AG32" s="438"/>
      <c r="AI32" s="438"/>
    </row>
    <row r="33" spans="2:35" x14ac:dyDescent="0.15">
      <c r="B33" s="390">
        <v>4</v>
      </c>
      <c r="C33" s="167" t="str">
        <f>IF('Resample Data Summary'!C55="PASS",IF('Data - Sample Type 0'!AE134=0,40,'Data - Sample Type 0'!AE134),"")</f>
        <v/>
      </c>
      <c r="D33" s="389" t="e">
        <f>ROUND(AVERAGE(C33:C42),1)</f>
        <v>#DIV/0!</v>
      </c>
      <c r="E33" s="167" t="str">
        <f>IF('Resample Data Summary'!C55="PASS",IF('Resample Data Summary'!A55="","",'Data - Sample Type 0'!Q134),"")</f>
        <v/>
      </c>
      <c r="F33" s="396" t="e">
        <f>ROUND(AVERAGE(E33:E42),1)</f>
        <v>#DIV/0!</v>
      </c>
      <c r="I33" s="385">
        <v>4</v>
      </c>
      <c r="J33" s="254" t="str">
        <f>IF('Resample Data Summary'!C160="PASS",IF('Data - Sample Type 1'!AE114=0,40,'Data - Sample Type 1'!AE114),"")</f>
        <v/>
      </c>
      <c r="K33" s="163" t="str">
        <f>IF('Resample Data Summary'!C160="PASS",IF('Data - Sample Type 1'!AS114=0,40,'Data - Sample Type 1'!AS114),"")</f>
        <v/>
      </c>
      <c r="L33" s="163" t="str">
        <f>IF('Resample Data Summary'!C160="PASS",IF('Data - Sample Type 1'!BG114=0,40,'Data - Sample Type 1'!BG114),"")</f>
        <v/>
      </c>
      <c r="M33" s="255" t="str">
        <f>IF('Resample Data Summary'!C160="PASS",IF('Data - Sample Type 1'!CI114=0,40,'Data - Sample Type 1'!CI114),"")</f>
        <v/>
      </c>
      <c r="N33" s="261" t="str">
        <f>IF('Resample Data Summary'!C160="PASS",'Data - Sample Type 1'!DK114,"")</f>
        <v/>
      </c>
      <c r="O33" s="377"/>
      <c r="P33" s="78" t="str">
        <f>IF('Resample Data Summary'!C160="PASS",'Data - Sample Type 1'!EY114,"")</f>
        <v/>
      </c>
      <c r="Q33" s="377"/>
      <c r="R33" s="78" t="str">
        <f>IF('Resample Data Summary'!C160="PASS",'Data - Sample Type 1'!FO114,"")</f>
        <v/>
      </c>
      <c r="S33" s="374"/>
      <c r="V33" s="67"/>
      <c r="AC33" s="438"/>
      <c r="AE33" s="438"/>
      <c r="AG33" s="438"/>
      <c r="AI33" s="438"/>
    </row>
    <row r="34" spans="2:35" x14ac:dyDescent="0.15">
      <c r="B34" s="391"/>
      <c r="C34" s="163" t="str">
        <f>IF('Resample Data Summary'!C56="PASS",IF('Data - Sample Type 0'!AE135=0,40,'Data - Sample Type 0'!AE135),"")</f>
        <v/>
      </c>
      <c r="D34" s="387"/>
      <c r="E34" s="163" t="str">
        <f>IF('Resample Data Summary'!C56="PASS",IF('Resample Data Summary'!A56="","",'Data - Sample Type 0'!Q135),"")</f>
        <v/>
      </c>
      <c r="F34" s="394"/>
      <c r="I34" s="386"/>
      <c r="J34" s="256" t="str">
        <f>IF('Resample Data Summary'!C161="PASS",IF('Data - Sample Type 1'!AE115=0,40,'Data - Sample Type 1'!AE115),"")</f>
        <v/>
      </c>
      <c r="K34" s="168" t="str">
        <f>IF('Resample Data Summary'!C161="PASS",IF('Data - Sample Type 1'!AS115=0,40,'Data - Sample Type 1'!AS115),"")</f>
        <v/>
      </c>
      <c r="L34" s="168" t="str">
        <f>IF('Resample Data Summary'!C161="PASS",IF('Data - Sample Type 1'!BG115=0,40,'Data - Sample Type 1'!BG115),"")</f>
        <v/>
      </c>
      <c r="M34" s="257" t="str">
        <f>IF('Resample Data Summary'!C161="PASS",IF('Data - Sample Type 1'!CI115=0,40,'Data - Sample Type 1'!CI115),"")</f>
        <v/>
      </c>
      <c r="N34" s="262" t="str">
        <f>IF('Resample Data Summary'!C161="PASS",'Data - Sample Type 1'!DK115,"")</f>
        <v/>
      </c>
      <c r="O34" s="378"/>
      <c r="P34" s="228" t="str">
        <f>IF('Resample Data Summary'!C161="PASS",'Data - Sample Type 1'!EY115,"")</f>
        <v/>
      </c>
      <c r="Q34" s="378"/>
      <c r="R34" s="228" t="str">
        <f>IF('Resample Data Summary'!C161="PASS",'Data - Sample Type 1'!FO115,"")</f>
        <v/>
      </c>
      <c r="S34" s="376"/>
      <c r="V34" s="67"/>
      <c r="AC34" s="438"/>
      <c r="AE34" s="438"/>
      <c r="AG34" s="438"/>
      <c r="AI34" s="438"/>
    </row>
    <row r="35" spans="2:35" x14ac:dyDescent="0.15">
      <c r="B35" s="391"/>
      <c r="C35" s="163" t="str">
        <f>IF('Resample Data Summary'!C57="PASS",IF('Data - Sample Type 0'!AE136=0,40,'Data - Sample Type 0'!AE136),"")</f>
        <v/>
      </c>
      <c r="D35" s="387"/>
      <c r="E35" s="163" t="str">
        <f>IF('Resample Data Summary'!C57="PASS",IF('Resample Data Summary'!A57="","",'Data - Sample Type 0'!Q136),"")</f>
        <v/>
      </c>
      <c r="F35" s="394"/>
      <c r="I35" s="384">
        <v>5</v>
      </c>
      <c r="J35" s="252" t="str">
        <f>IF('Resample Data Summary'!C162="PASS",IF('Data - Sample Type 1'!AE116=0,40,'Data - Sample Type 1'!AE116),"")</f>
        <v/>
      </c>
      <c r="K35" s="167" t="str">
        <f>IF('Resample Data Summary'!C162="PASS",IF('Data - Sample Type 1'!AS116=0,40,'Data - Sample Type 1'!AS116),"")</f>
        <v/>
      </c>
      <c r="L35" s="167" t="str">
        <f>IF('Resample Data Summary'!C162="PASS",IF('Data - Sample Type 1'!BG116=0,40,'Data - Sample Type 1'!BG116),"")</f>
        <v/>
      </c>
      <c r="M35" s="253" t="str">
        <f>IF('Resample Data Summary'!C162="PASS",IF('Data - Sample Type 1'!CI116=0,40,'Data - Sample Type 1'!CI116),"")</f>
        <v/>
      </c>
      <c r="N35" s="260" t="str">
        <f>IF('Resample Data Summary'!C162="PASS",'Data - Sample Type 1'!DK116,"")</f>
        <v/>
      </c>
      <c r="O35" s="379" t="e">
        <f>ROUND(AVERAGE(N35:N42),1)</f>
        <v>#DIV/0!</v>
      </c>
      <c r="P35" s="225" t="str">
        <f>IF('Resample Data Summary'!C162="PASS",'Data - Sample Type 1'!EY116,"")</f>
        <v/>
      </c>
      <c r="Q35" s="379" t="e">
        <f>ROUND(AVERAGE(P35:P42),1)</f>
        <v>#DIV/0!</v>
      </c>
      <c r="R35" s="225" t="str">
        <f>IF('Resample Data Summary'!C162="PASS",'Data - Sample Type 1'!FO116,"")</f>
        <v/>
      </c>
      <c r="S35" s="373" t="e">
        <f>ROUND(AVERAGE(R35:R42),1)</f>
        <v>#DIV/0!</v>
      </c>
      <c r="V35" s="67"/>
      <c r="AC35" s="438"/>
      <c r="AE35" s="438"/>
      <c r="AG35" s="438"/>
      <c r="AI35" s="438"/>
    </row>
    <row r="36" spans="2:35" ht="14" customHeight="1" x14ac:dyDescent="0.15">
      <c r="B36" s="391"/>
      <c r="C36" s="163" t="str">
        <f>IF('Resample Data Summary'!C58="PASS",IF('Data - Sample Type 0'!AE137=0,40,'Data - Sample Type 0'!AE137),"")</f>
        <v/>
      </c>
      <c r="D36" s="387"/>
      <c r="E36" s="163" t="str">
        <f>IF('Resample Data Summary'!C58="PASS",IF('Resample Data Summary'!A58="","",'Data - Sample Type 0'!Q137),"")</f>
        <v/>
      </c>
      <c r="F36" s="394"/>
      <c r="I36" s="385"/>
      <c r="J36" s="254" t="str">
        <f>IF('Resample Data Summary'!C163="PASS",IF('Data - Sample Type 1'!AE117=0,40,'Data - Sample Type 1'!AE117),"")</f>
        <v/>
      </c>
      <c r="K36" s="163" t="str">
        <f>IF('Resample Data Summary'!C163="PASS",IF('Data - Sample Type 1'!AS117=0,40,'Data - Sample Type 1'!AS117),"")</f>
        <v/>
      </c>
      <c r="L36" s="163" t="str">
        <f>IF('Resample Data Summary'!C163="PASS",IF('Data - Sample Type 1'!BG117=0,40,'Data - Sample Type 1'!BG117),"")</f>
        <v/>
      </c>
      <c r="M36" s="255" t="str">
        <f>IF('Resample Data Summary'!C163="PASS",IF('Data - Sample Type 1'!CI117=0,40,'Data - Sample Type 1'!CI117),"")</f>
        <v/>
      </c>
      <c r="N36" s="261" t="str">
        <f>IF('Resample Data Summary'!C163="PASS",'Data - Sample Type 1'!DK117,"")</f>
        <v/>
      </c>
      <c r="O36" s="377"/>
      <c r="P36" s="78" t="str">
        <f>IF('Resample Data Summary'!C163="PASS",'Data - Sample Type 1'!EY117,"")</f>
        <v/>
      </c>
      <c r="Q36" s="377"/>
      <c r="R36" s="78" t="str">
        <f>IF('Resample Data Summary'!C163="PASS",'Data - Sample Type 1'!FO117,"")</f>
        <v/>
      </c>
      <c r="S36" s="374"/>
      <c r="V36" s="67"/>
      <c r="AC36" s="438"/>
      <c r="AE36" s="438"/>
      <c r="AG36" s="438"/>
      <c r="AI36" s="438"/>
    </row>
    <row r="37" spans="2:35" x14ac:dyDescent="0.15">
      <c r="B37" s="391">
        <v>4</v>
      </c>
      <c r="C37" s="163" t="str">
        <f>IF('Resample Data Summary'!C59="PASS",IF('Data - Sample Type 0'!AE138=0,40,'Data - Sample Type 0'!AE138),"")</f>
        <v/>
      </c>
      <c r="D37" s="387"/>
      <c r="E37" s="163" t="str">
        <f>IF('Resample Data Summary'!C59="PASS",IF('Resample Data Summary'!A59="","",'Data - Sample Type 0'!Q138),"")</f>
        <v/>
      </c>
      <c r="F37" s="394"/>
      <c r="I37" s="385"/>
      <c r="J37" s="254" t="str">
        <f>IF('Resample Data Summary'!C164="PASS",IF('Data - Sample Type 1'!AE118=0,40,'Data - Sample Type 1'!AE118),"")</f>
        <v/>
      </c>
      <c r="K37" s="163" t="str">
        <f>IF('Resample Data Summary'!C164="PASS",IF('Data - Sample Type 1'!AS118=0,40,'Data - Sample Type 1'!AS118),"")</f>
        <v/>
      </c>
      <c r="L37" s="163" t="str">
        <f>IF('Resample Data Summary'!C164="PASS",IF('Data - Sample Type 1'!BG118=0,40,'Data - Sample Type 1'!BG118),"")</f>
        <v/>
      </c>
      <c r="M37" s="255" t="str">
        <f>IF('Resample Data Summary'!C164="PASS",IF('Data - Sample Type 1'!CI118=0,40,'Data - Sample Type 1'!CI118),"")</f>
        <v/>
      </c>
      <c r="N37" s="261" t="str">
        <f>IF('Resample Data Summary'!C164="PASS",'Data - Sample Type 1'!DK118,"")</f>
        <v/>
      </c>
      <c r="O37" s="377"/>
      <c r="P37" s="78" t="str">
        <f>IF('Resample Data Summary'!C164="PASS",'Data - Sample Type 1'!EY118,"")</f>
        <v/>
      </c>
      <c r="Q37" s="377"/>
      <c r="R37" s="78" t="str">
        <f>IF('Resample Data Summary'!C164="PASS",'Data - Sample Type 1'!FO118,"")</f>
        <v/>
      </c>
      <c r="S37" s="374"/>
      <c r="V37" s="67"/>
      <c r="AC37" s="438"/>
      <c r="AE37" s="438"/>
      <c r="AG37" s="438"/>
      <c r="AI37" s="438"/>
    </row>
    <row r="38" spans="2:35" ht="13.25" customHeight="1" x14ac:dyDescent="0.15">
      <c r="B38" s="391"/>
      <c r="C38" s="163" t="str">
        <f>IF('Resample Data Summary'!C60="PASS",IF('Data - Sample Type 0'!AE139=0,40,'Data - Sample Type 0'!AE139),"")</f>
        <v/>
      </c>
      <c r="D38" s="387" t="e">
        <f>IF(D33&gt;=Specifications!$D$26,"PASS","FAIL")</f>
        <v>#DIV/0!</v>
      </c>
      <c r="E38" s="163" t="str">
        <f>IF('Resample Data Summary'!C60="PASS",IF('Resample Data Summary'!A60="","",'Data - Sample Type 0'!Q139),"")</f>
        <v/>
      </c>
      <c r="F38" s="394" t="e">
        <f>IF(F33&lt;=Specifications!$B$26,"PASS","FAIL")</f>
        <v>#DIV/0!</v>
      </c>
      <c r="I38" s="385"/>
      <c r="J38" s="254" t="str">
        <f>IF('Resample Data Summary'!C165="PASS",IF('Data - Sample Type 1'!AE119=0,40,'Data - Sample Type 1'!AE119),"")</f>
        <v/>
      </c>
      <c r="K38" s="163" t="str">
        <f>IF('Resample Data Summary'!C165="PASS",IF('Data - Sample Type 1'!AS119=0,40,'Data - Sample Type 1'!AS119),"")</f>
        <v/>
      </c>
      <c r="L38" s="163" t="str">
        <f>IF('Resample Data Summary'!C165="PASS",IF('Data - Sample Type 1'!BG119=0,40,'Data - Sample Type 1'!BG119),"")</f>
        <v/>
      </c>
      <c r="M38" s="255" t="str">
        <f>IF('Resample Data Summary'!C165="PASS",IF('Data - Sample Type 1'!CI119=0,40,'Data - Sample Type 1'!CI119),"")</f>
        <v/>
      </c>
      <c r="N38" s="261" t="str">
        <f>IF('Resample Data Summary'!C165="PASS",'Data - Sample Type 1'!DK119,"")</f>
        <v/>
      </c>
      <c r="O38" s="377"/>
      <c r="P38" s="78" t="str">
        <f>IF('Resample Data Summary'!C165="PASS",'Data - Sample Type 1'!EY119,"")</f>
        <v/>
      </c>
      <c r="Q38" s="377"/>
      <c r="R38" s="78" t="str">
        <f>IF('Resample Data Summary'!C165="PASS",'Data - Sample Type 1'!FO119,"")</f>
        <v/>
      </c>
      <c r="S38" s="374"/>
      <c r="V38" s="67"/>
      <c r="AC38" s="438"/>
      <c r="AE38" s="438"/>
      <c r="AG38" s="438"/>
      <c r="AI38" s="438"/>
    </row>
    <row r="39" spans="2:35" x14ac:dyDescent="0.15">
      <c r="B39" s="391"/>
      <c r="C39" s="163" t="str">
        <f>IF('Resample Data Summary'!C61="PASS",IF('Data - Sample Type 0'!AE140=0,40,'Data - Sample Type 0'!AE140),"")</f>
        <v/>
      </c>
      <c r="D39" s="387"/>
      <c r="E39" s="163" t="str">
        <f>IF('Resample Data Summary'!C61="PASS",IF('Resample Data Summary'!A61="","",'Data - Sample Type 0'!Q140),"")</f>
        <v/>
      </c>
      <c r="F39" s="394"/>
      <c r="I39" s="385"/>
      <c r="J39" s="254" t="str">
        <f>IF('Resample Data Summary'!C166="PASS",IF('Data - Sample Type 1'!AE120=0,40,'Data - Sample Type 1'!AE120),"")</f>
        <v/>
      </c>
      <c r="K39" s="163" t="str">
        <f>IF('Resample Data Summary'!C166="PASS",IF('Data - Sample Type 1'!AS120=0,40,'Data - Sample Type 1'!AS120),"")</f>
        <v/>
      </c>
      <c r="L39" s="163" t="str">
        <f>IF('Resample Data Summary'!C166="PASS",IF('Data - Sample Type 1'!BG120=0,40,'Data - Sample Type 1'!BG120),"")</f>
        <v/>
      </c>
      <c r="M39" s="255" t="str">
        <f>IF('Resample Data Summary'!C166="PASS",IF('Data - Sample Type 1'!CI120=0,40,'Data - Sample Type 1'!CI120),"")</f>
        <v/>
      </c>
      <c r="N39" s="261" t="str">
        <f>IF('Resample Data Summary'!C166="PASS",'Data - Sample Type 1'!DK120,"")</f>
        <v/>
      </c>
      <c r="O39" s="377" t="str">
        <f>IF(COUNTIF(N37:N44,"&gt;0")=8-COUNTIF(N37:N44,""),"PASS","FAIL")</f>
        <v>PASS</v>
      </c>
      <c r="P39" s="78" t="str">
        <f>IF('Resample Data Summary'!C166="PASS",'Data - Sample Type 1'!EY120,"")</f>
        <v/>
      </c>
      <c r="Q39" s="377" t="str">
        <f>IF(COUNTIF(P35:P42,"&gt;0")=8-COUNTIF(P35:P42,""),"PASS","FAIL")</f>
        <v>PASS</v>
      </c>
      <c r="R39" s="78" t="str">
        <f>IF('Resample Data Summary'!C166="PASS",'Data - Sample Type 1'!FO120,"")</f>
        <v/>
      </c>
      <c r="S39" s="374" t="str">
        <f>IF(COUNTIF(R35:R42,"&gt;0")=8-COUNTIF(R35:R42,""),"PASS","FAIL")</f>
        <v>PASS</v>
      </c>
      <c r="V39" s="67"/>
      <c r="AC39" s="438"/>
      <c r="AE39" s="438"/>
      <c r="AG39" s="438"/>
      <c r="AI39" s="438"/>
    </row>
    <row r="40" spans="2:35" x14ac:dyDescent="0.15">
      <c r="B40" s="391"/>
      <c r="C40" s="163" t="str">
        <f>IF('Resample Data Summary'!C62="PASS",IF('Data - Sample Type 0'!AE141=0,40,'Data - Sample Type 0'!AE141),"")</f>
        <v/>
      </c>
      <c r="D40" s="387"/>
      <c r="E40" s="163" t="str">
        <f>IF('Resample Data Summary'!C62="PASS",IF('Resample Data Summary'!A62="","",'Data - Sample Type 0'!Q141),"")</f>
        <v/>
      </c>
      <c r="F40" s="394"/>
      <c r="I40" s="385"/>
      <c r="J40" s="254" t="str">
        <f>IF('Resample Data Summary'!C167="PASS",IF('Data - Sample Type 1'!AE121=0,40,'Data - Sample Type 1'!AE121),"")</f>
        <v/>
      </c>
      <c r="K40" s="163" t="str">
        <f>IF('Resample Data Summary'!C167="PASS",IF('Data - Sample Type 1'!AS121=0,40,'Data - Sample Type 1'!AS121),"")</f>
        <v/>
      </c>
      <c r="L40" s="163" t="str">
        <f>IF('Resample Data Summary'!C167="PASS",IF('Data - Sample Type 1'!BG121=0,40,'Data - Sample Type 1'!BG121),"")</f>
        <v/>
      </c>
      <c r="M40" s="255" t="str">
        <f>IF('Resample Data Summary'!C167="PASS",IF('Data - Sample Type 1'!CI121=0,40,'Data - Sample Type 1'!CI121),"")</f>
        <v/>
      </c>
      <c r="N40" s="261" t="str">
        <f>IF('Resample Data Summary'!C167="PASS",'Data - Sample Type 1'!DK121,"")</f>
        <v/>
      </c>
      <c r="O40" s="377"/>
      <c r="P40" s="78" t="str">
        <f>IF('Resample Data Summary'!C167="PASS",'Data - Sample Type 1'!EY121,"")</f>
        <v/>
      </c>
      <c r="Q40" s="377"/>
      <c r="R40" s="78" t="str">
        <f>IF('Resample Data Summary'!C167="PASS",'Data - Sample Type 1'!FO121,"")</f>
        <v/>
      </c>
      <c r="S40" s="374"/>
      <c r="V40" s="67"/>
      <c r="AC40" s="438"/>
      <c r="AE40" s="438"/>
      <c r="AG40" s="438"/>
      <c r="AI40" s="438"/>
    </row>
    <row r="41" spans="2:35" x14ac:dyDescent="0.15">
      <c r="B41" s="391"/>
      <c r="C41" s="163" t="str">
        <f>IF('Resample Data Summary'!C63="PASS",IF('Data - Sample Type 0'!AE142=0,40,'Data - Sample Type 0'!AE142),"")</f>
        <v/>
      </c>
      <c r="D41" s="387"/>
      <c r="E41" s="163" t="str">
        <f>IF('Resample Data Summary'!C63="PASS",IF('Resample Data Summary'!A63="","",'Data - Sample Type 0'!Q142),"")</f>
        <v/>
      </c>
      <c r="F41" s="394"/>
      <c r="I41" s="385"/>
      <c r="J41" s="254" t="str">
        <f>IF('Resample Data Summary'!C168="PASS",IF('Data - Sample Type 1'!AE122=0,40,'Data - Sample Type 1'!AE122),"")</f>
        <v/>
      </c>
      <c r="K41" s="163" t="str">
        <f>IF('Resample Data Summary'!C168="PASS",IF('Data - Sample Type 1'!AS122=0,40,'Data - Sample Type 1'!AS122),"")</f>
        <v/>
      </c>
      <c r="L41" s="163" t="str">
        <f>IF('Resample Data Summary'!C168="PASS",IF('Data - Sample Type 1'!BG122=0,40,'Data - Sample Type 1'!BG122),"")</f>
        <v/>
      </c>
      <c r="M41" s="255" t="str">
        <f>IF('Resample Data Summary'!C168="PASS",IF('Data - Sample Type 1'!CI122=0,40,'Data - Sample Type 1'!CI122),"")</f>
        <v/>
      </c>
      <c r="N41" s="261" t="str">
        <f>IF('Resample Data Summary'!C168="PASS",'Data - Sample Type 1'!DK122,"")</f>
        <v/>
      </c>
      <c r="O41" s="377"/>
      <c r="P41" s="78" t="str">
        <f>IF('Resample Data Summary'!C168="PASS",'Data - Sample Type 1'!EY122,"")</f>
        <v/>
      </c>
      <c r="Q41" s="377"/>
      <c r="R41" s="78" t="str">
        <f>IF('Resample Data Summary'!C168="PASS",'Data - Sample Type 1'!FO122,"")</f>
        <v/>
      </c>
      <c r="S41" s="374"/>
      <c r="V41" s="67"/>
      <c r="AC41" s="438"/>
      <c r="AE41" s="438"/>
      <c r="AG41" s="438"/>
      <c r="AI41" s="438"/>
    </row>
    <row r="42" spans="2:35" x14ac:dyDescent="0.15">
      <c r="B42" s="392"/>
      <c r="C42" s="168" t="str">
        <f>IF('Resample Data Summary'!C64="PASS",IF('Data - Sample Type 0'!AE143=0,40,'Data - Sample Type 0'!AE143),"")</f>
        <v/>
      </c>
      <c r="D42" s="388"/>
      <c r="E42" s="168" t="str">
        <f>IF('Resample Data Summary'!C64="PASS",IF('Resample Data Summary'!A64="","",'Data - Sample Type 0'!Q143),"")</f>
        <v/>
      </c>
      <c r="F42" s="395"/>
      <c r="I42" s="386"/>
      <c r="J42" s="256" t="str">
        <f>IF('Resample Data Summary'!C169="PASS",IF('Data - Sample Type 1'!AE123=0,40,'Data - Sample Type 1'!AE123),"")</f>
        <v/>
      </c>
      <c r="K42" s="168" t="str">
        <f>IF('Resample Data Summary'!C169="PASS",IF('Data - Sample Type 1'!AS123=0,40,'Data - Sample Type 1'!AS123),"")</f>
        <v/>
      </c>
      <c r="L42" s="168" t="str">
        <f>IF('Resample Data Summary'!C169="PASS",IF('Data - Sample Type 1'!BG123=0,40,'Data - Sample Type 1'!BG123),"")</f>
        <v/>
      </c>
      <c r="M42" s="257" t="str">
        <f>IF('Resample Data Summary'!C169="PASS",IF('Data - Sample Type 1'!CI123=0,40,'Data - Sample Type 1'!CI123),"")</f>
        <v/>
      </c>
      <c r="N42" s="262" t="str">
        <f>IF('Resample Data Summary'!C169="PASS",'Data - Sample Type 1'!DK123,"")</f>
        <v/>
      </c>
      <c r="O42" s="378"/>
      <c r="P42" s="228" t="str">
        <f>IF('Resample Data Summary'!C169="PASS",'Data - Sample Type 1'!EY123,"")</f>
        <v/>
      </c>
      <c r="Q42" s="378"/>
      <c r="R42" s="228" t="str">
        <f>IF('Resample Data Summary'!C169="PASS",'Data - Sample Type 1'!FO123,"")</f>
        <v/>
      </c>
      <c r="S42" s="376"/>
      <c r="V42" s="67"/>
      <c r="AC42" s="438"/>
      <c r="AE42" s="438"/>
      <c r="AG42" s="438"/>
      <c r="AI42" s="438"/>
    </row>
    <row r="43" spans="2:35" ht="14" customHeight="1" x14ac:dyDescent="0.15">
      <c r="B43" s="390">
        <v>5</v>
      </c>
      <c r="C43" s="167" t="str">
        <f>IF('Resample Data Summary'!C65="PASS",IF('Data - Sample Type 0'!AE144=0,40,'Data - Sample Type 0'!AE144),"")</f>
        <v/>
      </c>
      <c r="D43" s="389" t="e">
        <f>ROUND(AVERAGE(C43:C52),1)</f>
        <v>#DIV/0!</v>
      </c>
      <c r="E43" s="167" t="str">
        <f>IF('Resample Data Summary'!C65="PASS",IF('Resample Data Summary'!A65="","",'Data - Sample Type 0'!Q144),"")</f>
        <v/>
      </c>
      <c r="F43" s="396" t="e">
        <f>ROUND(AVERAGE(E43:E52),1)</f>
        <v>#DIV/0!</v>
      </c>
      <c r="I43" s="384">
        <v>6</v>
      </c>
      <c r="J43" s="252" t="str">
        <f>IF('Resample Data Summary'!C170="PASS",IF('Data - Sample Type 1'!AE124=0,40,'Data - Sample Type 1'!AE124),"")</f>
        <v/>
      </c>
      <c r="K43" s="167" t="str">
        <f>IF('Resample Data Summary'!C170="PASS",IF('Data - Sample Type 1'!AS124=0,40,'Data - Sample Type 1'!AS124),"")</f>
        <v/>
      </c>
      <c r="L43" s="167" t="str">
        <f>IF('Resample Data Summary'!C170="PASS",IF('Data - Sample Type 1'!BG124=0,40,'Data - Sample Type 1'!BG124),"")</f>
        <v/>
      </c>
      <c r="M43" s="253" t="str">
        <f>IF('Resample Data Summary'!C170="PASS",IF('Data - Sample Type 1'!CI124=0,40,'Data - Sample Type 1'!CI124),"")</f>
        <v/>
      </c>
      <c r="N43" s="260" t="str">
        <f>IF('Resample Data Summary'!C170="PASS",'Data - Sample Type 1'!DK124,"")</f>
        <v/>
      </c>
      <c r="O43" s="379" t="e">
        <f>ROUND(AVERAGE(N43:N50),1)</f>
        <v>#DIV/0!</v>
      </c>
      <c r="P43" s="225" t="str">
        <f>IF('Resample Data Summary'!C170="PASS",'Data - Sample Type 1'!EY124,"")</f>
        <v/>
      </c>
      <c r="Q43" s="379" t="e">
        <f>ROUND(AVERAGE(P43:P50),1)</f>
        <v>#DIV/0!</v>
      </c>
      <c r="R43" s="225" t="str">
        <f>IF('Resample Data Summary'!C170="PASS",'Data - Sample Type 1'!FO124,"")</f>
        <v/>
      </c>
      <c r="S43" s="373" t="e">
        <f>ROUND(AVERAGE(R43:R50),1)</f>
        <v>#DIV/0!</v>
      </c>
      <c r="V43" s="67"/>
      <c r="AC43" s="438"/>
      <c r="AE43" s="438"/>
      <c r="AG43" s="438"/>
      <c r="AI43" s="438"/>
    </row>
    <row r="44" spans="2:35" x14ac:dyDescent="0.15">
      <c r="B44" s="391"/>
      <c r="C44" s="163" t="str">
        <f>IF('Resample Data Summary'!C66="PASS",IF('Data - Sample Type 0'!AE145=0,40,'Data - Sample Type 0'!AE145),"")</f>
        <v/>
      </c>
      <c r="D44" s="387"/>
      <c r="E44" s="163" t="str">
        <f>IF('Resample Data Summary'!C66="PASS",IF('Resample Data Summary'!A66="","",'Data - Sample Type 0'!Q145),"")</f>
        <v/>
      </c>
      <c r="F44" s="394"/>
      <c r="I44" s="385"/>
      <c r="J44" s="254" t="str">
        <f>IF('Resample Data Summary'!C171="PASS",IF('Data - Sample Type 1'!AE125=0,40,'Data - Sample Type 1'!AE125),"")</f>
        <v/>
      </c>
      <c r="K44" s="163" t="str">
        <f>IF('Resample Data Summary'!C171="PASS",IF('Data - Sample Type 1'!AS125=0,40,'Data - Sample Type 1'!AS125),"")</f>
        <v/>
      </c>
      <c r="L44" s="163" t="str">
        <f>IF('Resample Data Summary'!C171="PASS",IF('Data - Sample Type 1'!BG125=0,40,'Data - Sample Type 1'!BG125),"")</f>
        <v/>
      </c>
      <c r="M44" s="255" t="str">
        <f>IF('Resample Data Summary'!C171="PASS",IF('Data - Sample Type 1'!CI125=0,40,'Data - Sample Type 1'!CI125),"")</f>
        <v/>
      </c>
      <c r="N44" s="261" t="str">
        <f>IF('Resample Data Summary'!C171="PASS",'Data - Sample Type 1'!DK125,"")</f>
        <v/>
      </c>
      <c r="O44" s="377"/>
      <c r="P44" s="78" t="str">
        <f>IF('Resample Data Summary'!C171="PASS",'Data - Sample Type 1'!EY125,"")</f>
        <v/>
      </c>
      <c r="Q44" s="377"/>
      <c r="R44" s="78" t="str">
        <f>IF('Resample Data Summary'!C171="PASS",'Data - Sample Type 1'!FO125,"")</f>
        <v/>
      </c>
      <c r="S44" s="374"/>
      <c r="V44" s="67"/>
      <c r="AC44" s="438"/>
      <c r="AE44" s="438"/>
      <c r="AG44" s="438"/>
      <c r="AI44" s="438"/>
    </row>
    <row r="45" spans="2:35" ht="13.25" customHeight="1" x14ac:dyDescent="0.15">
      <c r="B45" s="391"/>
      <c r="C45" s="163" t="str">
        <f>IF('Resample Data Summary'!C67="PASS",IF('Data - Sample Type 0'!AE146=0,40,'Data - Sample Type 0'!AE146),"")</f>
        <v/>
      </c>
      <c r="D45" s="387"/>
      <c r="E45" s="163" t="str">
        <f>IF('Resample Data Summary'!C67="PASS",IF('Resample Data Summary'!A67="","",'Data - Sample Type 0'!Q146),"")</f>
        <v/>
      </c>
      <c r="F45" s="394"/>
      <c r="I45" s="385"/>
      <c r="J45" s="254" t="str">
        <f>IF('Resample Data Summary'!C172="PASS",IF('Data - Sample Type 1'!AE126=0,40,'Data - Sample Type 1'!AE126),"")</f>
        <v/>
      </c>
      <c r="K45" s="163" t="str">
        <f>IF('Resample Data Summary'!C172="PASS",IF('Data - Sample Type 1'!AS126=0,40,'Data - Sample Type 1'!AS126),"")</f>
        <v/>
      </c>
      <c r="L45" s="163" t="str">
        <f>IF('Resample Data Summary'!C172="PASS",IF('Data - Sample Type 1'!BG126=0,40,'Data - Sample Type 1'!BG126),"")</f>
        <v/>
      </c>
      <c r="M45" s="255" t="str">
        <f>IF('Resample Data Summary'!C172="PASS",IF('Data - Sample Type 1'!CI126=0,40,'Data - Sample Type 1'!CI126),"")</f>
        <v/>
      </c>
      <c r="N45" s="261" t="str">
        <f>IF('Resample Data Summary'!C172="PASS",'Data - Sample Type 1'!DK126,"")</f>
        <v/>
      </c>
      <c r="O45" s="377"/>
      <c r="P45" s="78" t="str">
        <f>IF('Resample Data Summary'!C172="PASS",'Data - Sample Type 1'!EY126,"")</f>
        <v/>
      </c>
      <c r="Q45" s="377"/>
      <c r="R45" s="78" t="str">
        <f>IF('Resample Data Summary'!C172="PASS",'Data - Sample Type 1'!FO126,"")</f>
        <v/>
      </c>
      <c r="S45" s="374"/>
      <c r="V45" s="67"/>
      <c r="AC45" s="438"/>
      <c r="AE45" s="438"/>
      <c r="AG45" s="438"/>
      <c r="AI45" s="438"/>
    </row>
    <row r="46" spans="2:35" x14ac:dyDescent="0.15">
      <c r="B46" s="391"/>
      <c r="C46" s="163" t="str">
        <f>IF('Resample Data Summary'!C68="PASS",IF('Data - Sample Type 0'!AE147=0,40,'Data - Sample Type 0'!AE147),"")</f>
        <v/>
      </c>
      <c r="D46" s="387"/>
      <c r="E46" s="163" t="str">
        <f>IF('Resample Data Summary'!C68="PASS",IF('Resample Data Summary'!A68="","",'Data - Sample Type 0'!Q147),"")</f>
        <v/>
      </c>
      <c r="F46" s="394"/>
      <c r="I46" s="385"/>
      <c r="J46" s="254" t="str">
        <f>IF('Resample Data Summary'!C173="PASS",IF('Data - Sample Type 1'!AE127=0,40,'Data - Sample Type 1'!AE127),"")</f>
        <v/>
      </c>
      <c r="K46" s="163" t="str">
        <f>IF('Resample Data Summary'!C173="PASS",IF('Data - Sample Type 1'!AS127=0,40,'Data - Sample Type 1'!AS127),"")</f>
        <v/>
      </c>
      <c r="L46" s="163" t="str">
        <f>IF('Resample Data Summary'!C173="PASS",IF('Data - Sample Type 1'!BG127=0,40,'Data - Sample Type 1'!BG127),"")</f>
        <v/>
      </c>
      <c r="M46" s="255" t="str">
        <f>IF('Resample Data Summary'!C173="PASS",IF('Data - Sample Type 1'!CI127=0,40,'Data - Sample Type 1'!CI127),"")</f>
        <v/>
      </c>
      <c r="N46" s="261" t="str">
        <f>IF('Resample Data Summary'!C173="PASS",'Data - Sample Type 1'!DK127,"")</f>
        <v/>
      </c>
      <c r="O46" s="377"/>
      <c r="P46" s="78" t="str">
        <f>IF('Resample Data Summary'!C173="PASS",'Data - Sample Type 1'!EY127,"")</f>
        <v/>
      </c>
      <c r="Q46" s="377"/>
      <c r="R46" s="78" t="str">
        <f>IF('Resample Data Summary'!C173="PASS",'Data - Sample Type 1'!FO127,"")</f>
        <v/>
      </c>
      <c r="S46" s="374"/>
      <c r="V46" s="67"/>
      <c r="AC46" s="438"/>
      <c r="AE46" s="438"/>
      <c r="AG46" s="438"/>
      <c r="AI46" s="438"/>
    </row>
    <row r="47" spans="2:35" x14ac:dyDescent="0.15">
      <c r="B47" s="391"/>
      <c r="C47" s="163" t="str">
        <f>IF('Resample Data Summary'!C69="PASS",IF('Data - Sample Type 0'!AE148=0,40,'Data - Sample Type 0'!AE148),"")</f>
        <v/>
      </c>
      <c r="D47" s="387"/>
      <c r="E47" s="163" t="str">
        <f>IF('Resample Data Summary'!C69="PASS",IF('Resample Data Summary'!A69="","",'Data - Sample Type 0'!Q148),"")</f>
        <v/>
      </c>
      <c r="F47" s="394"/>
      <c r="I47" s="385"/>
      <c r="J47" s="254" t="str">
        <f>IF('Resample Data Summary'!C174="PASS",IF('Data - Sample Type 1'!AE128=0,40,'Data - Sample Type 1'!AE128),"")</f>
        <v/>
      </c>
      <c r="K47" s="163" t="str">
        <f>IF('Resample Data Summary'!C174="PASS",IF('Data - Sample Type 1'!AS128=0,40,'Data - Sample Type 1'!AS128),"")</f>
        <v/>
      </c>
      <c r="L47" s="163" t="str">
        <f>IF('Resample Data Summary'!C174="PASS",IF('Data - Sample Type 1'!BG128=0,40,'Data - Sample Type 1'!BG128),"")</f>
        <v/>
      </c>
      <c r="M47" s="255" t="str">
        <f>IF('Resample Data Summary'!C174="PASS",IF('Data - Sample Type 1'!CI128=0,40,'Data - Sample Type 1'!CI128),"")</f>
        <v/>
      </c>
      <c r="N47" s="261" t="str">
        <f>IF('Resample Data Summary'!C174="PASS",'Data - Sample Type 1'!DK128,"")</f>
        <v/>
      </c>
      <c r="O47" s="377" t="str">
        <f>IF(COUNTIF(N45:N52,"&gt;0")=8-COUNTIF(N45:N52,""),"PASS","FAIL")</f>
        <v>PASS</v>
      </c>
      <c r="P47" s="78" t="str">
        <f>IF('Resample Data Summary'!C174="PASS",'Data - Sample Type 1'!EY128,"")</f>
        <v/>
      </c>
      <c r="Q47" s="377" t="str">
        <f>IF(COUNTIF(P43:P50,"&gt;0")=8-COUNTIF(P43:P50,""),"PASS","FAIL")</f>
        <v>PASS</v>
      </c>
      <c r="R47" s="78" t="str">
        <f>IF('Resample Data Summary'!C174="PASS",'Data - Sample Type 1'!FO128,"")</f>
        <v/>
      </c>
      <c r="S47" s="374" t="str">
        <f>IF(COUNTIF(R43:R50,"&gt;0")=8-COUNTIF(R43:R50,""),"PASS","FAIL")</f>
        <v>PASS</v>
      </c>
      <c r="V47" s="67"/>
      <c r="AC47" s="438"/>
      <c r="AE47" s="438"/>
      <c r="AG47" s="438"/>
      <c r="AI47" s="438"/>
    </row>
    <row r="48" spans="2:35" x14ac:dyDescent="0.15">
      <c r="B48" s="391">
        <v>5</v>
      </c>
      <c r="C48" s="163" t="str">
        <f>IF('Resample Data Summary'!C70="PASS",IF('Data - Sample Type 0'!AE149=0,40,'Data - Sample Type 0'!AE149),"")</f>
        <v/>
      </c>
      <c r="D48" s="387" t="e">
        <f>IF(D43&gt;=Specifications!$D$26,"PASS","FAIL")</f>
        <v>#DIV/0!</v>
      </c>
      <c r="E48" s="163" t="str">
        <f>IF('Resample Data Summary'!C70="PASS",IF('Resample Data Summary'!A70="","",'Data - Sample Type 0'!Q149),"")</f>
        <v/>
      </c>
      <c r="F48" s="394" t="e">
        <f>IF(F43&lt;=Specifications!$B$26,"PASS","FAIL")</f>
        <v>#DIV/0!</v>
      </c>
      <c r="I48" s="385"/>
      <c r="J48" s="254" t="str">
        <f>IF('Resample Data Summary'!C175="PASS",IF('Data - Sample Type 1'!AE129=0,40,'Data - Sample Type 1'!AE129),"")</f>
        <v/>
      </c>
      <c r="K48" s="163" t="str">
        <f>IF('Resample Data Summary'!C175="PASS",IF('Data - Sample Type 1'!AS129=0,40,'Data - Sample Type 1'!AS129),"")</f>
        <v/>
      </c>
      <c r="L48" s="163" t="str">
        <f>IF('Resample Data Summary'!C175="PASS",IF('Data - Sample Type 1'!BG129=0,40,'Data - Sample Type 1'!BG129),"")</f>
        <v/>
      </c>
      <c r="M48" s="255" t="str">
        <f>IF('Resample Data Summary'!C175="PASS",IF('Data - Sample Type 1'!CI129=0,40,'Data - Sample Type 1'!CI129),"")</f>
        <v/>
      </c>
      <c r="N48" s="261" t="str">
        <f>IF('Resample Data Summary'!C175="PASS",'Data - Sample Type 1'!DK129,"")</f>
        <v/>
      </c>
      <c r="O48" s="377"/>
      <c r="P48" s="78" t="str">
        <f>IF('Resample Data Summary'!C175="PASS",'Data - Sample Type 1'!EY129,"")</f>
        <v/>
      </c>
      <c r="Q48" s="377"/>
      <c r="R48" s="78" t="str">
        <f>IF('Resample Data Summary'!C175="PASS",'Data - Sample Type 1'!FO129,"")</f>
        <v/>
      </c>
      <c r="S48" s="374"/>
      <c r="V48" s="67"/>
      <c r="AC48" s="438"/>
      <c r="AE48" s="438"/>
      <c r="AG48" s="438"/>
      <c r="AI48" s="438"/>
    </row>
    <row r="49" spans="2:35" x14ac:dyDescent="0.15">
      <c r="B49" s="391"/>
      <c r="C49" s="163" t="str">
        <f>IF('Resample Data Summary'!C71="PASS",IF('Data - Sample Type 0'!AE150=0,40,'Data - Sample Type 0'!AE150),"")</f>
        <v/>
      </c>
      <c r="D49" s="387"/>
      <c r="E49" s="163" t="str">
        <f>IF('Resample Data Summary'!C71="PASS",IF('Resample Data Summary'!A71="","",'Data - Sample Type 0'!Q150),"")</f>
        <v/>
      </c>
      <c r="F49" s="394"/>
      <c r="I49" s="385"/>
      <c r="J49" s="254" t="str">
        <f>IF('Resample Data Summary'!C176="PASS",IF('Data - Sample Type 1'!AE130=0,40,'Data - Sample Type 1'!AE130),"")</f>
        <v/>
      </c>
      <c r="K49" s="163" t="str">
        <f>IF('Resample Data Summary'!C176="PASS",IF('Data - Sample Type 1'!AS130=0,40,'Data - Sample Type 1'!AS130),"")</f>
        <v/>
      </c>
      <c r="L49" s="163" t="str">
        <f>IF('Resample Data Summary'!C176="PASS",IF('Data - Sample Type 1'!BG130=0,40,'Data - Sample Type 1'!BG130),"")</f>
        <v/>
      </c>
      <c r="M49" s="255" t="str">
        <f>IF('Resample Data Summary'!C176="PASS",IF('Data - Sample Type 1'!CI130=0,40,'Data - Sample Type 1'!CI130),"")</f>
        <v/>
      </c>
      <c r="N49" s="261" t="str">
        <f>IF('Resample Data Summary'!C176="PASS",'Data - Sample Type 1'!DK130,"")</f>
        <v/>
      </c>
      <c r="O49" s="377"/>
      <c r="P49" s="78" t="str">
        <f>IF('Resample Data Summary'!C176="PASS",'Data - Sample Type 1'!EY130,"")</f>
        <v/>
      </c>
      <c r="Q49" s="377"/>
      <c r="R49" s="78" t="str">
        <f>IF('Resample Data Summary'!C176="PASS",'Data - Sample Type 1'!FO130,"")</f>
        <v/>
      </c>
      <c r="S49" s="374"/>
      <c r="V49" s="67"/>
      <c r="AC49" s="438"/>
      <c r="AE49" s="438"/>
      <c r="AG49" s="438"/>
      <c r="AI49" s="438"/>
    </row>
    <row r="50" spans="2:35" ht="14" customHeight="1" x14ac:dyDescent="0.15">
      <c r="B50" s="391"/>
      <c r="C50" s="163" t="str">
        <f>IF('Resample Data Summary'!C72="PASS",IF('Data - Sample Type 0'!AE151=0,40,'Data - Sample Type 0'!AE151),"")</f>
        <v/>
      </c>
      <c r="D50" s="387"/>
      <c r="E50" s="163" t="str">
        <f>IF('Resample Data Summary'!C72="PASS",IF('Resample Data Summary'!A72="","",'Data - Sample Type 0'!Q151),"")</f>
        <v/>
      </c>
      <c r="F50" s="394"/>
      <c r="I50" s="386"/>
      <c r="J50" s="256" t="str">
        <f>IF('Resample Data Summary'!C177="PASS",IF('Data - Sample Type 1'!AE131=0,40,'Data - Sample Type 1'!AE131),"")</f>
        <v/>
      </c>
      <c r="K50" s="168" t="str">
        <f>IF('Resample Data Summary'!C177="PASS",IF('Data - Sample Type 1'!AS131=0,40,'Data - Sample Type 1'!AS131),"")</f>
        <v/>
      </c>
      <c r="L50" s="168" t="str">
        <f>IF('Resample Data Summary'!C177="PASS",IF('Data - Sample Type 1'!BG131=0,40,'Data - Sample Type 1'!BG131),"")</f>
        <v/>
      </c>
      <c r="M50" s="257" t="str">
        <f>IF('Resample Data Summary'!C177="PASS",IF('Data - Sample Type 1'!CI131=0,40,'Data - Sample Type 1'!CI131),"")</f>
        <v/>
      </c>
      <c r="N50" s="262" t="str">
        <f>IF('Resample Data Summary'!C177="PASS",'Data - Sample Type 1'!DK131,"")</f>
        <v/>
      </c>
      <c r="O50" s="378"/>
      <c r="P50" s="228" t="str">
        <f>IF('Resample Data Summary'!C177="PASS",'Data - Sample Type 1'!EY131,"")</f>
        <v/>
      </c>
      <c r="Q50" s="378"/>
      <c r="R50" s="228" t="str">
        <f>IF('Resample Data Summary'!C177="PASS",'Data - Sample Type 1'!FO131,"")</f>
        <v/>
      </c>
      <c r="S50" s="376"/>
      <c r="V50" s="67"/>
      <c r="AC50" s="438"/>
      <c r="AE50" s="438"/>
      <c r="AG50" s="438"/>
      <c r="AI50" s="438"/>
    </row>
    <row r="51" spans="2:35" x14ac:dyDescent="0.15">
      <c r="B51" s="391"/>
      <c r="C51" s="163" t="str">
        <f>IF('Resample Data Summary'!C73="PASS",IF('Data - Sample Type 0'!AE152=0,40,'Data - Sample Type 0'!AE152),"")</f>
        <v/>
      </c>
      <c r="D51" s="387"/>
      <c r="E51" s="163" t="str">
        <f>IF('Resample Data Summary'!C73="PASS",IF('Resample Data Summary'!A73="","",'Data - Sample Type 0'!Q152),"")</f>
        <v/>
      </c>
      <c r="F51" s="394"/>
      <c r="I51" s="384">
        <v>7</v>
      </c>
      <c r="J51" s="252" t="str">
        <f>IF('Resample Data Summary'!C178="PASS",IF('Data - Sample Type 1'!AE132=0,40,'Data - Sample Type 1'!AE132),"")</f>
        <v/>
      </c>
      <c r="K51" s="167" t="str">
        <f>IF('Resample Data Summary'!C178="PASS",IF('Data - Sample Type 1'!AS132=0,40,'Data - Sample Type 1'!AS132),"")</f>
        <v/>
      </c>
      <c r="L51" s="167" t="str">
        <f>IF('Resample Data Summary'!C178="PASS",IF('Data - Sample Type 1'!BG132=0,40,'Data - Sample Type 1'!BG132),"")</f>
        <v/>
      </c>
      <c r="M51" s="253" t="str">
        <f>IF('Resample Data Summary'!C178="PASS",IF('Data - Sample Type 1'!CI132=0,40,'Data - Sample Type 1'!CI132),"")</f>
        <v/>
      </c>
      <c r="N51" s="260" t="str">
        <f>IF('Resample Data Summary'!C178="PASS",'Data - Sample Type 1'!DK132,"")</f>
        <v/>
      </c>
      <c r="O51" s="379" t="e">
        <f>ROUND(AVERAGE(N51:N58),1)</f>
        <v>#DIV/0!</v>
      </c>
      <c r="P51" s="225" t="str">
        <f>IF('Resample Data Summary'!C178="PASS",'Data - Sample Type 1'!EY132,"")</f>
        <v/>
      </c>
      <c r="Q51" s="379" t="e">
        <f>ROUND(AVERAGE(P51:P58),1)</f>
        <v>#DIV/0!</v>
      </c>
      <c r="R51" s="225" t="str">
        <f>IF('Resample Data Summary'!C178="PASS",'Data - Sample Type 1'!FO132,"")</f>
        <v/>
      </c>
      <c r="S51" s="373" t="e">
        <f>ROUND(AVERAGE(R51:R58),1)</f>
        <v>#DIV/0!</v>
      </c>
      <c r="V51" s="67"/>
      <c r="AC51" s="438"/>
      <c r="AE51" s="438"/>
      <c r="AG51" s="438"/>
      <c r="AI51" s="438"/>
    </row>
    <row r="52" spans="2:35" ht="14" customHeight="1" x14ac:dyDescent="0.15">
      <c r="B52" s="392"/>
      <c r="C52" s="168" t="str">
        <f>IF('Resample Data Summary'!C74="PASS",IF('Data - Sample Type 0'!AE153=0,40,'Data - Sample Type 0'!AE153),"")</f>
        <v/>
      </c>
      <c r="D52" s="388"/>
      <c r="E52" s="168" t="str">
        <f>IF('Resample Data Summary'!C74="PASS",IF('Resample Data Summary'!A74="","",'Data - Sample Type 0'!Q153),"")</f>
        <v/>
      </c>
      <c r="F52" s="395"/>
      <c r="I52" s="385"/>
      <c r="J52" s="254" t="str">
        <f>IF('Resample Data Summary'!C179="PASS",IF('Data - Sample Type 1'!AE133=0,40,'Data - Sample Type 1'!AE133),"")</f>
        <v/>
      </c>
      <c r="K52" s="163" t="str">
        <f>IF('Resample Data Summary'!C179="PASS",IF('Data - Sample Type 1'!AS133=0,40,'Data - Sample Type 1'!AS133),"")</f>
        <v/>
      </c>
      <c r="L52" s="163" t="str">
        <f>IF('Resample Data Summary'!C179="PASS",IF('Data - Sample Type 1'!BG133=0,40,'Data - Sample Type 1'!BG133),"")</f>
        <v/>
      </c>
      <c r="M52" s="255" t="str">
        <f>IF('Resample Data Summary'!C179="PASS",IF('Data - Sample Type 1'!CI133=0,40,'Data - Sample Type 1'!CI133),"")</f>
        <v/>
      </c>
      <c r="N52" s="261" t="str">
        <f>IF('Resample Data Summary'!C179="PASS",'Data - Sample Type 1'!DK133,"")</f>
        <v/>
      </c>
      <c r="O52" s="377"/>
      <c r="P52" s="78" t="str">
        <f>IF('Resample Data Summary'!C179="PASS",'Data - Sample Type 1'!EY133,"")</f>
        <v/>
      </c>
      <c r="Q52" s="377"/>
      <c r="R52" s="78" t="str">
        <f>IF('Resample Data Summary'!C179="PASS",'Data - Sample Type 1'!FO133,"")</f>
        <v/>
      </c>
      <c r="S52" s="374"/>
      <c r="V52" s="67"/>
      <c r="AC52" s="438"/>
      <c r="AE52" s="438"/>
      <c r="AG52" s="438"/>
      <c r="AI52" s="438"/>
    </row>
    <row r="53" spans="2:35" x14ac:dyDescent="0.15">
      <c r="B53" s="390">
        <v>6</v>
      </c>
      <c r="C53" s="167" t="str">
        <f>IF('Resample Data Summary'!C75="PASS",IF('Data - Sample Type 0'!AE154=0,40,'Data - Sample Type 0'!AE154),"")</f>
        <v/>
      </c>
      <c r="D53" s="389" t="e">
        <f>ROUND(AVERAGE(C53:C62),1)</f>
        <v>#DIV/0!</v>
      </c>
      <c r="E53" s="167" t="str">
        <f>IF('Resample Data Summary'!C75="PASS",IF('Resample Data Summary'!A75="","",'Data - Sample Type 0'!Q154),"")</f>
        <v/>
      </c>
      <c r="F53" s="396" t="e">
        <f>ROUND(AVERAGE(E53:E62),1)</f>
        <v>#DIV/0!</v>
      </c>
      <c r="I53" s="385">
        <v>6</v>
      </c>
      <c r="J53" s="254" t="str">
        <f>IF('Resample Data Summary'!C180="PASS",IF('Data - Sample Type 1'!AE134=0,40,'Data - Sample Type 1'!AE134),"")</f>
        <v/>
      </c>
      <c r="K53" s="163" t="str">
        <f>IF('Resample Data Summary'!C180="PASS",IF('Data - Sample Type 1'!AS134=0,40,'Data - Sample Type 1'!AS134),"")</f>
        <v/>
      </c>
      <c r="L53" s="163" t="str">
        <f>IF('Resample Data Summary'!C180="PASS",IF('Data - Sample Type 1'!BG134=0,40,'Data - Sample Type 1'!BG134),"")</f>
        <v/>
      </c>
      <c r="M53" s="255" t="str">
        <f>IF('Resample Data Summary'!C180="PASS",IF('Data - Sample Type 1'!CI134=0,40,'Data - Sample Type 1'!CI134),"")</f>
        <v/>
      </c>
      <c r="N53" s="261" t="str">
        <f>IF('Resample Data Summary'!C180="PASS",'Data - Sample Type 1'!DK134,"")</f>
        <v/>
      </c>
      <c r="O53" s="377"/>
      <c r="P53" s="78" t="str">
        <f>IF('Resample Data Summary'!C180="PASS",'Data - Sample Type 1'!EY134,"")</f>
        <v/>
      </c>
      <c r="Q53" s="377"/>
      <c r="R53" s="78" t="str">
        <f>IF('Resample Data Summary'!C180="PASS",'Data - Sample Type 1'!FO134,"")</f>
        <v/>
      </c>
      <c r="S53" s="374"/>
      <c r="V53" s="67"/>
      <c r="AC53" s="438"/>
      <c r="AE53" s="438"/>
      <c r="AG53" s="438"/>
      <c r="AI53" s="438"/>
    </row>
    <row r="54" spans="2:35" x14ac:dyDescent="0.15">
      <c r="B54" s="391"/>
      <c r="C54" s="163" t="str">
        <f>IF('Resample Data Summary'!C76="PASS",IF('Data - Sample Type 0'!AE155=0,40,'Data - Sample Type 0'!AE155),"")</f>
        <v/>
      </c>
      <c r="D54" s="387"/>
      <c r="E54" s="163" t="str">
        <f>IF('Resample Data Summary'!C76="PASS",IF('Resample Data Summary'!A76="","",'Data - Sample Type 0'!Q155),"")</f>
        <v/>
      </c>
      <c r="F54" s="394"/>
      <c r="I54" s="385"/>
      <c r="J54" s="254" t="str">
        <f>IF('Resample Data Summary'!C181="PASS",IF('Data - Sample Type 1'!AE135=0,40,'Data - Sample Type 1'!AE135),"")</f>
        <v/>
      </c>
      <c r="K54" s="163" t="str">
        <f>IF('Resample Data Summary'!C181="PASS",IF('Data - Sample Type 1'!AS135=0,40,'Data - Sample Type 1'!AS135),"")</f>
        <v/>
      </c>
      <c r="L54" s="163" t="str">
        <f>IF('Resample Data Summary'!C181="PASS",IF('Data - Sample Type 1'!BG135=0,40,'Data - Sample Type 1'!BG135),"")</f>
        <v/>
      </c>
      <c r="M54" s="255" t="str">
        <f>IF('Resample Data Summary'!C181="PASS",IF('Data - Sample Type 1'!CI135=0,40,'Data - Sample Type 1'!CI135),"")</f>
        <v/>
      </c>
      <c r="N54" s="261" t="str">
        <f>IF('Resample Data Summary'!C181="PASS",'Data - Sample Type 1'!DK135,"")</f>
        <v/>
      </c>
      <c r="O54" s="377"/>
      <c r="P54" s="78" t="str">
        <f>IF('Resample Data Summary'!C181="PASS",'Data - Sample Type 1'!EY135,"")</f>
        <v/>
      </c>
      <c r="Q54" s="377"/>
      <c r="R54" s="78" t="str">
        <f>IF('Resample Data Summary'!C181="PASS",'Data - Sample Type 1'!FO135,"")</f>
        <v/>
      </c>
      <c r="S54" s="374"/>
      <c r="V54" s="67"/>
      <c r="AC54" s="438"/>
      <c r="AE54" s="438"/>
      <c r="AG54" s="438"/>
      <c r="AI54" s="438"/>
    </row>
    <row r="55" spans="2:35" x14ac:dyDescent="0.15">
      <c r="B55" s="391">
        <v>6</v>
      </c>
      <c r="C55" s="163" t="str">
        <f>IF('Resample Data Summary'!C77="PASS",IF('Data - Sample Type 0'!AE156=0,40,'Data - Sample Type 0'!AE156),"")</f>
        <v/>
      </c>
      <c r="D55" s="387"/>
      <c r="E55" s="163" t="str">
        <f>IF('Resample Data Summary'!C77="PASS",IF('Resample Data Summary'!A77="","",'Data - Sample Type 0'!Q156),"")</f>
        <v/>
      </c>
      <c r="F55" s="394"/>
      <c r="I55" s="385"/>
      <c r="J55" s="254" t="str">
        <f>IF('Resample Data Summary'!C182="PASS",IF('Data - Sample Type 1'!AE136=0,40,'Data - Sample Type 1'!AE136),"")</f>
        <v/>
      </c>
      <c r="K55" s="163" t="str">
        <f>IF('Resample Data Summary'!C182="PASS",IF('Data - Sample Type 1'!AS136=0,40,'Data - Sample Type 1'!AS136),"")</f>
        <v/>
      </c>
      <c r="L55" s="163" t="str">
        <f>IF('Resample Data Summary'!C182="PASS",IF('Data - Sample Type 1'!BG136=0,40,'Data - Sample Type 1'!BG136),"")</f>
        <v/>
      </c>
      <c r="M55" s="255" t="str">
        <f>IF('Resample Data Summary'!C182="PASS",IF('Data - Sample Type 1'!CI136=0,40,'Data - Sample Type 1'!CI136),"")</f>
        <v/>
      </c>
      <c r="N55" s="261" t="str">
        <f>IF('Resample Data Summary'!C182="PASS",'Data - Sample Type 1'!DK136,"")</f>
        <v/>
      </c>
      <c r="O55" s="377" t="str">
        <f>IF(COUNTIF(N53:N60,"&gt;0")=8-COUNTIF(N53:N60,""),"PASS","FAIL")</f>
        <v>PASS</v>
      </c>
      <c r="P55" s="78" t="str">
        <f>IF('Resample Data Summary'!C182="PASS",'Data - Sample Type 1'!EY136,"")</f>
        <v/>
      </c>
      <c r="Q55" s="377" t="str">
        <f>IF(COUNTIF(P51:P58,"&gt;0")=8-COUNTIF(P51:P58,""),"PASS","FAIL")</f>
        <v>PASS</v>
      </c>
      <c r="R55" s="78" t="str">
        <f>IF('Resample Data Summary'!C182="PASS",'Data - Sample Type 1'!FO136,"")</f>
        <v/>
      </c>
      <c r="S55" s="374" t="str">
        <f>IF(COUNTIF(R51:R58,"&gt;0")=8-COUNTIF(R51:R58,""),"PASS","FAIL")</f>
        <v>PASS</v>
      </c>
      <c r="V55" s="67"/>
      <c r="AC55" s="438"/>
      <c r="AE55" s="438"/>
      <c r="AG55" s="438"/>
      <c r="AI55" s="438"/>
    </row>
    <row r="56" spans="2:35" x14ac:dyDescent="0.15">
      <c r="B56" s="391"/>
      <c r="C56" s="163" t="str">
        <f>IF('Resample Data Summary'!C78="PASS",IF('Data - Sample Type 0'!AE157=0,40,'Data - Sample Type 0'!AE157),"")</f>
        <v/>
      </c>
      <c r="D56" s="387"/>
      <c r="E56" s="163" t="str">
        <f>IF('Resample Data Summary'!C78="PASS",IF('Resample Data Summary'!A78="","",'Data - Sample Type 0'!Q157),"")</f>
        <v/>
      </c>
      <c r="F56" s="394"/>
      <c r="I56" s="385"/>
      <c r="J56" s="254" t="str">
        <f>IF('Resample Data Summary'!C183="PASS",IF('Data - Sample Type 1'!AE137=0,40,'Data - Sample Type 1'!AE137),"")</f>
        <v/>
      </c>
      <c r="K56" s="163" t="str">
        <f>IF('Resample Data Summary'!C183="PASS",IF('Data - Sample Type 1'!AS137=0,40,'Data - Sample Type 1'!AS137),"")</f>
        <v/>
      </c>
      <c r="L56" s="163" t="str">
        <f>IF('Resample Data Summary'!C183="PASS",IF('Data - Sample Type 1'!BG137=0,40,'Data - Sample Type 1'!BG137),"")</f>
        <v/>
      </c>
      <c r="M56" s="255" t="str">
        <f>IF('Resample Data Summary'!C183="PASS",IF('Data - Sample Type 1'!CI137=0,40,'Data - Sample Type 1'!CI137),"")</f>
        <v/>
      </c>
      <c r="N56" s="261" t="str">
        <f>IF('Resample Data Summary'!C183="PASS",'Data - Sample Type 1'!DK137,"")</f>
        <v/>
      </c>
      <c r="O56" s="377"/>
      <c r="P56" s="78" t="str">
        <f>IF('Resample Data Summary'!C183="PASS",'Data - Sample Type 1'!EY137,"")</f>
        <v/>
      </c>
      <c r="Q56" s="377"/>
      <c r="R56" s="78" t="str">
        <f>IF('Resample Data Summary'!C183="PASS",'Data - Sample Type 1'!FO137,"")</f>
        <v/>
      </c>
      <c r="S56" s="374"/>
      <c r="V56" s="67"/>
      <c r="AC56" s="438"/>
      <c r="AE56" s="438"/>
      <c r="AG56" s="438"/>
      <c r="AI56" s="438"/>
    </row>
    <row r="57" spans="2:35" ht="14" customHeight="1" x14ac:dyDescent="0.15">
      <c r="B57" s="391"/>
      <c r="C57" s="163" t="str">
        <f>IF('Resample Data Summary'!C79="PASS",IF('Data - Sample Type 0'!AE158=0,40,'Data - Sample Type 0'!AE158),"")</f>
        <v/>
      </c>
      <c r="D57" s="387"/>
      <c r="E57" s="163" t="str">
        <f>IF('Resample Data Summary'!C79="PASS",IF('Resample Data Summary'!A79="","",'Data - Sample Type 0'!Q158),"")</f>
        <v/>
      </c>
      <c r="F57" s="394"/>
      <c r="I57" s="385"/>
      <c r="J57" s="254" t="str">
        <f>IF('Resample Data Summary'!C184="PASS",IF('Data - Sample Type 1'!AE138=0,40,'Data - Sample Type 1'!AE138),"")</f>
        <v/>
      </c>
      <c r="K57" s="163" t="str">
        <f>IF('Resample Data Summary'!C184="PASS",IF('Data - Sample Type 1'!AS138=0,40,'Data - Sample Type 1'!AS138),"")</f>
        <v/>
      </c>
      <c r="L57" s="163" t="str">
        <f>IF('Resample Data Summary'!C184="PASS",IF('Data - Sample Type 1'!BG138=0,40,'Data - Sample Type 1'!BG138),"")</f>
        <v/>
      </c>
      <c r="M57" s="255" t="str">
        <f>IF('Resample Data Summary'!C184="PASS",IF('Data - Sample Type 1'!CI138=0,40,'Data - Sample Type 1'!CI138),"")</f>
        <v/>
      </c>
      <c r="N57" s="261" t="str">
        <f>IF('Resample Data Summary'!C184="PASS",'Data - Sample Type 1'!DK138,"")</f>
        <v/>
      </c>
      <c r="O57" s="377"/>
      <c r="P57" s="78" t="str">
        <f>IF('Resample Data Summary'!C184="PASS",'Data - Sample Type 1'!EY138,"")</f>
        <v/>
      </c>
      <c r="Q57" s="377"/>
      <c r="R57" s="78" t="str">
        <f>IF('Resample Data Summary'!C184="PASS",'Data - Sample Type 1'!FO138,"")</f>
        <v/>
      </c>
      <c r="S57" s="374"/>
      <c r="V57" s="67"/>
      <c r="AC57" s="438"/>
      <c r="AE57" s="438"/>
      <c r="AG57" s="438"/>
      <c r="AI57" s="438"/>
    </row>
    <row r="58" spans="2:35" x14ac:dyDescent="0.15">
      <c r="B58" s="391"/>
      <c r="C58" s="163" t="str">
        <f>IF('Resample Data Summary'!C80="PASS",IF('Data - Sample Type 0'!AE159=0,40,'Data - Sample Type 0'!AE159),"")</f>
        <v/>
      </c>
      <c r="D58" s="387" t="e">
        <f>IF(D53&gt;=Specifications!$D$26,"PASS","FAIL")</f>
        <v>#DIV/0!</v>
      </c>
      <c r="E58" s="163" t="str">
        <f>IF('Resample Data Summary'!C80="PASS",IF('Resample Data Summary'!A80="","",'Data - Sample Type 0'!Q159),"")</f>
        <v/>
      </c>
      <c r="F58" s="394" t="e">
        <f>IF(F53&lt;=Specifications!$B$26,"PASS","FAIL")</f>
        <v>#DIV/0!</v>
      </c>
      <c r="I58" s="386"/>
      <c r="J58" s="256" t="str">
        <f>IF('Resample Data Summary'!C185="PASS",IF('Data - Sample Type 1'!AE139=0,40,'Data - Sample Type 1'!AE139),"")</f>
        <v/>
      </c>
      <c r="K58" s="168" t="str">
        <f>IF('Resample Data Summary'!C185="PASS",IF('Data - Sample Type 1'!AS139=0,40,'Data - Sample Type 1'!AS139),"")</f>
        <v/>
      </c>
      <c r="L58" s="168" t="str">
        <f>IF('Resample Data Summary'!C185="PASS",IF('Data - Sample Type 1'!BG139=0,40,'Data - Sample Type 1'!BG139),"")</f>
        <v/>
      </c>
      <c r="M58" s="257" t="str">
        <f>IF('Resample Data Summary'!C185="PASS",IF('Data - Sample Type 1'!CI139=0,40,'Data - Sample Type 1'!CI139),"")</f>
        <v/>
      </c>
      <c r="N58" s="262" t="str">
        <f>IF('Resample Data Summary'!C185="PASS",'Data - Sample Type 1'!DK139,"")</f>
        <v/>
      </c>
      <c r="O58" s="378"/>
      <c r="P58" s="228" t="str">
        <f>IF('Resample Data Summary'!C185="PASS",'Data - Sample Type 1'!EY139,"")</f>
        <v/>
      </c>
      <c r="Q58" s="378"/>
      <c r="R58" s="228" t="str">
        <f>IF('Resample Data Summary'!C185="PASS",'Data - Sample Type 1'!FO139,"")</f>
        <v/>
      </c>
      <c r="S58" s="376"/>
      <c r="V58" s="67"/>
      <c r="AC58" s="438"/>
      <c r="AE58" s="438"/>
      <c r="AG58" s="438"/>
      <c r="AI58" s="438"/>
    </row>
    <row r="59" spans="2:35" ht="13.25" customHeight="1" x14ac:dyDescent="0.15">
      <c r="B59" s="391"/>
      <c r="C59" s="163" t="str">
        <f>IF('Resample Data Summary'!C81="PASS",IF('Data - Sample Type 0'!AE160=0,40,'Data - Sample Type 0'!AE160),"")</f>
        <v/>
      </c>
      <c r="D59" s="387"/>
      <c r="E59" s="163" t="str">
        <f>IF('Resample Data Summary'!C81="PASS",IF('Resample Data Summary'!A81="","",'Data - Sample Type 0'!Q160),"")</f>
        <v/>
      </c>
      <c r="F59" s="394"/>
      <c r="I59" s="384">
        <v>8</v>
      </c>
      <c r="J59" s="252" t="str">
        <f>IF('Resample Data Summary'!C186="PASS",IF('Data - Sample Type 1'!AE140=0,40,'Data - Sample Type 1'!AE140),"")</f>
        <v/>
      </c>
      <c r="K59" s="167" t="str">
        <f>IF('Resample Data Summary'!C186="PASS",IF('Data - Sample Type 1'!AS140=0,40,'Data - Sample Type 1'!AS140),"")</f>
        <v/>
      </c>
      <c r="L59" s="167" t="str">
        <f>IF('Resample Data Summary'!C186="PASS",IF('Data - Sample Type 1'!BG140=0,40,'Data - Sample Type 1'!BG140),"")</f>
        <v/>
      </c>
      <c r="M59" s="253" t="str">
        <f>IF('Resample Data Summary'!C186="PASS",IF('Data - Sample Type 1'!CI140=0,40,'Data - Sample Type 1'!CI140),"")</f>
        <v/>
      </c>
      <c r="N59" s="260" t="str">
        <f>IF('Resample Data Summary'!C186="PASS",'Data - Sample Type 1'!DK140,"")</f>
        <v/>
      </c>
      <c r="O59" s="379" t="e">
        <f>ROUND(AVERAGE(N59:N66),1)</f>
        <v>#DIV/0!</v>
      </c>
      <c r="P59" s="225" t="str">
        <f>IF('Resample Data Summary'!C186="PASS",'Data - Sample Type 1'!EY140,"")</f>
        <v/>
      </c>
      <c r="Q59" s="379" t="e">
        <f>ROUND(AVERAGE(P59:P66),1)</f>
        <v>#DIV/0!</v>
      </c>
      <c r="R59" s="225" t="str">
        <f>IF('Resample Data Summary'!C186="PASS",'Data - Sample Type 1'!FO140,"")</f>
        <v/>
      </c>
      <c r="S59" s="373" t="e">
        <f>ROUND(AVERAGE(R59:R66),1)</f>
        <v>#DIV/0!</v>
      </c>
      <c r="V59" s="67"/>
      <c r="AC59" s="438"/>
      <c r="AE59" s="438"/>
      <c r="AG59" s="438"/>
      <c r="AI59" s="438"/>
    </row>
    <row r="60" spans="2:35" x14ac:dyDescent="0.15">
      <c r="B60" s="391"/>
      <c r="C60" s="163" t="str">
        <f>IF('Resample Data Summary'!C82="PASS",IF('Data - Sample Type 0'!AE161=0,40,'Data - Sample Type 0'!AE161),"")</f>
        <v/>
      </c>
      <c r="D60" s="387"/>
      <c r="E60" s="163" t="str">
        <f>IF('Resample Data Summary'!C82="PASS",IF('Resample Data Summary'!A82="","",'Data - Sample Type 0'!Q161),"")</f>
        <v/>
      </c>
      <c r="F60" s="394"/>
      <c r="I60" s="385"/>
      <c r="J60" s="254" t="str">
        <f>IF('Resample Data Summary'!C187="PASS",IF('Data - Sample Type 1'!AE141=0,40,'Data - Sample Type 1'!AE141),"")</f>
        <v/>
      </c>
      <c r="K60" s="163" t="str">
        <f>IF('Resample Data Summary'!C187="PASS",IF('Data - Sample Type 1'!AS141=0,40,'Data - Sample Type 1'!AS141),"")</f>
        <v/>
      </c>
      <c r="L60" s="163" t="str">
        <f>IF('Resample Data Summary'!C187="PASS",IF('Data - Sample Type 1'!BG141=0,40,'Data - Sample Type 1'!BG141),"")</f>
        <v/>
      </c>
      <c r="M60" s="255" t="str">
        <f>IF('Resample Data Summary'!C187="PASS",IF('Data - Sample Type 1'!CI141=0,40,'Data - Sample Type 1'!CI141),"")</f>
        <v/>
      </c>
      <c r="N60" s="261" t="str">
        <f>IF('Resample Data Summary'!C187="PASS",'Data - Sample Type 1'!DK141,"")</f>
        <v/>
      </c>
      <c r="O60" s="377"/>
      <c r="P60" s="78" t="str">
        <f>IF('Resample Data Summary'!C187="PASS",'Data - Sample Type 1'!EY141,"")</f>
        <v/>
      </c>
      <c r="Q60" s="377"/>
      <c r="R60" s="78" t="str">
        <f>IF('Resample Data Summary'!C187="PASS",'Data - Sample Type 1'!FO141,"")</f>
        <v/>
      </c>
      <c r="S60" s="374"/>
      <c r="V60" s="67"/>
      <c r="AC60" s="438"/>
      <c r="AE60" s="438"/>
      <c r="AG60" s="438"/>
      <c r="AI60" s="438"/>
    </row>
    <row r="61" spans="2:35" x14ac:dyDescent="0.15">
      <c r="B61" s="391"/>
      <c r="C61" s="163" t="str">
        <f>IF('Resample Data Summary'!C83="PASS",IF('Data - Sample Type 0'!AE162=0,40,'Data - Sample Type 0'!AE162),"")</f>
        <v/>
      </c>
      <c r="D61" s="387"/>
      <c r="E61" s="163" t="str">
        <f>IF('Resample Data Summary'!C83="PASS",IF('Resample Data Summary'!A83="","",'Data - Sample Type 0'!Q162),"")</f>
        <v/>
      </c>
      <c r="F61" s="394"/>
      <c r="I61" s="385"/>
      <c r="J61" s="254" t="str">
        <f>IF('Resample Data Summary'!C188="PASS",IF('Data - Sample Type 1'!AE142=0,40,'Data - Sample Type 1'!AE142),"")</f>
        <v/>
      </c>
      <c r="K61" s="163" t="str">
        <f>IF('Resample Data Summary'!C188="PASS",IF('Data - Sample Type 1'!AS142=0,40,'Data - Sample Type 1'!AS142),"")</f>
        <v/>
      </c>
      <c r="L61" s="163" t="str">
        <f>IF('Resample Data Summary'!C188="PASS",IF('Data - Sample Type 1'!BG142=0,40,'Data - Sample Type 1'!BG142),"")</f>
        <v/>
      </c>
      <c r="M61" s="255" t="str">
        <f>IF('Resample Data Summary'!C188="PASS",IF('Data - Sample Type 1'!CI142=0,40,'Data - Sample Type 1'!CI142),"")</f>
        <v/>
      </c>
      <c r="N61" s="261" t="str">
        <f>IF('Resample Data Summary'!C188="PASS",'Data - Sample Type 1'!DK142,"")</f>
        <v/>
      </c>
      <c r="O61" s="377"/>
      <c r="P61" s="78" t="str">
        <f>IF('Resample Data Summary'!C188="PASS",'Data - Sample Type 1'!EY142,"")</f>
        <v/>
      </c>
      <c r="Q61" s="377"/>
      <c r="R61" s="78" t="str">
        <f>IF('Resample Data Summary'!C188="PASS",'Data - Sample Type 1'!FO142,"")</f>
        <v/>
      </c>
      <c r="S61" s="374"/>
      <c r="V61" s="67"/>
      <c r="AC61" s="438"/>
      <c r="AE61" s="438"/>
      <c r="AG61" s="438"/>
      <c r="AI61" s="438"/>
    </row>
    <row r="62" spans="2:35" x14ac:dyDescent="0.15">
      <c r="B62" s="392"/>
      <c r="C62" s="168" t="str">
        <f>IF('Resample Data Summary'!C84="PASS",IF('Data - Sample Type 0'!AE163=0,40,'Data - Sample Type 0'!AE163),"")</f>
        <v/>
      </c>
      <c r="D62" s="388"/>
      <c r="E62" s="168" t="str">
        <f>IF('Resample Data Summary'!C84="PASS",IF('Resample Data Summary'!A84="","",'Data - Sample Type 0'!Q163),"")</f>
        <v/>
      </c>
      <c r="F62" s="395"/>
      <c r="I62" s="385"/>
      <c r="J62" s="254" t="str">
        <f>IF('Resample Data Summary'!C189="PASS",IF('Data - Sample Type 1'!AE143=0,40,'Data - Sample Type 1'!AE143),"")</f>
        <v/>
      </c>
      <c r="K62" s="163" t="str">
        <f>IF('Resample Data Summary'!C189="PASS",IF('Data - Sample Type 1'!AS143=0,40,'Data - Sample Type 1'!AS143),"")</f>
        <v/>
      </c>
      <c r="L62" s="163" t="str">
        <f>IF('Resample Data Summary'!C189="PASS",IF('Data - Sample Type 1'!BG143=0,40,'Data - Sample Type 1'!BG143),"")</f>
        <v/>
      </c>
      <c r="M62" s="255" t="str">
        <f>IF('Resample Data Summary'!C189="PASS",IF('Data - Sample Type 1'!CI143=0,40,'Data - Sample Type 1'!CI143),"")</f>
        <v/>
      </c>
      <c r="N62" s="261" t="str">
        <f>IF('Resample Data Summary'!C189="PASS",'Data - Sample Type 1'!DK143,"")</f>
        <v/>
      </c>
      <c r="O62" s="377"/>
      <c r="P62" s="78" t="str">
        <f>IF('Resample Data Summary'!C189="PASS",'Data - Sample Type 1'!EY143,"")</f>
        <v/>
      </c>
      <c r="Q62" s="377"/>
      <c r="R62" s="78" t="str">
        <f>IF('Resample Data Summary'!C189="PASS",'Data - Sample Type 1'!FO143,"")</f>
        <v/>
      </c>
      <c r="S62" s="374"/>
      <c r="V62" s="67"/>
      <c r="AC62" s="438"/>
      <c r="AE62" s="438"/>
      <c r="AG62" s="438"/>
      <c r="AI62" s="438"/>
    </row>
    <row r="63" spans="2:35" x14ac:dyDescent="0.15">
      <c r="B63" s="390">
        <v>7</v>
      </c>
      <c r="C63" s="167" t="str">
        <f>IF('Resample Data Summary'!C85="PASS",IF('Data - Sample Type 0'!AE164=0,40,'Data - Sample Type 0'!AE164),"")</f>
        <v/>
      </c>
      <c r="D63" s="389" t="e">
        <f>ROUND(AVERAGE(C63:C72),1)</f>
        <v>#DIV/0!</v>
      </c>
      <c r="E63" s="167" t="str">
        <f>IF('Resample Data Summary'!C85="PASS",IF('Resample Data Summary'!A85="","",'Data - Sample Type 0'!Q164),"")</f>
        <v/>
      </c>
      <c r="F63" s="396" t="e">
        <f>ROUND(AVERAGE(E63:E72),1)</f>
        <v>#DIV/0!</v>
      </c>
      <c r="I63" s="385">
        <v>7</v>
      </c>
      <c r="J63" s="254" t="str">
        <f>IF('Resample Data Summary'!C190="PASS",IF('Data - Sample Type 1'!AE144=0,40,'Data - Sample Type 1'!AE144),"")</f>
        <v/>
      </c>
      <c r="K63" s="163" t="str">
        <f>IF('Resample Data Summary'!C190="PASS",IF('Data - Sample Type 1'!AS144=0,40,'Data - Sample Type 1'!AS144),"")</f>
        <v/>
      </c>
      <c r="L63" s="163" t="str">
        <f>IF('Resample Data Summary'!C190="PASS",IF('Data - Sample Type 1'!BG144=0,40,'Data - Sample Type 1'!BG144),"")</f>
        <v/>
      </c>
      <c r="M63" s="255" t="str">
        <f>IF('Resample Data Summary'!C190="PASS",IF('Data - Sample Type 1'!CI144=0,40,'Data - Sample Type 1'!CI144),"")</f>
        <v/>
      </c>
      <c r="N63" s="261" t="str">
        <f>IF('Resample Data Summary'!C190="PASS",'Data - Sample Type 1'!DK144,"")</f>
        <v/>
      </c>
      <c r="O63" s="377" t="str">
        <f>IF(COUNTIF(N61:N68,"&gt;0")=8-COUNTIF(N61:N68,""),"PASS","FAIL")</f>
        <v>PASS</v>
      </c>
      <c r="P63" s="78" t="str">
        <f>IF('Resample Data Summary'!C190="PASS",'Data - Sample Type 1'!EY144,"")</f>
        <v/>
      </c>
      <c r="Q63" s="377" t="str">
        <f>IF(COUNTIF(P59:P66,"&gt;0")=8-COUNTIF(P59:P66,""),"PASS","FAIL")</f>
        <v>PASS</v>
      </c>
      <c r="R63" s="78" t="str">
        <f>IF('Resample Data Summary'!C190="PASS",'Data - Sample Type 1'!FO144,"")</f>
        <v/>
      </c>
      <c r="S63" s="374" t="str">
        <f>IF(COUNTIF(R59:R66,"&gt;0")=8-COUNTIF(R59:R66,""),"PASS","FAIL")</f>
        <v>PASS</v>
      </c>
      <c r="V63" s="67"/>
      <c r="AC63" s="438"/>
      <c r="AE63" s="438"/>
      <c r="AG63" s="438"/>
      <c r="AI63" s="438"/>
    </row>
    <row r="64" spans="2:35" ht="14" customHeight="1" x14ac:dyDescent="0.15">
      <c r="B64" s="391"/>
      <c r="C64" s="163" t="str">
        <f>IF('Resample Data Summary'!C86="PASS",IF('Data - Sample Type 0'!AE165=0,40,'Data - Sample Type 0'!AE165),"")</f>
        <v/>
      </c>
      <c r="D64" s="387"/>
      <c r="E64" s="163" t="str">
        <f>IF('Resample Data Summary'!C86="PASS",IF('Resample Data Summary'!A86="","",'Data - Sample Type 0'!Q165),"")</f>
        <v/>
      </c>
      <c r="F64" s="394"/>
      <c r="I64" s="385"/>
      <c r="J64" s="254" t="str">
        <f>IF('Resample Data Summary'!C191="PASS",IF('Data - Sample Type 1'!AE145=0,40,'Data - Sample Type 1'!AE145),"")</f>
        <v/>
      </c>
      <c r="K64" s="163" t="str">
        <f>IF('Resample Data Summary'!C191="PASS",IF('Data - Sample Type 1'!AS145=0,40,'Data - Sample Type 1'!AS145),"")</f>
        <v/>
      </c>
      <c r="L64" s="163" t="str">
        <f>IF('Resample Data Summary'!C191="PASS",IF('Data - Sample Type 1'!BG145=0,40,'Data - Sample Type 1'!BG145),"")</f>
        <v/>
      </c>
      <c r="M64" s="255" t="str">
        <f>IF('Resample Data Summary'!C191="PASS",IF('Data - Sample Type 1'!CI145=0,40,'Data - Sample Type 1'!CI145),"")</f>
        <v/>
      </c>
      <c r="N64" s="261" t="str">
        <f>IF('Resample Data Summary'!C191="PASS",'Data - Sample Type 1'!DK145,"")</f>
        <v/>
      </c>
      <c r="O64" s="377"/>
      <c r="P64" s="78" t="str">
        <f>IF('Resample Data Summary'!C191="PASS",'Data - Sample Type 1'!EY145,"")</f>
        <v/>
      </c>
      <c r="Q64" s="377"/>
      <c r="R64" s="78" t="str">
        <f>IF('Resample Data Summary'!C191="PASS",'Data - Sample Type 1'!FO145,"")</f>
        <v/>
      </c>
      <c r="S64" s="374"/>
      <c r="V64" s="67"/>
      <c r="AC64" s="438"/>
      <c r="AE64" s="438"/>
      <c r="AG64" s="438"/>
      <c r="AI64" s="438"/>
    </row>
    <row r="65" spans="2:35" x14ac:dyDescent="0.15">
      <c r="B65" s="391"/>
      <c r="C65" s="163" t="str">
        <f>IF('Resample Data Summary'!C87="PASS",IF('Data - Sample Type 0'!AE166=0,40,'Data - Sample Type 0'!AE166),"")</f>
        <v/>
      </c>
      <c r="D65" s="387"/>
      <c r="E65" s="163" t="str">
        <f>IF('Resample Data Summary'!C87="PASS",IF('Resample Data Summary'!A87="","",'Data - Sample Type 0'!Q166),"")</f>
        <v/>
      </c>
      <c r="F65" s="394"/>
      <c r="I65" s="385"/>
      <c r="J65" s="254" t="str">
        <f>IF('Resample Data Summary'!C192="PASS",IF('Data - Sample Type 1'!AE146=0,40,'Data - Sample Type 1'!AE146),"")</f>
        <v/>
      </c>
      <c r="K65" s="163" t="str">
        <f>IF('Resample Data Summary'!C192="PASS",IF('Data - Sample Type 1'!AS146=0,40,'Data - Sample Type 1'!AS146),"")</f>
        <v/>
      </c>
      <c r="L65" s="163" t="str">
        <f>IF('Resample Data Summary'!C192="PASS",IF('Data - Sample Type 1'!BG146=0,40,'Data - Sample Type 1'!BG146),"")</f>
        <v/>
      </c>
      <c r="M65" s="255" t="str">
        <f>IF('Resample Data Summary'!C192="PASS",IF('Data - Sample Type 1'!CI146=0,40,'Data - Sample Type 1'!CI146),"")</f>
        <v/>
      </c>
      <c r="N65" s="261" t="str">
        <f>IF('Resample Data Summary'!C192="PASS",'Data - Sample Type 1'!DK146,"")</f>
        <v/>
      </c>
      <c r="O65" s="377"/>
      <c r="P65" s="78" t="str">
        <f>IF('Resample Data Summary'!C192="PASS",'Data - Sample Type 1'!EY146,"")</f>
        <v/>
      </c>
      <c r="Q65" s="377"/>
      <c r="R65" s="78" t="str">
        <f>IF('Resample Data Summary'!C192="PASS",'Data - Sample Type 1'!FO146,"")</f>
        <v/>
      </c>
      <c r="S65" s="374"/>
      <c r="V65" s="67"/>
      <c r="AC65" s="438"/>
      <c r="AE65" s="438"/>
      <c r="AG65" s="438"/>
      <c r="AI65" s="438"/>
    </row>
    <row r="66" spans="2:35" ht="14" customHeight="1" x14ac:dyDescent="0.15">
      <c r="B66" s="391"/>
      <c r="C66" s="163" t="str">
        <f>IF('Resample Data Summary'!C88="PASS",IF('Data - Sample Type 0'!AE167=0,40,'Data - Sample Type 0'!AE167),"")</f>
        <v/>
      </c>
      <c r="D66" s="387"/>
      <c r="E66" s="163" t="str">
        <f>IF('Resample Data Summary'!C88="PASS",IF('Resample Data Summary'!A88="","",'Data - Sample Type 0'!Q167),"")</f>
        <v/>
      </c>
      <c r="F66" s="394"/>
      <c r="I66" s="386"/>
      <c r="J66" s="256" t="str">
        <f>IF('Resample Data Summary'!C193="PASS",IF('Data - Sample Type 1'!AE147=0,40,'Data - Sample Type 1'!AE147),"")</f>
        <v/>
      </c>
      <c r="K66" s="168" t="str">
        <f>IF('Resample Data Summary'!C193="PASS",IF('Data - Sample Type 1'!AS147=0,40,'Data - Sample Type 1'!AS147),"")</f>
        <v/>
      </c>
      <c r="L66" s="168" t="str">
        <f>IF('Resample Data Summary'!C193="PASS",IF('Data - Sample Type 1'!BG147=0,40,'Data - Sample Type 1'!BG147),"")</f>
        <v/>
      </c>
      <c r="M66" s="257" t="str">
        <f>IF('Resample Data Summary'!C193="PASS",IF('Data - Sample Type 1'!CI147=0,40,'Data - Sample Type 1'!CI147),"")</f>
        <v/>
      </c>
      <c r="N66" s="262" t="str">
        <f>IF('Resample Data Summary'!C193="PASS",'Data - Sample Type 1'!DK147,"")</f>
        <v/>
      </c>
      <c r="O66" s="378"/>
      <c r="P66" s="228" t="str">
        <f>IF('Resample Data Summary'!C193="PASS",'Data - Sample Type 1'!EY147,"")</f>
        <v/>
      </c>
      <c r="Q66" s="378"/>
      <c r="R66" s="228" t="str">
        <f>IF('Resample Data Summary'!C193="PASS",'Data - Sample Type 1'!FO147,"")</f>
        <v/>
      </c>
      <c r="S66" s="376"/>
      <c r="V66" s="67"/>
      <c r="AC66" s="438"/>
      <c r="AE66" s="438"/>
      <c r="AG66" s="438"/>
      <c r="AI66" s="438"/>
    </row>
    <row r="67" spans="2:35" x14ac:dyDescent="0.15">
      <c r="B67" s="391">
        <v>7</v>
      </c>
      <c r="C67" s="163" t="str">
        <f>IF('Resample Data Summary'!C89="PASS",IF('Data - Sample Type 0'!AE168=0,40,'Data - Sample Type 0'!AE168),"")</f>
        <v/>
      </c>
      <c r="D67" s="387"/>
      <c r="E67" s="163" t="str">
        <f>IF('Resample Data Summary'!C89="PASS",IF('Resample Data Summary'!A89="","",'Data - Sample Type 0'!Q168),"")</f>
        <v/>
      </c>
      <c r="F67" s="394"/>
      <c r="I67" s="384">
        <v>9</v>
      </c>
      <c r="J67" s="252" t="str">
        <f>IF('Resample Data Summary'!C194="PASS",IF('Data - Sample Type 1'!AE148=0,40,'Data - Sample Type 1'!AE148),"")</f>
        <v/>
      </c>
      <c r="K67" s="167" t="str">
        <f>IF('Resample Data Summary'!C194="PASS",IF('Data - Sample Type 1'!AS148=0,40,'Data - Sample Type 1'!AS148),"")</f>
        <v/>
      </c>
      <c r="L67" s="167" t="str">
        <f>IF('Resample Data Summary'!C194="PASS",IF('Data - Sample Type 1'!BG148=0,40,'Data - Sample Type 1'!BG148),"")</f>
        <v/>
      </c>
      <c r="M67" s="253" t="str">
        <f>IF('Resample Data Summary'!C194="PASS",IF('Data - Sample Type 1'!CI148=0,40,'Data - Sample Type 1'!CI148),"")</f>
        <v/>
      </c>
      <c r="N67" s="260" t="str">
        <f>IF('Resample Data Summary'!C194="PASS",'Data - Sample Type 1'!DK148,"")</f>
        <v/>
      </c>
      <c r="O67" s="379" t="e">
        <f>ROUND(AVERAGE(N67:N74),1)</f>
        <v>#DIV/0!</v>
      </c>
      <c r="P67" s="225" t="str">
        <f>IF('Resample Data Summary'!C194="PASS",'Data - Sample Type 1'!EY148,"")</f>
        <v/>
      </c>
      <c r="Q67" s="379" t="e">
        <f>ROUND(AVERAGE(P67:P74),1)</f>
        <v>#DIV/0!</v>
      </c>
      <c r="R67" s="225" t="str">
        <f>IF('Resample Data Summary'!C194="PASS",'Data - Sample Type 1'!FO148,"")</f>
        <v/>
      </c>
      <c r="S67" s="373" t="e">
        <f>ROUND(AVERAGE(R67:R74),1)</f>
        <v>#DIV/0!</v>
      </c>
      <c r="V67" s="67"/>
      <c r="AC67" s="438"/>
      <c r="AE67" s="438"/>
      <c r="AG67" s="438"/>
      <c r="AI67" s="438"/>
    </row>
    <row r="68" spans="2:35" x14ac:dyDescent="0.15">
      <c r="B68" s="391"/>
      <c r="C68" s="163" t="str">
        <f>IF('Resample Data Summary'!C90="PASS",IF('Data - Sample Type 0'!AE169=0,40,'Data - Sample Type 0'!AE169),"")</f>
        <v/>
      </c>
      <c r="D68" s="387" t="e">
        <f>IF(D63&gt;=Specifications!$D$26,"PASS","FAIL")</f>
        <v>#DIV/0!</v>
      </c>
      <c r="E68" s="163" t="str">
        <f>IF('Resample Data Summary'!C90="PASS",IF('Resample Data Summary'!A90="","",'Data - Sample Type 0'!Q169),"")</f>
        <v/>
      </c>
      <c r="F68" s="394" t="e">
        <f>IF(F63&lt;=Specifications!$B$26,"PASS","FAIL")</f>
        <v>#DIV/0!</v>
      </c>
      <c r="I68" s="385"/>
      <c r="J68" s="254" t="str">
        <f>IF('Resample Data Summary'!C195="PASS",IF('Data - Sample Type 1'!AE149=0,40,'Data - Sample Type 1'!AE149),"")</f>
        <v/>
      </c>
      <c r="K68" s="163" t="str">
        <f>IF('Resample Data Summary'!C195="PASS",IF('Data - Sample Type 1'!AS149=0,40,'Data - Sample Type 1'!AS149),"")</f>
        <v/>
      </c>
      <c r="L68" s="163" t="str">
        <f>IF('Resample Data Summary'!C195="PASS",IF('Data - Sample Type 1'!BG149=0,40,'Data - Sample Type 1'!BG149),"")</f>
        <v/>
      </c>
      <c r="M68" s="255" t="str">
        <f>IF('Resample Data Summary'!C195="PASS",IF('Data - Sample Type 1'!CI149=0,40,'Data - Sample Type 1'!CI149),"")</f>
        <v/>
      </c>
      <c r="N68" s="261" t="str">
        <f>IF('Resample Data Summary'!C195="PASS",'Data - Sample Type 1'!DK149,"")</f>
        <v/>
      </c>
      <c r="O68" s="377"/>
      <c r="P68" s="78" t="str">
        <f>IF('Resample Data Summary'!C195="PASS",'Data - Sample Type 1'!EY149,"")</f>
        <v/>
      </c>
      <c r="Q68" s="377"/>
      <c r="R68" s="78" t="str">
        <f>IF('Resample Data Summary'!C195="PASS",'Data - Sample Type 1'!FO149,"")</f>
        <v/>
      </c>
      <c r="S68" s="374"/>
      <c r="V68" s="67"/>
      <c r="AC68" s="438"/>
      <c r="AE68" s="438"/>
      <c r="AG68" s="438"/>
      <c r="AI68" s="438"/>
    </row>
    <row r="69" spans="2:35" x14ac:dyDescent="0.15">
      <c r="B69" s="391"/>
      <c r="C69" s="163" t="str">
        <f>IF('Resample Data Summary'!C91="PASS",IF('Data - Sample Type 0'!AE170=0,40,'Data - Sample Type 0'!AE170),"")</f>
        <v/>
      </c>
      <c r="D69" s="387"/>
      <c r="E69" s="163" t="str">
        <f>IF('Resample Data Summary'!C91="PASS",IF('Resample Data Summary'!A91="","",'Data - Sample Type 0'!Q170),"")</f>
        <v/>
      </c>
      <c r="F69" s="394"/>
      <c r="I69" s="385"/>
      <c r="J69" s="254" t="str">
        <f>IF('Resample Data Summary'!C196="PASS",IF('Data - Sample Type 1'!AE150=0,40,'Data - Sample Type 1'!AE150),"")</f>
        <v/>
      </c>
      <c r="K69" s="163" t="str">
        <f>IF('Resample Data Summary'!C196="PASS",IF('Data - Sample Type 1'!AS150=0,40,'Data - Sample Type 1'!AS150),"")</f>
        <v/>
      </c>
      <c r="L69" s="163" t="str">
        <f>IF('Resample Data Summary'!C196="PASS",IF('Data - Sample Type 1'!BG150=0,40,'Data - Sample Type 1'!BG150),"")</f>
        <v/>
      </c>
      <c r="M69" s="255" t="str">
        <f>IF('Resample Data Summary'!C196="PASS",IF('Data - Sample Type 1'!CI150=0,40,'Data - Sample Type 1'!CI150),"")</f>
        <v/>
      </c>
      <c r="N69" s="261" t="str">
        <f>IF('Resample Data Summary'!C196="PASS",'Data - Sample Type 1'!DK150,"")</f>
        <v/>
      </c>
      <c r="O69" s="377"/>
      <c r="P69" s="78" t="str">
        <f>IF('Resample Data Summary'!C196="PASS",'Data - Sample Type 1'!EY150,"")</f>
        <v/>
      </c>
      <c r="Q69" s="377"/>
      <c r="R69" s="78" t="str">
        <f>IF('Resample Data Summary'!C196="PASS",'Data - Sample Type 1'!FO150,"")</f>
        <v/>
      </c>
      <c r="S69" s="374"/>
      <c r="V69" s="67"/>
      <c r="AC69" s="438"/>
      <c r="AE69" s="438"/>
      <c r="AG69" s="438"/>
      <c r="AI69" s="438"/>
    </row>
    <row r="70" spans="2:35" x14ac:dyDescent="0.15">
      <c r="B70" s="391"/>
      <c r="C70" s="163" t="str">
        <f>IF('Resample Data Summary'!C92="PASS",IF('Data - Sample Type 0'!AE171=0,40,'Data - Sample Type 0'!AE171),"")</f>
        <v/>
      </c>
      <c r="D70" s="387"/>
      <c r="E70" s="163" t="str">
        <f>IF('Resample Data Summary'!C92="PASS",IF('Resample Data Summary'!A92="","",'Data - Sample Type 0'!Q171),"")</f>
        <v/>
      </c>
      <c r="F70" s="394"/>
      <c r="I70" s="385"/>
      <c r="J70" s="254" t="str">
        <f>IF('Resample Data Summary'!C197="PASS",IF('Data - Sample Type 1'!AE151=0,40,'Data - Sample Type 1'!AE151),"")</f>
        <v/>
      </c>
      <c r="K70" s="163" t="str">
        <f>IF('Resample Data Summary'!C197="PASS",IF('Data - Sample Type 1'!AS151=0,40,'Data - Sample Type 1'!AS151),"")</f>
        <v/>
      </c>
      <c r="L70" s="163" t="str">
        <f>IF('Resample Data Summary'!C197="PASS",IF('Data - Sample Type 1'!BG151=0,40,'Data - Sample Type 1'!BG151),"")</f>
        <v/>
      </c>
      <c r="M70" s="255" t="str">
        <f>IF('Resample Data Summary'!C197="PASS",IF('Data - Sample Type 1'!CI151=0,40,'Data - Sample Type 1'!CI151),"")</f>
        <v/>
      </c>
      <c r="N70" s="261" t="str">
        <f>IF('Resample Data Summary'!C197="PASS",'Data - Sample Type 1'!DK151,"")</f>
        <v/>
      </c>
      <c r="O70" s="377"/>
      <c r="P70" s="78" t="str">
        <f>IF('Resample Data Summary'!C197="PASS",'Data - Sample Type 1'!EY151,"")</f>
        <v/>
      </c>
      <c r="Q70" s="377"/>
      <c r="R70" s="78" t="str">
        <f>IF('Resample Data Summary'!C197="PASS",'Data - Sample Type 1'!FO151,"")</f>
        <v/>
      </c>
      <c r="S70" s="374"/>
      <c r="V70" s="67"/>
      <c r="AC70" s="438"/>
      <c r="AE70" s="438"/>
      <c r="AG70" s="438"/>
      <c r="AI70" s="438"/>
    </row>
    <row r="71" spans="2:35" ht="14" customHeight="1" x14ac:dyDescent="0.15">
      <c r="B71" s="391"/>
      <c r="C71" s="163" t="str">
        <f>IF('Resample Data Summary'!C93="PASS",IF('Data - Sample Type 0'!AE172=0,40,'Data - Sample Type 0'!AE172),"")</f>
        <v/>
      </c>
      <c r="D71" s="387"/>
      <c r="E71" s="163" t="str">
        <f>IF('Resample Data Summary'!C93="PASS",IF('Resample Data Summary'!A93="","",'Data - Sample Type 0'!Q172),"")</f>
        <v/>
      </c>
      <c r="F71" s="394"/>
      <c r="I71" s="385"/>
      <c r="J71" s="254" t="str">
        <f>IF('Resample Data Summary'!C198="PASS",IF('Data - Sample Type 1'!AE152=0,40,'Data - Sample Type 1'!AE152),"")</f>
        <v/>
      </c>
      <c r="K71" s="163" t="str">
        <f>IF('Resample Data Summary'!C198="PASS",IF('Data - Sample Type 1'!AS152=0,40,'Data - Sample Type 1'!AS152),"")</f>
        <v/>
      </c>
      <c r="L71" s="163" t="str">
        <f>IF('Resample Data Summary'!C198="PASS",IF('Data - Sample Type 1'!BG152=0,40,'Data - Sample Type 1'!BG152),"")</f>
        <v/>
      </c>
      <c r="M71" s="255" t="str">
        <f>IF('Resample Data Summary'!C198="PASS",IF('Data - Sample Type 1'!CI152=0,40,'Data - Sample Type 1'!CI152),"")</f>
        <v/>
      </c>
      <c r="N71" s="261" t="str">
        <f>IF('Resample Data Summary'!C198="PASS",'Data - Sample Type 1'!DK152,"")</f>
        <v/>
      </c>
      <c r="O71" s="377" t="str">
        <f>IF(COUNTIF(N69:N76,"&gt;0")=8-COUNTIF(N69:N76,""),"PASS","FAIL")</f>
        <v>PASS</v>
      </c>
      <c r="P71" s="78" t="str">
        <f>IF('Resample Data Summary'!C198="PASS",'Data - Sample Type 1'!EY152,"")</f>
        <v/>
      </c>
      <c r="Q71" s="377" t="str">
        <f>IF(COUNTIF(P67:P74,"&gt;0")=8-COUNTIF(P67:P74,""),"PASS","FAIL")</f>
        <v>PASS</v>
      </c>
      <c r="R71" s="78" t="str">
        <f>IF('Resample Data Summary'!C198="PASS",'Data - Sample Type 1'!FO152,"")</f>
        <v/>
      </c>
      <c r="S71" s="374" t="str">
        <f>IF(COUNTIF(R67:R74,"&gt;0")=8-COUNTIF(R67:R74,""),"PASS","FAIL")</f>
        <v>PASS</v>
      </c>
      <c r="V71" s="67"/>
      <c r="AC71" s="438"/>
      <c r="AE71" s="438"/>
      <c r="AG71" s="438"/>
      <c r="AI71" s="438"/>
    </row>
    <row r="72" spans="2:35" x14ac:dyDescent="0.15">
      <c r="B72" s="392"/>
      <c r="C72" s="168" t="str">
        <f>IF('Resample Data Summary'!C94="PASS",IF('Data - Sample Type 0'!AE173=0,40,'Data - Sample Type 0'!AE173),"")</f>
        <v/>
      </c>
      <c r="D72" s="388"/>
      <c r="E72" s="168" t="str">
        <f>IF('Resample Data Summary'!C94="PASS",IF('Resample Data Summary'!A94="","",'Data - Sample Type 0'!Q173),"")</f>
        <v/>
      </c>
      <c r="F72" s="395"/>
      <c r="I72" s="385"/>
      <c r="J72" s="254" t="str">
        <f>IF('Resample Data Summary'!C199="PASS",IF('Data - Sample Type 1'!AE153=0,40,'Data - Sample Type 1'!AE153),"")</f>
        <v/>
      </c>
      <c r="K72" s="163" t="str">
        <f>IF('Resample Data Summary'!C199="PASS",IF('Data - Sample Type 1'!AS153=0,40,'Data - Sample Type 1'!AS153),"")</f>
        <v/>
      </c>
      <c r="L72" s="163" t="str">
        <f>IF('Resample Data Summary'!C199="PASS",IF('Data - Sample Type 1'!BG153=0,40,'Data - Sample Type 1'!BG153),"")</f>
        <v/>
      </c>
      <c r="M72" s="255" t="str">
        <f>IF('Resample Data Summary'!C199="PASS",IF('Data - Sample Type 1'!CI153=0,40,'Data - Sample Type 1'!CI153),"")</f>
        <v/>
      </c>
      <c r="N72" s="261" t="str">
        <f>IF('Resample Data Summary'!C199="PASS",'Data - Sample Type 1'!DK153,"")</f>
        <v/>
      </c>
      <c r="O72" s="377"/>
      <c r="P72" s="78" t="str">
        <f>IF('Resample Data Summary'!C199="PASS",'Data - Sample Type 1'!EY153,"")</f>
        <v/>
      </c>
      <c r="Q72" s="377"/>
      <c r="R72" s="78" t="str">
        <f>IF('Resample Data Summary'!C199="PASS",'Data - Sample Type 1'!FO153,"")</f>
        <v/>
      </c>
      <c r="S72" s="374"/>
      <c r="V72" s="67"/>
      <c r="AC72" s="438"/>
      <c r="AE72" s="438"/>
      <c r="AG72" s="438"/>
      <c r="AI72" s="438"/>
    </row>
    <row r="73" spans="2:35" x14ac:dyDescent="0.15">
      <c r="B73" s="390">
        <v>8</v>
      </c>
      <c r="C73" s="167" t="str">
        <f>IF('Resample Data Summary'!C95="PASS",IF('Data - Sample Type 0'!AE174=0,40,'Data - Sample Type 0'!AE174),"")</f>
        <v/>
      </c>
      <c r="D73" s="389" t="e">
        <f>ROUND(AVERAGE(C73:C82),1)</f>
        <v>#DIV/0!</v>
      </c>
      <c r="E73" s="167" t="str">
        <f>IF('Resample Data Summary'!C95="PASS",IF('Resample Data Summary'!A95="","",'Data - Sample Type 0'!Q174),"")</f>
        <v/>
      </c>
      <c r="F73" s="396" t="e">
        <f>ROUND(AVERAGE(E73:E82),1)</f>
        <v>#DIV/0!</v>
      </c>
      <c r="I73" s="385">
        <v>8</v>
      </c>
      <c r="J73" s="254" t="str">
        <f>IF('Resample Data Summary'!C200="PASS",IF('Data - Sample Type 1'!AE154=0,40,'Data - Sample Type 1'!AE154),"")</f>
        <v/>
      </c>
      <c r="K73" s="163" t="str">
        <f>IF('Resample Data Summary'!C200="PASS",IF('Data - Sample Type 1'!AS154=0,40,'Data - Sample Type 1'!AS154),"")</f>
        <v/>
      </c>
      <c r="L73" s="163" t="str">
        <f>IF('Resample Data Summary'!C200="PASS",IF('Data - Sample Type 1'!BG154=0,40,'Data - Sample Type 1'!BG154),"")</f>
        <v/>
      </c>
      <c r="M73" s="255" t="str">
        <f>IF('Resample Data Summary'!C200="PASS",IF('Data - Sample Type 1'!CI154=0,40,'Data - Sample Type 1'!CI154),"")</f>
        <v/>
      </c>
      <c r="N73" s="261" t="str">
        <f>IF('Resample Data Summary'!C200="PASS",'Data - Sample Type 1'!DK154,"")</f>
        <v/>
      </c>
      <c r="O73" s="377"/>
      <c r="P73" s="78" t="str">
        <f>IF('Resample Data Summary'!C200="PASS",'Data - Sample Type 1'!EY154,"")</f>
        <v/>
      </c>
      <c r="Q73" s="377"/>
      <c r="R73" s="78" t="str">
        <f>IF('Resample Data Summary'!C200="PASS",'Data - Sample Type 1'!FO154,"")</f>
        <v/>
      </c>
      <c r="S73" s="374"/>
    </row>
    <row r="74" spans="2:35" x14ac:dyDescent="0.15">
      <c r="B74" s="391"/>
      <c r="C74" s="163" t="str">
        <f>IF('Resample Data Summary'!C96="PASS",IF('Data - Sample Type 0'!AE175=0,40,'Data - Sample Type 0'!AE175),"")</f>
        <v/>
      </c>
      <c r="D74" s="387"/>
      <c r="E74" s="163" t="str">
        <f>IF('Resample Data Summary'!C96="PASS",IF('Resample Data Summary'!A96="","",'Data - Sample Type 0'!Q175),"")</f>
        <v/>
      </c>
      <c r="F74" s="394"/>
      <c r="I74" s="386"/>
      <c r="J74" s="256" t="str">
        <f>IF('Resample Data Summary'!C201="PASS",IF('Data - Sample Type 1'!AE155=0,40,'Data - Sample Type 1'!AE155),"")</f>
        <v/>
      </c>
      <c r="K74" s="168" t="str">
        <f>IF('Resample Data Summary'!C201="PASS",IF('Data - Sample Type 1'!AS155=0,40,'Data - Sample Type 1'!AS155),"")</f>
        <v/>
      </c>
      <c r="L74" s="168" t="str">
        <f>IF('Resample Data Summary'!C201="PASS",IF('Data - Sample Type 1'!BG155=0,40,'Data - Sample Type 1'!BG155),"")</f>
        <v/>
      </c>
      <c r="M74" s="257" t="str">
        <f>IF('Resample Data Summary'!C201="PASS",IF('Data - Sample Type 1'!CI155=0,40,'Data - Sample Type 1'!CI155),"")</f>
        <v/>
      </c>
      <c r="N74" s="262" t="str">
        <f>IF('Resample Data Summary'!C201="PASS",'Data - Sample Type 1'!DK155,"")</f>
        <v/>
      </c>
      <c r="O74" s="378"/>
      <c r="P74" s="228" t="str">
        <f>IF('Resample Data Summary'!C201="PASS",'Data - Sample Type 1'!EY155,"")</f>
        <v/>
      </c>
      <c r="Q74" s="378"/>
      <c r="R74" s="228" t="str">
        <f>IF('Resample Data Summary'!C201="PASS",'Data - Sample Type 1'!FO155,"")</f>
        <v/>
      </c>
      <c r="S74" s="376"/>
    </row>
    <row r="75" spans="2:35" x14ac:dyDescent="0.15">
      <c r="B75" s="391"/>
      <c r="C75" s="163" t="str">
        <f>IF('Resample Data Summary'!C97="PASS",IF('Data - Sample Type 0'!AE176=0,40,'Data - Sample Type 0'!AE176),"")</f>
        <v/>
      </c>
      <c r="D75" s="387"/>
      <c r="E75" s="163" t="str">
        <f>IF('Resample Data Summary'!C97="PASS",IF('Resample Data Summary'!A97="","",'Data - Sample Type 0'!Q176),"")</f>
        <v/>
      </c>
      <c r="F75" s="394"/>
      <c r="I75" s="435">
        <v>10</v>
      </c>
      <c r="J75" s="258" t="str">
        <f>IF('Resample Data Summary'!C202="PASS",IF('Data - Sample Type 1'!AE156=0,40,'Data - Sample Type 1'!AE156),"")</f>
        <v/>
      </c>
      <c r="K75" s="170" t="str">
        <f>IF('Resample Data Summary'!C202="PASS",IF('Data - Sample Type 1'!AS156=0,40,'Data - Sample Type 1'!AS156),"")</f>
        <v/>
      </c>
      <c r="L75" s="170" t="str">
        <f>IF('Resample Data Summary'!C202="PASS",IF('Data - Sample Type 1'!BG156=0,40,'Data - Sample Type 1'!BG156),"")</f>
        <v/>
      </c>
      <c r="M75" s="259" t="str">
        <f>IF('Resample Data Summary'!C202="PASS",IF('Data - Sample Type 1'!CI156=0,40,'Data - Sample Type 1'!CI156),"")</f>
        <v/>
      </c>
      <c r="N75" s="263" t="str">
        <f>IF('Resample Data Summary'!C202="PASS",'Data - Sample Type 1'!DK156,"")</f>
        <v/>
      </c>
      <c r="O75" s="379" t="e">
        <f>ROUND(AVERAGE(N75:N82),1)</f>
        <v>#DIV/0!</v>
      </c>
      <c r="P75" s="237" t="str">
        <f>IF('Resample Data Summary'!C202="PASS",'Data - Sample Type 1'!EY156,"")</f>
        <v/>
      </c>
      <c r="Q75" s="433" t="e">
        <f>ROUND(AVERAGE(P75:P82),1)</f>
        <v>#DIV/0!</v>
      </c>
      <c r="R75" s="237" t="str">
        <f>IF('Resample Data Summary'!C202="PASS",'Data - Sample Type 1'!FO156,"")</f>
        <v/>
      </c>
      <c r="S75" s="434" t="e">
        <f>ROUND(AVERAGE(R75:R82),1)</f>
        <v>#DIV/0!</v>
      </c>
    </row>
    <row r="76" spans="2:35" x14ac:dyDescent="0.15">
      <c r="B76" s="391"/>
      <c r="C76" s="163" t="str">
        <f>IF('Resample Data Summary'!C98="PASS",IF('Data - Sample Type 0'!AE177=0,40,'Data - Sample Type 0'!AE177),"")</f>
        <v/>
      </c>
      <c r="D76" s="387"/>
      <c r="E76" s="163" t="str">
        <f>IF('Resample Data Summary'!C98="PASS",IF('Resample Data Summary'!A98="","",'Data - Sample Type 0'!Q177),"")</f>
        <v/>
      </c>
      <c r="F76" s="394"/>
      <c r="I76" s="385"/>
      <c r="J76" s="254" t="str">
        <f>IF('Resample Data Summary'!C203="PASS",IF('Data - Sample Type 1'!AE157=0,40,'Data - Sample Type 1'!AE157),"")</f>
        <v/>
      </c>
      <c r="K76" s="163" t="str">
        <f>IF('Resample Data Summary'!C203="PASS",IF('Data - Sample Type 1'!AS157=0,40,'Data - Sample Type 1'!AS157),"")</f>
        <v/>
      </c>
      <c r="L76" s="163" t="str">
        <f>IF('Resample Data Summary'!C203="PASS",IF('Data - Sample Type 1'!BG157=0,40,'Data - Sample Type 1'!BG157),"")</f>
        <v/>
      </c>
      <c r="M76" s="255" t="str">
        <f>IF('Resample Data Summary'!C203="PASS",IF('Data - Sample Type 1'!CI157=0,40,'Data - Sample Type 1'!CI157),"")</f>
        <v/>
      </c>
      <c r="N76" s="261" t="str">
        <f>IF('Resample Data Summary'!C203="PASS",'Data - Sample Type 1'!DK157,"")</f>
        <v/>
      </c>
      <c r="O76" s="377"/>
      <c r="P76" s="78" t="str">
        <f>IF('Resample Data Summary'!C203="PASS",'Data - Sample Type 1'!EY157,"")</f>
        <v/>
      </c>
      <c r="Q76" s="377"/>
      <c r="R76" s="78" t="str">
        <f>IF('Resample Data Summary'!C203="PASS",'Data - Sample Type 1'!FO157,"")</f>
        <v/>
      </c>
      <c r="S76" s="374"/>
    </row>
    <row r="77" spans="2:35" x14ac:dyDescent="0.15">
      <c r="B77" s="391"/>
      <c r="C77" s="163" t="str">
        <f>IF('Resample Data Summary'!C99="PASS",IF('Data - Sample Type 0'!AE178=0,40,'Data - Sample Type 0'!AE178),"")</f>
        <v/>
      </c>
      <c r="D77" s="387"/>
      <c r="E77" s="163" t="str">
        <f>IF('Resample Data Summary'!C99="PASS",IF('Resample Data Summary'!A99="","",'Data - Sample Type 0'!Q178),"")</f>
        <v/>
      </c>
      <c r="F77" s="394"/>
      <c r="I77" s="385"/>
      <c r="J77" s="254" t="str">
        <f>IF('Resample Data Summary'!C204="PASS",IF('Data - Sample Type 1'!AE158=0,40,'Data - Sample Type 1'!AE158),"")</f>
        <v/>
      </c>
      <c r="K77" s="163" t="str">
        <f>IF('Resample Data Summary'!C204="PASS",IF('Data - Sample Type 1'!AS158=0,40,'Data - Sample Type 1'!AS158),"")</f>
        <v/>
      </c>
      <c r="L77" s="163" t="str">
        <f>IF('Resample Data Summary'!C204="PASS",IF('Data - Sample Type 1'!BG158=0,40,'Data - Sample Type 1'!BG158),"")</f>
        <v/>
      </c>
      <c r="M77" s="255" t="str">
        <f>IF('Resample Data Summary'!C204="PASS",IF('Data - Sample Type 1'!CI158=0,40,'Data - Sample Type 1'!CI158),"")</f>
        <v/>
      </c>
      <c r="N77" s="261" t="str">
        <f>IF('Resample Data Summary'!C204="PASS",'Data - Sample Type 1'!DK158,"")</f>
        <v/>
      </c>
      <c r="O77" s="377"/>
      <c r="P77" s="78" t="str">
        <f>IF('Resample Data Summary'!C204="PASS",'Data - Sample Type 1'!EY158,"")</f>
        <v/>
      </c>
      <c r="Q77" s="377"/>
      <c r="R77" s="78" t="str">
        <f>IF('Resample Data Summary'!C204="PASS",'Data - Sample Type 1'!FO158,"")</f>
        <v/>
      </c>
      <c r="S77" s="374"/>
    </row>
    <row r="78" spans="2:35" x14ac:dyDescent="0.15">
      <c r="B78" s="391"/>
      <c r="C78" s="163" t="str">
        <f>IF('Resample Data Summary'!C100="PASS",IF('Data - Sample Type 0'!AE179=0,40,'Data - Sample Type 0'!AE179),"")</f>
        <v/>
      </c>
      <c r="D78" s="387" t="e">
        <f>IF(D73&gt;=Specifications!$D$26,"PASS","FAIL")</f>
        <v>#DIV/0!</v>
      </c>
      <c r="E78" s="163" t="str">
        <f>IF('Resample Data Summary'!C100="PASS",IF('Resample Data Summary'!A100="","",'Data - Sample Type 0'!Q179),"")</f>
        <v/>
      </c>
      <c r="F78" s="394" t="e">
        <f>IF(F73&lt;=Specifications!$B$26,"PASS","FAIL")</f>
        <v>#DIV/0!</v>
      </c>
      <c r="I78" s="385"/>
      <c r="J78" s="254" t="str">
        <f>IF('Resample Data Summary'!C205="PASS",IF('Data - Sample Type 1'!AE159=0,40,'Data - Sample Type 1'!AE159),"")</f>
        <v/>
      </c>
      <c r="K78" s="163" t="str">
        <f>IF('Resample Data Summary'!C205="PASS",IF('Data - Sample Type 1'!AS159=0,40,'Data - Sample Type 1'!AS159),"")</f>
        <v/>
      </c>
      <c r="L78" s="163" t="str">
        <f>IF('Resample Data Summary'!C205="PASS",IF('Data - Sample Type 1'!BG159=0,40,'Data - Sample Type 1'!BG159),"")</f>
        <v/>
      </c>
      <c r="M78" s="255" t="str">
        <f>IF('Resample Data Summary'!C205="PASS",IF('Data - Sample Type 1'!CI159=0,40,'Data - Sample Type 1'!CI159),"")</f>
        <v/>
      </c>
      <c r="N78" s="261" t="str">
        <f>IF('Resample Data Summary'!C205="PASS",'Data - Sample Type 1'!DK159,"")</f>
        <v/>
      </c>
      <c r="O78" s="377"/>
      <c r="P78" s="78" t="str">
        <f>IF('Resample Data Summary'!C205="PASS",'Data - Sample Type 1'!EY159,"")</f>
        <v/>
      </c>
      <c r="Q78" s="377"/>
      <c r="R78" s="78" t="str">
        <f>IF('Resample Data Summary'!C205="PASS",'Data - Sample Type 1'!FO159,"")</f>
        <v/>
      </c>
      <c r="S78" s="374"/>
    </row>
    <row r="79" spans="2:35" x14ac:dyDescent="0.15">
      <c r="B79" s="391">
        <v>8</v>
      </c>
      <c r="C79" s="163" t="str">
        <f>IF('Resample Data Summary'!C101="PASS",IF('Data - Sample Type 0'!AE180=0,40,'Data - Sample Type 0'!AE180),"")</f>
        <v/>
      </c>
      <c r="D79" s="387"/>
      <c r="E79" s="163" t="str">
        <f>IF('Resample Data Summary'!C101="PASS",IF('Resample Data Summary'!A101="","",'Data - Sample Type 0'!Q180),"")</f>
        <v/>
      </c>
      <c r="F79" s="394"/>
      <c r="I79" s="385"/>
      <c r="J79" s="254" t="str">
        <f>IF('Resample Data Summary'!C206="PASS",IF('Data - Sample Type 1'!AE160=0,40,'Data - Sample Type 1'!AE160),"")</f>
        <v/>
      </c>
      <c r="K79" s="163" t="str">
        <f>IF('Resample Data Summary'!C206="PASS",IF('Data - Sample Type 1'!AS160=0,40,'Data - Sample Type 1'!AS160),"")</f>
        <v/>
      </c>
      <c r="L79" s="163" t="str">
        <f>IF('Resample Data Summary'!C206="PASS",IF('Data - Sample Type 1'!BG160=0,40,'Data - Sample Type 1'!BG160),"")</f>
        <v/>
      </c>
      <c r="M79" s="255" t="str">
        <f>IF('Resample Data Summary'!C206="PASS",IF('Data - Sample Type 1'!CI160=0,40,'Data - Sample Type 1'!CI160),"")</f>
        <v/>
      </c>
      <c r="N79" s="261" t="str">
        <f>IF('Resample Data Summary'!C206="PASS",'Data - Sample Type 1'!DK160,"")</f>
        <v/>
      </c>
      <c r="O79" s="377" t="str">
        <f>IF(COUNTIF(N77:N84,"&gt;0")=8-COUNTIF(N77:N84,""),"PASS","FAIL")</f>
        <v>PASS</v>
      </c>
      <c r="P79" s="78" t="str">
        <f>IF('Resample Data Summary'!C206="PASS",'Data - Sample Type 1'!EY160,"")</f>
        <v/>
      </c>
      <c r="Q79" s="377" t="str">
        <f>IF(COUNTIF(P75:P82,"&gt;0")=8-COUNTIF(P75:P82,""),"PASS","FAIL")</f>
        <v>PASS</v>
      </c>
      <c r="R79" s="78" t="str">
        <f>IF('Resample Data Summary'!C206="PASS",'Data - Sample Type 1'!FO160,"")</f>
        <v/>
      </c>
      <c r="S79" s="374" t="str">
        <f>IF(COUNTIF(R75:R82,"&gt;0")=8-COUNTIF(R75:R82,""),"PASS","FAIL")</f>
        <v>PASS</v>
      </c>
    </row>
    <row r="80" spans="2:35" x14ac:dyDescent="0.15">
      <c r="B80" s="391"/>
      <c r="C80" s="163" t="str">
        <f>IF('Resample Data Summary'!C102="PASS",IF('Data - Sample Type 0'!AE181=0,40,'Data - Sample Type 0'!AE181),"")</f>
        <v/>
      </c>
      <c r="D80" s="387"/>
      <c r="E80" s="163" t="str">
        <f>IF('Resample Data Summary'!C102="PASS",IF('Resample Data Summary'!A102="","",'Data - Sample Type 0'!Q181),"")</f>
        <v/>
      </c>
      <c r="F80" s="394"/>
      <c r="I80" s="385"/>
      <c r="J80" s="254" t="str">
        <f>IF('Resample Data Summary'!C207="PASS",IF('Data - Sample Type 1'!AE161=0,40,'Data - Sample Type 1'!AE161),"")</f>
        <v/>
      </c>
      <c r="K80" s="163" t="str">
        <f>IF('Resample Data Summary'!C207="PASS",IF('Data - Sample Type 1'!AS161=0,40,'Data - Sample Type 1'!AS161),"")</f>
        <v/>
      </c>
      <c r="L80" s="163" t="str">
        <f>IF('Resample Data Summary'!C207="PASS",IF('Data - Sample Type 1'!BG161=0,40,'Data - Sample Type 1'!BG161),"")</f>
        <v/>
      </c>
      <c r="M80" s="255" t="str">
        <f>IF('Resample Data Summary'!C207="PASS",IF('Data - Sample Type 1'!CI161=0,40,'Data - Sample Type 1'!CI161),"")</f>
        <v/>
      </c>
      <c r="N80" s="261" t="str">
        <f>IF('Resample Data Summary'!C207="PASS",'Data - Sample Type 1'!DK161,"")</f>
        <v/>
      </c>
      <c r="O80" s="377"/>
      <c r="P80" s="78" t="str">
        <f>IF('Resample Data Summary'!C207="PASS",'Data - Sample Type 1'!EY161,"")</f>
        <v/>
      </c>
      <c r="Q80" s="377"/>
      <c r="R80" s="78" t="str">
        <f>IF('Resample Data Summary'!C207="PASS",'Data - Sample Type 1'!FO161,"")</f>
        <v/>
      </c>
      <c r="S80" s="374"/>
    </row>
    <row r="81" spans="2:22" x14ac:dyDescent="0.15">
      <c r="B81" s="391"/>
      <c r="C81" s="163" t="str">
        <f>IF('Resample Data Summary'!C103="PASS",IF('Data - Sample Type 0'!AE182=0,40,'Data - Sample Type 0'!AE182),"")</f>
        <v/>
      </c>
      <c r="D81" s="387"/>
      <c r="E81" s="163" t="str">
        <f>IF('Resample Data Summary'!C103="PASS",IF('Resample Data Summary'!A103="","",'Data - Sample Type 0'!Q182),"")</f>
        <v/>
      </c>
      <c r="F81" s="394"/>
      <c r="I81" s="385"/>
      <c r="J81" s="254" t="str">
        <f>IF('Resample Data Summary'!C208="PASS",IF('Data - Sample Type 1'!AE162=0,40,'Data - Sample Type 1'!AE162),"")</f>
        <v/>
      </c>
      <c r="K81" s="163" t="str">
        <f>IF('Resample Data Summary'!C208="PASS",IF('Data - Sample Type 1'!AS162=0,40,'Data - Sample Type 1'!AS162),"")</f>
        <v/>
      </c>
      <c r="L81" s="163" t="str">
        <f>IF('Resample Data Summary'!C208="PASS",IF('Data - Sample Type 1'!BG162=0,40,'Data - Sample Type 1'!BG162),"")</f>
        <v/>
      </c>
      <c r="M81" s="255" t="str">
        <f>IF('Resample Data Summary'!C208="PASS",IF('Data - Sample Type 1'!CI162=0,40,'Data - Sample Type 1'!CI162),"")</f>
        <v/>
      </c>
      <c r="N81" s="261" t="str">
        <f>IF('Resample Data Summary'!C208="PASS",'Data - Sample Type 1'!DK162,"")</f>
        <v/>
      </c>
      <c r="O81" s="377"/>
      <c r="P81" s="78" t="str">
        <f>IF('Resample Data Summary'!C208="PASS",'Data - Sample Type 1'!EY162,"")</f>
        <v/>
      </c>
      <c r="Q81" s="377"/>
      <c r="R81" s="78" t="str">
        <f>IF('Resample Data Summary'!C208="PASS",'Data - Sample Type 1'!FO162,"")</f>
        <v/>
      </c>
      <c r="S81" s="374"/>
    </row>
    <row r="82" spans="2:22" x14ac:dyDescent="0.15">
      <c r="B82" s="392"/>
      <c r="C82" s="168" t="str">
        <f>IF('Resample Data Summary'!C104="PASS",IF('Data - Sample Type 0'!AE183=0,40,'Data - Sample Type 0'!AE183),"")</f>
        <v/>
      </c>
      <c r="D82" s="388"/>
      <c r="E82" s="168" t="str">
        <f>IF('Resample Data Summary'!C104="PASS",IF('Resample Data Summary'!A104="","",'Data - Sample Type 0'!Q183),"")</f>
        <v/>
      </c>
      <c r="F82" s="395"/>
      <c r="I82" s="386"/>
      <c r="J82" s="256" t="str">
        <f>IF('Resample Data Summary'!C209="PASS",IF('Data - Sample Type 1'!AE163=0,40,'Data - Sample Type 1'!AE163),"")</f>
        <v/>
      </c>
      <c r="K82" s="168" t="str">
        <f>IF('Resample Data Summary'!C209="PASS",IF('Data - Sample Type 1'!AS163=0,40,'Data - Sample Type 1'!AS163),"")</f>
        <v/>
      </c>
      <c r="L82" s="168" t="str">
        <f>IF('Resample Data Summary'!C209="PASS",IF('Data - Sample Type 1'!BG163=0,40,'Data - Sample Type 1'!BG163),"")</f>
        <v/>
      </c>
      <c r="M82" s="257" t="str">
        <f>IF('Resample Data Summary'!C209="PASS",IF('Data - Sample Type 1'!CI163=0,40,'Data - Sample Type 1'!CI163),"")</f>
        <v/>
      </c>
      <c r="N82" s="262" t="str">
        <f>IF('Resample Data Summary'!C209="PASS",'Data - Sample Type 1'!DK163,"")</f>
        <v/>
      </c>
      <c r="O82" s="378"/>
      <c r="P82" s="228" t="str">
        <f>IF('Resample Data Summary'!C209="PASS",'Data - Sample Type 1'!EY163,"")</f>
        <v/>
      </c>
      <c r="Q82" s="378"/>
      <c r="R82" s="228" t="str">
        <f>IF('Resample Data Summary'!C209="PASS",'Data - Sample Type 1'!FO163,"")</f>
        <v/>
      </c>
      <c r="S82" s="376"/>
    </row>
    <row r="83" spans="2:22" ht="56" x14ac:dyDescent="0.15">
      <c r="B83" s="390">
        <v>9</v>
      </c>
      <c r="C83" s="167" t="str">
        <f>IF('Resample Data Summary'!C105="PASS",IF('Data - Sample Type 0'!AE184=0,40,'Data - Sample Type 0'!AE184),"")</f>
        <v/>
      </c>
      <c r="D83" s="389" t="e">
        <f>ROUND(AVERAGE(C83:C92),1)</f>
        <v>#DIV/0!</v>
      </c>
      <c r="E83" s="167" t="str">
        <f>IF('Resample Data Summary'!C105="PASS",IF('Resample Data Summary'!A105="","",'Data - Sample Type 0'!Q184),"")</f>
        <v/>
      </c>
      <c r="F83" s="396" t="e">
        <f>ROUND(AVERAGE(E83:E92),1)</f>
        <v>#DIV/0!</v>
      </c>
      <c r="J83" s="245" t="s">
        <v>547</v>
      </c>
      <c r="K83" s="246" t="s">
        <v>564</v>
      </c>
      <c r="L83" s="246" t="s">
        <v>565</v>
      </c>
      <c r="M83" s="247" t="s">
        <v>567</v>
      </c>
    </row>
    <row r="84" spans="2:22" ht="23.25" customHeight="1" x14ac:dyDescent="0.15">
      <c r="B84" s="391"/>
      <c r="C84" s="163" t="str">
        <f>IF('Resample Data Summary'!C106="PASS",IF('Data - Sample Type 0'!AE185=0,40,'Data - Sample Type 0'!AE185),"")</f>
        <v/>
      </c>
      <c r="D84" s="387"/>
      <c r="E84" s="163" t="str">
        <f>IF('Resample Data Summary'!C106="PASS",IF('Resample Data Summary'!A106="","",'Data - Sample Type 0'!Q185),"")</f>
        <v/>
      </c>
      <c r="F84" s="394"/>
      <c r="J84" s="219" t="e">
        <f>ROUND(AVERAGE(J3:J82),1)</f>
        <v>#DIV/0!</v>
      </c>
      <c r="K84" s="78" t="e">
        <f t="shared" ref="K84:M84" si="0">ROUND(AVERAGE(K3:K82),1)</f>
        <v>#DIV/0!</v>
      </c>
      <c r="L84" s="78" t="e">
        <f t="shared" si="0"/>
        <v>#DIV/0!</v>
      </c>
      <c r="M84" s="231" t="e">
        <f t="shared" si="0"/>
        <v>#DIV/0!</v>
      </c>
    </row>
    <row r="85" spans="2:22" ht="43.5" customHeight="1" x14ac:dyDescent="0.15">
      <c r="B85" s="391"/>
      <c r="C85" s="163" t="str">
        <f>IF('Resample Data Summary'!C107="PASS",IF('Data - Sample Type 0'!AE186=0,40,'Data - Sample Type 0'!AE186),"")</f>
        <v/>
      </c>
      <c r="D85" s="387"/>
      <c r="E85" s="163" t="str">
        <f>IF('Resample Data Summary'!C107="PASS",IF('Resample Data Summary'!A107="","",'Data - Sample Type 0'!Q186),"")</f>
        <v/>
      </c>
      <c r="F85" s="394"/>
      <c r="J85" s="249" t="str">
        <f>IF(COUNTBLANK(J75:J82)&lt;=6,IF(J84&lt;=Specifications!$D$27,"PASS","FAIL"),"Not enough data")</f>
        <v>Not enough data</v>
      </c>
      <c r="K85" s="250" t="str">
        <f>IF(COUNTBLANK(K75:K82)&lt;=6,IF(K84&lt;=Specifications!$E$27,"PASS","FAIL"),"Not enough data")</f>
        <v>Not enough data</v>
      </c>
      <c r="L85" s="250" t="str">
        <f>IF(COUNTBLANK(L75:L82)&lt;=6,IF(L84&lt;=Specifications!$G$27,"PASS","FAIL"),"Not enough data")</f>
        <v>Not enough data</v>
      </c>
      <c r="M85" s="251" t="str">
        <f>IF(COUNTBLANK(M75:M82)&lt;=6,IF(M84&lt;=Specifications!$K$27,"PASS","FAIL"),"Not enough data")</f>
        <v>Not enough data</v>
      </c>
      <c r="V85" s="102"/>
    </row>
    <row r="86" spans="2:22" x14ac:dyDescent="0.15">
      <c r="B86" s="391">
        <v>9</v>
      </c>
      <c r="C86" s="163" t="str">
        <f>IF('Resample Data Summary'!C108="PASS",IF('Data - Sample Type 0'!AE187=0,40,'Data - Sample Type 0'!AE187),"")</f>
        <v/>
      </c>
      <c r="D86" s="387"/>
      <c r="E86" s="163" t="str">
        <f>IF('Resample Data Summary'!C108="PASS",IF('Resample Data Summary'!A108="","",'Data - Sample Type 0'!Q187),"")</f>
        <v/>
      </c>
      <c r="F86" s="394"/>
    </row>
    <row r="87" spans="2:22" x14ac:dyDescent="0.15">
      <c r="B87" s="391"/>
      <c r="C87" s="163" t="str">
        <f>IF('Resample Data Summary'!C109="PASS",IF('Data - Sample Type 0'!AE188=0,40,'Data - Sample Type 0'!AE188),"")</f>
        <v/>
      </c>
      <c r="D87" s="387"/>
      <c r="E87" s="163" t="str">
        <f>IF('Resample Data Summary'!C109="PASS",IF('Resample Data Summary'!A109="","",'Data - Sample Type 0'!Q188),"")</f>
        <v/>
      </c>
      <c r="F87" s="394"/>
    </row>
    <row r="88" spans="2:22" x14ac:dyDescent="0.15">
      <c r="B88" s="391"/>
      <c r="C88" s="163" t="str">
        <f>IF('Resample Data Summary'!C110="PASS",IF('Data - Sample Type 0'!AE189=0,40,'Data - Sample Type 0'!AE189),"")</f>
        <v/>
      </c>
      <c r="D88" s="387" t="e">
        <f>IF(D83&gt;=Specifications!$D$26,"PASS","FAIL")</f>
        <v>#DIV/0!</v>
      </c>
      <c r="E88" s="163" t="str">
        <f>IF('Resample Data Summary'!C110="PASS",IF('Resample Data Summary'!A110="","",'Data - Sample Type 0'!Q189),"")</f>
        <v/>
      </c>
      <c r="F88" s="394" t="e">
        <f>IF(F83&lt;=Specifications!$B$26,"PASS","FAIL")</f>
        <v>#DIV/0!</v>
      </c>
    </row>
    <row r="89" spans="2:22" x14ac:dyDescent="0.15">
      <c r="B89" s="391"/>
      <c r="C89" s="163" t="str">
        <f>IF('Resample Data Summary'!C111="PASS",IF('Data - Sample Type 0'!AE190=0,40,'Data - Sample Type 0'!AE190),"")</f>
        <v/>
      </c>
      <c r="D89" s="387"/>
      <c r="E89" s="163" t="str">
        <f>IF('Resample Data Summary'!C111="PASS",IF('Resample Data Summary'!A111="","",'Data - Sample Type 0'!Q190),"")</f>
        <v/>
      </c>
      <c r="F89" s="394"/>
    </row>
    <row r="90" spans="2:22" x14ac:dyDescent="0.15">
      <c r="B90" s="391"/>
      <c r="C90" s="163" t="str">
        <f>IF('Resample Data Summary'!C112="PASS",IF('Data - Sample Type 0'!AE191=0,40,'Data - Sample Type 0'!AE191),"")</f>
        <v/>
      </c>
      <c r="D90" s="387"/>
      <c r="E90" s="163" t="str">
        <f>IF('Resample Data Summary'!C112="PASS",IF('Resample Data Summary'!A112="","",'Data - Sample Type 0'!Q191),"")</f>
        <v/>
      </c>
      <c r="F90" s="394"/>
    </row>
    <row r="91" spans="2:22" x14ac:dyDescent="0.15">
      <c r="B91" s="391"/>
      <c r="C91" s="163" t="str">
        <f>IF('Resample Data Summary'!C113="PASS",IF('Data - Sample Type 0'!AE192=0,40,'Data - Sample Type 0'!AE192),"")</f>
        <v/>
      </c>
      <c r="D91" s="387"/>
      <c r="E91" s="163" t="str">
        <f>IF('Resample Data Summary'!C113="PASS",IF('Resample Data Summary'!A113="","",'Data - Sample Type 0'!Q192),"")</f>
        <v/>
      </c>
      <c r="F91" s="394"/>
    </row>
    <row r="92" spans="2:22" x14ac:dyDescent="0.15">
      <c r="B92" s="392"/>
      <c r="C92" s="168" t="str">
        <f>IF('Resample Data Summary'!C114="PASS",IF('Data - Sample Type 0'!AE193=0,40,'Data - Sample Type 0'!AE193),"")</f>
        <v/>
      </c>
      <c r="D92" s="388"/>
      <c r="E92" s="168" t="str">
        <f>IF('Resample Data Summary'!C114="PASS",IF('Resample Data Summary'!A114="","",'Data - Sample Type 0'!Q193),"")</f>
        <v/>
      </c>
      <c r="F92" s="395"/>
    </row>
    <row r="93" spans="2:22" x14ac:dyDescent="0.15">
      <c r="B93" s="393">
        <v>10</v>
      </c>
      <c r="C93" s="170" t="str">
        <f>IF('Resample Data Summary'!C115="PASS",IF('Data - Sample Type 0'!AE194=0,40,'Data - Sample Type 0'!AE194),"")</f>
        <v/>
      </c>
      <c r="D93" s="389" t="e">
        <f>ROUND(AVERAGE(C93:C102),1)</f>
        <v>#DIV/0!</v>
      </c>
      <c r="E93" s="170" t="str">
        <f>IF('Resample Data Summary'!C115="PASS",IF('Resample Data Summary'!A115="","",'Data - Sample Type 0'!Q194),"")</f>
        <v/>
      </c>
      <c r="F93" s="397" t="e">
        <f>ROUND(AVERAGE(E93:E102),1)</f>
        <v>#DIV/0!</v>
      </c>
    </row>
    <row r="94" spans="2:22" x14ac:dyDescent="0.15">
      <c r="B94" s="391"/>
      <c r="C94" s="163" t="str">
        <f>IF('Resample Data Summary'!C116="PASS",IF('Data - Sample Type 0'!AE195=0,40,'Data - Sample Type 0'!AE195),"")</f>
        <v/>
      </c>
      <c r="D94" s="387"/>
      <c r="E94" s="163" t="str">
        <f>IF('Resample Data Summary'!C116="PASS",IF('Resample Data Summary'!A116="","",'Data - Sample Type 0'!Q195),"")</f>
        <v/>
      </c>
      <c r="F94" s="394"/>
    </row>
    <row r="95" spans="2:22" x14ac:dyDescent="0.15">
      <c r="B95" s="391"/>
      <c r="C95" s="163" t="str">
        <f>IF('Resample Data Summary'!C117="PASS",IF('Data - Sample Type 0'!AE196=0,40,'Data - Sample Type 0'!AE196),"")</f>
        <v/>
      </c>
      <c r="D95" s="387"/>
      <c r="E95" s="163" t="str">
        <f>IF('Resample Data Summary'!C117="PASS",IF('Resample Data Summary'!A117="","",'Data - Sample Type 0'!Q196),"")</f>
        <v/>
      </c>
      <c r="F95" s="394"/>
    </row>
    <row r="96" spans="2:22" x14ac:dyDescent="0.15">
      <c r="B96" s="391"/>
      <c r="C96" s="163" t="str">
        <f>IF('Resample Data Summary'!C118="PASS",IF('Data - Sample Type 0'!AE197=0,40,'Data - Sample Type 0'!AE197),"")</f>
        <v/>
      </c>
      <c r="D96" s="387"/>
      <c r="E96" s="163" t="str">
        <f>IF('Resample Data Summary'!C118="PASS",IF('Resample Data Summary'!A118="","",'Data - Sample Type 0'!Q197),"")</f>
        <v/>
      </c>
      <c r="F96" s="394"/>
    </row>
    <row r="97" spans="2:6" x14ac:dyDescent="0.15">
      <c r="B97" s="391">
        <v>10</v>
      </c>
      <c r="C97" s="163" t="str">
        <f>IF('Resample Data Summary'!C119="PASS",IF('Data - Sample Type 0'!AE198=0,40,'Data - Sample Type 0'!AE198),"")</f>
        <v/>
      </c>
      <c r="D97" s="387"/>
      <c r="E97" s="163" t="str">
        <f>IF('Resample Data Summary'!C119="PASS",IF('Resample Data Summary'!A119="","",'Data - Sample Type 0'!Q198),"")</f>
        <v/>
      </c>
      <c r="F97" s="394"/>
    </row>
    <row r="98" spans="2:6" x14ac:dyDescent="0.15">
      <c r="B98" s="391"/>
      <c r="C98" s="163" t="str">
        <f>IF('Resample Data Summary'!C120="PASS",IF('Data - Sample Type 0'!AE199=0,40,'Data - Sample Type 0'!AE199),"")</f>
        <v/>
      </c>
      <c r="D98" s="387" t="e">
        <f>IF(D93&gt;=Specifications!$D$26,"PASS","FAIL")</f>
        <v>#DIV/0!</v>
      </c>
      <c r="E98" s="163" t="str">
        <f>IF('Resample Data Summary'!C120="PASS",IF('Resample Data Summary'!A120="","",'Data - Sample Type 0'!Q199),"")</f>
        <v/>
      </c>
      <c r="F98" s="394" t="e">
        <f>IF(F93&lt;=Specifications!$B$26,"PASS","FAIL")</f>
        <v>#DIV/0!</v>
      </c>
    </row>
    <row r="99" spans="2:6" x14ac:dyDescent="0.15">
      <c r="B99" s="391"/>
      <c r="C99" s="163" t="str">
        <f>IF('Resample Data Summary'!C121="PASS",IF('Data - Sample Type 0'!AE200=0,40,'Data - Sample Type 0'!AE200),"")</f>
        <v/>
      </c>
      <c r="D99" s="387"/>
      <c r="E99" s="163" t="str">
        <f>IF('Resample Data Summary'!C121="PASS",IF('Resample Data Summary'!A121="","",'Data - Sample Type 0'!Q200),"")</f>
        <v/>
      </c>
      <c r="F99" s="394"/>
    </row>
    <row r="100" spans="2:6" x14ac:dyDescent="0.15">
      <c r="B100" s="391"/>
      <c r="C100" s="163" t="str">
        <f>IF('Resample Data Summary'!C122="PASS",IF('Data - Sample Type 0'!AE201=0,40,'Data - Sample Type 0'!AE201),"")</f>
        <v/>
      </c>
      <c r="D100" s="387"/>
      <c r="E100" s="163" t="str">
        <f>IF('Resample Data Summary'!C122="PASS",IF('Resample Data Summary'!A122="","",'Data - Sample Type 0'!Q201),"")</f>
        <v/>
      </c>
      <c r="F100" s="394"/>
    </row>
    <row r="101" spans="2:6" x14ac:dyDescent="0.15">
      <c r="B101" s="391"/>
      <c r="C101" s="163" t="str">
        <f>IF('Resample Data Summary'!C123="PASS",IF('Data - Sample Type 0'!AE202=0,40,'Data - Sample Type 0'!AE202),"")</f>
        <v/>
      </c>
      <c r="D101" s="387"/>
      <c r="E101" s="163" t="str">
        <f>IF('Resample Data Summary'!C123="PASS",IF('Resample Data Summary'!A123="","",'Data - Sample Type 0'!Q202),"")</f>
        <v/>
      </c>
      <c r="F101" s="394"/>
    </row>
    <row r="102" spans="2:6" x14ac:dyDescent="0.15">
      <c r="B102" s="392"/>
      <c r="C102" s="168" t="str">
        <f>IF('Resample Data Summary'!C124="PASS",IF('Data - Sample Type 0'!AE203=0,40,'Data - Sample Type 0'!AE203),"")</f>
        <v/>
      </c>
      <c r="D102" s="388"/>
      <c r="E102" s="168" t="str">
        <f>IF('Resample Data Summary'!C124="PASS",IF('Resample Data Summary'!A124="","",'Data - Sample Type 0'!Q203),"")</f>
        <v/>
      </c>
      <c r="F102" s="395"/>
    </row>
  </sheetData>
  <mergeCells count="194">
    <mergeCell ref="AI31:AI34"/>
    <mergeCell ref="AG35:AG37"/>
    <mergeCell ref="AG38:AG41"/>
    <mergeCell ref="AG28:AG30"/>
    <mergeCell ref="AG31:AG34"/>
    <mergeCell ref="AI52:AI55"/>
    <mergeCell ref="AI56:AI58"/>
    <mergeCell ref="AG45:AG48"/>
    <mergeCell ref="AG49:AG51"/>
    <mergeCell ref="AI35:AI37"/>
    <mergeCell ref="AI38:AI41"/>
    <mergeCell ref="AI42:AI44"/>
    <mergeCell ref="AI70:AI72"/>
    <mergeCell ref="AC59:AC62"/>
    <mergeCell ref="AC56:AC58"/>
    <mergeCell ref="AE66:AE69"/>
    <mergeCell ref="AE70:AE72"/>
    <mergeCell ref="AC63:AC65"/>
    <mergeCell ref="AC66:AC69"/>
    <mergeCell ref="AC70:AC72"/>
    <mergeCell ref="AE56:AE58"/>
    <mergeCell ref="AE59:AE62"/>
    <mergeCell ref="AG70:AG72"/>
    <mergeCell ref="AI66:AI69"/>
    <mergeCell ref="AG59:AG62"/>
    <mergeCell ref="AG66:AG69"/>
    <mergeCell ref="AG63:AG65"/>
    <mergeCell ref="AG56:AG58"/>
    <mergeCell ref="S15:S18"/>
    <mergeCell ref="S19:S22"/>
    <mergeCell ref="AC45:AC48"/>
    <mergeCell ref="AI59:AI62"/>
    <mergeCell ref="AI63:AI65"/>
    <mergeCell ref="AI45:AI48"/>
    <mergeCell ref="AI49:AI51"/>
    <mergeCell ref="AG52:AG55"/>
    <mergeCell ref="AE63:AE65"/>
    <mergeCell ref="AC24:AC27"/>
    <mergeCell ref="AC28:AC30"/>
    <mergeCell ref="AC31:AC34"/>
    <mergeCell ref="AC38:AC41"/>
    <mergeCell ref="AC42:AC44"/>
    <mergeCell ref="AC35:AC37"/>
    <mergeCell ref="AE45:AE48"/>
    <mergeCell ref="AG24:AG27"/>
    <mergeCell ref="S51:S54"/>
    <mergeCell ref="S55:S58"/>
    <mergeCell ref="AI18:AI22"/>
    <mergeCell ref="AI13:AI17"/>
    <mergeCell ref="AG42:AG44"/>
    <mergeCell ref="AI24:AI27"/>
    <mergeCell ref="AI28:AI30"/>
    <mergeCell ref="D28:D32"/>
    <mergeCell ref="D33:D37"/>
    <mergeCell ref="F3:F7"/>
    <mergeCell ref="AC52:AC55"/>
    <mergeCell ref="V3:V12"/>
    <mergeCell ref="V13:V22"/>
    <mergeCell ref="O19:O22"/>
    <mergeCell ref="O3:O6"/>
    <mergeCell ref="O15:O18"/>
    <mergeCell ref="O23:O26"/>
    <mergeCell ref="D43:D47"/>
    <mergeCell ref="D48:D52"/>
    <mergeCell ref="O11:O14"/>
    <mergeCell ref="S3:S6"/>
    <mergeCell ref="S7:S10"/>
    <mergeCell ref="S11:S14"/>
    <mergeCell ref="D3:D7"/>
    <mergeCell ref="D8:D12"/>
    <mergeCell ref="D13:D17"/>
    <mergeCell ref="D18:D22"/>
    <mergeCell ref="D23:D27"/>
    <mergeCell ref="S39:S42"/>
    <mergeCell ref="S43:S46"/>
    <mergeCell ref="S47:S50"/>
    <mergeCell ref="F53:F57"/>
    <mergeCell ref="AE28:AE30"/>
    <mergeCell ref="AE31:AE34"/>
    <mergeCell ref="AE35:AE37"/>
    <mergeCell ref="AE24:AE27"/>
    <mergeCell ref="AE38:AE41"/>
    <mergeCell ref="AE42:AE44"/>
    <mergeCell ref="AE49:AE51"/>
    <mergeCell ref="AE52:AE55"/>
    <mergeCell ref="AC49:AC51"/>
    <mergeCell ref="S23:S26"/>
    <mergeCell ref="S27:S30"/>
    <mergeCell ref="S31:S34"/>
    <mergeCell ref="S35:S38"/>
    <mergeCell ref="I27:I34"/>
    <mergeCell ref="I35:I42"/>
    <mergeCell ref="O39:O42"/>
    <mergeCell ref="O43:O46"/>
    <mergeCell ref="O47:O50"/>
    <mergeCell ref="D53:D57"/>
    <mergeCell ref="D58:D62"/>
    <mergeCell ref="AI3:AI7"/>
    <mergeCell ref="AC18:AC22"/>
    <mergeCell ref="AG3:AG7"/>
    <mergeCell ref="AC8:AC12"/>
    <mergeCell ref="AE8:AE12"/>
    <mergeCell ref="AG13:AG17"/>
    <mergeCell ref="AG18:AG22"/>
    <mergeCell ref="AG8:AG12"/>
    <mergeCell ref="AC3:AC7"/>
    <mergeCell ref="AE3:AE7"/>
    <mergeCell ref="AC13:AC17"/>
    <mergeCell ref="AE13:AE17"/>
    <mergeCell ref="AE18:AE22"/>
    <mergeCell ref="AI8:AI12"/>
    <mergeCell ref="F28:F32"/>
    <mergeCell ref="F33:F37"/>
    <mergeCell ref="F38:F42"/>
    <mergeCell ref="F43:F47"/>
    <mergeCell ref="F48:F52"/>
    <mergeCell ref="I3:I10"/>
    <mergeCell ref="I11:I18"/>
    <mergeCell ref="I19:I26"/>
    <mergeCell ref="D98:D102"/>
    <mergeCell ref="D68:D72"/>
    <mergeCell ref="D63:D67"/>
    <mergeCell ref="F68:F72"/>
    <mergeCell ref="B3:B12"/>
    <mergeCell ref="B13:B22"/>
    <mergeCell ref="B23:B32"/>
    <mergeCell ref="B33:B42"/>
    <mergeCell ref="B43:B52"/>
    <mergeCell ref="B53:B62"/>
    <mergeCell ref="F58:F62"/>
    <mergeCell ref="D38:D42"/>
    <mergeCell ref="F8:F12"/>
    <mergeCell ref="F13:F17"/>
    <mergeCell ref="F18:F22"/>
    <mergeCell ref="F23:F27"/>
    <mergeCell ref="B83:B92"/>
    <mergeCell ref="B93:B102"/>
    <mergeCell ref="B63:B72"/>
    <mergeCell ref="B73:B82"/>
    <mergeCell ref="F98:F102"/>
    <mergeCell ref="D73:D77"/>
    <mergeCell ref="D78:D82"/>
    <mergeCell ref="D83:D87"/>
    <mergeCell ref="D88:D92"/>
    <mergeCell ref="D93:D97"/>
    <mergeCell ref="F73:F77"/>
    <mergeCell ref="F78:F82"/>
    <mergeCell ref="F83:F87"/>
    <mergeCell ref="F88:F92"/>
    <mergeCell ref="F93:F97"/>
    <mergeCell ref="F63:F67"/>
    <mergeCell ref="O75:O78"/>
    <mergeCell ref="I75:I82"/>
    <mergeCell ref="O79:O82"/>
    <mergeCell ref="O59:O62"/>
    <mergeCell ref="O63:O66"/>
    <mergeCell ref="Q15:Q18"/>
    <mergeCell ref="Q19:Q22"/>
    <mergeCell ref="I67:I74"/>
    <mergeCell ref="I59:I66"/>
    <mergeCell ref="I51:I58"/>
    <mergeCell ref="I43:I50"/>
    <mergeCell ref="O27:O30"/>
    <mergeCell ref="O31:O34"/>
    <mergeCell ref="O71:O74"/>
    <mergeCell ref="O67:O70"/>
    <mergeCell ref="Q71:Q74"/>
    <mergeCell ref="O7:O10"/>
    <mergeCell ref="O51:O54"/>
    <mergeCell ref="O55:O58"/>
    <mergeCell ref="O35:O38"/>
    <mergeCell ref="Q3:Q6"/>
    <mergeCell ref="Q7:Q10"/>
    <mergeCell ref="Q23:Q26"/>
    <mergeCell ref="Q27:Q30"/>
    <mergeCell ref="Q31:Q34"/>
    <mergeCell ref="Q35:Q38"/>
    <mergeCell ref="Q39:Q42"/>
    <mergeCell ref="Q43:Q46"/>
    <mergeCell ref="Q47:Q50"/>
    <mergeCell ref="Q51:Q54"/>
    <mergeCell ref="Q55:Q58"/>
    <mergeCell ref="Q11:Q14"/>
    <mergeCell ref="Q75:Q78"/>
    <mergeCell ref="Q79:Q82"/>
    <mergeCell ref="S67:S70"/>
    <mergeCell ref="Q59:Q62"/>
    <mergeCell ref="Q63:Q66"/>
    <mergeCell ref="Q67:Q70"/>
    <mergeCell ref="S71:S74"/>
    <mergeCell ref="S75:S78"/>
    <mergeCell ref="S79:S82"/>
    <mergeCell ref="S59:S62"/>
    <mergeCell ref="S63:S66"/>
  </mergeCells>
  <conditionalFormatting sqref="D8 F8">
    <cfRule type="cellIs" dxfId="179" priority="426" operator="equal">
      <formula>"fail"</formula>
    </cfRule>
    <cfRule type="cellIs" dxfId="178" priority="427" operator="equal">
      <formula>"pass"</formula>
    </cfRule>
  </conditionalFormatting>
  <conditionalFormatting sqref="D18">
    <cfRule type="cellIs" dxfId="177" priority="369" operator="equal">
      <formula>"pass"</formula>
    </cfRule>
    <cfRule type="cellIs" dxfId="176" priority="368" operator="equal">
      <formula>"fail"</formula>
    </cfRule>
  </conditionalFormatting>
  <conditionalFormatting sqref="D28">
    <cfRule type="cellIs" dxfId="175" priority="367" operator="equal">
      <formula>"pass"</formula>
    </cfRule>
    <cfRule type="cellIs" dxfId="174" priority="366" operator="equal">
      <formula>"fail"</formula>
    </cfRule>
  </conditionalFormatting>
  <conditionalFormatting sqref="D38">
    <cfRule type="cellIs" dxfId="173" priority="365" operator="equal">
      <formula>"pass"</formula>
    </cfRule>
    <cfRule type="cellIs" dxfId="172" priority="364" operator="equal">
      <formula>"fail"</formula>
    </cfRule>
  </conditionalFormatting>
  <conditionalFormatting sqref="D48">
    <cfRule type="cellIs" dxfId="171" priority="363" operator="equal">
      <formula>"pass"</formula>
    </cfRule>
    <cfRule type="cellIs" dxfId="170" priority="362" operator="equal">
      <formula>"fail"</formula>
    </cfRule>
  </conditionalFormatting>
  <conditionalFormatting sqref="D58">
    <cfRule type="cellIs" dxfId="169" priority="361" operator="equal">
      <formula>"pass"</formula>
    </cfRule>
    <cfRule type="cellIs" dxfId="168" priority="360" operator="equal">
      <formula>"fail"</formula>
    </cfRule>
  </conditionalFormatting>
  <conditionalFormatting sqref="D68">
    <cfRule type="cellIs" dxfId="167" priority="359" operator="equal">
      <formula>"pass"</formula>
    </cfRule>
    <cfRule type="cellIs" dxfId="166" priority="358" operator="equal">
      <formula>"fail"</formula>
    </cfRule>
  </conditionalFormatting>
  <conditionalFormatting sqref="D78">
    <cfRule type="cellIs" dxfId="165" priority="356" operator="equal">
      <formula>"fail"</formula>
    </cfRule>
    <cfRule type="cellIs" dxfId="164" priority="357" operator="equal">
      <formula>"pass"</formula>
    </cfRule>
  </conditionalFormatting>
  <conditionalFormatting sqref="D88">
    <cfRule type="cellIs" dxfId="163" priority="355" operator="equal">
      <formula>"pass"</formula>
    </cfRule>
    <cfRule type="cellIs" dxfId="162" priority="354" operator="equal">
      <formula>"fail"</formula>
    </cfRule>
  </conditionalFormatting>
  <conditionalFormatting sqref="D98">
    <cfRule type="cellIs" dxfId="161" priority="353" operator="equal">
      <formula>"pass"</formula>
    </cfRule>
    <cfRule type="cellIs" dxfId="160" priority="352" operator="equal">
      <formula>"fail"</formula>
    </cfRule>
  </conditionalFormatting>
  <conditionalFormatting sqref="F18">
    <cfRule type="cellIs" dxfId="159" priority="351" operator="equal">
      <formula>"pass"</formula>
    </cfRule>
    <cfRule type="cellIs" dxfId="158" priority="350" operator="equal">
      <formula>"fail"</formula>
    </cfRule>
  </conditionalFormatting>
  <conditionalFormatting sqref="F28">
    <cfRule type="cellIs" dxfId="157" priority="349" operator="equal">
      <formula>"pass"</formula>
    </cfRule>
    <cfRule type="cellIs" dxfId="156" priority="348" operator="equal">
      <formula>"fail"</formula>
    </cfRule>
  </conditionalFormatting>
  <conditionalFormatting sqref="F38">
    <cfRule type="cellIs" dxfId="155" priority="347" operator="equal">
      <formula>"pass"</formula>
    </cfRule>
    <cfRule type="cellIs" dxfId="154" priority="346" operator="equal">
      <formula>"fail"</formula>
    </cfRule>
  </conditionalFormatting>
  <conditionalFormatting sqref="F48">
    <cfRule type="cellIs" dxfId="153" priority="345" operator="equal">
      <formula>"pass"</formula>
    </cfRule>
    <cfRule type="cellIs" dxfId="152" priority="344" operator="equal">
      <formula>"fail"</formula>
    </cfRule>
  </conditionalFormatting>
  <conditionalFormatting sqref="F58">
    <cfRule type="cellIs" dxfId="151" priority="343" operator="equal">
      <formula>"pass"</formula>
    </cfRule>
    <cfRule type="cellIs" dxfId="150" priority="342" operator="equal">
      <formula>"fail"</formula>
    </cfRule>
  </conditionalFormatting>
  <conditionalFormatting sqref="F68">
    <cfRule type="cellIs" dxfId="149" priority="341" operator="equal">
      <formula>"pass"</formula>
    </cfRule>
    <cfRule type="cellIs" dxfId="148" priority="340" operator="equal">
      <formula>"fail"</formula>
    </cfRule>
  </conditionalFormatting>
  <conditionalFormatting sqref="F78">
    <cfRule type="cellIs" dxfId="147" priority="339" operator="equal">
      <formula>"pass"</formula>
    </cfRule>
    <cfRule type="cellIs" dxfId="146" priority="338" operator="equal">
      <formula>"fail"</formula>
    </cfRule>
  </conditionalFormatting>
  <conditionalFormatting sqref="F88">
    <cfRule type="cellIs" dxfId="145" priority="337" operator="equal">
      <formula>"pass"</formula>
    </cfRule>
    <cfRule type="cellIs" dxfId="144" priority="336" operator="equal">
      <formula>"fail"</formula>
    </cfRule>
  </conditionalFormatting>
  <conditionalFormatting sqref="F98">
    <cfRule type="cellIs" dxfId="143" priority="334" operator="equal">
      <formula>"fail"</formula>
    </cfRule>
    <cfRule type="cellIs" dxfId="142" priority="335" operator="equal">
      <formula>"pass"</formula>
    </cfRule>
  </conditionalFormatting>
  <conditionalFormatting sqref="J85:M85">
    <cfRule type="cellIs" dxfId="141" priority="2" operator="equal">
      <formula>"PASS"</formula>
    </cfRule>
    <cfRule type="cellIs" dxfId="140" priority="1" operator="equal">
      <formula>"FAIL"</formula>
    </cfRule>
  </conditionalFormatting>
  <conditionalFormatting sqref="O7">
    <cfRule type="cellIs" dxfId="139" priority="157" operator="equal">
      <formula>"pass"</formula>
    </cfRule>
    <cfRule type="cellIs" dxfId="138" priority="156" operator="equal">
      <formula>"fail"</formula>
    </cfRule>
  </conditionalFormatting>
  <conditionalFormatting sqref="O15">
    <cfRule type="cellIs" dxfId="137" priority="155" operator="equal">
      <formula>"pass"</formula>
    </cfRule>
    <cfRule type="cellIs" dxfId="136" priority="154" operator="equal">
      <formula>"fail"</formula>
    </cfRule>
  </conditionalFormatting>
  <conditionalFormatting sqref="O23">
    <cfRule type="cellIs" dxfId="135" priority="153" operator="equal">
      <formula>"pass"</formula>
    </cfRule>
    <cfRule type="cellIs" dxfId="134" priority="152" operator="equal">
      <formula>"fail"</formula>
    </cfRule>
  </conditionalFormatting>
  <conditionalFormatting sqref="O31">
    <cfRule type="cellIs" dxfId="133" priority="151" operator="equal">
      <formula>"pass"</formula>
    </cfRule>
    <cfRule type="cellIs" dxfId="132" priority="150" operator="equal">
      <formula>"fail"</formula>
    </cfRule>
  </conditionalFormatting>
  <conditionalFormatting sqref="O39">
    <cfRule type="cellIs" dxfId="131" priority="149" operator="equal">
      <formula>"pass"</formula>
    </cfRule>
    <cfRule type="cellIs" dxfId="130" priority="148" operator="equal">
      <formula>"fail"</formula>
    </cfRule>
  </conditionalFormatting>
  <conditionalFormatting sqref="O47">
    <cfRule type="cellIs" dxfId="129" priority="146" operator="equal">
      <formula>"fail"</formula>
    </cfRule>
    <cfRule type="cellIs" dxfId="128" priority="147" operator="equal">
      <formula>"pass"</formula>
    </cfRule>
  </conditionalFormatting>
  <conditionalFormatting sqref="O55">
    <cfRule type="cellIs" dxfId="127" priority="145" operator="equal">
      <formula>"pass"</formula>
    </cfRule>
    <cfRule type="cellIs" dxfId="126" priority="144" operator="equal">
      <formula>"fail"</formula>
    </cfRule>
  </conditionalFormatting>
  <conditionalFormatting sqref="O63">
    <cfRule type="cellIs" dxfId="125" priority="142" operator="equal">
      <formula>"fail"</formula>
    </cfRule>
    <cfRule type="cellIs" dxfId="124" priority="143" operator="equal">
      <formula>"pass"</formula>
    </cfRule>
  </conditionalFormatting>
  <conditionalFormatting sqref="O71">
    <cfRule type="cellIs" dxfId="123" priority="140" operator="equal">
      <formula>"fail"</formula>
    </cfRule>
    <cfRule type="cellIs" dxfId="122" priority="141" operator="equal">
      <formula>"pass"</formula>
    </cfRule>
  </conditionalFormatting>
  <conditionalFormatting sqref="O79">
    <cfRule type="cellIs" dxfId="121" priority="138" operator="equal">
      <formula>"fail"</formula>
    </cfRule>
    <cfRule type="cellIs" dxfId="120" priority="139" operator="equal">
      <formula>"pass"</formula>
    </cfRule>
  </conditionalFormatting>
  <conditionalFormatting sqref="Q7">
    <cfRule type="cellIs" dxfId="119" priority="324" operator="equal">
      <formula>"fail"</formula>
    </cfRule>
    <cfRule type="cellIs" dxfId="118" priority="325" operator="equal">
      <formula>"pass"</formula>
    </cfRule>
  </conditionalFormatting>
  <conditionalFormatting sqref="Q15">
    <cfRule type="cellIs" dxfId="117" priority="109" operator="equal">
      <formula>"pass"</formula>
    </cfRule>
    <cfRule type="cellIs" dxfId="116" priority="108" operator="equal">
      <formula>"fail"</formula>
    </cfRule>
  </conditionalFormatting>
  <conditionalFormatting sqref="Q23">
    <cfRule type="cellIs" dxfId="115" priority="107" operator="equal">
      <formula>"pass"</formula>
    </cfRule>
    <cfRule type="cellIs" dxfId="114" priority="106" operator="equal">
      <formula>"fail"</formula>
    </cfRule>
  </conditionalFormatting>
  <conditionalFormatting sqref="Q31">
    <cfRule type="cellIs" dxfId="113" priority="105" operator="equal">
      <formula>"pass"</formula>
    </cfRule>
    <cfRule type="cellIs" dxfId="112" priority="104" operator="equal">
      <formula>"fail"</formula>
    </cfRule>
  </conditionalFormatting>
  <conditionalFormatting sqref="Q39">
    <cfRule type="cellIs" dxfId="111" priority="103" operator="equal">
      <formula>"pass"</formula>
    </cfRule>
    <cfRule type="cellIs" dxfId="110" priority="102" operator="equal">
      <formula>"fail"</formula>
    </cfRule>
  </conditionalFormatting>
  <conditionalFormatting sqref="Q47">
    <cfRule type="cellIs" dxfId="109" priority="101" operator="equal">
      <formula>"pass"</formula>
    </cfRule>
    <cfRule type="cellIs" dxfId="108" priority="100" operator="equal">
      <formula>"fail"</formula>
    </cfRule>
  </conditionalFormatting>
  <conditionalFormatting sqref="Q55">
    <cfRule type="cellIs" dxfId="107" priority="99" operator="equal">
      <formula>"pass"</formula>
    </cfRule>
    <cfRule type="cellIs" dxfId="106" priority="98" operator="equal">
      <formula>"fail"</formula>
    </cfRule>
  </conditionalFormatting>
  <conditionalFormatting sqref="Q63">
    <cfRule type="cellIs" dxfId="105" priority="97" operator="equal">
      <formula>"pass"</formula>
    </cfRule>
    <cfRule type="cellIs" dxfId="104" priority="96" operator="equal">
      <formula>"fail"</formula>
    </cfRule>
  </conditionalFormatting>
  <conditionalFormatting sqref="Q71">
    <cfRule type="cellIs" dxfId="103" priority="95" operator="equal">
      <formula>"pass"</formula>
    </cfRule>
    <cfRule type="cellIs" dxfId="102" priority="94" operator="equal">
      <formula>"fail"</formula>
    </cfRule>
  </conditionalFormatting>
  <conditionalFormatting sqref="Q79">
    <cfRule type="cellIs" dxfId="101" priority="92" operator="equal">
      <formula>"fail"</formula>
    </cfRule>
    <cfRule type="cellIs" dxfId="100" priority="93" operator="equal">
      <formula>"pass"</formula>
    </cfRule>
  </conditionalFormatting>
  <conditionalFormatting sqref="S7">
    <cfRule type="cellIs" dxfId="99" priority="320" operator="equal">
      <formula>"fail"</formula>
    </cfRule>
    <cfRule type="cellIs" dxfId="98" priority="321" operator="equal">
      <formula>"pass"</formula>
    </cfRule>
  </conditionalFormatting>
  <conditionalFormatting sqref="S15">
    <cfRule type="cellIs" dxfId="97" priority="73" operator="equal">
      <formula>"pass"</formula>
    </cfRule>
    <cfRule type="cellIs" dxfId="96" priority="72" operator="equal">
      <formula>"fail"</formula>
    </cfRule>
  </conditionalFormatting>
  <conditionalFormatting sqref="S23">
    <cfRule type="cellIs" dxfId="95" priority="71" operator="equal">
      <formula>"pass"</formula>
    </cfRule>
    <cfRule type="cellIs" dxfId="94" priority="70" operator="equal">
      <formula>"fail"</formula>
    </cfRule>
  </conditionalFormatting>
  <conditionalFormatting sqref="S31">
    <cfRule type="cellIs" dxfId="93" priority="68" operator="equal">
      <formula>"fail"</formula>
    </cfRule>
    <cfRule type="cellIs" dxfId="92" priority="69" operator="equal">
      <formula>"pass"</formula>
    </cfRule>
  </conditionalFormatting>
  <conditionalFormatting sqref="S39">
    <cfRule type="cellIs" dxfId="91" priority="66" operator="equal">
      <formula>"fail"</formula>
    </cfRule>
    <cfRule type="cellIs" dxfId="90" priority="67" operator="equal">
      <formula>"pass"</formula>
    </cfRule>
  </conditionalFormatting>
  <conditionalFormatting sqref="S47">
    <cfRule type="cellIs" dxfId="89" priority="64" operator="equal">
      <formula>"fail"</formula>
    </cfRule>
    <cfRule type="cellIs" dxfId="88" priority="65" operator="equal">
      <formula>"pass"</formula>
    </cfRule>
  </conditionalFormatting>
  <conditionalFormatting sqref="S55">
    <cfRule type="cellIs" dxfId="87" priority="60" operator="equal">
      <formula>"fail"</formula>
    </cfRule>
    <cfRule type="cellIs" dxfId="86" priority="61" operator="equal">
      <formula>"pass"</formula>
    </cfRule>
  </conditionalFormatting>
  <conditionalFormatting sqref="S63">
    <cfRule type="cellIs" dxfId="85" priority="58" operator="equal">
      <formula>"fail"</formula>
    </cfRule>
    <cfRule type="cellIs" dxfId="84" priority="59" operator="equal">
      <formula>"pass"</formula>
    </cfRule>
  </conditionalFormatting>
  <conditionalFormatting sqref="S71">
    <cfRule type="cellIs" dxfId="83" priority="56" operator="equal">
      <formula>"fail"</formula>
    </cfRule>
    <cfRule type="cellIs" dxfId="82" priority="57" operator="equal">
      <formula>"pass"</formula>
    </cfRule>
  </conditionalFormatting>
  <conditionalFormatting sqref="S79">
    <cfRule type="cellIs" dxfId="81" priority="55" operator="equal">
      <formula>"pass"</formula>
    </cfRule>
    <cfRule type="cellIs" dxfId="80" priority="54" operator="equal">
      <formula>"fail"</formula>
    </cfRule>
  </conditionalFormatting>
  <conditionalFormatting sqref="W25:AA25">
    <cfRule type="cellIs" dxfId="79" priority="5" operator="equal">
      <formula>"FAIL"</formula>
    </cfRule>
    <cfRule type="cellIs" dxfId="78" priority="6" operator="equal">
      <formula>"PASS"</formula>
    </cfRule>
  </conditionalFormatting>
  <conditionalFormatting sqref="AC8 AE8 AG8 AI8">
    <cfRule type="cellIs" dxfId="77" priority="53" operator="equal">
      <formula>"Fail"</formula>
    </cfRule>
  </conditionalFormatting>
  <conditionalFormatting sqref="AC8">
    <cfRule type="cellIs" dxfId="76" priority="218" operator="equal">
      <formula>"fail"</formula>
    </cfRule>
    <cfRule type="cellIs" dxfId="75" priority="219" operator="equal">
      <formula>"pass"</formula>
    </cfRule>
  </conditionalFormatting>
  <conditionalFormatting sqref="AC18">
    <cfRule type="cellIs" dxfId="74" priority="48" operator="equal">
      <formula>"pass"</formula>
    </cfRule>
    <cfRule type="cellIs" dxfId="73" priority="47" operator="equal">
      <formula>"fail"</formula>
    </cfRule>
    <cfRule type="cellIs" dxfId="72" priority="46" operator="equal">
      <formula>"Fail"</formula>
    </cfRule>
  </conditionalFormatting>
  <conditionalFormatting sqref="AC28">
    <cfRule type="cellIs" dxfId="71" priority="425" operator="equal">
      <formula>"pass"</formula>
    </cfRule>
    <cfRule type="cellIs" dxfId="70" priority="424" operator="equal">
      <formula>"fail"</formula>
    </cfRule>
  </conditionalFormatting>
  <conditionalFormatting sqref="AC35">
    <cfRule type="cellIs" dxfId="69" priority="423" operator="equal">
      <formula>"pass"</formula>
    </cfRule>
    <cfRule type="cellIs" dxfId="68" priority="422" operator="equal">
      <formula>"fail"</formula>
    </cfRule>
  </conditionalFormatting>
  <conditionalFormatting sqref="AC42">
    <cfRule type="cellIs" dxfId="67" priority="420" operator="equal">
      <formula>"fail"</formula>
    </cfRule>
    <cfRule type="cellIs" dxfId="66" priority="421" operator="equal">
      <formula>"pass"</formula>
    </cfRule>
  </conditionalFormatting>
  <conditionalFormatting sqref="AC49">
    <cfRule type="cellIs" dxfId="65" priority="418" operator="equal">
      <formula>"fail"</formula>
    </cfRule>
    <cfRule type="cellIs" dxfId="64" priority="419" operator="equal">
      <formula>"pass"</formula>
    </cfRule>
  </conditionalFormatting>
  <conditionalFormatting sqref="AC56">
    <cfRule type="cellIs" dxfId="63" priority="416" operator="equal">
      <formula>"fail"</formula>
    </cfRule>
    <cfRule type="cellIs" dxfId="62" priority="417" operator="equal">
      <formula>"pass"</formula>
    </cfRule>
  </conditionalFormatting>
  <conditionalFormatting sqref="AC63">
    <cfRule type="cellIs" dxfId="61" priority="414" operator="equal">
      <formula>"fail"</formula>
    </cfRule>
    <cfRule type="cellIs" dxfId="60" priority="415" operator="equal">
      <formula>"pass"</formula>
    </cfRule>
  </conditionalFormatting>
  <conditionalFormatting sqref="AC70">
    <cfRule type="cellIs" dxfId="59" priority="413" operator="equal">
      <formula>"pass"</formula>
    </cfRule>
    <cfRule type="cellIs" dxfId="58" priority="412" operator="equal">
      <formula>"fail"</formula>
    </cfRule>
  </conditionalFormatting>
  <conditionalFormatting sqref="AE8">
    <cfRule type="cellIs" dxfId="57" priority="215" operator="equal">
      <formula>"fail"</formula>
    </cfRule>
    <cfRule type="cellIs" dxfId="56" priority="216" operator="equal">
      <formula>"pass"</formula>
    </cfRule>
  </conditionalFormatting>
  <conditionalFormatting sqref="AE18">
    <cfRule type="cellIs" dxfId="55" priority="33" operator="equal">
      <formula>"Fail"</formula>
    </cfRule>
    <cfRule type="cellIs" dxfId="54" priority="35" operator="equal">
      <formula>"pass"</formula>
    </cfRule>
    <cfRule type="cellIs" dxfId="53" priority="34" operator="equal">
      <formula>"fail"</formula>
    </cfRule>
  </conditionalFormatting>
  <conditionalFormatting sqref="AE28">
    <cfRule type="cellIs" dxfId="52" priority="382" operator="equal">
      <formula>"fail"</formula>
    </cfRule>
    <cfRule type="cellIs" dxfId="51" priority="383" operator="equal">
      <formula>"pass"</formula>
    </cfRule>
  </conditionalFormatting>
  <conditionalFormatting sqref="AE35">
    <cfRule type="cellIs" dxfId="50" priority="380" operator="equal">
      <formula>"fail"</formula>
    </cfRule>
    <cfRule type="cellIs" dxfId="49" priority="381" operator="equal">
      <formula>"pass"</formula>
    </cfRule>
  </conditionalFormatting>
  <conditionalFormatting sqref="AE42">
    <cfRule type="cellIs" dxfId="48" priority="378" operator="equal">
      <formula>"fail"</formula>
    </cfRule>
    <cfRule type="cellIs" dxfId="47" priority="379" operator="equal">
      <formula>"pass"</formula>
    </cfRule>
  </conditionalFormatting>
  <conditionalFormatting sqref="AE49">
    <cfRule type="cellIs" dxfId="46" priority="376" operator="equal">
      <formula>"fail"</formula>
    </cfRule>
    <cfRule type="cellIs" dxfId="45" priority="377" operator="equal">
      <formula>"pass"</formula>
    </cfRule>
  </conditionalFormatting>
  <conditionalFormatting sqref="AE56">
    <cfRule type="cellIs" dxfId="44" priority="374" operator="equal">
      <formula>"fail"</formula>
    </cfRule>
    <cfRule type="cellIs" dxfId="43" priority="375" operator="equal">
      <formula>"pass"</formula>
    </cfRule>
  </conditionalFormatting>
  <conditionalFormatting sqref="AE63">
    <cfRule type="cellIs" dxfId="42" priority="373" operator="equal">
      <formula>"pass"</formula>
    </cfRule>
    <cfRule type="cellIs" dxfId="41" priority="372" operator="equal">
      <formula>"fail"</formula>
    </cfRule>
  </conditionalFormatting>
  <conditionalFormatting sqref="AE70">
    <cfRule type="cellIs" dxfId="40" priority="371" operator="equal">
      <formula>"pass"</formula>
    </cfRule>
    <cfRule type="cellIs" dxfId="39" priority="370" operator="equal">
      <formula>"fail"</formula>
    </cfRule>
  </conditionalFormatting>
  <conditionalFormatting sqref="AG8">
    <cfRule type="cellIs" dxfId="38" priority="213" operator="equal">
      <formula>"pass"</formula>
    </cfRule>
    <cfRule type="cellIs" dxfId="37" priority="212" operator="equal">
      <formula>"fail"</formula>
    </cfRule>
  </conditionalFormatting>
  <conditionalFormatting sqref="AG18">
    <cfRule type="cellIs" dxfId="36" priority="38" operator="equal">
      <formula>"Fail"</formula>
    </cfRule>
    <cfRule type="cellIs" dxfId="35" priority="39" operator="equal">
      <formula>"fail"</formula>
    </cfRule>
    <cfRule type="cellIs" dxfId="34" priority="40" operator="equal">
      <formula>"pass"</formula>
    </cfRule>
  </conditionalFormatting>
  <conditionalFormatting sqref="AG28">
    <cfRule type="cellIs" dxfId="33" priority="398" operator="equal">
      <formula>"fail"</formula>
    </cfRule>
    <cfRule type="cellIs" dxfId="32" priority="399" operator="equal">
      <formula>"pass"</formula>
    </cfRule>
  </conditionalFormatting>
  <conditionalFormatting sqref="AG35">
    <cfRule type="cellIs" dxfId="31" priority="401" operator="equal">
      <formula>"pass"</formula>
    </cfRule>
    <cfRule type="cellIs" dxfId="30" priority="400" operator="equal">
      <formula>"fail"</formula>
    </cfRule>
  </conditionalFormatting>
  <conditionalFormatting sqref="AG42">
    <cfRule type="cellIs" dxfId="29" priority="402" operator="equal">
      <formula>"fail"</formula>
    </cfRule>
    <cfRule type="cellIs" dxfId="28" priority="403" operator="equal">
      <formula>"pass"</formula>
    </cfRule>
  </conditionalFormatting>
  <conditionalFormatting sqref="AG49">
    <cfRule type="cellIs" dxfId="27" priority="405" operator="equal">
      <formula>"pass"</formula>
    </cfRule>
    <cfRule type="cellIs" dxfId="26" priority="404" operator="equal">
      <formula>"fail"</formula>
    </cfRule>
  </conditionalFormatting>
  <conditionalFormatting sqref="AG56">
    <cfRule type="cellIs" dxfId="25" priority="406" operator="equal">
      <formula>"fail"</formula>
    </cfRule>
    <cfRule type="cellIs" dxfId="24" priority="407" operator="equal">
      <formula>"pass"</formula>
    </cfRule>
  </conditionalFormatting>
  <conditionalFormatting sqref="AG63">
    <cfRule type="cellIs" dxfId="23" priority="409" operator="equal">
      <formula>"pass"</formula>
    </cfRule>
    <cfRule type="cellIs" dxfId="22" priority="408" operator="equal">
      <formula>"fail"</formula>
    </cfRule>
  </conditionalFormatting>
  <conditionalFormatting sqref="AG70">
    <cfRule type="cellIs" dxfId="21" priority="410" operator="equal">
      <formula>"fail"</formula>
    </cfRule>
    <cfRule type="cellIs" dxfId="20" priority="411" operator="equal">
      <formula>"pass"</formula>
    </cfRule>
  </conditionalFormatting>
  <conditionalFormatting sqref="AI8">
    <cfRule type="cellIs" dxfId="19" priority="210" operator="equal">
      <formula>"pass"</formula>
    </cfRule>
    <cfRule type="cellIs" dxfId="18" priority="209" operator="equal">
      <formula>"fail"</formula>
    </cfRule>
  </conditionalFormatting>
  <conditionalFormatting sqref="AI18">
    <cfRule type="cellIs" dxfId="17" priority="43" operator="equal">
      <formula>"Fail"</formula>
    </cfRule>
    <cfRule type="cellIs" dxfId="16" priority="44" operator="equal">
      <formula>"fail"</formula>
    </cfRule>
    <cfRule type="cellIs" dxfId="15" priority="45" operator="equal">
      <formula>"pass"</formula>
    </cfRule>
  </conditionalFormatting>
  <conditionalFormatting sqref="AI28">
    <cfRule type="cellIs" dxfId="14" priority="397" operator="equal">
      <formula>"pass"</formula>
    </cfRule>
    <cfRule type="cellIs" dxfId="13" priority="396" operator="equal">
      <formula>"fail"</formula>
    </cfRule>
  </conditionalFormatting>
  <conditionalFormatting sqref="AI35">
    <cfRule type="cellIs" dxfId="12" priority="395" operator="equal">
      <formula>"pass"</formula>
    </cfRule>
    <cfRule type="cellIs" dxfId="11" priority="394" operator="equal">
      <formula>"fail"</formula>
    </cfRule>
  </conditionalFormatting>
  <conditionalFormatting sqref="AI42">
    <cfRule type="cellIs" dxfId="10" priority="393" operator="equal">
      <formula>"pass"</formula>
    </cfRule>
    <cfRule type="cellIs" dxfId="9" priority="392" operator="equal">
      <formula>"fail"</formula>
    </cfRule>
  </conditionalFormatting>
  <conditionalFormatting sqref="AI49">
    <cfRule type="cellIs" dxfId="8" priority="391" operator="equal">
      <formula>"pass"</formula>
    </cfRule>
    <cfRule type="cellIs" dxfId="7" priority="390" operator="equal">
      <formula>"fail"</formula>
    </cfRule>
  </conditionalFormatting>
  <conditionalFormatting sqref="AI56">
    <cfRule type="cellIs" dxfId="6" priority="389" operator="equal">
      <formula>"pass"</formula>
    </cfRule>
    <cfRule type="cellIs" dxfId="5" priority="388" operator="equal">
      <formula>"fail"</formula>
    </cfRule>
  </conditionalFormatting>
  <conditionalFormatting sqref="AI63">
    <cfRule type="cellIs" dxfId="4" priority="387" operator="equal">
      <formula>"pass"</formula>
    </cfRule>
    <cfRule type="cellIs" dxfId="3" priority="386" operator="equal">
      <formula>"fail"</formula>
    </cfRule>
  </conditionalFormatting>
  <conditionalFormatting sqref="AI70">
    <cfRule type="cellIs" dxfId="2" priority="385" operator="equal">
      <formula>"pass"</formula>
    </cfRule>
    <cfRule type="cellIs" dxfId="1" priority="384" operator="equal">
      <formula>"fail"</formula>
    </cfRule>
  </conditionalFormatting>
  <pageMargins left="0.51181102362204722" right="0.51181102362204722" top="0.98425196850393704" bottom="0.98425196850393704" header="0.23622047244094491" footer="0.23622047244094491"/>
  <pageSetup scale="27" fitToHeight="0"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F6"/>
  <sheetViews>
    <sheetView topLeftCell="A4" zoomScaleNormal="100" workbookViewId="0"/>
  </sheetViews>
  <sheetFormatPr baseColWidth="10" defaultColWidth="9.5" defaultRowHeight="13" x14ac:dyDescent="0.15"/>
  <cols>
    <col min="1" max="1" width="6.5" style="59" bestFit="1" customWidth="1"/>
    <col min="2" max="2" width="13.5" style="59" bestFit="1" customWidth="1"/>
    <col min="3" max="3" width="10.5" style="59" bestFit="1" customWidth="1"/>
    <col min="4" max="4" width="13.5" style="59" bestFit="1" customWidth="1"/>
    <col min="5" max="5" width="14.5" style="59" bestFit="1" customWidth="1"/>
    <col min="6" max="6" width="9.5" style="59" bestFit="1" customWidth="1"/>
    <col min="7" max="7" width="14.5" style="59" bestFit="1" customWidth="1"/>
    <col min="8" max="8" width="11.5" style="59" bestFit="1" customWidth="1"/>
    <col min="9" max="9" width="12.5" style="59" bestFit="1" customWidth="1"/>
    <col min="10" max="10" width="10.5" style="59" bestFit="1" customWidth="1"/>
    <col min="11" max="11" width="6.5" style="59" bestFit="1" customWidth="1"/>
    <col min="12" max="12" width="10.5" style="59" bestFit="1" customWidth="1"/>
    <col min="13" max="13" width="13.5" style="59" bestFit="1" customWidth="1"/>
    <col min="14" max="14" width="6.5" style="59" bestFit="1" customWidth="1"/>
    <col min="15" max="15" width="8.5" style="59" bestFit="1" customWidth="1"/>
    <col min="16" max="16" width="14.5" style="59" bestFit="1" customWidth="1"/>
    <col min="17" max="17" width="2.5" style="59" bestFit="1" customWidth="1"/>
    <col min="18" max="18" width="6.5" style="59" bestFit="1" customWidth="1"/>
    <col min="19" max="19" width="9.5" style="59" bestFit="1" customWidth="1"/>
    <col min="20" max="20" width="14.5" style="59" bestFit="1" customWidth="1"/>
    <col min="21" max="23" width="9.5" style="59" bestFit="1" customWidth="1"/>
    <col min="24" max="24" width="19" style="59" bestFit="1" customWidth="1"/>
    <col min="25" max="25" width="21.5" style="59" bestFit="1" customWidth="1"/>
    <col min="26" max="26" width="6.5" style="59" bestFit="1" customWidth="1"/>
    <col min="27" max="27" width="13.5" style="59" bestFit="1" customWidth="1"/>
    <col min="28" max="28" width="6.5" style="59" bestFit="1" customWidth="1"/>
    <col min="29" max="29" width="8.5" style="59" bestFit="1" customWidth="1"/>
    <col min="30" max="30" width="14.5" style="59" bestFit="1" customWidth="1"/>
    <col min="31" max="31" width="2.5" style="59" bestFit="1" customWidth="1"/>
    <col min="32" max="32" width="6.5" style="59" bestFit="1" customWidth="1"/>
    <col min="33" max="33" width="9.5" style="59" bestFit="1" customWidth="1"/>
    <col min="34" max="34" width="14.5" style="59" bestFit="1" customWidth="1"/>
    <col min="35" max="37" width="9.5" style="59" bestFit="1" customWidth="1"/>
    <col min="38" max="38" width="19" style="59" bestFit="1" customWidth="1"/>
    <col min="39" max="39" width="21.5" style="59" bestFit="1" customWidth="1"/>
    <col min="40" max="40" width="6.5" style="59" bestFit="1" customWidth="1"/>
    <col min="41" max="41" width="13.5" style="59" bestFit="1" customWidth="1"/>
    <col min="42" max="42" width="6.5" style="59" bestFit="1" customWidth="1"/>
    <col min="43" max="43" width="8.5" style="59" bestFit="1" customWidth="1"/>
    <col min="44" max="44" width="14.5" style="59" bestFit="1" customWidth="1"/>
    <col min="45" max="45" width="2.5" style="59" bestFit="1" customWidth="1"/>
    <col min="46" max="46" width="6.5" style="59" bestFit="1" customWidth="1"/>
    <col min="47" max="47" width="9.5" style="59" bestFit="1" customWidth="1"/>
    <col min="48" max="48" width="14.5" style="59" bestFit="1" customWidth="1"/>
    <col min="49" max="51" width="9.5" style="59" bestFit="1" customWidth="1"/>
    <col min="52" max="52" width="19" style="59" bestFit="1" customWidth="1"/>
    <col min="53" max="53" width="21.5" style="59" bestFit="1" customWidth="1"/>
    <col min="54" max="54" width="6.5" style="59" bestFit="1" customWidth="1"/>
    <col min="55" max="55" width="18.5" style="59" bestFit="1" customWidth="1"/>
    <col min="56" max="56" width="17.5" style="59" bestFit="1" customWidth="1"/>
    <col min="57" max="57" width="5.5" style="59" bestFit="1" customWidth="1"/>
    <col min="58" max="58" width="9.5" style="59" bestFit="1" customWidth="1"/>
    <col min="59" max="59" width="18.5" style="59" bestFit="1" customWidth="1"/>
    <col min="60" max="60" width="16.5" style="59" bestFit="1" customWidth="1"/>
    <col min="61" max="61" width="18.5" style="59" bestFit="1" customWidth="1"/>
    <col min="62" max="65" width="5" style="59" bestFit="1" customWidth="1"/>
    <col min="66" max="66" width="6.5" style="59" bestFit="1" customWidth="1"/>
    <col min="67" max="67" width="2" style="59" bestFit="1" customWidth="1"/>
    <col min="68" max="68" width="3" style="59" bestFit="1" customWidth="1"/>
    <col min="69" max="69" width="5" style="59" bestFit="1" customWidth="1"/>
    <col min="70" max="70" width="5.5" style="59" bestFit="1" customWidth="1"/>
    <col min="71" max="71" width="9.5" style="59" customWidth="1"/>
    <col min="72" max="16384" width="9.5" style="59"/>
  </cols>
  <sheetData>
    <row r="1" spans="1:188" x14ac:dyDescent="0.15">
      <c r="A1" s="59" t="s">
        <v>569</v>
      </c>
      <c r="B1" s="59" t="s">
        <v>570</v>
      </c>
      <c r="C1" s="59" t="s">
        <v>571</v>
      </c>
      <c r="D1" s="59" t="s">
        <v>572</v>
      </c>
      <c r="E1" s="59" t="s">
        <v>573</v>
      </c>
      <c r="F1" s="59" t="s">
        <v>574</v>
      </c>
      <c r="G1" s="59" t="s">
        <v>575</v>
      </c>
      <c r="H1" s="59" t="s">
        <v>576</v>
      </c>
      <c r="I1" s="59" t="s">
        <v>577</v>
      </c>
      <c r="J1" s="59" t="s">
        <v>578</v>
      </c>
      <c r="K1" s="59" t="s">
        <v>579</v>
      </c>
      <c r="L1" s="59" t="s">
        <v>580</v>
      </c>
      <c r="M1" s="59" t="s">
        <v>581</v>
      </c>
      <c r="N1" s="59" t="s">
        <v>582</v>
      </c>
      <c r="O1" s="59" t="s">
        <v>583</v>
      </c>
      <c r="P1" s="59" t="s">
        <v>584</v>
      </c>
      <c r="Q1" s="59" t="s">
        <v>585</v>
      </c>
      <c r="R1" s="59" t="s">
        <v>586</v>
      </c>
      <c r="S1" s="59" t="s">
        <v>587</v>
      </c>
      <c r="T1" s="59" t="s">
        <v>588</v>
      </c>
      <c r="U1" s="59" t="s">
        <v>589</v>
      </c>
      <c r="V1" s="59" t="s">
        <v>590</v>
      </c>
      <c r="W1" s="59" t="s">
        <v>591</v>
      </c>
      <c r="X1" s="59" t="s">
        <v>592</v>
      </c>
      <c r="Y1" s="59" t="s">
        <v>593</v>
      </c>
      <c r="Z1" s="59" t="s">
        <v>594</v>
      </c>
      <c r="AA1" s="59" t="s">
        <v>581</v>
      </c>
      <c r="AB1" s="59" t="s">
        <v>582</v>
      </c>
      <c r="AC1" s="59" t="s">
        <v>583</v>
      </c>
      <c r="AD1" s="59" t="s">
        <v>584</v>
      </c>
      <c r="AE1" s="59" t="s">
        <v>585</v>
      </c>
      <c r="AF1" s="59" t="s">
        <v>586</v>
      </c>
      <c r="AG1" s="59" t="s">
        <v>587</v>
      </c>
      <c r="AH1" s="59" t="s">
        <v>588</v>
      </c>
      <c r="AI1" s="59" t="s">
        <v>589</v>
      </c>
      <c r="AJ1" s="59" t="s">
        <v>590</v>
      </c>
      <c r="AK1" s="59" t="s">
        <v>591</v>
      </c>
      <c r="AL1" s="59" t="s">
        <v>592</v>
      </c>
      <c r="AM1" s="59" t="s">
        <v>593</v>
      </c>
      <c r="AN1" s="59" t="s">
        <v>594</v>
      </c>
      <c r="AO1" s="59" t="s">
        <v>581</v>
      </c>
      <c r="AP1" s="59" t="s">
        <v>582</v>
      </c>
      <c r="AQ1" s="59" t="s">
        <v>583</v>
      </c>
      <c r="AR1" s="59" t="s">
        <v>584</v>
      </c>
      <c r="AS1" s="59" t="s">
        <v>585</v>
      </c>
      <c r="AT1" s="59" t="s">
        <v>586</v>
      </c>
      <c r="AU1" s="59" t="s">
        <v>587</v>
      </c>
      <c r="AV1" s="59" t="s">
        <v>588</v>
      </c>
      <c r="AW1" s="59" t="s">
        <v>589</v>
      </c>
      <c r="AX1" s="59" t="s">
        <v>590</v>
      </c>
      <c r="AY1" s="59" t="s">
        <v>591</v>
      </c>
      <c r="AZ1" s="59" t="s">
        <v>592</v>
      </c>
      <c r="BA1" s="59" t="s">
        <v>593</v>
      </c>
      <c r="BB1" s="59" t="s">
        <v>594</v>
      </c>
      <c r="BC1" s="59" t="s">
        <v>581</v>
      </c>
      <c r="BD1" s="59" t="s">
        <v>582</v>
      </c>
      <c r="BE1" s="59" t="s">
        <v>583</v>
      </c>
      <c r="BF1" s="59" t="s">
        <v>584</v>
      </c>
      <c r="BG1" s="59" t="s">
        <v>585</v>
      </c>
      <c r="BH1" s="59" t="s">
        <v>586</v>
      </c>
      <c r="BI1" s="59" t="s">
        <v>587</v>
      </c>
      <c r="BJ1" s="59" t="s">
        <v>588</v>
      </c>
      <c r="BK1" s="59" t="s">
        <v>589</v>
      </c>
      <c r="BL1" s="59" t="s">
        <v>590</v>
      </c>
      <c r="BM1" s="59" t="s">
        <v>591</v>
      </c>
      <c r="BN1" s="59" t="s">
        <v>592</v>
      </c>
      <c r="BO1" s="59" t="s">
        <v>593</v>
      </c>
      <c r="BP1" s="59" t="s">
        <v>594</v>
      </c>
      <c r="BQ1" s="59" t="s">
        <v>581</v>
      </c>
      <c r="BR1" s="59" t="s">
        <v>582</v>
      </c>
      <c r="BS1" s="59" t="s">
        <v>583</v>
      </c>
      <c r="BT1" s="59" t="s">
        <v>584</v>
      </c>
      <c r="BU1" s="59" t="s">
        <v>585</v>
      </c>
      <c r="BV1" s="59" t="s">
        <v>586</v>
      </c>
      <c r="BW1" s="59" t="s">
        <v>587</v>
      </c>
      <c r="BX1" s="59" t="s">
        <v>588</v>
      </c>
      <c r="BY1" s="59" t="s">
        <v>589</v>
      </c>
      <c r="BZ1" s="59" t="s">
        <v>590</v>
      </c>
      <c r="CA1" s="59" t="s">
        <v>591</v>
      </c>
      <c r="CB1" s="59" t="s">
        <v>592</v>
      </c>
      <c r="CC1" s="59" t="s">
        <v>593</v>
      </c>
      <c r="CD1" s="59" t="s">
        <v>594</v>
      </c>
      <c r="CE1" s="59" t="s">
        <v>581</v>
      </c>
      <c r="CF1" s="59" t="s">
        <v>582</v>
      </c>
      <c r="CG1" s="59" t="s">
        <v>583</v>
      </c>
      <c r="CH1" s="59" t="s">
        <v>584</v>
      </c>
      <c r="CI1" s="59" t="s">
        <v>585</v>
      </c>
      <c r="CJ1" s="59" t="s">
        <v>586</v>
      </c>
      <c r="CK1" s="59" t="s">
        <v>587</v>
      </c>
      <c r="CL1" s="59" t="s">
        <v>588</v>
      </c>
      <c r="CM1" s="59" t="s">
        <v>589</v>
      </c>
      <c r="CN1" s="59" t="s">
        <v>590</v>
      </c>
      <c r="CO1" s="59" t="s">
        <v>591</v>
      </c>
      <c r="CP1" s="59" t="s">
        <v>592</v>
      </c>
      <c r="CQ1" s="59" t="s">
        <v>593</v>
      </c>
      <c r="CR1" s="59" t="s">
        <v>594</v>
      </c>
      <c r="CS1" s="59" t="s">
        <v>581</v>
      </c>
      <c r="CT1" s="59" t="s">
        <v>582</v>
      </c>
      <c r="CU1" s="59" t="s">
        <v>589</v>
      </c>
      <c r="CV1" s="59" t="s">
        <v>590</v>
      </c>
      <c r="CW1" s="59" t="s">
        <v>591</v>
      </c>
      <c r="CX1" s="59" t="s">
        <v>592</v>
      </c>
      <c r="CY1" s="59" t="s">
        <v>581</v>
      </c>
      <c r="CZ1" s="59" t="s">
        <v>582</v>
      </c>
      <c r="DA1" s="59" t="s">
        <v>589</v>
      </c>
      <c r="DB1" s="59" t="s">
        <v>590</v>
      </c>
      <c r="DC1" s="59" t="s">
        <v>591</v>
      </c>
      <c r="DD1" s="59" t="s">
        <v>592</v>
      </c>
      <c r="DE1" s="59" t="s">
        <v>581</v>
      </c>
      <c r="DF1" s="59" t="s">
        <v>582</v>
      </c>
      <c r="DG1" s="59" t="s">
        <v>589</v>
      </c>
      <c r="DH1" s="59" t="s">
        <v>590</v>
      </c>
      <c r="DI1" s="59" t="s">
        <v>591</v>
      </c>
      <c r="DJ1" s="59" t="s">
        <v>592</v>
      </c>
      <c r="DK1" s="59" t="s">
        <v>595</v>
      </c>
      <c r="DL1" s="59" t="s">
        <v>596</v>
      </c>
      <c r="DM1" s="59" t="s">
        <v>581</v>
      </c>
      <c r="DN1" s="59" t="s">
        <v>582</v>
      </c>
      <c r="DO1" s="59" t="s">
        <v>589</v>
      </c>
      <c r="DP1" s="59" t="s">
        <v>590</v>
      </c>
      <c r="DQ1" s="59" t="s">
        <v>591</v>
      </c>
      <c r="DR1" s="59" t="s">
        <v>592</v>
      </c>
      <c r="DS1" s="59" t="s">
        <v>595</v>
      </c>
      <c r="DT1" s="59" t="s">
        <v>596</v>
      </c>
      <c r="DU1" s="59" t="s">
        <v>581</v>
      </c>
      <c r="DV1" s="59" t="s">
        <v>582</v>
      </c>
      <c r="DW1" s="59" t="s">
        <v>589</v>
      </c>
      <c r="DX1" s="59" t="s">
        <v>590</v>
      </c>
      <c r="DY1" s="59" t="s">
        <v>591</v>
      </c>
      <c r="DZ1" s="59" t="s">
        <v>592</v>
      </c>
      <c r="EA1" s="59" t="s">
        <v>595</v>
      </c>
      <c r="EB1" s="59" t="s">
        <v>596</v>
      </c>
      <c r="EC1" s="59" t="s">
        <v>581</v>
      </c>
      <c r="ED1" s="59" t="s">
        <v>582</v>
      </c>
      <c r="EE1" s="59" t="s">
        <v>589</v>
      </c>
      <c r="EF1" s="59" t="s">
        <v>590</v>
      </c>
      <c r="EG1" s="59" t="s">
        <v>591</v>
      </c>
      <c r="EH1" s="59" t="s">
        <v>592</v>
      </c>
      <c r="EI1" s="59" t="s">
        <v>595</v>
      </c>
      <c r="EJ1" s="59" t="s">
        <v>596</v>
      </c>
      <c r="EK1" s="59" t="s">
        <v>581</v>
      </c>
      <c r="EL1" s="59" t="s">
        <v>582</v>
      </c>
      <c r="EM1" s="59" t="s">
        <v>589</v>
      </c>
      <c r="EN1" s="59" t="s">
        <v>590</v>
      </c>
      <c r="EO1" s="59" t="s">
        <v>591</v>
      </c>
      <c r="EP1" s="59" t="s">
        <v>592</v>
      </c>
      <c r="EQ1" s="59" t="s">
        <v>595</v>
      </c>
      <c r="ER1" s="59" t="s">
        <v>596</v>
      </c>
      <c r="ES1" s="59" t="s">
        <v>581</v>
      </c>
      <c r="ET1" s="59" t="s">
        <v>582</v>
      </c>
      <c r="EU1" s="59" t="s">
        <v>589</v>
      </c>
      <c r="EV1" s="59" t="s">
        <v>590</v>
      </c>
      <c r="EW1" s="59" t="s">
        <v>591</v>
      </c>
      <c r="EX1" s="59" t="s">
        <v>592</v>
      </c>
      <c r="EY1" s="59" t="s">
        <v>595</v>
      </c>
      <c r="EZ1" s="59" t="s">
        <v>596</v>
      </c>
      <c r="FA1" s="59" t="s">
        <v>581</v>
      </c>
      <c r="FB1" s="59" t="s">
        <v>582</v>
      </c>
      <c r="FC1" s="59" t="s">
        <v>589</v>
      </c>
      <c r="FD1" s="59" t="s">
        <v>590</v>
      </c>
      <c r="FE1" s="59" t="s">
        <v>591</v>
      </c>
      <c r="FF1" s="59" t="s">
        <v>592</v>
      </c>
      <c r="FG1" s="59" t="s">
        <v>595</v>
      </c>
      <c r="FH1" s="59" t="s">
        <v>596</v>
      </c>
      <c r="FI1" s="59" t="s">
        <v>581</v>
      </c>
      <c r="FJ1" s="59" t="s">
        <v>582</v>
      </c>
      <c r="FK1" s="59" t="s">
        <v>589</v>
      </c>
      <c r="FL1" s="59" t="s">
        <v>590</v>
      </c>
      <c r="FM1" s="59" t="s">
        <v>591</v>
      </c>
      <c r="FN1" s="59" t="s">
        <v>592</v>
      </c>
      <c r="FO1" s="59" t="s">
        <v>595</v>
      </c>
      <c r="FP1" s="59" t="s">
        <v>596</v>
      </c>
      <c r="FQ1" s="59" t="s">
        <v>581</v>
      </c>
      <c r="FR1" s="59" t="s">
        <v>582</v>
      </c>
      <c r="FS1" s="59" t="s">
        <v>589</v>
      </c>
      <c r="FT1" s="59" t="s">
        <v>590</v>
      </c>
      <c r="FU1" s="59" t="s">
        <v>591</v>
      </c>
      <c r="FV1" s="59" t="s">
        <v>592</v>
      </c>
      <c r="FW1" s="59" t="s">
        <v>595</v>
      </c>
      <c r="FX1" s="59" t="s">
        <v>596</v>
      </c>
      <c r="FY1" s="59" t="s">
        <v>597</v>
      </c>
      <c r="FZ1" s="59" t="s">
        <v>598</v>
      </c>
      <c r="GA1" s="59" t="s">
        <v>599</v>
      </c>
      <c r="GB1" s="59" t="s">
        <v>600</v>
      </c>
      <c r="GC1" s="59" t="s">
        <v>601</v>
      </c>
      <c r="GD1" s="59" t="s">
        <v>602</v>
      </c>
      <c r="GE1" s="59" t="s">
        <v>603</v>
      </c>
      <c r="GF1" s="59" t="s">
        <v>604</v>
      </c>
    </row>
    <row r="2" spans="1:188" x14ac:dyDescent="0.15">
      <c r="J2" s="60"/>
    </row>
    <row r="3" spans="1:188" x14ac:dyDescent="0.15">
      <c r="J3" s="60"/>
    </row>
    <row r="4" spans="1:188" x14ac:dyDescent="0.15">
      <c r="J4" s="60"/>
    </row>
    <row r="5" spans="1:188" x14ac:dyDescent="0.15">
      <c r="J5" s="60"/>
    </row>
    <row r="6" spans="1:188" x14ac:dyDescent="0.15">
      <c r="J6" s="60"/>
    </row>
  </sheetData>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28"/>
  <sheetViews>
    <sheetView zoomScaleNormal="100" zoomScaleSheetLayoutView="85" workbookViewId="0"/>
  </sheetViews>
  <sheetFormatPr baseColWidth="10" defaultColWidth="9.5" defaultRowHeight="13" x14ac:dyDescent="0.15"/>
  <cols>
    <col min="1" max="1" width="24.5" customWidth="1"/>
    <col min="2" max="2" width="22" customWidth="1"/>
    <col min="3" max="3" width="12.5" bestFit="1" customWidth="1"/>
    <col min="4" max="4" width="55.5" bestFit="1" customWidth="1"/>
    <col min="5" max="5" width="42.5" customWidth="1"/>
    <col min="6" max="6" width="45.5" customWidth="1"/>
    <col min="7" max="7" width="22.5" customWidth="1"/>
    <col min="8" max="8" width="24.5" bestFit="1" customWidth="1"/>
    <col min="9" max="9" width="16" style="102" bestFit="1" customWidth="1"/>
    <col min="10" max="10" width="18.5" bestFit="1" customWidth="1"/>
    <col min="11" max="11" width="24.5" bestFit="1" customWidth="1"/>
    <col min="12" max="12" width="16" bestFit="1" customWidth="1"/>
    <col min="13" max="13" width="13.5" bestFit="1" customWidth="1"/>
  </cols>
  <sheetData>
    <row r="1" spans="1:19" x14ac:dyDescent="0.15">
      <c r="A1" s="440" t="s">
        <v>615</v>
      </c>
      <c r="B1" s="441"/>
      <c r="C1" s="441"/>
      <c r="D1" s="118">
        <v>210</v>
      </c>
      <c r="E1" s="120" t="s">
        <v>629</v>
      </c>
      <c r="F1">
        <v>200</v>
      </c>
    </row>
    <row r="2" spans="1:19" x14ac:dyDescent="0.15">
      <c r="A2" s="442" t="s">
        <v>630</v>
      </c>
      <c r="B2" s="443"/>
      <c r="C2" s="443"/>
      <c r="D2" s="122">
        <v>1</v>
      </c>
      <c r="E2" s="123">
        <v>2</v>
      </c>
    </row>
    <row r="3" spans="1:19" s="35" customFormat="1" ht="12.75" customHeight="1" x14ac:dyDescent="0.15">
      <c r="A3" s="444" t="s">
        <v>631</v>
      </c>
      <c r="B3" s="445"/>
      <c r="C3" s="445"/>
      <c r="D3" s="119">
        <v>90</v>
      </c>
      <c r="E3" s="121"/>
      <c r="K3" s="113" t="s">
        <v>632</v>
      </c>
    </row>
    <row r="4" spans="1:19" ht="12.75" customHeight="1" x14ac:dyDescent="0.15">
      <c r="K4" s="184" t="s">
        <v>633</v>
      </c>
    </row>
    <row r="5" spans="1:19" ht="13.5" customHeight="1" x14ac:dyDescent="0.15">
      <c r="A5" s="113" t="s">
        <v>634</v>
      </c>
      <c r="B5" s="113" t="s">
        <v>635</v>
      </c>
      <c r="C5" s="35"/>
      <c r="D5" s="114" t="s">
        <v>636</v>
      </c>
      <c r="E5" s="116">
        <v>4</v>
      </c>
      <c r="F5" s="113"/>
      <c r="H5" s="35"/>
      <c r="I5" s="35"/>
      <c r="J5" s="35"/>
      <c r="K5" s="35"/>
      <c r="L5" s="35"/>
      <c r="M5" s="35"/>
      <c r="N5" s="35"/>
      <c r="O5" s="35"/>
      <c r="P5" s="35"/>
    </row>
    <row r="6" spans="1:19" ht="13.5" customHeight="1" x14ac:dyDescent="0.15">
      <c r="A6" s="162">
        <v>0</v>
      </c>
      <c r="B6" s="163">
        <v>100</v>
      </c>
      <c r="D6" s="114" t="s">
        <v>637</v>
      </c>
      <c r="E6" s="163">
        <v>10</v>
      </c>
      <c r="F6" s="184"/>
    </row>
    <row r="7" spans="1:19" x14ac:dyDescent="0.15">
      <c r="A7" s="162">
        <v>1</v>
      </c>
      <c r="B7" s="163">
        <v>80</v>
      </c>
    </row>
    <row r="8" spans="1:19" x14ac:dyDescent="0.15">
      <c r="A8" s="164" t="s">
        <v>561</v>
      </c>
      <c r="B8" s="163">
        <v>10</v>
      </c>
      <c r="C8" s="39"/>
    </row>
    <row r="9" spans="1:19" x14ac:dyDescent="0.15">
      <c r="A9" s="78">
        <v>2</v>
      </c>
      <c r="B9" s="163">
        <v>20</v>
      </c>
      <c r="D9" s="175" t="s">
        <v>638</v>
      </c>
      <c r="E9" s="175" t="s">
        <v>639</v>
      </c>
      <c r="F9" s="113" t="s">
        <v>640</v>
      </c>
    </row>
    <row r="10" spans="1:19" ht="126" x14ac:dyDescent="0.15">
      <c r="A10" s="113" t="s">
        <v>641</v>
      </c>
      <c r="B10" s="113" t="s">
        <v>642</v>
      </c>
      <c r="C10" s="114" t="s">
        <v>643</v>
      </c>
      <c r="D10" s="113" t="s">
        <v>533</v>
      </c>
      <c r="E10" s="113" t="s">
        <v>533</v>
      </c>
      <c r="F10" s="113" t="s">
        <v>533</v>
      </c>
      <c r="G10" s="114" t="s">
        <v>644</v>
      </c>
      <c r="H10" s="114" t="s">
        <v>645</v>
      </c>
      <c r="I10" s="114" t="s">
        <v>646</v>
      </c>
      <c r="J10" s="114" t="s">
        <v>647</v>
      </c>
      <c r="K10" s="114" t="s">
        <v>648</v>
      </c>
      <c r="L10" s="114" t="s">
        <v>649</v>
      </c>
      <c r="M10" s="114" t="s">
        <v>650</v>
      </c>
      <c r="N10" s="114" t="s">
        <v>651</v>
      </c>
      <c r="O10" s="114" t="s">
        <v>652</v>
      </c>
      <c r="P10" s="114" t="s">
        <v>644</v>
      </c>
      <c r="Q10" s="188" t="s">
        <v>646</v>
      </c>
      <c r="R10" s="114" t="s">
        <v>647</v>
      </c>
      <c r="S10" s="114" t="s">
        <v>648</v>
      </c>
    </row>
    <row r="11" spans="1:19" s="39" customFormat="1" x14ac:dyDescent="0.15">
      <c r="A11" s="115" t="s">
        <v>653</v>
      </c>
      <c r="B11" s="116" t="s">
        <v>654</v>
      </c>
      <c r="C11" s="116" t="s">
        <v>655</v>
      </c>
      <c r="D11" s="116" t="s">
        <v>656</v>
      </c>
      <c r="E11" s="116" t="s">
        <v>657</v>
      </c>
      <c r="F11" s="116" t="s">
        <v>658</v>
      </c>
      <c r="G11" s="116">
        <v>9</v>
      </c>
      <c r="H11" s="116">
        <v>9</v>
      </c>
      <c r="I11" s="116">
        <v>1</v>
      </c>
      <c r="J11" s="116">
        <v>1</v>
      </c>
      <c r="K11" s="116">
        <v>1</v>
      </c>
      <c r="L11" s="116">
        <v>3</v>
      </c>
      <c r="M11" s="116">
        <v>3</v>
      </c>
      <c r="N11" s="116">
        <v>3</v>
      </c>
      <c r="O11" s="117">
        <v>0</v>
      </c>
      <c r="P11" s="116">
        <v>10</v>
      </c>
      <c r="Q11" s="116">
        <v>5</v>
      </c>
      <c r="R11" s="116">
        <v>5</v>
      </c>
      <c r="S11" s="116">
        <v>5</v>
      </c>
    </row>
    <row r="12" spans="1:19" s="39" customFormat="1" x14ac:dyDescent="0.15">
      <c r="A12" s="115" t="s">
        <v>659</v>
      </c>
      <c r="B12" s="116" t="s">
        <v>654</v>
      </c>
      <c r="C12" s="116" t="s">
        <v>655</v>
      </c>
      <c r="D12" s="116" t="s">
        <v>656</v>
      </c>
      <c r="E12" s="116" t="s">
        <v>657</v>
      </c>
      <c r="F12" s="116" t="s">
        <v>658</v>
      </c>
      <c r="G12" s="116">
        <v>9</v>
      </c>
      <c r="H12" s="116">
        <v>9</v>
      </c>
      <c r="I12" s="116">
        <v>1</v>
      </c>
      <c r="J12" s="116">
        <v>1</v>
      </c>
      <c r="K12" s="116">
        <v>1</v>
      </c>
      <c r="L12" s="116">
        <v>3</v>
      </c>
      <c r="M12" s="116">
        <v>3</v>
      </c>
      <c r="N12" s="116">
        <v>3</v>
      </c>
      <c r="O12" s="117">
        <v>0</v>
      </c>
      <c r="P12" s="116">
        <v>10</v>
      </c>
      <c r="Q12" s="116">
        <v>5</v>
      </c>
      <c r="R12" s="116">
        <v>5</v>
      </c>
      <c r="S12" s="116">
        <v>5</v>
      </c>
    </row>
    <row r="13" spans="1:19" s="39" customFormat="1" x14ac:dyDescent="0.15">
      <c r="A13" s="115" t="s">
        <v>660</v>
      </c>
      <c r="B13" s="116" t="s">
        <v>654</v>
      </c>
      <c r="C13" s="116" t="s">
        <v>655</v>
      </c>
      <c r="D13" s="116" t="s">
        <v>656</v>
      </c>
      <c r="E13" s="116" t="s">
        <v>657</v>
      </c>
      <c r="F13" s="116" t="s">
        <v>658</v>
      </c>
      <c r="G13" s="116">
        <v>9</v>
      </c>
      <c r="H13" s="116">
        <v>9</v>
      </c>
      <c r="I13" s="116">
        <v>1</v>
      </c>
      <c r="J13" s="116">
        <v>1</v>
      </c>
      <c r="K13" s="116">
        <v>1</v>
      </c>
      <c r="L13" s="116">
        <v>3</v>
      </c>
      <c r="M13" s="116">
        <v>3</v>
      </c>
      <c r="N13" s="116">
        <v>3</v>
      </c>
      <c r="O13" s="117">
        <v>0</v>
      </c>
      <c r="P13" s="116">
        <v>10</v>
      </c>
      <c r="Q13" s="116">
        <v>5</v>
      </c>
      <c r="R13" s="116">
        <v>5</v>
      </c>
      <c r="S13" s="116">
        <v>5</v>
      </c>
    </row>
    <row r="14" spans="1:19" s="39" customFormat="1" x14ac:dyDescent="0.15">
      <c r="A14" s="115" t="s">
        <v>246</v>
      </c>
      <c r="B14" s="116" t="s">
        <v>654</v>
      </c>
      <c r="C14" s="116" t="s">
        <v>655</v>
      </c>
      <c r="D14" s="116" t="s">
        <v>656</v>
      </c>
      <c r="E14" s="116" t="s">
        <v>657</v>
      </c>
      <c r="F14" s="116" t="s">
        <v>658</v>
      </c>
      <c r="G14" s="116">
        <v>9</v>
      </c>
      <c r="H14" s="116">
        <v>9</v>
      </c>
      <c r="I14" s="116">
        <v>1</v>
      </c>
      <c r="J14" s="116">
        <v>1</v>
      </c>
      <c r="K14" s="116">
        <v>1</v>
      </c>
      <c r="L14" s="116">
        <v>3</v>
      </c>
      <c r="M14" s="116">
        <v>3</v>
      </c>
      <c r="N14" s="116">
        <v>3</v>
      </c>
      <c r="O14" s="117">
        <v>0</v>
      </c>
      <c r="P14" s="116">
        <v>10</v>
      </c>
      <c r="Q14" s="116">
        <v>5</v>
      </c>
      <c r="R14" s="116">
        <v>5</v>
      </c>
      <c r="S14" s="116">
        <v>5</v>
      </c>
    </row>
    <row r="15" spans="1:19" s="39" customFormat="1" x14ac:dyDescent="0.15">
      <c r="A15" s="115" t="s">
        <v>661</v>
      </c>
      <c r="B15" s="116" t="s">
        <v>654</v>
      </c>
      <c r="C15" s="116" t="s">
        <v>655</v>
      </c>
      <c r="D15" s="116" t="s">
        <v>656</v>
      </c>
      <c r="E15" s="116" t="s">
        <v>657</v>
      </c>
      <c r="F15" s="116" t="s">
        <v>658</v>
      </c>
      <c r="G15" s="116">
        <v>9</v>
      </c>
      <c r="H15" s="116">
        <v>9</v>
      </c>
      <c r="I15" s="116">
        <v>1</v>
      </c>
      <c r="J15" s="116">
        <v>1</v>
      </c>
      <c r="K15" s="116">
        <v>1</v>
      </c>
      <c r="L15" s="116">
        <v>3</v>
      </c>
      <c r="M15" s="116">
        <v>3</v>
      </c>
      <c r="N15" s="116">
        <v>3</v>
      </c>
      <c r="O15" s="117">
        <v>0</v>
      </c>
      <c r="P15" s="116">
        <v>10</v>
      </c>
      <c r="Q15" s="116">
        <v>5</v>
      </c>
      <c r="R15" s="116">
        <v>5</v>
      </c>
      <c r="S15" s="116">
        <v>5</v>
      </c>
    </row>
    <row r="16" spans="1:19" s="39" customFormat="1" x14ac:dyDescent="0.15">
      <c r="A16" s="115" t="s">
        <v>662</v>
      </c>
      <c r="B16" s="116" t="s">
        <v>654</v>
      </c>
      <c r="C16" s="116" t="s">
        <v>655</v>
      </c>
      <c r="D16" s="116" t="s">
        <v>656</v>
      </c>
      <c r="E16" s="116" t="s">
        <v>657</v>
      </c>
      <c r="F16" s="116" t="s">
        <v>658</v>
      </c>
      <c r="G16" s="116">
        <v>9</v>
      </c>
      <c r="H16" s="116">
        <v>9</v>
      </c>
      <c r="I16" s="116">
        <v>1</v>
      </c>
      <c r="J16" s="116">
        <v>1</v>
      </c>
      <c r="K16" s="116">
        <v>1</v>
      </c>
      <c r="L16" s="116">
        <v>3</v>
      </c>
      <c r="M16" s="116">
        <v>3</v>
      </c>
      <c r="N16" s="116">
        <v>3</v>
      </c>
      <c r="O16" s="117">
        <v>0</v>
      </c>
      <c r="P16" s="116">
        <v>10</v>
      </c>
      <c r="Q16" s="116">
        <v>5</v>
      </c>
      <c r="R16" s="116">
        <v>5</v>
      </c>
      <c r="S16" s="116">
        <v>5</v>
      </c>
    </row>
    <row r="17" spans="1:19" s="39" customFormat="1" x14ac:dyDescent="0.15">
      <c r="A17" s="115" t="s">
        <v>663</v>
      </c>
      <c r="B17" s="116" t="s">
        <v>654</v>
      </c>
      <c r="C17" s="116" t="s">
        <v>655</v>
      </c>
      <c r="D17" s="116" t="s">
        <v>656</v>
      </c>
      <c r="E17" s="116" t="s">
        <v>657</v>
      </c>
      <c r="F17" s="116" t="s">
        <v>658</v>
      </c>
      <c r="G17" s="116">
        <v>9</v>
      </c>
      <c r="H17" s="116">
        <v>9</v>
      </c>
      <c r="I17" s="116">
        <v>1</v>
      </c>
      <c r="J17" s="116">
        <v>1</v>
      </c>
      <c r="K17" s="116">
        <v>1</v>
      </c>
      <c r="L17" s="116">
        <v>3</v>
      </c>
      <c r="M17" s="116">
        <v>3</v>
      </c>
      <c r="N17" s="116">
        <v>3</v>
      </c>
      <c r="O17" s="117">
        <v>0</v>
      </c>
      <c r="P17" s="116">
        <v>10</v>
      </c>
      <c r="Q17" s="116">
        <v>5</v>
      </c>
      <c r="R17" s="116">
        <v>5</v>
      </c>
      <c r="S17" s="116">
        <v>5</v>
      </c>
    </row>
    <row r="18" spans="1:19" s="39" customFormat="1" x14ac:dyDescent="0.15">
      <c r="A18" s="115" t="s">
        <v>664</v>
      </c>
      <c r="B18" s="116" t="s">
        <v>654</v>
      </c>
      <c r="C18" s="116" t="s">
        <v>655</v>
      </c>
      <c r="D18" s="116" t="s">
        <v>656</v>
      </c>
      <c r="E18" s="116" t="s">
        <v>657</v>
      </c>
      <c r="F18" s="116" t="s">
        <v>658</v>
      </c>
      <c r="G18" s="116">
        <v>9</v>
      </c>
      <c r="H18" s="116">
        <v>9</v>
      </c>
      <c r="I18" s="116">
        <v>1</v>
      </c>
      <c r="J18" s="116">
        <v>1</v>
      </c>
      <c r="K18" s="116">
        <v>1</v>
      </c>
      <c r="L18" s="116">
        <v>3</v>
      </c>
      <c r="M18" s="116">
        <v>3</v>
      </c>
      <c r="N18" s="116">
        <v>3</v>
      </c>
      <c r="O18" s="117">
        <v>0</v>
      </c>
      <c r="P18" s="116">
        <v>10</v>
      </c>
      <c r="Q18" s="116">
        <v>5</v>
      </c>
      <c r="R18" s="116">
        <v>5</v>
      </c>
      <c r="S18" s="116">
        <v>5</v>
      </c>
    </row>
    <row r="19" spans="1:19" s="39" customFormat="1" x14ac:dyDescent="0.15">
      <c r="A19" s="115" t="s">
        <v>665</v>
      </c>
      <c r="B19" s="116" t="s">
        <v>654</v>
      </c>
      <c r="C19" s="116" t="s">
        <v>655</v>
      </c>
      <c r="D19" s="116" t="s">
        <v>656</v>
      </c>
      <c r="E19" s="116" t="s">
        <v>657</v>
      </c>
      <c r="F19" s="116" t="s">
        <v>658</v>
      </c>
      <c r="G19" s="116">
        <v>9</v>
      </c>
      <c r="H19" s="116">
        <v>9</v>
      </c>
      <c r="I19" s="116">
        <v>1</v>
      </c>
      <c r="J19" s="116">
        <v>1</v>
      </c>
      <c r="K19" s="116">
        <v>1</v>
      </c>
      <c r="L19" s="116">
        <v>3</v>
      </c>
      <c r="M19" s="116">
        <v>3</v>
      </c>
      <c r="N19" s="116">
        <v>3</v>
      </c>
      <c r="O19" s="117">
        <v>0</v>
      </c>
      <c r="P19" s="116">
        <v>10</v>
      </c>
      <c r="Q19" s="116">
        <v>5</v>
      </c>
      <c r="R19" s="116">
        <v>5</v>
      </c>
      <c r="S19" s="116">
        <v>5</v>
      </c>
    </row>
    <row r="20" spans="1:19" s="39" customFormat="1" x14ac:dyDescent="0.15">
      <c r="A20" s="115" t="s">
        <v>666</v>
      </c>
      <c r="B20" s="116" t="s">
        <v>654</v>
      </c>
      <c r="C20" s="116" t="s">
        <v>655</v>
      </c>
      <c r="D20" s="116" t="s">
        <v>656</v>
      </c>
      <c r="E20" s="116" t="s">
        <v>657</v>
      </c>
      <c r="F20" s="116" t="s">
        <v>658</v>
      </c>
      <c r="G20" s="116">
        <v>9</v>
      </c>
      <c r="H20" s="116">
        <v>9</v>
      </c>
      <c r="I20" s="116">
        <v>1</v>
      </c>
      <c r="J20" s="116">
        <v>1</v>
      </c>
      <c r="K20" s="116">
        <v>1</v>
      </c>
      <c r="L20" s="116">
        <v>3</v>
      </c>
      <c r="M20" s="116">
        <v>3</v>
      </c>
      <c r="N20" s="116">
        <v>3</v>
      </c>
      <c r="O20" s="117">
        <v>0</v>
      </c>
      <c r="P20" s="116">
        <v>10</v>
      </c>
      <c r="Q20" s="116">
        <v>5</v>
      </c>
      <c r="R20" s="116">
        <v>5</v>
      </c>
      <c r="S20" s="116">
        <v>5</v>
      </c>
    </row>
    <row r="21" spans="1:19" s="39" customFormat="1" x14ac:dyDescent="0.15">
      <c r="A21" s="115" t="s">
        <v>667</v>
      </c>
      <c r="B21" s="116" t="s">
        <v>654</v>
      </c>
      <c r="C21" s="116" t="s">
        <v>655</v>
      </c>
      <c r="D21" s="116" t="s">
        <v>656</v>
      </c>
      <c r="E21" s="116" t="s">
        <v>657</v>
      </c>
      <c r="F21" s="116" t="s">
        <v>658</v>
      </c>
      <c r="G21" s="116">
        <v>9</v>
      </c>
      <c r="H21" s="116">
        <v>9</v>
      </c>
      <c r="I21" s="116">
        <v>1</v>
      </c>
      <c r="J21" s="116">
        <v>1</v>
      </c>
      <c r="K21" s="116">
        <v>1</v>
      </c>
      <c r="L21" s="116">
        <v>3</v>
      </c>
      <c r="M21" s="116">
        <v>3</v>
      </c>
      <c r="N21" s="116">
        <v>3</v>
      </c>
      <c r="O21" s="117">
        <v>0</v>
      </c>
      <c r="P21" s="116">
        <v>10</v>
      </c>
      <c r="Q21" s="116">
        <v>5</v>
      </c>
      <c r="R21" s="116">
        <v>5</v>
      </c>
      <c r="S21" s="116">
        <v>5</v>
      </c>
    </row>
    <row r="22" spans="1:19" s="39" customFormat="1" x14ac:dyDescent="0.15">
      <c r="A22" s="115" t="s">
        <v>668</v>
      </c>
      <c r="B22" s="116" t="s">
        <v>669</v>
      </c>
      <c r="C22" s="116" t="s">
        <v>670</v>
      </c>
      <c r="D22" s="116" t="s">
        <v>656</v>
      </c>
      <c r="E22" s="116" t="s">
        <v>657</v>
      </c>
      <c r="F22" s="116" t="s">
        <v>658</v>
      </c>
      <c r="G22" s="116">
        <v>9</v>
      </c>
      <c r="H22" s="116">
        <v>9</v>
      </c>
      <c r="I22" s="116">
        <v>1</v>
      </c>
      <c r="J22" s="116">
        <v>1</v>
      </c>
      <c r="K22" s="116">
        <v>1</v>
      </c>
      <c r="L22" s="116">
        <v>3</v>
      </c>
      <c r="M22" s="116">
        <v>3</v>
      </c>
      <c r="N22" s="116">
        <v>3</v>
      </c>
      <c r="O22" s="117">
        <v>0</v>
      </c>
      <c r="P22" s="116">
        <v>10</v>
      </c>
      <c r="Q22" s="116">
        <v>5</v>
      </c>
      <c r="R22" s="116">
        <v>5</v>
      </c>
      <c r="S22" s="116">
        <v>5</v>
      </c>
    </row>
    <row r="23" spans="1:19" s="39" customFormat="1" x14ac:dyDescent="0.15">
      <c r="A23" s="39" t="s">
        <v>671</v>
      </c>
    </row>
    <row r="24" spans="1:19" s="100" customFormat="1" x14ac:dyDescent="0.15">
      <c r="I24" s="102"/>
    </row>
    <row r="25" spans="1:19" s="100" customFormat="1" x14ac:dyDescent="0.15">
      <c r="A25" s="62" t="s">
        <v>672</v>
      </c>
      <c r="B25" s="62" t="s">
        <v>673</v>
      </c>
      <c r="C25" s="62" t="s">
        <v>674</v>
      </c>
      <c r="D25" s="62" t="s">
        <v>543</v>
      </c>
      <c r="E25" s="62" t="s">
        <v>549</v>
      </c>
      <c r="F25" s="62" t="s">
        <v>552</v>
      </c>
      <c r="G25" s="62" t="s">
        <v>550</v>
      </c>
      <c r="H25" s="62" t="s">
        <v>675</v>
      </c>
      <c r="I25" s="62" t="s">
        <v>558</v>
      </c>
      <c r="J25" s="62" t="s">
        <v>559</v>
      </c>
      <c r="K25" s="62" t="s">
        <v>551</v>
      </c>
      <c r="L25" s="62" t="s">
        <v>676</v>
      </c>
    </row>
    <row r="26" spans="1:19" x14ac:dyDescent="0.15">
      <c r="A26" s="62">
        <v>0</v>
      </c>
      <c r="B26" s="164">
        <v>28.2</v>
      </c>
      <c r="C26" s="164">
        <v>28.4</v>
      </c>
      <c r="D26" s="164">
        <v>39</v>
      </c>
      <c r="E26" s="162" t="s">
        <v>164</v>
      </c>
      <c r="F26" s="162" t="s">
        <v>164</v>
      </c>
      <c r="G26" s="162" t="s">
        <v>164</v>
      </c>
      <c r="H26" s="162" t="s">
        <v>164</v>
      </c>
      <c r="I26" s="162" t="s">
        <v>164</v>
      </c>
      <c r="J26" s="162" t="s">
        <v>164</v>
      </c>
      <c r="K26" s="162" t="s">
        <v>164</v>
      </c>
      <c r="L26" s="162" t="s">
        <v>164</v>
      </c>
    </row>
    <row r="27" spans="1:19" x14ac:dyDescent="0.15">
      <c r="A27" s="62">
        <v>1</v>
      </c>
      <c r="B27" s="162" t="s">
        <v>164</v>
      </c>
      <c r="C27" s="162" t="s">
        <v>164</v>
      </c>
      <c r="D27" s="162">
        <v>30.2</v>
      </c>
      <c r="E27" s="162">
        <v>28.3</v>
      </c>
      <c r="F27" s="162">
        <v>7</v>
      </c>
      <c r="G27" s="162">
        <v>30</v>
      </c>
      <c r="H27" s="162">
        <v>20</v>
      </c>
      <c r="I27" s="162" t="s">
        <v>164</v>
      </c>
      <c r="J27" s="162" t="s">
        <v>164</v>
      </c>
      <c r="K27" s="162">
        <v>27.9</v>
      </c>
      <c r="L27" s="162">
        <v>20</v>
      </c>
    </row>
    <row r="28" spans="1:19" x14ac:dyDescent="0.15">
      <c r="A28" s="62">
        <v>2</v>
      </c>
      <c r="B28" s="162" t="s">
        <v>164</v>
      </c>
      <c r="C28" s="162" t="s">
        <v>164</v>
      </c>
      <c r="D28" s="162">
        <v>26.6</v>
      </c>
      <c r="E28" s="162">
        <v>29.1</v>
      </c>
      <c r="F28" s="162">
        <v>7</v>
      </c>
      <c r="G28" s="162">
        <v>29.4</v>
      </c>
      <c r="H28" s="162">
        <v>20</v>
      </c>
      <c r="I28" s="162">
        <v>30.2</v>
      </c>
      <c r="J28" s="162">
        <v>20</v>
      </c>
      <c r="K28" s="162">
        <v>31.2</v>
      </c>
      <c r="L28" s="162">
        <v>20</v>
      </c>
    </row>
  </sheetData>
  <sortState xmlns:xlrd2="http://schemas.microsoft.com/office/spreadsheetml/2017/richdata2" ref="A11:S22">
    <sortCondition ref="A11:A22"/>
  </sortState>
  <mergeCells count="3">
    <mergeCell ref="A1:C1"/>
    <mergeCell ref="A2:C2"/>
    <mergeCell ref="A3:C3"/>
  </mergeCells>
  <phoneticPr fontId="0" type="noConversion"/>
  <conditionalFormatting sqref="B25:C26">
    <cfRule type="containsText" dxfId="0" priority="1" stopIfTrue="1" operator="containsText" text="FAIL">
      <formula>NOT(ISERROR(SEARCH("FAIL",B25)))</formula>
    </cfRule>
  </conditionalFormatting>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45"/>
  <sheetViews>
    <sheetView zoomScaleNormal="100" zoomScaleSheetLayoutView="40" workbookViewId="0"/>
  </sheetViews>
  <sheetFormatPr baseColWidth="10" defaultColWidth="9.5" defaultRowHeight="13" x14ac:dyDescent="0.15"/>
  <cols>
    <col min="1" max="1" width="4.5" style="138" customWidth="1"/>
    <col min="2" max="2" width="7.5" style="138" customWidth="1"/>
    <col min="3" max="3" width="9.5" style="138" customWidth="1"/>
    <col min="4" max="4" width="3.5" style="138" customWidth="1"/>
    <col min="5" max="6" width="9.5" style="138" customWidth="1"/>
    <col min="7" max="7" width="3.5" style="138" customWidth="1"/>
    <col min="8" max="9" width="9.5" style="138" customWidth="1"/>
    <col min="10" max="10" width="3" style="138" customWidth="1"/>
    <col min="11" max="12" width="9.5" style="138" customWidth="1"/>
    <col min="13" max="13" width="3.5" style="138" customWidth="1"/>
    <col min="14" max="15" width="9.5" style="138" customWidth="1"/>
    <col min="16" max="16" width="3.5" style="138" customWidth="1"/>
    <col min="17" max="17" width="7.5" style="138" customWidth="1"/>
    <col min="18" max="18" width="9.5" style="138" customWidth="1"/>
    <col min="19" max="19" width="4.5" style="138" customWidth="1"/>
    <col min="20" max="21" width="9.5" style="138" customWidth="1"/>
    <col min="22" max="22" width="4.5" style="138" customWidth="1"/>
    <col min="23" max="24" width="9.5" style="138" customWidth="1"/>
    <col min="25" max="25" width="5.5" style="138" customWidth="1"/>
    <col min="26" max="27" width="9.5" style="138" customWidth="1"/>
    <col min="28" max="28" width="4" style="138" customWidth="1"/>
    <col min="29" max="30" width="9.5" style="138" customWidth="1"/>
    <col min="31" max="31" width="4.5" style="138" customWidth="1"/>
    <col min="32" max="32" width="7.5" style="138" customWidth="1"/>
    <col min="33" max="33" width="9.5" style="138" customWidth="1"/>
    <col min="34" max="34" width="3.5" style="138" customWidth="1"/>
    <col min="35" max="36" width="9.5" style="138" customWidth="1"/>
    <col min="37" max="37" width="3.5" style="138" customWidth="1"/>
    <col min="38" max="39" width="9.5" style="138" customWidth="1"/>
    <col min="40" max="40" width="3" style="138" customWidth="1"/>
    <col min="41" max="42" width="9.5" style="138" customWidth="1"/>
    <col min="43" max="43" width="3.5" style="138" customWidth="1"/>
    <col min="44" max="45" width="9.5" style="138" customWidth="1"/>
    <col min="46" max="46" width="3.5" style="138" customWidth="1"/>
    <col min="47" max="47" width="7.5" style="138" customWidth="1"/>
    <col min="48" max="48" width="9.5" style="138" customWidth="1"/>
    <col min="49" max="49" width="4.5" style="138" customWidth="1"/>
    <col min="50" max="51" width="9.5" style="138" customWidth="1"/>
    <col min="52" max="52" width="4.5" style="138" customWidth="1"/>
    <col min="53" max="54" width="9.5" style="138" customWidth="1"/>
    <col min="55" max="55" width="5.5" style="138" customWidth="1"/>
    <col min="56" max="57" width="9.5" style="138" customWidth="1"/>
    <col min="58" max="58" width="4" style="138" customWidth="1"/>
    <col min="59" max="60" width="9.5" style="138" customWidth="1"/>
    <col min="61" max="61" width="3.5" style="138" customWidth="1"/>
    <col min="62" max="63" width="9.5" style="138" customWidth="1"/>
    <col min="64" max="64" width="9" style="138" customWidth="1"/>
    <col min="65" max="66" width="9.5" style="138" customWidth="1"/>
    <col min="67" max="67" width="4.5" style="138" customWidth="1"/>
    <col min="68" max="69" width="9.5" style="138" customWidth="1"/>
    <col min="70" max="70" width="4.5" style="138" customWidth="1"/>
    <col min="71" max="256" width="9.5" style="138" customWidth="1"/>
    <col min="257" max="257" width="4.5" style="138" customWidth="1"/>
    <col min="258" max="258" width="7.5" style="138" customWidth="1"/>
    <col min="259" max="259" width="9.5" style="138" customWidth="1"/>
    <col min="260" max="260" width="3.5" style="138" customWidth="1"/>
    <col min="261" max="262" width="9.5" style="138" customWidth="1"/>
    <col min="263" max="263" width="3.5" style="138" customWidth="1"/>
    <col min="264" max="265" width="9.5" style="138" customWidth="1"/>
    <col min="266" max="266" width="3" style="138" customWidth="1"/>
    <col min="267" max="268" width="9.5" style="138" customWidth="1"/>
    <col min="269" max="269" width="3.5" style="138" customWidth="1"/>
    <col min="270" max="271" width="9.5" style="138" customWidth="1"/>
    <col min="272" max="272" width="3.5" style="138" customWidth="1"/>
    <col min="273" max="273" width="7.5" style="138" customWidth="1"/>
    <col min="274" max="274" width="9.5" style="138" customWidth="1"/>
    <col min="275" max="275" width="4.5" style="138" customWidth="1"/>
    <col min="276" max="277" width="9.5" style="138" customWidth="1"/>
    <col min="278" max="278" width="4.5" style="138" customWidth="1"/>
    <col min="279" max="280" width="9.5" style="138" customWidth="1"/>
    <col min="281" max="281" width="5.5" style="138" customWidth="1"/>
    <col min="282" max="283" width="9.5" style="138" customWidth="1"/>
    <col min="284" max="284" width="4" style="138" customWidth="1"/>
    <col min="285" max="286" width="9.5" style="138" customWidth="1"/>
    <col min="287" max="287" width="4.5" style="138" customWidth="1"/>
    <col min="288" max="288" width="7.5" style="138" customWidth="1"/>
    <col min="289" max="289" width="9.5" style="138" customWidth="1"/>
    <col min="290" max="290" width="3.5" style="138" customWidth="1"/>
    <col min="291" max="292" width="9.5" style="138" customWidth="1"/>
    <col min="293" max="293" width="3.5" style="138" customWidth="1"/>
    <col min="294" max="295" width="9.5" style="138" customWidth="1"/>
    <col min="296" max="296" width="3" style="138" customWidth="1"/>
    <col min="297" max="298" width="9.5" style="138" customWidth="1"/>
    <col min="299" max="299" width="3.5" style="138" customWidth="1"/>
    <col min="300" max="301" width="9.5" style="138" customWidth="1"/>
    <col min="302" max="302" width="3.5" style="138" customWidth="1"/>
    <col min="303" max="303" width="7.5" style="138" customWidth="1"/>
    <col min="304" max="304" width="9.5" style="138" customWidth="1"/>
    <col min="305" max="305" width="4.5" style="138" customWidth="1"/>
    <col min="306" max="307" width="9.5" style="138" customWidth="1"/>
    <col min="308" max="308" width="4.5" style="138" customWidth="1"/>
    <col min="309" max="310" width="9.5" style="138" customWidth="1"/>
    <col min="311" max="311" width="5.5" style="138" customWidth="1"/>
    <col min="312" max="313" width="9.5" style="138" customWidth="1"/>
    <col min="314" max="314" width="4" style="138" customWidth="1"/>
    <col min="315" max="316" width="9.5" style="138" customWidth="1"/>
    <col min="317" max="317" width="3.5" style="138" customWidth="1"/>
    <col min="318" max="319" width="9.5" style="138" customWidth="1"/>
    <col min="320" max="320" width="9" style="138" customWidth="1"/>
    <col min="321" max="322" width="9.5" style="138" customWidth="1"/>
    <col min="323" max="323" width="4.5" style="138" customWidth="1"/>
    <col min="324" max="325" width="9.5" style="138" customWidth="1"/>
    <col min="326" max="326" width="4.5" style="138" customWidth="1"/>
    <col min="327" max="512" width="9.5" style="138" customWidth="1"/>
    <col min="513" max="513" width="4.5" style="138" customWidth="1"/>
    <col min="514" max="514" width="7.5" style="138" customWidth="1"/>
    <col min="515" max="515" width="9.5" style="138" customWidth="1"/>
    <col min="516" max="516" width="3.5" style="138" customWidth="1"/>
    <col min="517" max="518" width="9.5" style="138" customWidth="1"/>
    <col min="519" max="519" width="3.5" style="138" customWidth="1"/>
    <col min="520" max="521" width="9.5" style="138" customWidth="1"/>
    <col min="522" max="522" width="3" style="138" customWidth="1"/>
    <col min="523" max="524" width="9.5" style="138" customWidth="1"/>
    <col min="525" max="525" width="3.5" style="138" customWidth="1"/>
    <col min="526" max="527" width="9.5" style="138" customWidth="1"/>
    <col min="528" max="528" width="3.5" style="138" customWidth="1"/>
    <col min="529" max="529" width="7.5" style="138" customWidth="1"/>
    <col min="530" max="530" width="9.5" style="138" customWidth="1"/>
    <col min="531" max="531" width="4.5" style="138" customWidth="1"/>
    <col min="532" max="533" width="9.5" style="138" customWidth="1"/>
    <col min="534" max="534" width="4.5" style="138" customWidth="1"/>
    <col min="535" max="536" width="9.5" style="138" customWidth="1"/>
    <col min="537" max="537" width="5.5" style="138" customWidth="1"/>
    <col min="538" max="539" width="9.5" style="138" customWidth="1"/>
    <col min="540" max="540" width="4" style="138" customWidth="1"/>
    <col min="541" max="542" width="9.5" style="138" customWidth="1"/>
    <col min="543" max="543" width="4.5" style="138" customWidth="1"/>
    <col min="544" max="544" width="7.5" style="138" customWidth="1"/>
    <col min="545" max="545" width="9.5" style="138" customWidth="1"/>
    <col min="546" max="546" width="3.5" style="138" customWidth="1"/>
    <col min="547" max="548" width="9.5" style="138" customWidth="1"/>
    <col min="549" max="549" width="3.5" style="138" customWidth="1"/>
    <col min="550" max="551" width="9.5" style="138" customWidth="1"/>
    <col min="552" max="552" width="3" style="138" customWidth="1"/>
    <col min="553" max="554" width="9.5" style="138" customWidth="1"/>
    <col min="555" max="555" width="3.5" style="138" customWidth="1"/>
    <col min="556" max="557" width="9.5" style="138" customWidth="1"/>
    <col min="558" max="558" width="3.5" style="138" customWidth="1"/>
    <col min="559" max="559" width="7.5" style="138" customWidth="1"/>
    <col min="560" max="560" width="9.5" style="138" customWidth="1"/>
    <col min="561" max="561" width="4.5" style="138" customWidth="1"/>
    <col min="562" max="563" width="9.5" style="138" customWidth="1"/>
    <col min="564" max="564" width="4.5" style="138" customWidth="1"/>
    <col min="565" max="566" width="9.5" style="138" customWidth="1"/>
    <col min="567" max="567" width="5.5" style="138" customWidth="1"/>
    <col min="568" max="569" width="9.5" style="138" customWidth="1"/>
    <col min="570" max="570" width="4" style="138" customWidth="1"/>
    <col min="571" max="572" width="9.5" style="138" customWidth="1"/>
    <col min="573" max="573" width="3.5" style="138" customWidth="1"/>
    <col min="574" max="575" width="9.5" style="138" customWidth="1"/>
    <col min="576" max="576" width="9" style="138" customWidth="1"/>
    <col min="577" max="578" width="9.5" style="138" customWidth="1"/>
    <col min="579" max="579" width="4.5" style="138" customWidth="1"/>
    <col min="580" max="581" width="9.5" style="138" customWidth="1"/>
    <col min="582" max="582" width="4.5" style="138" customWidth="1"/>
    <col min="583" max="768" width="9.5" style="138" customWidth="1"/>
    <col min="769" max="769" width="4.5" style="138" customWidth="1"/>
    <col min="770" max="770" width="7.5" style="138" customWidth="1"/>
    <col min="771" max="771" width="9.5" style="138" customWidth="1"/>
    <col min="772" max="772" width="3.5" style="138" customWidth="1"/>
    <col min="773" max="774" width="9.5" style="138" customWidth="1"/>
    <col min="775" max="775" width="3.5" style="138" customWidth="1"/>
    <col min="776" max="777" width="9.5" style="138" customWidth="1"/>
    <col min="778" max="778" width="3" style="138" customWidth="1"/>
    <col min="779" max="780" width="9.5" style="138" customWidth="1"/>
    <col min="781" max="781" width="3.5" style="138" customWidth="1"/>
    <col min="782" max="783" width="9.5" style="138" customWidth="1"/>
    <col min="784" max="784" width="3.5" style="138" customWidth="1"/>
    <col min="785" max="785" width="7.5" style="138" customWidth="1"/>
    <col min="786" max="786" width="9.5" style="138" customWidth="1"/>
    <col min="787" max="787" width="4.5" style="138" customWidth="1"/>
    <col min="788" max="789" width="9.5" style="138" customWidth="1"/>
    <col min="790" max="790" width="4.5" style="138" customWidth="1"/>
    <col min="791" max="792" width="9.5" style="138" customWidth="1"/>
    <col min="793" max="793" width="5.5" style="138" customWidth="1"/>
    <col min="794" max="795" width="9.5" style="138" customWidth="1"/>
    <col min="796" max="796" width="4" style="138" customWidth="1"/>
    <col min="797" max="798" width="9.5" style="138" customWidth="1"/>
    <col min="799" max="799" width="4.5" style="138" customWidth="1"/>
    <col min="800" max="800" width="7.5" style="138" customWidth="1"/>
    <col min="801" max="801" width="9.5" style="138" customWidth="1"/>
    <col min="802" max="802" width="3.5" style="138" customWidth="1"/>
    <col min="803" max="804" width="9.5" style="138" customWidth="1"/>
    <col min="805" max="805" width="3.5" style="138" customWidth="1"/>
    <col min="806" max="807" width="9.5" style="138" customWidth="1"/>
    <col min="808" max="808" width="3" style="138" customWidth="1"/>
    <col min="809" max="810" width="9.5" style="138" customWidth="1"/>
    <col min="811" max="811" width="3.5" style="138" customWidth="1"/>
    <col min="812" max="813" width="9.5" style="138" customWidth="1"/>
    <col min="814" max="814" width="3.5" style="138" customWidth="1"/>
    <col min="815" max="815" width="7.5" style="138" customWidth="1"/>
    <col min="816" max="816" width="9.5" style="138" customWidth="1"/>
    <col min="817" max="817" width="4.5" style="138" customWidth="1"/>
    <col min="818" max="819" width="9.5" style="138" customWidth="1"/>
    <col min="820" max="820" width="4.5" style="138" customWidth="1"/>
    <col min="821" max="822" width="9.5" style="138" customWidth="1"/>
    <col min="823" max="823" width="5.5" style="138" customWidth="1"/>
    <col min="824" max="825" width="9.5" style="138" customWidth="1"/>
    <col min="826" max="826" width="4" style="138" customWidth="1"/>
    <col min="827" max="828" width="9.5" style="138" customWidth="1"/>
    <col min="829" max="829" width="3.5" style="138" customWidth="1"/>
    <col min="830" max="831" width="9.5" style="138" customWidth="1"/>
    <col min="832" max="832" width="9" style="138" customWidth="1"/>
    <col min="833" max="834" width="9.5" style="138" customWidth="1"/>
    <col min="835" max="835" width="4.5" style="138" customWidth="1"/>
    <col min="836" max="837" width="9.5" style="138" customWidth="1"/>
    <col min="838" max="838" width="4.5" style="138" customWidth="1"/>
    <col min="839" max="1024" width="9.5" style="138" customWidth="1"/>
    <col min="1025" max="1025" width="4.5" style="138" customWidth="1"/>
    <col min="1026" max="1026" width="7.5" style="138" customWidth="1"/>
    <col min="1027" max="1027" width="9.5" style="138" customWidth="1"/>
    <col min="1028" max="1028" width="3.5" style="138" customWidth="1"/>
    <col min="1029" max="1030" width="9.5" style="138" customWidth="1"/>
    <col min="1031" max="1031" width="3.5" style="138" customWidth="1"/>
    <col min="1032" max="1033" width="9.5" style="138" customWidth="1"/>
    <col min="1034" max="1034" width="3" style="138" customWidth="1"/>
    <col min="1035" max="1036" width="9.5" style="138" customWidth="1"/>
    <col min="1037" max="1037" width="3.5" style="138" customWidth="1"/>
    <col min="1038" max="1039" width="9.5" style="138" customWidth="1"/>
    <col min="1040" max="1040" width="3.5" style="138" customWidth="1"/>
    <col min="1041" max="1041" width="7.5" style="138" customWidth="1"/>
    <col min="1042" max="1042" width="9.5" style="138" customWidth="1"/>
    <col min="1043" max="1043" width="4.5" style="138" customWidth="1"/>
    <col min="1044" max="1045" width="9.5" style="138" customWidth="1"/>
    <col min="1046" max="1046" width="4.5" style="138" customWidth="1"/>
    <col min="1047" max="1048" width="9.5" style="138" customWidth="1"/>
    <col min="1049" max="1049" width="5.5" style="138" customWidth="1"/>
    <col min="1050" max="1051" width="9.5" style="138" customWidth="1"/>
    <col min="1052" max="1052" width="4" style="138" customWidth="1"/>
    <col min="1053" max="1054" width="9.5" style="138" customWidth="1"/>
    <col min="1055" max="1055" width="4.5" style="138" customWidth="1"/>
    <col min="1056" max="1056" width="7.5" style="138" customWidth="1"/>
    <col min="1057" max="1057" width="9.5" style="138" customWidth="1"/>
    <col min="1058" max="1058" width="3.5" style="138" customWidth="1"/>
    <col min="1059" max="1060" width="9.5" style="138" customWidth="1"/>
    <col min="1061" max="1061" width="3.5" style="138" customWidth="1"/>
    <col min="1062" max="1063" width="9.5" style="138" customWidth="1"/>
    <col min="1064" max="1064" width="3" style="138" customWidth="1"/>
    <col min="1065" max="1066" width="9.5" style="138" customWidth="1"/>
    <col min="1067" max="1067" width="3.5" style="138" customWidth="1"/>
    <col min="1068" max="1069" width="9.5" style="138" customWidth="1"/>
    <col min="1070" max="1070" width="3.5" style="138" customWidth="1"/>
    <col min="1071" max="1071" width="7.5" style="138" customWidth="1"/>
    <col min="1072" max="1072" width="9.5" style="138" customWidth="1"/>
    <col min="1073" max="1073" width="4.5" style="138" customWidth="1"/>
    <col min="1074" max="1075" width="9.5" style="138" customWidth="1"/>
    <col min="1076" max="1076" width="4.5" style="138" customWidth="1"/>
    <col min="1077" max="1078" width="9.5" style="138" customWidth="1"/>
    <col min="1079" max="1079" width="5.5" style="138" customWidth="1"/>
    <col min="1080" max="1081" width="9.5" style="138" customWidth="1"/>
    <col min="1082" max="1082" width="4" style="138" customWidth="1"/>
    <col min="1083" max="1084" width="9.5" style="138" customWidth="1"/>
    <col min="1085" max="1085" width="3.5" style="138" customWidth="1"/>
    <col min="1086" max="1087" width="9.5" style="138" customWidth="1"/>
    <col min="1088" max="1088" width="9" style="138" customWidth="1"/>
    <col min="1089" max="1090" width="9.5" style="138" customWidth="1"/>
    <col min="1091" max="1091" width="4.5" style="138" customWidth="1"/>
    <col min="1092" max="1093" width="9.5" style="138" customWidth="1"/>
    <col min="1094" max="1094" width="4.5" style="138" customWidth="1"/>
    <col min="1095" max="1280" width="9.5" style="138" customWidth="1"/>
    <col min="1281" max="1281" width="4.5" style="138" customWidth="1"/>
    <col min="1282" max="1282" width="7.5" style="138" customWidth="1"/>
    <col min="1283" max="1283" width="9.5" style="138" customWidth="1"/>
    <col min="1284" max="1284" width="3.5" style="138" customWidth="1"/>
    <col min="1285" max="1286" width="9.5" style="138" customWidth="1"/>
    <col min="1287" max="1287" width="3.5" style="138" customWidth="1"/>
    <col min="1288" max="1289" width="9.5" style="138" customWidth="1"/>
    <col min="1290" max="1290" width="3" style="138" customWidth="1"/>
    <col min="1291" max="1292" width="9.5" style="138" customWidth="1"/>
    <col min="1293" max="1293" width="3.5" style="138" customWidth="1"/>
    <col min="1294" max="1295" width="9.5" style="138" customWidth="1"/>
    <col min="1296" max="1296" width="3.5" style="138" customWidth="1"/>
    <col min="1297" max="1297" width="7.5" style="138" customWidth="1"/>
    <col min="1298" max="1298" width="9.5" style="138" customWidth="1"/>
    <col min="1299" max="1299" width="4.5" style="138" customWidth="1"/>
    <col min="1300" max="1301" width="9.5" style="138" customWidth="1"/>
    <col min="1302" max="1302" width="4.5" style="138" customWidth="1"/>
    <col min="1303" max="1304" width="9.5" style="138" customWidth="1"/>
    <col min="1305" max="1305" width="5.5" style="138" customWidth="1"/>
    <col min="1306" max="1307" width="9.5" style="138" customWidth="1"/>
    <col min="1308" max="1308" width="4" style="138" customWidth="1"/>
    <col min="1309" max="1310" width="9.5" style="138" customWidth="1"/>
    <col min="1311" max="1311" width="4.5" style="138" customWidth="1"/>
    <col min="1312" max="1312" width="7.5" style="138" customWidth="1"/>
    <col min="1313" max="1313" width="9.5" style="138" customWidth="1"/>
    <col min="1314" max="1314" width="3.5" style="138" customWidth="1"/>
    <col min="1315" max="1316" width="9.5" style="138" customWidth="1"/>
    <col min="1317" max="1317" width="3.5" style="138" customWidth="1"/>
    <col min="1318" max="1319" width="9.5" style="138" customWidth="1"/>
    <col min="1320" max="1320" width="3" style="138" customWidth="1"/>
    <col min="1321" max="1322" width="9.5" style="138" customWidth="1"/>
    <col min="1323" max="1323" width="3.5" style="138" customWidth="1"/>
    <col min="1324" max="1325" width="9.5" style="138" customWidth="1"/>
    <col min="1326" max="1326" width="3.5" style="138" customWidth="1"/>
    <col min="1327" max="1327" width="7.5" style="138" customWidth="1"/>
    <col min="1328" max="1328" width="9.5" style="138" customWidth="1"/>
    <col min="1329" max="1329" width="4.5" style="138" customWidth="1"/>
    <col min="1330" max="1331" width="9.5" style="138" customWidth="1"/>
    <col min="1332" max="1332" width="4.5" style="138" customWidth="1"/>
    <col min="1333" max="1334" width="9.5" style="138" customWidth="1"/>
    <col min="1335" max="1335" width="5.5" style="138" customWidth="1"/>
    <col min="1336" max="1337" width="9.5" style="138" customWidth="1"/>
    <col min="1338" max="1338" width="4" style="138" customWidth="1"/>
    <col min="1339" max="1340" width="9.5" style="138" customWidth="1"/>
    <col min="1341" max="1341" width="3.5" style="138" customWidth="1"/>
    <col min="1342" max="1343" width="9.5" style="138" customWidth="1"/>
    <col min="1344" max="1344" width="9" style="138" customWidth="1"/>
    <col min="1345" max="1346" width="9.5" style="138" customWidth="1"/>
    <col min="1347" max="1347" width="4.5" style="138" customWidth="1"/>
    <col min="1348" max="1349" width="9.5" style="138" customWidth="1"/>
    <col min="1350" max="1350" width="4.5" style="138" customWidth="1"/>
    <col min="1351" max="1536" width="9.5" style="138" customWidth="1"/>
    <col min="1537" max="1537" width="4.5" style="138" customWidth="1"/>
    <col min="1538" max="1538" width="7.5" style="138" customWidth="1"/>
    <col min="1539" max="1539" width="9.5" style="138" customWidth="1"/>
    <col min="1540" max="1540" width="3.5" style="138" customWidth="1"/>
    <col min="1541" max="1542" width="9.5" style="138" customWidth="1"/>
    <col min="1543" max="1543" width="3.5" style="138" customWidth="1"/>
    <col min="1544" max="1545" width="9.5" style="138" customWidth="1"/>
    <col min="1546" max="1546" width="3" style="138" customWidth="1"/>
    <col min="1547" max="1548" width="9.5" style="138" customWidth="1"/>
    <col min="1549" max="1549" width="3.5" style="138" customWidth="1"/>
    <col min="1550" max="1551" width="9.5" style="138" customWidth="1"/>
    <col min="1552" max="1552" width="3.5" style="138" customWidth="1"/>
    <col min="1553" max="1553" width="7.5" style="138" customWidth="1"/>
    <col min="1554" max="1554" width="9.5" style="138" customWidth="1"/>
    <col min="1555" max="1555" width="4.5" style="138" customWidth="1"/>
    <col min="1556" max="1557" width="9.5" style="138" customWidth="1"/>
    <col min="1558" max="1558" width="4.5" style="138" customWidth="1"/>
    <col min="1559" max="1560" width="9.5" style="138" customWidth="1"/>
    <col min="1561" max="1561" width="5.5" style="138" customWidth="1"/>
    <col min="1562" max="1563" width="9.5" style="138" customWidth="1"/>
    <col min="1564" max="1564" width="4" style="138" customWidth="1"/>
    <col min="1565" max="1566" width="9.5" style="138" customWidth="1"/>
    <col min="1567" max="1567" width="4.5" style="138" customWidth="1"/>
    <col min="1568" max="1568" width="7.5" style="138" customWidth="1"/>
    <col min="1569" max="1569" width="9.5" style="138" customWidth="1"/>
    <col min="1570" max="1570" width="3.5" style="138" customWidth="1"/>
    <col min="1571" max="1572" width="9.5" style="138" customWidth="1"/>
    <col min="1573" max="1573" width="3.5" style="138" customWidth="1"/>
    <col min="1574" max="1575" width="9.5" style="138" customWidth="1"/>
    <col min="1576" max="1576" width="3" style="138" customWidth="1"/>
    <col min="1577" max="1578" width="9.5" style="138" customWidth="1"/>
    <col min="1579" max="1579" width="3.5" style="138" customWidth="1"/>
    <col min="1580" max="1581" width="9.5" style="138" customWidth="1"/>
    <col min="1582" max="1582" width="3.5" style="138" customWidth="1"/>
    <col min="1583" max="1583" width="7.5" style="138" customWidth="1"/>
    <col min="1584" max="1584" width="9.5" style="138" customWidth="1"/>
    <col min="1585" max="1585" width="4.5" style="138" customWidth="1"/>
    <col min="1586" max="1587" width="9.5" style="138" customWidth="1"/>
    <col min="1588" max="1588" width="4.5" style="138" customWidth="1"/>
    <col min="1589" max="1590" width="9.5" style="138" customWidth="1"/>
    <col min="1591" max="1591" width="5.5" style="138" customWidth="1"/>
    <col min="1592" max="1593" width="9.5" style="138" customWidth="1"/>
    <col min="1594" max="1594" width="4" style="138" customWidth="1"/>
    <col min="1595" max="1596" width="9.5" style="138" customWidth="1"/>
    <col min="1597" max="1597" width="3.5" style="138" customWidth="1"/>
    <col min="1598" max="1599" width="9.5" style="138" customWidth="1"/>
    <col min="1600" max="1600" width="9" style="138" customWidth="1"/>
    <col min="1601" max="1602" width="9.5" style="138" customWidth="1"/>
    <col min="1603" max="1603" width="4.5" style="138" customWidth="1"/>
    <col min="1604" max="1605" width="9.5" style="138" customWidth="1"/>
    <col min="1606" max="1606" width="4.5" style="138" customWidth="1"/>
    <col min="1607" max="1792" width="9.5" style="138" customWidth="1"/>
    <col min="1793" max="1793" width="4.5" style="138" customWidth="1"/>
    <col min="1794" max="1794" width="7.5" style="138" customWidth="1"/>
    <col min="1795" max="1795" width="9.5" style="138" customWidth="1"/>
    <col min="1796" max="1796" width="3.5" style="138" customWidth="1"/>
    <col min="1797" max="1798" width="9.5" style="138" customWidth="1"/>
    <col min="1799" max="1799" width="3.5" style="138" customWidth="1"/>
    <col min="1800" max="1801" width="9.5" style="138" customWidth="1"/>
    <col min="1802" max="1802" width="3" style="138" customWidth="1"/>
    <col min="1803" max="1804" width="9.5" style="138" customWidth="1"/>
    <col min="1805" max="1805" width="3.5" style="138" customWidth="1"/>
    <col min="1806" max="1807" width="9.5" style="138" customWidth="1"/>
    <col min="1808" max="1808" width="3.5" style="138" customWidth="1"/>
    <col min="1809" max="1809" width="7.5" style="138" customWidth="1"/>
    <col min="1810" max="1810" width="9.5" style="138" customWidth="1"/>
    <col min="1811" max="1811" width="4.5" style="138" customWidth="1"/>
    <col min="1812" max="1813" width="9.5" style="138" customWidth="1"/>
    <col min="1814" max="1814" width="4.5" style="138" customWidth="1"/>
    <col min="1815" max="1816" width="9.5" style="138" customWidth="1"/>
    <col min="1817" max="1817" width="5.5" style="138" customWidth="1"/>
    <col min="1818" max="1819" width="9.5" style="138" customWidth="1"/>
    <col min="1820" max="1820" width="4" style="138" customWidth="1"/>
    <col min="1821" max="1822" width="9.5" style="138" customWidth="1"/>
    <col min="1823" max="1823" width="4.5" style="138" customWidth="1"/>
    <col min="1824" max="1824" width="7.5" style="138" customWidth="1"/>
    <col min="1825" max="1825" width="9.5" style="138" customWidth="1"/>
    <col min="1826" max="1826" width="3.5" style="138" customWidth="1"/>
    <col min="1827" max="1828" width="9.5" style="138" customWidth="1"/>
    <col min="1829" max="1829" width="3.5" style="138" customWidth="1"/>
    <col min="1830" max="1831" width="9.5" style="138" customWidth="1"/>
    <col min="1832" max="1832" width="3" style="138" customWidth="1"/>
    <col min="1833" max="1834" width="9.5" style="138" customWidth="1"/>
    <col min="1835" max="1835" width="3.5" style="138" customWidth="1"/>
    <col min="1836" max="1837" width="9.5" style="138" customWidth="1"/>
    <col min="1838" max="1838" width="3.5" style="138" customWidth="1"/>
    <col min="1839" max="1839" width="7.5" style="138" customWidth="1"/>
    <col min="1840" max="1840" width="9.5" style="138" customWidth="1"/>
    <col min="1841" max="1841" width="4.5" style="138" customWidth="1"/>
    <col min="1842" max="1843" width="9.5" style="138" customWidth="1"/>
    <col min="1844" max="1844" width="4.5" style="138" customWidth="1"/>
    <col min="1845" max="1846" width="9.5" style="138" customWidth="1"/>
    <col min="1847" max="1847" width="5.5" style="138" customWidth="1"/>
    <col min="1848" max="1849" width="9.5" style="138" customWidth="1"/>
    <col min="1850" max="1850" width="4" style="138" customWidth="1"/>
    <col min="1851" max="1852" width="9.5" style="138" customWidth="1"/>
    <col min="1853" max="1853" width="3.5" style="138" customWidth="1"/>
    <col min="1854" max="1855" width="9.5" style="138" customWidth="1"/>
    <col min="1856" max="1856" width="9" style="138" customWidth="1"/>
    <col min="1857" max="1858" width="9.5" style="138" customWidth="1"/>
    <col min="1859" max="1859" width="4.5" style="138" customWidth="1"/>
    <col min="1860" max="1861" width="9.5" style="138" customWidth="1"/>
    <col min="1862" max="1862" width="4.5" style="138" customWidth="1"/>
    <col min="1863" max="2048" width="9.5" style="138" customWidth="1"/>
    <col min="2049" max="2049" width="4.5" style="138" customWidth="1"/>
    <col min="2050" max="2050" width="7.5" style="138" customWidth="1"/>
    <col min="2051" max="2051" width="9.5" style="138" customWidth="1"/>
    <col min="2052" max="2052" width="3.5" style="138" customWidth="1"/>
    <col min="2053" max="2054" width="9.5" style="138" customWidth="1"/>
    <col min="2055" max="2055" width="3.5" style="138" customWidth="1"/>
    <col min="2056" max="2057" width="9.5" style="138" customWidth="1"/>
    <col min="2058" max="2058" width="3" style="138" customWidth="1"/>
    <col min="2059" max="2060" width="9.5" style="138" customWidth="1"/>
    <col min="2061" max="2061" width="3.5" style="138" customWidth="1"/>
    <col min="2062" max="2063" width="9.5" style="138" customWidth="1"/>
    <col min="2064" max="2064" width="3.5" style="138" customWidth="1"/>
    <col min="2065" max="2065" width="7.5" style="138" customWidth="1"/>
    <col min="2066" max="2066" width="9.5" style="138" customWidth="1"/>
    <col min="2067" max="2067" width="4.5" style="138" customWidth="1"/>
    <col min="2068" max="2069" width="9.5" style="138" customWidth="1"/>
    <col min="2070" max="2070" width="4.5" style="138" customWidth="1"/>
    <col min="2071" max="2072" width="9.5" style="138" customWidth="1"/>
    <col min="2073" max="2073" width="5.5" style="138" customWidth="1"/>
    <col min="2074" max="2075" width="9.5" style="138" customWidth="1"/>
    <col min="2076" max="2076" width="4" style="138" customWidth="1"/>
    <col min="2077" max="2078" width="9.5" style="138" customWidth="1"/>
    <col min="2079" max="2079" width="4.5" style="138" customWidth="1"/>
    <col min="2080" max="2080" width="7.5" style="138" customWidth="1"/>
    <col min="2081" max="2081" width="9.5" style="138" customWidth="1"/>
    <col min="2082" max="2082" width="3.5" style="138" customWidth="1"/>
    <col min="2083" max="2084" width="9.5" style="138" customWidth="1"/>
    <col min="2085" max="2085" width="3.5" style="138" customWidth="1"/>
    <col min="2086" max="2087" width="9.5" style="138" customWidth="1"/>
    <col min="2088" max="2088" width="3" style="138" customWidth="1"/>
    <col min="2089" max="2090" width="9.5" style="138" customWidth="1"/>
    <col min="2091" max="2091" width="3.5" style="138" customWidth="1"/>
    <col min="2092" max="2093" width="9.5" style="138" customWidth="1"/>
    <col min="2094" max="2094" width="3.5" style="138" customWidth="1"/>
    <col min="2095" max="2095" width="7.5" style="138" customWidth="1"/>
    <col min="2096" max="2096" width="9.5" style="138" customWidth="1"/>
    <col min="2097" max="2097" width="4.5" style="138" customWidth="1"/>
    <col min="2098" max="2099" width="9.5" style="138" customWidth="1"/>
    <col min="2100" max="2100" width="4.5" style="138" customWidth="1"/>
    <col min="2101" max="2102" width="9.5" style="138" customWidth="1"/>
    <col min="2103" max="2103" width="5.5" style="138" customWidth="1"/>
    <col min="2104" max="2105" width="9.5" style="138" customWidth="1"/>
    <col min="2106" max="2106" width="4" style="138" customWidth="1"/>
    <col min="2107" max="2108" width="9.5" style="138" customWidth="1"/>
    <col min="2109" max="2109" width="3.5" style="138" customWidth="1"/>
    <col min="2110" max="2111" width="9.5" style="138" customWidth="1"/>
    <col min="2112" max="2112" width="9" style="138" customWidth="1"/>
    <col min="2113" max="2114" width="9.5" style="138" customWidth="1"/>
    <col min="2115" max="2115" width="4.5" style="138" customWidth="1"/>
    <col min="2116" max="2117" width="9.5" style="138" customWidth="1"/>
    <col min="2118" max="2118" width="4.5" style="138" customWidth="1"/>
    <col min="2119" max="2304" width="9.5" style="138" customWidth="1"/>
    <col min="2305" max="2305" width="4.5" style="138" customWidth="1"/>
    <col min="2306" max="2306" width="7.5" style="138" customWidth="1"/>
    <col min="2307" max="2307" width="9.5" style="138" customWidth="1"/>
    <col min="2308" max="2308" width="3.5" style="138" customWidth="1"/>
    <col min="2309" max="2310" width="9.5" style="138" customWidth="1"/>
    <col min="2311" max="2311" width="3.5" style="138" customWidth="1"/>
    <col min="2312" max="2313" width="9.5" style="138" customWidth="1"/>
    <col min="2314" max="2314" width="3" style="138" customWidth="1"/>
    <col min="2315" max="2316" width="9.5" style="138" customWidth="1"/>
    <col min="2317" max="2317" width="3.5" style="138" customWidth="1"/>
    <col min="2318" max="2319" width="9.5" style="138" customWidth="1"/>
    <col min="2320" max="2320" width="3.5" style="138" customWidth="1"/>
    <col min="2321" max="2321" width="7.5" style="138" customWidth="1"/>
    <col min="2322" max="2322" width="9.5" style="138" customWidth="1"/>
    <col min="2323" max="2323" width="4.5" style="138" customWidth="1"/>
    <col min="2324" max="2325" width="9.5" style="138" customWidth="1"/>
    <col min="2326" max="2326" width="4.5" style="138" customWidth="1"/>
    <col min="2327" max="2328" width="9.5" style="138" customWidth="1"/>
    <col min="2329" max="2329" width="5.5" style="138" customWidth="1"/>
    <col min="2330" max="2331" width="9.5" style="138" customWidth="1"/>
    <col min="2332" max="2332" width="4" style="138" customWidth="1"/>
    <col min="2333" max="2334" width="9.5" style="138" customWidth="1"/>
    <col min="2335" max="2335" width="4.5" style="138" customWidth="1"/>
    <col min="2336" max="2336" width="7.5" style="138" customWidth="1"/>
    <col min="2337" max="2337" width="9.5" style="138" customWidth="1"/>
    <col min="2338" max="2338" width="3.5" style="138" customWidth="1"/>
    <col min="2339" max="2340" width="9.5" style="138" customWidth="1"/>
    <col min="2341" max="2341" width="3.5" style="138" customWidth="1"/>
    <col min="2342" max="2343" width="9.5" style="138" customWidth="1"/>
    <col min="2344" max="2344" width="3" style="138" customWidth="1"/>
    <col min="2345" max="2346" width="9.5" style="138" customWidth="1"/>
    <col min="2347" max="2347" width="3.5" style="138" customWidth="1"/>
    <col min="2348" max="2349" width="9.5" style="138" customWidth="1"/>
    <col min="2350" max="2350" width="3.5" style="138" customWidth="1"/>
    <col min="2351" max="2351" width="7.5" style="138" customWidth="1"/>
    <col min="2352" max="2352" width="9.5" style="138" customWidth="1"/>
    <col min="2353" max="2353" width="4.5" style="138" customWidth="1"/>
    <col min="2354" max="2355" width="9.5" style="138" customWidth="1"/>
    <col min="2356" max="2356" width="4.5" style="138" customWidth="1"/>
    <col min="2357" max="2358" width="9.5" style="138" customWidth="1"/>
    <col min="2359" max="2359" width="5.5" style="138" customWidth="1"/>
    <col min="2360" max="2361" width="9.5" style="138" customWidth="1"/>
    <col min="2362" max="2362" width="4" style="138" customWidth="1"/>
    <col min="2363" max="2364" width="9.5" style="138" customWidth="1"/>
    <col min="2365" max="2365" width="3.5" style="138" customWidth="1"/>
    <col min="2366" max="2367" width="9.5" style="138" customWidth="1"/>
    <col min="2368" max="2368" width="9" style="138" customWidth="1"/>
    <col min="2369" max="2370" width="9.5" style="138" customWidth="1"/>
    <col min="2371" max="2371" width="4.5" style="138" customWidth="1"/>
    <col min="2372" max="2373" width="9.5" style="138" customWidth="1"/>
    <col min="2374" max="2374" width="4.5" style="138" customWidth="1"/>
    <col min="2375" max="2560" width="9.5" style="138" customWidth="1"/>
    <col min="2561" max="2561" width="4.5" style="138" customWidth="1"/>
    <col min="2562" max="2562" width="7.5" style="138" customWidth="1"/>
    <col min="2563" max="2563" width="9.5" style="138" customWidth="1"/>
    <col min="2564" max="2564" width="3.5" style="138" customWidth="1"/>
    <col min="2565" max="2566" width="9.5" style="138" customWidth="1"/>
    <col min="2567" max="2567" width="3.5" style="138" customWidth="1"/>
    <col min="2568" max="2569" width="9.5" style="138" customWidth="1"/>
    <col min="2570" max="2570" width="3" style="138" customWidth="1"/>
    <col min="2571" max="2572" width="9.5" style="138" customWidth="1"/>
    <col min="2573" max="2573" width="3.5" style="138" customWidth="1"/>
    <col min="2574" max="2575" width="9.5" style="138" customWidth="1"/>
    <col min="2576" max="2576" width="3.5" style="138" customWidth="1"/>
    <col min="2577" max="2577" width="7.5" style="138" customWidth="1"/>
    <col min="2578" max="2578" width="9.5" style="138" customWidth="1"/>
    <col min="2579" max="2579" width="4.5" style="138" customWidth="1"/>
    <col min="2580" max="2581" width="9.5" style="138" customWidth="1"/>
    <col min="2582" max="2582" width="4.5" style="138" customWidth="1"/>
    <col min="2583" max="2584" width="9.5" style="138" customWidth="1"/>
    <col min="2585" max="2585" width="5.5" style="138" customWidth="1"/>
    <col min="2586" max="2587" width="9.5" style="138" customWidth="1"/>
    <col min="2588" max="2588" width="4" style="138" customWidth="1"/>
    <col min="2589" max="2590" width="9.5" style="138" customWidth="1"/>
    <col min="2591" max="2591" width="4.5" style="138" customWidth="1"/>
    <col min="2592" max="2592" width="7.5" style="138" customWidth="1"/>
    <col min="2593" max="2593" width="9.5" style="138" customWidth="1"/>
    <col min="2594" max="2594" width="3.5" style="138" customWidth="1"/>
    <col min="2595" max="2596" width="9.5" style="138" customWidth="1"/>
    <col min="2597" max="2597" width="3.5" style="138" customWidth="1"/>
    <col min="2598" max="2599" width="9.5" style="138" customWidth="1"/>
    <col min="2600" max="2600" width="3" style="138" customWidth="1"/>
    <col min="2601" max="2602" width="9.5" style="138" customWidth="1"/>
    <col min="2603" max="2603" width="3.5" style="138" customWidth="1"/>
    <col min="2604" max="2605" width="9.5" style="138" customWidth="1"/>
    <col min="2606" max="2606" width="3.5" style="138" customWidth="1"/>
    <col min="2607" max="2607" width="7.5" style="138" customWidth="1"/>
    <col min="2608" max="2608" width="9.5" style="138" customWidth="1"/>
    <col min="2609" max="2609" width="4.5" style="138" customWidth="1"/>
    <col min="2610" max="2611" width="9.5" style="138" customWidth="1"/>
    <col min="2612" max="2612" width="4.5" style="138" customWidth="1"/>
    <col min="2613" max="2614" width="9.5" style="138" customWidth="1"/>
    <col min="2615" max="2615" width="5.5" style="138" customWidth="1"/>
    <col min="2616" max="2617" width="9.5" style="138" customWidth="1"/>
    <col min="2618" max="2618" width="4" style="138" customWidth="1"/>
    <col min="2619" max="2620" width="9.5" style="138" customWidth="1"/>
    <col min="2621" max="2621" width="3.5" style="138" customWidth="1"/>
    <col min="2622" max="2623" width="9.5" style="138" customWidth="1"/>
    <col min="2624" max="2624" width="9" style="138" customWidth="1"/>
    <col min="2625" max="2626" width="9.5" style="138" customWidth="1"/>
    <col min="2627" max="2627" width="4.5" style="138" customWidth="1"/>
    <col min="2628" max="2629" width="9.5" style="138" customWidth="1"/>
    <col min="2630" max="2630" width="4.5" style="138" customWidth="1"/>
    <col min="2631" max="2816" width="9.5" style="138" customWidth="1"/>
    <col min="2817" max="2817" width="4.5" style="138" customWidth="1"/>
    <col min="2818" max="2818" width="7.5" style="138" customWidth="1"/>
    <col min="2819" max="2819" width="9.5" style="138" customWidth="1"/>
    <col min="2820" max="2820" width="3.5" style="138" customWidth="1"/>
    <col min="2821" max="2822" width="9.5" style="138" customWidth="1"/>
    <col min="2823" max="2823" width="3.5" style="138" customWidth="1"/>
    <col min="2824" max="2825" width="9.5" style="138" customWidth="1"/>
    <col min="2826" max="2826" width="3" style="138" customWidth="1"/>
    <col min="2827" max="2828" width="9.5" style="138" customWidth="1"/>
    <col min="2829" max="2829" width="3.5" style="138" customWidth="1"/>
    <col min="2830" max="2831" width="9.5" style="138" customWidth="1"/>
    <col min="2832" max="2832" width="3.5" style="138" customWidth="1"/>
    <col min="2833" max="2833" width="7.5" style="138" customWidth="1"/>
    <col min="2834" max="2834" width="9.5" style="138" customWidth="1"/>
    <col min="2835" max="2835" width="4.5" style="138" customWidth="1"/>
    <col min="2836" max="2837" width="9.5" style="138" customWidth="1"/>
    <col min="2838" max="2838" width="4.5" style="138" customWidth="1"/>
    <col min="2839" max="2840" width="9.5" style="138" customWidth="1"/>
    <col min="2841" max="2841" width="5.5" style="138" customWidth="1"/>
    <col min="2842" max="2843" width="9.5" style="138" customWidth="1"/>
    <col min="2844" max="2844" width="4" style="138" customWidth="1"/>
    <col min="2845" max="2846" width="9.5" style="138" customWidth="1"/>
    <col min="2847" max="2847" width="4.5" style="138" customWidth="1"/>
    <col min="2848" max="2848" width="7.5" style="138" customWidth="1"/>
    <col min="2849" max="2849" width="9.5" style="138" customWidth="1"/>
    <col min="2850" max="2850" width="3.5" style="138" customWidth="1"/>
    <col min="2851" max="2852" width="9.5" style="138" customWidth="1"/>
    <col min="2853" max="2853" width="3.5" style="138" customWidth="1"/>
    <col min="2854" max="2855" width="9.5" style="138" customWidth="1"/>
    <col min="2856" max="2856" width="3" style="138" customWidth="1"/>
    <col min="2857" max="2858" width="9.5" style="138" customWidth="1"/>
    <col min="2859" max="2859" width="3.5" style="138" customWidth="1"/>
    <col min="2860" max="2861" width="9.5" style="138" customWidth="1"/>
    <col min="2862" max="2862" width="3.5" style="138" customWidth="1"/>
    <col min="2863" max="2863" width="7.5" style="138" customWidth="1"/>
    <col min="2864" max="2864" width="9.5" style="138" customWidth="1"/>
    <col min="2865" max="2865" width="4.5" style="138" customWidth="1"/>
    <col min="2866" max="2867" width="9.5" style="138" customWidth="1"/>
    <col min="2868" max="2868" width="4.5" style="138" customWidth="1"/>
    <col min="2869" max="2870" width="9.5" style="138" customWidth="1"/>
    <col min="2871" max="2871" width="5.5" style="138" customWidth="1"/>
    <col min="2872" max="2873" width="9.5" style="138" customWidth="1"/>
    <col min="2874" max="2874" width="4" style="138" customWidth="1"/>
    <col min="2875" max="2876" width="9.5" style="138" customWidth="1"/>
    <col min="2877" max="2877" width="3.5" style="138" customWidth="1"/>
    <col min="2878" max="2879" width="9.5" style="138" customWidth="1"/>
    <col min="2880" max="2880" width="9" style="138" customWidth="1"/>
    <col min="2881" max="2882" width="9.5" style="138" customWidth="1"/>
    <col min="2883" max="2883" width="4.5" style="138" customWidth="1"/>
    <col min="2884" max="2885" width="9.5" style="138" customWidth="1"/>
    <col min="2886" max="2886" width="4.5" style="138" customWidth="1"/>
    <col min="2887" max="3072" width="9.5" style="138" customWidth="1"/>
    <col min="3073" max="3073" width="4.5" style="138" customWidth="1"/>
    <col min="3074" max="3074" width="7.5" style="138" customWidth="1"/>
    <col min="3075" max="3075" width="9.5" style="138" customWidth="1"/>
    <col min="3076" max="3076" width="3.5" style="138" customWidth="1"/>
    <col min="3077" max="3078" width="9.5" style="138" customWidth="1"/>
    <col min="3079" max="3079" width="3.5" style="138" customWidth="1"/>
    <col min="3080" max="3081" width="9.5" style="138" customWidth="1"/>
    <col min="3082" max="3082" width="3" style="138" customWidth="1"/>
    <col min="3083" max="3084" width="9.5" style="138" customWidth="1"/>
    <col min="3085" max="3085" width="3.5" style="138" customWidth="1"/>
    <col min="3086" max="3087" width="9.5" style="138" customWidth="1"/>
    <col min="3088" max="3088" width="3.5" style="138" customWidth="1"/>
    <col min="3089" max="3089" width="7.5" style="138" customWidth="1"/>
    <col min="3090" max="3090" width="9.5" style="138" customWidth="1"/>
    <col min="3091" max="3091" width="4.5" style="138" customWidth="1"/>
    <col min="3092" max="3093" width="9.5" style="138" customWidth="1"/>
    <col min="3094" max="3094" width="4.5" style="138" customWidth="1"/>
    <col min="3095" max="3096" width="9.5" style="138" customWidth="1"/>
    <col min="3097" max="3097" width="5.5" style="138" customWidth="1"/>
    <col min="3098" max="3099" width="9.5" style="138" customWidth="1"/>
    <col min="3100" max="3100" width="4" style="138" customWidth="1"/>
    <col min="3101" max="3102" width="9.5" style="138" customWidth="1"/>
    <col min="3103" max="3103" width="4.5" style="138" customWidth="1"/>
    <col min="3104" max="3104" width="7.5" style="138" customWidth="1"/>
    <col min="3105" max="3105" width="9.5" style="138" customWidth="1"/>
    <col min="3106" max="3106" width="3.5" style="138" customWidth="1"/>
    <col min="3107" max="3108" width="9.5" style="138" customWidth="1"/>
    <col min="3109" max="3109" width="3.5" style="138" customWidth="1"/>
    <col min="3110" max="3111" width="9.5" style="138" customWidth="1"/>
    <col min="3112" max="3112" width="3" style="138" customWidth="1"/>
    <col min="3113" max="3114" width="9.5" style="138" customWidth="1"/>
    <col min="3115" max="3115" width="3.5" style="138" customWidth="1"/>
    <col min="3116" max="3117" width="9.5" style="138" customWidth="1"/>
    <col min="3118" max="3118" width="3.5" style="138" customWidth="1"/>
    <col min="3119" max="3119" width="7.5" style="138" customWidth="1"/>
    <col min="3120" max="3120" width="9.5" style="138" customWidth="1"/>
    <col min="3121" max="3121" width="4.5" style="138" customWidth="1"/>
    <col min="3122" max="3123" width="9.5" style="138" customWidth="1"/>
    <col min="3124" max="3124" width="4.5" style="138" customWidth="1"/>
    <col min="3125" max="3126" width="9.5" style="138" customWidth="1"/>
    <col min="3127" max="3127" width="5.5" style="138" customWidth="1"/>
    <col min="3128" max="3129" width="9.5" style="138" customWidth="1"/>
    <col min="3130" max="3130" width="4" style="138" customWidth="1"/>
    <col min="3131" max="3132" width="9.5" style="138" customWidth="1"/>
    <col min="3133" max="3133" width="3.5" style="138" customWidth="1"/>
    <col min="3134" max="3135" width="9.5" style="138" customWidth="1"/>
    <col min="3136" max="3136" width="9" style="138" customWidth="1"/>
    <col min="3137" max="3138" width="9.5" style="138" customWidth="1"/>
    <col min="3139" max="3139" width="4.5" style="138" customWidth="1"/>
    <col min="3140" max="3141" width="9.5" style="138" customWidth="1"/>
    <col min="3142" max="3142" width="4.5" style="138" customWidth="1"/>
    <col min="3143" max="3328" width="9.5" style="138" customWidth="1"/>
    <col min="3329" max="3329" width="4.5" style="138" customWidth="1"/>
    <col min="3330" max="3330" width="7.5" style="138" customWidth="1"/>
    <col min="3331" max="3331" width="9.5" style="138" customWidth="1"/>
    <col min="3332" max="3332" width="3.5" style="138" customWidth="1"/>
    <col min="3333" max="3334" width="9.5" style="138" customWidth="1"/>
    <col min="3335" max="3335" width="3.5" style="138" customWidth="1"/>
    <col min="3336" max="3337" width="9.5" style="138" customWidth="1"/>
    <col min="3338" max="3338" width="3" style="138" customWidth="1"/>
    <col min="3339" max="3340" width="9.5" style="138" customWidth="1"/>
    <col min="3341" max="3341" width="3.5" style="138" customWidth="1"/>
    <col min="3342" max="3343" width="9.5" style="138" customWidth="1"/>
    <col min="3344" max="3344" width="3.5" style="138" customWidth="1"/>
    <col min="3345" max="3345" width="7.5" style="138" customWidth="1"/>
    <col min="3346" max="3346" width="9.5" style="138" customWidth="1"/>
    <col min="3347" max="3347" width="4.5" style="138" customWidth="1"/>
    <col min="3348" max="3349" width="9.5" style="138" customWidth="1"/>
    <col min="3350" max="3350" width="4.5" style="138" customWidth="1"/>
    <col min="3351" max="3352" width="9.5" style="138" customWidth="1"/>
    <col min="3353" max="3353" width="5.5" style="138" customWidth="1"/>
    <col min="3354" max="3355" width="9.5" style="138" customWidth="1"/>
    <col min="3356" max="3356" width="4" style="138" customWidth="1"/>
    <col min="3357" max="3358" width="9.5" style="138" customWidth="1"/>
    <col min="3359" max="3359" width="4.5" style="138" customWidth="1"/>
    <col min="3360" max="3360" width="7.5" style="138" customWidth="1"/>
    <col min="3361" max="3361" width="9.5" style="138" customWidth="1"/>
    <col min="3362" max="3362" width="3.5" style="138" customWidth="1"/>
    <col min="3363" max="3364" width="9.5" style="138" customWidth="1"/>
    <col min="3365" max="3365" width="3.5" style="138" customWidth="1"/>
    <col min="3366" max="3367" width="9.5" style="138" customWidth="1"/>
    <col min="3368" max="3368" width="3" style="138" customWidth="1"/>
    <col min="3369" max="3370" width="9.5" style="138" customWidth="1"/>
    <col min="3371" max="3371" width="3.5" style="138" customWidth="1"/>
    <col min="3372" max="3373" width="9.5" style="138" customWidth="1"/>
    <col min="3374" max="3374" width="3.5" style="138" customWidth="1"/>
    <col min="3375" max="3375" width="7.5" style="138" customWidth="1"/>
    <col min="3376" max="3376" width="9.5" style="138" customWidth="1"/>
    <col min="3377" max="3377" width="4.5" style="138" customWidth="1"/>
    <col min="3378" max="3379" width="9.5" style="138" customWidth="1"/>
    <col min="3380" max="3380" width="4.5" style="138" customWidth="1"/>
    <col min="3381" max="3382" width="9.5" style="138" customWidth="1"/>
    <col min="3383" max="3383" width="5.5" style="138" customWidth="1"/>
    <col min="3384" max="3385" width="9.5" style="138" customWidth="1"/>
    <col min="3386" max="3386" width="4" style="138" customWidth="1"/>
    <col min="3387" max="3388" width="9.5" style="138" customWidth="1"/>
    <col min="3389" max="3389" width="3.5" style="138" customWidth="1"/>
    <col min="3390" max="3391" width="9.5" style="138" customWidth="1"/>
    <col min="3392" max="3392" width="9" style="138" customWidth="1"/>
    <col min="3393" max="3394" width="9.5" style="138" customWidth="1"/>
    <col min="3395" max="3395" width="4.5" style="138" customWidth="1"/>
    <col min="3396" max="3397" width="9.5" style="138" customWidth="1"/>
    <col min="3398" max="3398" width="4.5" style="138" customWidth="1"/>
    <col min="3399" max="3584" width="9.5" style="138" customWidth="1"/>
    <col min="3585" max="3585" width="4.5" style="138" customWidth="1"/>
    <col min="3586" max="3586" width="7.5" style="138" customWidth="1"/>
    <col min="3587" max="3587" width="9.5" style="138" customWidth="1"/>
    <col min="3588" max="3588" width="3.5" style="138" customWidth="1"/>
    <col min="3589" max="3590" width="9.5" style="138" customWidth="1"/>
    <col min="3591" max="3591" width="3.5" style="138" customWidth="1"/>
    <col min="3592" max="3593" width="9.5" style="138" customWidth="1"/>
    <col min="3594" max="3594" width="3" style="138" customWidth="1"/>
    <col min="3595" max="3596" width="9.5" style="138" customWidth="1"/>
    <col min="3597" max="3597" width="3.5" style="138" customWidth="1"/>
    <col min="3598" max="3599" width="9.5" style="138" customWidth="1"/>
    <col min="3600" max="3600" width="3.5" style="138" customWidth="1"/>
    <col min="3601" max="3601" width="7.5" style="138" customWidth="1"/>
    <col min="3602" max="3602" width="9.5" style="138" customWidth="1"/>
    <col min="3603" max="3603" width="4.5" style="138" customWidth="1"/>
    <col min="3604" max="3605" width="9.5" style="138" customWidth="1"/>
    <col min="3606" max="3606" width="4.5" style="138" customWidth="1"/>
    <col min="3607" max="3608" width="9.5" style="138" customWidth="1"/>
    <col min="3609" max="3609" width="5.5" style="138" customWidth="1"/>
    <col min="3610" max="3611" width="9.5" style="138" customWidth="1"/>
    <col min="3612" max="3612" width="4" style="138" customWidth="1"/>
    <col min="3613" max="3614" width="9.5" style="138" customWidth="1"/>
    <col min="3615" max="3615" width="4.5" style="138" customWidth="1"/>
    <col min="3616" max="3616" width="7.5" style="138" customWidth="1"/>
    <col min="3617" max="3617" width="9.5" style="138" customWidth="1"/>
    <col min="3618" max="3618" width="3.5" style="138" customWidth="1"/>
    <col min="3619" max="3620" width="9.5" style="138" customWidth="1"/>
    <col min="3621" max="3621" width="3.5" style="138" customWidth="1"/>
    <col min="3622" max="3623" width="9.5" style="138" customWidth="1"/>
    <col min="3624" max="3624" width="3" style="138" customWidth="1"/>
    <col min="3625" max="3626" width="9.5" style="138" customWidth="1"/>
    <col min="3627" max="3627" width="3.5" style="138" customWidth="1"/>
    <col min="3628" max="3629" width="9.5" style="138" customWidth="1"/>
    <col min="3630" max="3630" width="3.5" style="138" customWidth="1"/>
    <col min="3631" max="3631" width="7.5" style="138" customWidth="1"/>
    <col min="3632" max="3632" width="9.5" style="138" customWidth="1"/>
    <col min="3633" max="3633" width="4.5" style="138" customWidth="1"/>
    <col min="3634" max="3635" width="9.5" style="138" customWidth="1"/>
    <col min="3636" max="3636" width="4.5" style="138" customWidth="1"/>
    <col min="3637" max="3638" width="9.5" style="138" customWidth="1"/>
    <col min="3639" max="3639" width="5.5" style="138" customWidth="1"/>
    <col min="3640" max="3641" width="9.5" style="138" customWidth="1"/>
    <col min="3642" max="3642" width="4" style="138" customWidth="1"/>
    <col min="3643" max="3644" width="9.5" style="138" customWidth="1"/>
    <col min="3645" max="3645" width="3.5" style="138" customWidth="1"/>
    <col min="3646" max="3647" width="9.5" style="138" customWidth="1"/>
    <col min="3648" max="3648" width="9" style="138" customWidth="1"/>
    <col min="3649" max="3650" width="9.5" style="138" customWidth="1"/>
    <col min="3651" max="3651" width="4.5" style="138" customWidth="1"/>
    <col min="3652" max="3653" width="9.5" style="138" customWidth="1"/>
    <col min="3654" max="3654" width="4.5" style="138" customWidth="1"/>
    <col min="3655" max="3840" width="9.5" style="138" customWidth="1"/>
    <col min="3841" max="3841" width="4.5" style="138" customWidth="1"/>
    <col min="3842" max="3842" width="7.5" style="138" customWidth="1"/>
    <col min="3843" max="3843" width="9.5" style="138" customWidth="1"/>
    <col min="3844" max="3844" width="3.5" style="138" customWidth="1"/>
    <col min="3845" max="3846" width="9.5" style="138" customWidth="1"/>
    <col min="3847" max="3847" width="3.5" style="138" customWidth="1"/>
    <col min="3848" max="3849" width="9.5" style="138" customWidth="1"/>
    <col min="3850" max="3850" width="3" style="138" customWidth="1"/>
    <col min="3851" max="3852" width="9.5" style="138" customWidth="1"/>
    <col min="3853" max="3853" width="3.5" style="138" customWidth="1"/>
    <col min="3854" max="3855" width="9.5" style="138" customWidth="1"/>
    <col min="3856" max="3856" width="3.5" style="138" customWidth="1"/>
    <col min="3857" max="3857" width="7.5" style="138" customWidth="1"/>
    <col min="3858" max="3858" width="9.5" style="138" customWidth="1"/>
    <col min="3859" max="3859" width="4.5" style="138" customWidth="1"/>
    <col min="3860" max="3861" width="9.5" style="138" customWidth="1"/>
    <col min="3862" max="3862" width="4.5" style="138" customWidth="1"/>
    <col min="3863" max="3864" width="9.5" style="138" customWidth="1"/>
    <col min="3865" max="3865" width="5.5" style="138" customWidth="1"/>
    <col min="3866" max="3867" width="9.5" style="138" customWidth="1"/>
    <col min="3868" max="3868" width="4" style="138" customWidth="1"/>
    <col min="3869" max="3870" width="9.5" style="138" customWidth="1"/>
    <col min="3871" max="3871" width="4.5" style="138" customWidth="1"/>
    <col min="3872" max="3872" width="7.5" style="138" customWidth="1"/>
    <col min="3873" max="3873" width="9.5" style="138" customWidth="1"/>
    <col min="3874" max="3874" width="3.5" style="138" customWidth="1"/>
    <col min="3875" max="3876" width="9.5" style="138" customWidth="1"/>
    <col min="3877" max="3877" width="3.5" style="138" customWidth="1"/>
    <col min="3878" max="3879" width="9.5" style="138" customWidth="1"/>
    <col min="3880" max="3880" width="3" style="138" customWidth="1"/>
    <col min="3881" max="3882" width="9.5" style="138" customWidth="1"/>
    <col min="3883" max="3883" width="3.5" style="138" customWidth="1"/>
    <col min="3884" max="3885" width="9.5" style="138" customWidth="1"/>
    <col min="3886" max="3886" width="3.5" style="138" customWidth="1"/>
    <col min="3887" max="3887" width="7.5" style="138" customWidth="1"/>
    <col min="3888" max="3888" width="9.5" style="138" customWidth="1"/>
    <col min="3889" max="3889" width="4.5" style="138" customWidth="1"/>
    <col min="3890" max="3891" width="9.5" style="138" customWidth="1"/>
    <col min="3892" max="3892" width="4.5" style="138" customWidth="1"/>
    <col min="3893" max="3894" width="9.5" style="138" customWidth="1"/>
    <col min="3895" max="3895" width="5.5" style="138" customWidth="1"/>
    <col min="3896" max="3897" width="9.5" style="138" customWidth="1"/>
    <col min="3898" max="3898" width="4" style="138" customWidth="1"/>
    <col min="3899" max="3900" width="9.5" style="138" customWidth="1"/>
    <col min="3901" max="3901" width="3.5" style="138" customWidth="1"/>
    <col min="3902" max="3903" width="9.5" style="138" customWidth="1"/>
    <col min="3904" max="3904" width="9" style="138" customWidth="1"/>
    <col min="3905" max="3906" width="9.5" style="138" customWidth="1"/>
    <col min="3907" max="3907" width="4.5" style="138" customWidth="1"/>
    <col min="3908" max="3909" width="9.5" style="138" customWidth="1"/>
    <col min="3910" max="3910" width="4.5" style="138" customWidth="1"/>
    <col min="3911" max="4096" width="9.5" style="138" customWidth="1"/>
    <col min="4097" max="4097" width="4.5" style="138" customWidth="1"/>
    <col min="4098" max="4098" width="7.5" style="138" customWidth="1"/>
    <col min="4099" max="4099" width="9.5" style="138" customWidth="1"/>
    <col min="4100" max="4100" width="3.5" style="138" customWidth="1"/>
    <col min="4101" max="4102" width="9.5" style="138" customWidth="1"/>
    <col min="4103" max="4103" width="3.5" style="138" customWidth="1"/>
    <col min="4104" max="4105" width="9.5" style="138" customWidth="1"/>
    <col min="4106" max="4106" width="3" style="138" customWidth="1"/>
    <col min="4107" max="4108" width="9.5" style="138" customWidth="1"/>
    <col min="4109" max="4109" width="3.5" style="138" customWidth="1"/>
    <col min="4110" max="4111" width="9.5" style="138" customWidth="1"/>
    <col min="4112" max="4112" width="3.5" style="138" customWidth="1"/>
    <col min="4113" max="4113" width="7.5" style="138" customWidth="1"/>
    <col min="4114" max="4114" width="9.5" style="138" customWidth="1"/>
    <col min="4115" max="4115" width="4.5" style="138" customWidth="1"/>
    <col min="4116" max="4117" width="9.5" style="138" customWidth="1"/>
    <col min="4118" max="4118" width="4.5" style="138" customWidth="1"/>
    <col min="4119" max="4120" width="9.5" style="138" customWidth="1"/>
    <col min="4121" max="4121" width="5.5" style="138" customWidth="1"/>
    <col min="4122" max="4123" width="9.5" style="138" customWidth="1"/>
    <col min="4124" max="4124" width="4" style="138" customWidth="1"/>
    <col min="4125" max="4126" width="9.5" style="138" customWidth="1"/>
    <col min="4127" max="4127" width="4.5" style="138" customWidth="1"/>
    <col min="4128" max="4128" width="7.5" style="138" customWidth="1"/>
    <col min="4129" max="4129" width="9.5" style="138" customWidth="1"/>
    <col min="4130" max="4130" width="3.5" style="138" customWidth="1"/>
    <col min="4131" max="4132" width="9.5" style="138" customWidth="1"/>
    <col min="4133" max="4133" width="3.5" style="138" customWidth="1"/>
    <col min="4134" max="4135" width="9.5" style="138" customWidth="1"/>
    <col min="4136" max="4136" width="3" style="138" customWidth="1"/>
    <col min="4137" max="4138" width="9.5" style="138" customWidth="1"/>
    <col min="4139" max="4139" width="3.5" style="138" customWidth="1"/>
    <col min="4140" max="4141" width="9.5" style="138" customWidth="1"/>
    <col min="4142" max="4142" width="3.5" style="138" customWidth="1"/>
    <col min="4143" max="4143" width="7.5" style="138" customWidth="1"/>
    <col min="4144" max="4144" width="9.5" style="138" customWidth="1"/>
    <col min="4145" max="4145" width="4.5" style="138" customWidth="1"/>
    <col min="4146" max="4147" width="9.5" style="138" customWidth="1"/>
    <col min="4148" max="4148" width="4.5" style="138" customWidth="1"/>
    <col min="4149" max="4150" width="9.5" style="138" customWidth="1"/>
    <col min="4151" max="4151" width="5.5" style="138" customWidth="1"/>
    <col min="4152" max="4153" width="9.5" style="138" customWidth="1"/>
    <col min="4154" max="4154" width="4" style="138" customWidth="1"/>
    <col min="4155" max="4156" width="9.5" style="138" customWidth="1"/>
    <col min="4157" max="4157" width="3.5" style="138" customWidth="1"/>
    <col min="4158" max="4159" width="9.5" style="138" customWidth="1"/>
    <col min="4160" max="4160" width="9" style="138" customWidth="1"/>
    <col min="4161" max="4162" width="9.5" style="138" customWidth="1"/>
    <col min="4163" max="4163" width="4.5" style="138" customWidth="1"/>
    <col min="4164" max="4165" width="9.5" style="138" customWidth="1"/>
    <col min="4166" max="4166" width="4.5" style="138" customWidth="1"/>
    <col min="4167" max="4352" width="9.5" style="138" customWidth="1"/>
    <col min="4353" max="4353" width="4.5" style="138" customWidth="1"/>
    <col min="4354" max="4354" width="7.5" style="138" customWidth="1"/>
    <col min="4355" max="4355" width="9.5" style="138" customWidth="1"/>
    <col min="4356" max="4356" width="3.5" style="138" customWidth="1"/>
    <col min="4357" max="4358" width="9.5" style="138" customWidth="1"/>
    <col min="4359" max="4359" width="3.5" style="138" customWidth="1"/>
    <col min="4360" max="4361" width="9.5" style="138" customWidth="1"/>
    <col min="4362" max="4362" width="3" style="138" customWidth="1"/>
    <col min="4363" max="4364" width="9.5" style="138" customWidth="1"/>
    <col min="4365" max="4365" width="3.5" style="138" customWidth="1"/>
    <col min="4366" max="4367" width="9.5" style="138" customWidth="1"/>
    <col min="4368" max="4368" width="3.5" style="138" customWidth="1"/>
    <col min="4369" max="4369" width="7.5" style="138" customWidth="1"/>
    <col min="4370" max="4370" width="9.5" style="138" customWidth="1"/>
    <col min="4371" max="4371" width="4.5" style="138" customWidth="1"/>
    <col min="4372" max="4373" width="9.5" style="138" customWidth="1"/>
    <col min="4374" max="4374" width="4.5" style="138" customWidth="1"/>
    <col min="4375" max="4376" width="9.5" style="138" customWidth="1"/>
    <col min="4377" max="4377" width="5.5" style="138" customWidth="1"/>
    <col min="4378" max="4379" width="9.5" style="138" customWidth="1"/>
    <col min="4380" max="4380" width="4" style="138" customWidth="1"/>
    <col min="4381" max="4382" width="9.5" style="138" customWidth="1"/>
    <col min="4383" max="4383" width="4.5" style="138" customWidth="1"/>
    <col min="4384" max="4384" width="7.5" style="138" customWidth="1"/>
    <col min="4385" max="4385" width="9.5" style="138" customWidth="1"/>
    <col min="4386" max="4386" width="3.5" style="138" customWidth="1"/>
    <col min="4387" max="4388" width="9.5" style="138" customWidth="1"/>
    <col min="4389" max="4389" width="3.5" style="138" customWidth="1"/>
    <col min="4390" max="4391" width="9.5" style="138" customWidth="1"/>
    <col min="4392" max="4392" width="3" style="138" customWidth="1"/>
    <col min="4393" max="4394" width="9.5" style="138" customWidth="1"/>
    <col min="4395" max="4395" width="3.5" style="138" customWidth="1"/>
    <col min="4396" max="4397" width="9.5" style="138" customWidth="1"/>
    <col min="4398" max="4398" width="3.5" style="138" customWidth="1"/>
    <col min="4399" max="4399" width="7.5" style="138" customWidth="1"/>
    <col min="4400" max="4400" width="9.5" style="138" customWidth="1"/>
    <col min="4401" max="4401" width="4.5" style="138" customWidth="1"/>
    <col min="4402" max="4403" width="9.5" style="138" customWidth="1"/>
    <col min="4404" max="4404" width="4.5" style="138" customWidth="1"/>
    <col min="4405" max="4406" width="9.5" style="138" customWidth="1"/>
    <col min="4407" max="4407" width="5.5" style="138" customWidth="1"/>
    <col min="4408" max="4409" width="9.5" style="138" customWidth="1"/>
    <col min="4410" max="4410" width="4" style="138" customWidth="1"/>
    <col min="4411" max="4412" width="9.5" style="138" customWidth="1"/>
    <col min="4413" max="4413" width="3.5" style="138" customWidth="1"/>
    <col min="4414" max="4415" width="9.5" style="138" customWidth="1"/>
    <col min="4416" max="4416" width="9" style="138" customWidth="1"/>
    <col min="4417" max="4418" width="9.5" style="138" customWidth="1"/>
    <col min="4419" max="4419" width="4.5" style="138" customWidth="1"/>
    <col min="4420" max="4421" width="9.5" style="138" customWidth="1"/>
    <col min="4422" max="4422" width="4.5" style="138" customWidth="1"/>
    <col min="4423" max="4608" width="9.5" style="138" customWidth="1"/>
    <col min="4609" max="4609" width="4.5" style="138" customWidth="1"/>
    <col min="4610" max="4610" width="7.5" style="138" customWidth="1"/>
    <col min="4611" max="4611" width="9.5" style="138" customWidth="1"/>
    <col min="4612" max="4612" width="3.5" style="138" customWidth="1"/>
    <col min="4613" max="4614" width="9.5" style="138" customWidth="1"/>
    <col min="4615" max="4615" width="3.5" style="138" customWidth="1"/>
    <col min="4616" max="4617" width="9.5" style="138" customWidth="1"/>
    <col min="4618" max="4618" width="3" style="138" customWidth="1"/>
    <col min="4619" max="4620" width="9.5" style="138" customWidth="1"/>
    <col min="4621" max="4621" width="3.5" style="138" customWidth="1"/>
    <col min="4622" max="4623" width="9.5" style="138" customWidth="1"/>
    <col min="4624" max="4624" width="3.5" style="138" customWidth="1"/>
    <col min="4625" max="4625" width="7.5" style="138" customWidth="1"/>
    <col min="4626" max="4626" width="9.5" style="138" customWidth="1"/>
    <col min="4627" max="4627" width="4.5" style="138" customWidth="1"/>
    <col min="4628" max="4629" width="9.5" style="138" customWidth="1"/>
    <col min="4630" max="4630" width="4.5" style="138" customWidth="1"/>
    <col min="4631" max="4632" width="9.5" style="138" customWidth="1"/>
    <col min="4633" max="4633" width="5.5" style="138" customWidth="1"/>
    <col min="4634" max="4635" width="9.5" style="138" customWidth="1"/>
    <col min="4636" max="4636" width="4" style="138" customWidth="1"/>
    <col min="4637" max="4638" width="9.5" style="138" customWidth="1"/>
    <col min="4639" max="4639" width="4.5" style="138" customWidth="1"/>
    <col min="4640" max="4640" width="7.5" style="138" customWidth="1"/>
    <col min="4641" max="4641" width="9.5" style="138" customWidth="1"/>
    <col min="4642" max="4642" width="3.5" style="138" customWidth="1"/>
    <col min="4643" max="4644" width="9.5" style="138" customWidth="1"/>
    <col min="4645" max="4645" width="3.5" style="138" customWidth="1"/>
    <col min="4646" max="4647" width="9.5" style="138" customWidth="1"/>
    <col min="4648" max="4648" width="3" style="138" customWidth="1"/>
    <col min="4649" max="4650" width="9.5" style="138" customWidth="1"/>
    <col min="4651" max="4651" width="3.5" style="138" customWidth="1"/>
    <col min="4652" max="4653" width="9.5" style="138" customWidth="1"/>
    <col min="4654" max="4654" width="3.5" style="138" customWidth="1"/>
    <col min="4655" max="4655" width="7.5" style="138" customWidth="1"/>
    <col min="4656" max="4656" width="9.5" style="138" customWidth="1"/>
    <col min="4657" max="4657" width="4.5" style="138" customWidth="1"/>
    <col min="4658" max="4659" width="9.5" style="138" customWidth="1"/>
    <col min="4660" max="4660" width="4.5" style="138" customWidth="1"/>
    <col min="4661" max="4662" width="9.5" style="138" customWidth="1"/>
    <col min="4663" max="4663" width="5.5" style="138" customWidth="1"/>
    <col min="4664" max="4665" width="9.5" style="138" customWidth="1"/>
    <col min="4666" max="4666" width="4" style="138" customWidth="1"/>
    <col min="4667" max="4668" width="9.5" style="138" customWidth="1"/>
    <col min="4669" max="4669" width="3.5" style="138" customWidth="1"/>
    <col min="4670" max="4671" width="9.5" style="138" customWidth="1"/>
    <col min="4672" max="4672" width="9" style="138" customWidth="1"/>
    <col min="4673" max="4674" width="9.5" style="138" customWidth="1"/>
    <col min="4675" max="4675" width="4.5" style="138" customWidth="1"/>
    <col min="4676" max="4677" width="9.5" style="138" customWidth="1"/>
    <col min="4678" max="4678" width="4.5" style="138" customWidth="1"/>
    <col min="4679" max="4864" width="9.5" style="138" customWidth="1"/>
    <col min="4865" max="4865" width="4.5" style="138" customWidth="1"/>
    <col min="4866" max="4866" width="7.5" style="138" customWidth="1"/>
    <col min="4867" max="4867" width="9.5" style="138" customWidth="1"/>
    <col min="4868" max="4868" width="3.5" style="138" customWidth="1"/>
    <col min="4869" max="4870" width="9.5" style="138" customWidth="1"/>
    <col min="4871" max="4871" width="3.5" style="138" customWidth="1"/>
    <col min="4872" max="4873" width="9.5" style="138" customWidth="1"/>
    <col min="4874" max="4874" width="3" style="138" customWidth="1"/>
    <col min="4875" max="4876" width="9.5" style="138" customWidth="1"/>
    <col min="4877" max="4877" width="3.5" style="138" customWidth="1"/>
    <col min="4878" max="4879" width="9.5" style="138" customWidth="1"/>
    <col min="4880" max="4880" width="3.5" style="138" customWidth="1"/>
    <col min="4881" max="4881" width="7.5" style="138" customWidth="1"/>
    <col min="4882" max="4882" width="9.5" style="138" customWidth="1"/>
    <col min="4883" max="4883" width="4.5" style="138" customWidth="1"/>
    <col min="4884" max="4885" width="9.5" style="138" customWidth="1"/>
    <col min="4886" max="4886" width="4.5" style="138" customWidth="1"/>
    <col min="4887" max="4888" width="9.5" style="138" customWidth="1"/>
    <col min="4889" max="4889" width="5.5" style="138" customWidth="1"/>
    <col min="4890" max="4891" width="9.5" style="138" customWidth="1"/>
    <col min="4892" max="4892" width="4" style="138" customWidth="1"/>
    <col min="4893" max="4894" width="9.5" style="138" customWidth="1"/>
    <col min="4895" max="4895" width="4.5" style="138" customWidth="1"/>
    <col min="4896" max="4896" width="7.5" style="138" customWidth="1"/>
    <col min="4897" max="4897" width="9.5" style="138" customWidth="1"/>
    <col min="4898" max="4898" width="3.5" style="138" customWidth="1"/>
    <col min="4899" max="4900" width="9.5" style="138" customWidth="1"/>
    <col min="4901" max="4901" width="3.5" style="138" customWidth="1"/>
    <col min="4902" max="4903" width="9.5" style="138" customWidth="1"/>
    <col min="4904" max="4904" width="3" style="138" customWidth="1"/>
    <col min="4905" max="4906" width="9.5" style="138" customWidth="1"/>
    <col min="4907" max="4907" width="3.5" style="138" customWidth="1"/>
    <col min="4908" max="4909" width="9.5" style="138" customWidth="1"/>
    <col min="4910" max="4910" width="3.5" style="138" customWidth="1"/>
    <col min="4911" max="4911" width="7.5" style="138" customWidth="1"/>
    <col min="4912" max="4912" width="9.5" style="138" customWidth="1"/>
    <col min="4913" max="4913" width="4.5" style="138" customWidth="1"/>
    <col min="4914" max="4915" width="9.5" style="138" customWidth="1"/>
    <col min="4916" max="4916" width="4.5" style="138" customWidth="1"/>
    <col min="4917" max="4918" width="9.5" style="138" customWidth="1"/>
    <col min="4919" max="4919" width="5.5" style="138" customWidth="1"/>
    <col min="4920" max="4921" width="9.5" style="138" customWidth="1"/>
    <col min="4922" max="4922" width="4" style="138" customWidth="1"/>
    <col min="4923" max="4924" width="9.5" style="138" customWidth="1"/>
    <col min="4925" max="4925" width="3.5" style="138" customWidth="1"/>
    <col min="4926" max="4927" width="9.5" style="138" customWidth="1"/>
    <col min="4928" max="4928" width="9" style="138" customWidth="1"/>
    <col min="4929" max="4930" width="9.5" style="138" customWidth="1"/>
    <col min="4931" max="4931" width="4.5" style="138" customWidth="1"/>
    <col min="4932" max="4933" width="9.5" style="138" customWidth="1"/>
    <col min="4934" max="4934" width="4.5" style="138" customWidth="1"/>
    <col min="4935" max="5120" width="9.5" style="138" customWidth="1"/>
    <col min="5121" max="5121" width="4.5" style="138" customWidth="1"/>
    <col min="5122" max="5122" width="7.5" style="138" customWidth="1"/>
    <col min="5123" max="5123" width="9.5" style="138" customWidth="1"/>
    <col min="5124" max="5124" width="3.5" style="138" customWidth="1"/>
    <col min="5125" max="5126" width="9.5" style="138" customWidth="1"/>
    <col min="5127" max="5127" width="3.5" style="138" customWidth="1"/>
    <col min="5128" max="5129" width="9.5" style="138" customWidth="1"/>
    <col min="5130" max="5130" width="3" style="138" customWidth="1"/>
    <col min="5131" max="5132" width="9.5" style="138" customWidth="1"/>
    <col min="5133" max="5133" width="3.5" style="138" customWidth="1"/>
    <col min="5134" max="5135" width="9.5" style="138" customWidth="1"/>
    <col min="5136" max="5136" width="3.5" style="138" customWidth="1"/>
    <col min="5137" max="5137" width="7.5" style="138" customWidth="1"/>
    <col min="5138" max="5138" width="9.5" style="138" customWidth="1"/>
    <col min="5139" max="5139" width="4.5" style="138" customWidth="1"/>
    <col min="5140" max="5141" width="9.5" style="138" customWidth="1"/>
    <col min="5142" max="5142" width="4.5" style="138" customWidth="1"/>
    <col min="5143" max="5144" width="9.5" style="138" customWidth="1"/>
    <col min="5145" max="5145" width="5.5" style="138" customWidth="1"/>
    <col min="5146" max="5147" width="9.5" style="138" customWidth="1"/>
    <col min="5148" max="5148" width="4" style="138" customWidth="1"/>
    <col min="5149" max="5150" width="9.5" style="138" customWidth="1"/>
    <col min="5151" max="5151" width="4.5" style="138" customWidth="1"/>
    <col min="5152" max="5152" width="7.5" style="138" customWidth="1"/>
    <col min="5153" max="5153" width="9.5" style="138" customWidth="1"/>
    <col min="5154" max="5154" width="3.5" style="138" customWidth="1"/>
    <col min="5155" max="5156" width="9.5" style="138" customWidth="1"/>
    <col min="5157" max="5157" width="3.5" style="138" customWidth="1"/>
    <col min="5158" max="5159" width="9.5" style="138" customWidth="1"/>
    <col min="5160" max="5160" width="3" style="138" customWidth="1"/>
    <col min="5161" max="5162" width="9.5" style="138" customWidth="1"/>
    <col min="5163" max="5163" width="3.5" style="138" customWidth="1"/>
    <col min="5164" max="5165" width="9.5" style="138" customWidth="1"/>
    <col min="5166" max="5166" width="3.5" style="138" customWidth="1"/>
    <col min="5167" max="5167" width="7.5" style="138" customWidth="1"/>
    <col min="5168" max="5168" width="9.5" style="138" customWidth="1"/>
    <col min="5169" max="5169" width="4.5" style="138" customWidth="1"/>
    <col min="5170" max="5171" width="9.5" style="138" customWidth="1"/>
    <col min="5172" max="5172" width="4.5" style="138" customWidth="1"/>
    <col min="5173" max="5174" width="9.5" style="138" customWidth="1"/>
    <col min="5175" max="5175" width="5.5" style="138" customWidth="1"/>
    <col min="5176" max="5177" width="9.5" style="138" customWidth="1"/>
    <col min="5178" max="5178" width="4" style="138" customWidth="1"/>
    <col min="5179" max="5180" width="9.5" style="138" customWidth="1"/>
    <col min="5181" max="5181" width="3.5" style="138" customWidth="1"/>
    <col min="5182" max="5183" width="9.5" style="138" customWidth="1"/>
    <col min="5184" max="5184" width="9" style="138" customWidth="1"/>
    <col min="5185" max="5186" width="9.5" style="138" customWidth="1"/>
    <col min="5187" max="5187" width="4.5" style="138" customWidth="1"/>
    <col min="5188" max="5189" width="9.5" style="138" customWidth="1"/>
    <col min="5190" max="5190" width="4.5" style="138" customWidth="1"/>
    <col min="5191" max="5376" width="9.5" style="138" customWidth="1"/>
    <col min="5377" max="5377" width="4.5" style="138" customWidth="1"/>
    <col min="5378" max="5378" width="7.5" style="138" customWidth="1"/>
    <col min="5379" max="5379" width="9.5" style="138" customWidth="1"/>
    <col min="5380" max="5380" width="3.5" style="138" customWidth="1"/>
    <col min="5381" max="5382" width="9.5" style="138" customWidth="1"/>
    <col min="5383" max="5383" width="3.5" style="138" customWidth="1"/>
    <col min="5384" max="5385" width="9.5" style="138" customWidth="1"/>
    <col min="5386" max="5386" width="3" style="138" customWidth="1"/>
    <col min="5387" max="5388" width="9.5" style="138" customWidth="1"/>
    <col min="5389" max="5389" width="3.5" style="138" customWidth="1"/>
    <col min="5390" max="5391" width="9.5" style="138" customWidth="1"/>
    <col min="5392" max="5392" width="3.5" style="138" customWidth="1"/>
    <col min="5393" max="5393" width="7.5" style="138" customWidth="1"/>
    <col min="5394" max="5394" width="9.5" style="138" customWidth="1"/>
    <col min="5395" max="5395" width="4.5" style="138" customWidth="1"/>
    <col min="5396" max="5397" width="9.5" style="138" customWidth="1"/>
    <col min="5398" max="5398" width="4.5" style="138" customWidth="1"/>
    <col min="5399" max="5400" width="9.5" style="138" customWidth="1"/>
    <col min="5401" max="5401" width="5.5" style="138" customWidth="1"/>
    <col min="5402" max="5403" width="9.5" style="138" customWidth="1"/>
    <col min="5404" max="5404" width="4" style="138" customWidth="1"/>
    <col min="5405" max="5406" width="9.5" style="138" customWidth="1"/>
    <col min="5407" max="5407" width="4.5" style="138" customWidth="1"/>
    <col min="5408" max="5408" width="7.5" style="138" customWidth="1"/>
    <col min="5409" max="5409" width="9.5" style="138" customWidth="1"/>
    <col min="5410" max="5410" width="3.5" style="138" customWidth="1"/>
    <col min="5411" max="5412" width="9.5" style="138" customWidth="1"/>
    <col min="5413" max="5413" width="3.5" style="138" customWidth="1"/>
    <col min="5414" max="5415" width="9.5" style="138" customWidth="1"/>
    <col min="5416" max="5416" width="3" style="138" customWidth="1"/>
    <col min="5417" max="5418" width="9.5" style="138" customWidth="1"/>
    <col min="5419" max="5419" width="3.5" style="138" customWidth="1"/>
    <col min="5420" max="5421" width="9.5" style="138" customWidth="1"/>
    <col min="5422" max="5422" width="3.5" style="138" customWidth="1"/>
    <col min="5423" max="5423" width="7.5" style="138" customWidth="1"/>
    <col min="5424" max="5424" width="9.5" style="138" customWidth="1"/>
    <col min="5425" max="5425" width="4.5" style="138" customWidth="1"/>
    <col min="5426" max="5427" width="9.5" style="138" customWidth="1"/>
    <col min="5428" max="5428" width="4.5" style="138" customWidth="1"/>
    <col min="5429" max="5430" width="9.5" style="138" customWidth="1"/>
    <col min="5431" max="5431" width="5.5" style="138" customWidth="1"/>
    <col min="5432" max="5433" width="9.5" style="138" customWidth="1"/>
    <col min="5434" max="5434" width="4" style="138" customWidth="1"/>
    <col min="5435" max="5436" width="9.5" style="138" customWidth="1"/>
    <col min="5437" max="5437" width="3.5" style="138" customWidth="1"/>
    <col min="5438" max="5439" width="9.5" style="138" customWidth="1"/>
    <col min="5440" max="5440" width="9" style="138" customWidth="1"/>
    <col min="5441" max="5442" width="9.5" style="138" customWidth="1"/>
    <col min="5443" max="5443" width="4.5" style="138" customWidth="1"/>
    <col min="5444" max="5445" width="9.5" style="138" customWidth="1"/>
    <col min="5446" max="5446" width="4.5" style="138" customWidth="1"/>
    <col min="5447" max="5632" width="9.5" style="138" customWidth="1"/>
    <col min="5633" max="5633" width="4.5" style="138" customWidth="1"/>
    <col min="5634" max="5634" width="7.5" style="138" customWidth="1"/>
    <col min="5635" max="5635" width="9.5" style="138" customWidth="1"/>
    <col min="5636" max="5636" width="3.5" style="138" customWidth="1"/>
    <col min="5637" max="5638" width="9.5" style="138" customWidth="1"/>
    <col min="5639" max="5639" width="3.5" style="138" customWidth="1"/>
    <col min="5640" max="5641" width="9.5" style="138" customWidth="1"/>
    <col min="5642" max="5642" width="3" style="138" customWidth="1"/>
    <col min="5643" max="5644" width="9.5" style="138" customWidth="1"/>
    <col min="5645" max="5645" width="3.5" style="138" customWidth="1"/>
    <col min="5646" max="5647" width="9.5" style="138" customWidth="1"/>
    <col min="5648" max="5648" width="3.5" style="138" customWidth="1"/>
    <col min="5649" max="5649" width="7.5" style="138" customWidth="1"/>
    <col min="5650" max="5650" width="9.5" style="138" customWidth="1"/>
    <col min="5651" max="5651" width="4.5" style="138" customWidth="1"/>
    <col min="5652" max="5653" width="9.5" style="138" customWidth="1"/>
    <col min="5654" max="5654" width="4.5" style="138" customWidth="1"/>
    <col min="5655" max="5656" width="9.5" style="138" customWidth="1"/>
    <col min="5657" max="5657" width="5.5" style="138" customWidth="1"/>
    <col min="5658" max="5659" width="9.5" style="138" customWidth="1"/>
    <col min="5660" max="5660" width="4" style="138" customWidth="1"/>
    <col min="5661" max="5662" width="9.5" style="138" customWidth="1"/>
    <col min="5663" max="5663" width="4.5" style="138" customWidth="1"/>
    <col min="5664" max="5664" width="7.5" style="138" customWidth="1"/>
    <col min="5665" max="5665" width="9.5" style="138" customWidth="1"/>
    <col min="5666" max="5666" width="3.5" style="138" customWidth="1"/>
    <col min="5667" max="5668" width="9.5" style="138" customWidth="1"/>
    <col min="5669" max="5669" width="3.5" style="138" customWidth="1"/>
    <col min="5670" max="5671" width="9.5" style="138" customWidth="1"/>
    <col min="5672" max="5672" width="3" style="138" customWidth="1"/>
    <col min="5673" max="5674" width="9.5" style="138" customWidth="1"/>
    <col min="5675" max="5675" width="3.5" style="138" customWidth="1"/>
    <col min="5676" max="5677" width="9.5" style="138" customWidth="1"/>
    <col min="5678" max="5678" width="3.5" style="138" customWidth="1"/>
    <col min="5679" max="5679" width="7.5" style="138" customWidth="1"/>
    <col min="5680" max="5680" width="9.5" style="138" customWidth="1"/>
    <col min="5681" max="5681" width="4.5" style="138" customWidth="1"/>
    <col min="5682" max="5683" width="9.5" style="138" customWidth="1"/>
    <col min="5684" max="5684" width="4.5" style="138" customWidth="1"/>
    <col min="5685" max="5686" width="9.5" style="138" customWidth="1"/>
    <col min="5687" max="5687" width="5.5" style="138" customWidth="1"/>
    <col min="5688" max="5689" width="9.5" style="138" customWidth="1"/>
    <col min="5690" max="5690" width="4" style="138" customWidth="1"/>
    <col min="5691" max="5692" width="9.5" style="138" customWidth="1"/>
    <col min="5693" max="5693" width="3.5" style="138" customWidth="1"/>
    <col min="5694" max="5695" width="9.5" style="138" customWidth="1"/>
    <col min="5696" max="5696" width="9" style="138" customWidth="1"/>
    <col min="5697" max="5698" width="9.5" style="138" customWidth="1"/>
    <col min="5699" max="5699" width="4.5" style="138" customWidth="1"/>
    <col min="5700" max="5701" width="9.5" style="138" customWidth="1"/>
    <col min="5702" max="5702" width="4.5" style="138" customWidth="1"/>
    <col min="5703" max="5888" width="9.5" style="138" customWidth="1"/>
    <col min="5889" max="5889" width="4.5" style="138" customWidth="1"/>
    <col min="5890" max="5890" width="7.5" style="138" customWidth="1"/>
    <col min="5891" max="5891" width="9.5" style="138" customWidth="1"/>
    <col min="5892" max="5892" width="3.5" style="138" customWidth="1"/>
    <col min="5893" max="5894" width="9.5" style="138" customWidth="1"/>
    <col min="5895" max="5895" width="3.5" style="138" customWidth="1"/>
    <col min="5896" max="5897" width="9.5" style="138" customWidth="1"/>
    <col min="5898" max="5898" width="3" style="138" customWidth="1"/>
    <col min="5899" max="5900" width="9.5" style="138" customWidth="1"/>
    <col min="5901" max="5901" width="3.5" style="138" customWidth="1"/>
    <col min="5902" max="5903" width="9.5" style="138" customWidth="1"/>
    <col min="5904" max="5904" width="3.5" style="138" customWidth="1"/>
    <col min="5905" max="5905" width="7.5" style="138" customWidth="1"/>
    <col min="5906" max="5906" width="9.5" style="138" customWidth="1"/>
    <col min="5907" max="5907" width="4.5" style="138" customWidth="1"/>
    <col min="5908" max="5909" width="9.5" style="138" customWidth="1"/>
    <col min="5910" max="5910" width="4.5" style="138" customWidth="1"/>
    <col min="5911" max="5912" width="9.5" style="138" customWidth="1"/>
    <col min="5913" max="5913" width="5.5" style="138" customWidth="1"/>
    <col min="5914" max="5915" width="9.5" style="138" customWidth="1"/>
    <col min="5916" max="5916" width="4" style="138" customWidth="1"/>
    <col min="5917" max="5918" width="9.5" style="138" customWidth="1"/>
    <col min="5919" max="5919" width="4.5" style="138" customWidth="1"/>
    <col min="5920" max="5920" width="7.5" style="138" customWidth="1"/>
    <col min="5921" max="5921" width="9.5" style="138" customWidth="1"/>
    <col min="5922" max="5922" width="3.5" style="138" customWidth="1"/>
    <col min="5923" max="5924" width="9.5" style="138" customWidth="1"/>
    <col min="5925" max="5925" width="3.5" style="138" customWidth="1"/>
    <col min="5926" max="5927" width="9.5" style="138" customWidth="1"/>
    <col min="5928" max="5928" width="3" style="138" customWidth="1"/>
    <col min="5929" max="5930" width="9.5" style="138" customWidth="1"/>
    <col min="5931" max="5931" width="3.5" style="138" customWidth="1"/>
    <col min="5932" max="5933" width="9.5" style="138" customWidth="1"/>
    <col min="5934" max="5934" width="3.5" style="138" customWidth="1"/>
    <col min="5935" max="5935" width="7.5" style="138" customWidth="1"/>
    <col min="5936" max="5936" width="9.5" style="138" customWidth="1"/>
    <col min="5937" max="5937" width="4.5" style="138" customWidth="1"/>
    <col min="5938" max="5939" width="9.5" style="138" customWidth="1"/>
    <col min="5940" max="5940" width="4.5" style="138" customWidth="1"/>
    <col min="5941" max="5942" width="9.5" style="138" customWidth="1"/>
    <col min="5943" max="5943" width="5.5" style="138" customWidth="1"/>
    <col min="5944" max="5945" width="9.5" style="138" customWidth="1"/>
    <col min="5946" max="5946" width="4" style="138" customWidth="1"/>
    <col min="5947" max="5948" width="9.5" style="138" customWidth="1"/>
    <col min="5949" max="5949" width="3.5" style="138" customWidth="1"/>
    <col min="5950" max="5951" width="9.5" style="138" customWidth="1"/>
    <col min="5952" max="5952" width="9" style="138" customWidth="1"/>
    <col min="5953" max="5954" width="9.5" style="138" customWidth="1"/>
    <col min="5955" max="5955" width="4.5" style="138" customWidth="1"/>
    <col min="5956" max="5957" width="9.5" style="138" customWidth="1"/>
    <col min="5958" max="5958" width="4.5" style="138" customWidth="1"/>
    <col min="5959" max="6144" width="9.5" style="138" customWidth="1"/>
    <col min="6145" max="6145" width="4.5" style="138" customWidth="1"/>
    <col min="6146" max="6146" width="7.5" style="138" customWidth="1"/>
    <col min="6147" max="6147" width="9.5" style="138" customWidth="1"/>
    <col min="6148" max="6148" width="3.5" style="138" customWidth="1"/>
    <col min="6149" max="6150" width="9.5" style="138" customWidth="1"/>
    <col min="6151" max="6151" width="3.5" style="138" customWidth="1"/>
    <col min="6152" max="6153" width="9.5" style="138" customWidth="1"/>
    <col min="6154" max="6154" width="3" style="138" customWidth="1"/>
    <col min="6155" max="6156" width="9.5" style="138" customWidth="1"/>
    <col min="6157" max="6157" width="3.5" style="138" customWidth="1"/>
    <col min="6158" max="6159" width="9.5" style="138" customWidth="1"/>
    <col min="6160" max="6160" width="3.5" style="138" customWidth="1"/>
    <col min="6161" max="6161" width="7.5" style="138" customWidth="1"/>
    <col min="6162" max="6162" width="9.5" style="138" customWidth="1"/>
    <col min="6163" max="6163" width="4.5" style="138" customWidth="1"/>
    <col min="6164" max="6165" width="9.5" style="138" customWidth="1"/>
    <col min="6166" max="6166" width="4.5" style="138" customWidth="1"/>
    <col min="6167" max="6168" width="9.5" style="138" customWidth="1"/>
    <col min="6169" max="6169" width="5.5" style="138" customWidth="1"/>
    <col min="6170" max="6171" width="9.5" style="138" customWidth="1"/>
    <col min="6172" max="6172" width="4" style="138" customWidth="1"/>
    <col min="6173" max="6174" width="9.5" style="138" customWidth="1"/>
    <col min="6175" max="6175" width="4.5" style="138" customWidth="1"/>
    <col min="6176" max="6176" width="7.5" style="138" customWidth="1"/>
    <col min="6177" max="6177" width="9.5" style="138" customWidth="1"/>
    <col min="6178" max="6178" width="3.5" style="138" customWidth="1"/>
    <col min="6179" max="6180" width="9.5" style="138" customWidth="1"/>
    <col min="6181" max="6181" width="3.5" style="138" customWidth="1"/>
    <col min="6182" max="6183" width="9.5" style="138" customWidth="1"/>
    <col min="6184" max="6184" width="3" style="138" customWidth="1"/>
    <col min="6185" max="6186" width="9.5" style="138" customWidth="1"/>
    <col min="6187" max="6187" width="3.5" style="138" customWidth="1"/>
    <col min="6188" max="6189" width="9.5" style="138" customWidth="1"/>
    <col min="6190" max="6190" width="3.5" style="138" customWidth="1"/>
    <col min="6191" max="6191" width="7.5" style="138" customWidth="1"/>
    <col min="6192" max="6192" width="9.5" style="138" customWidth="1"/>
    <col min="6193" max="6193" width="4.5" style="138" customWidth="1"/>
    <col min="6194" max="6195" width="9.5" style="138" customWidth="1"/>
    <col min="6196" max="6196" width="4.5" style="138" customWidth="1"/>
    <col min="6197" max="6198" width="9.5" style="138" customWidth="1"/>
    <col min="6199" max="6199" width="5.5" style="138" customWidth="1"/>
    <col min="6200" max="6201" width="9.5" style="138" customWidth="1"/>
    <col min="6202" max="6202" width="4" style="138" customWidth="1"/>
    <col min="6203" max="6204" width="9.5" style="138" customWidth="1"/>
    <col min="6205" max="6205" width="3.5" style="138" customWidth="1"/>
    <col min="6206" max="6207" width="9.5" style="138" customWidth="1"/>
    <col min="6208" max="6208" width="9" style="138" customWidth="1"/>
    <col min="6209" max="6210" width="9.5" style="138" customWidth="1"/>
    <col min="6211" max="6211" width="4.5" style="138" customWidth="1"/>
    <col min="6212" max="6213" width="9.5" style="138" customWidth="1"/>
    <col min="6214" max="6214" width="4.5" style="138" customWidth="1"/>
    <col min="6215" max="6400" width="9.5" style="138" customWidth="1"/>
    <col min="6401" max="6401" width="4.5" style="138" customWidth="1"/>
    <col min="6402" max="6402" width="7.5" style="138" customWidth="1"/>
    <col min="6403" max="6403" width="9.5" style="138" customWidth="1"/>
    <col min="6404" max="6404" width="3.5" style="138" customWidth="1"/>
    <col min="6405" max="6406" width="9.5" style="138" customWidth="1"/>
    <col min="6407" max="6407" width="3.5" style="138" customWidth="1"/>
    <col min="6408" max="6409" width="9.5" style="138" customWidth="1"/>
    <col min="6410" max="6410" width="3" style="138" customWidth="1"/>
    <col min="6411" max="6412" width="9.5" style="138" customWidth="1"/>
    <col min="6413" max="6413" width="3.5" style="138" customWidth="1"/>
    <col min="6414" max="6415" width="9.5" style="138" customWidth="1"/>
    <col min="6416" max="6416" width="3.5" style="138" customWidth="1"/>
    <col min="6417" max="6417" width="7.5" style="138" customWidth="1"/>
    <col min="6418" max="6418" width="9.5" style="138" customWidth="1"/>
    <col min="6419" max="6419" width="4.5" style="138" customWidth="1"/>
    <col min="6420" max="6421" width="9.5" style="138" customWidth="1"/>
    <col min="6422" max="6422" width="4.5" style="138" customWidth="1"/>
    <col min="6423" max="6424" width="9.5" style="138" customWidth="1"/>
    <col min="6425" max="6425" width="5.5" style="138" customWidth="1"/>
    <col min="6426" max="6427" width="9.5" style="138" customWidth="1"/>
    <col min="6428" max="6428" width="4" style="138" customWidth="1"/>
    <col min="6429" max="6430" width="9.5" style="138" customWidth="1"/>
    <col min="6431" max="6431" width="4.5" style="138" customWidth="1"/>
    <col min="6432" max="6432" width="7.5" style="138" customWidth="1"/>
    <col min="6433" max="6433" width="9.5" style="138" customWidth="1"/>
    <col min="6434" max="6434" width="3.5" style="138" customWidth="1"/>
    <col min="6435" max="6436" width="9.5" style="138" customWidth="1"/>
    <col min="6437" max="6437" width="3.5" style="138" customWidth="1"/>
    <col min="6438" max="6439" width="9.5" style="138" customWidth="1"/>
    <col min="6440" max="6440" width="3" style="138" customWidth="1"/>
    <col min="6441" max="6442" width="9.5" style="138" customWidth="1"/>
    <col min="6443" max="6443" width="3.5" style="138" customWidth="1"/>
    <col min="6444" max="6445" width="9.5" style="138" customWidth="1"/>
    <col min="6446" max="6446" width="3.5" style="138" customWidth="1"/>
    <col min="6447" max="6447" width="7.5" style="138" customWidth="1"/>
    <col min="6448" max="6448" width="9.5" style="138" customWidth="1"/>
    <col min="6449" max="6449" width="4.5" style="138" customWidth="1"/>
    <col min="6450" max="6451" width="9.5" style="138" customWidth="1"/>
    <col min="6452" max="6452" width="4.5" style="138" customWidth="1"/>
    <col min="6453" max="6454" width="9.5" style="138" customWidth="1"/>
    <col min="6455" max="6455" width="5.5" style="138" customWidth="1"/>
    <col min="6456" max="6457" width="9.5" style="138" customWidth="1"/>
    <col min="6458" max="6458" width="4" style="138" customWidth="1"/>
    <col min="6459" max="6460" width="9.5" style="138" customWidth="1"/>
    <col min="6461" max="6461" width="3.5" style="138" customWidth="1"/>
    <col min="6462" max="6463" width="9.5" style="138" customWidth="1"/>
    <col min="6464" max="6464" width="9" style="138" customWidth="1"/>
    <col min="6465" max="6466" width="9.5" style="138" customWidth="1"/>
    <col min="6467" max="6467" width="4.5" style="138" customWidth="1"/>
    <col min="6468" max="6469" width="9.5" style="138" customWidth="1"/>
    <col min="6470" max="6470" width="4.5" style="138" customWidth="1"/>
    <col min="6471" max="6656" width="9.5" style="138" customWidth="1"/>
    <col min="6657" max="6657" width="4.5" style="138" customWidth="1"/>
    <col min="6658" max="6658" width="7.5" style="138" customWidth="1"/>
    <col min="6659" max="6659" width="9.5" style="138" customWidth="1"/>
    <col min="6660" max="6660" width="3.5" style="138" customWidth="1"/>
    <col min="6661" max="6662" width="9.5" style="138" customWidth="1"/>
    <col min="6663" max="6663" width="3.5" style="138" customWidth="1"/>
    <col min="6664" max="6665" width="9.5" style="138" customWidth="1"/>
    <col min="6666" max="6666" width="3" style="138" customWidth="1"/>
    <col min="6667" max="6668" width="9.5" style="138" customWidth="1"/>
    <col min="6669" max="6669" width="3.5" style="138" customWidth="1"/>
    <col min="6670" max="6671" width="9.5" style="138" customWidth="1"/>
    <col min="6672" max="6672" width="3.5" style="138" customWidth="1"/>
    <col min="6673" max="6673" width="7.5" style="138" customWidth="1"/>
    <col min="6674" max="6674" width="9.5" style="138" customWidth="1"/>
    <col min="6675" max="6675" width="4.5" style="138" customWidth="1"/>
    <col min="6676" max="6677" width="9.5" style="138" customWidth="1"/>
    <col min="6678" max="6678" width="4.5" style="138" customWidth="1"/>
    <col min="6679" max="6680" width="9.5" style="138" customWidth="1"/>
    <col min="6681" max="6681" width="5.5" style="138" customWidth="1"/>
    <col min="6682" max="6683" width="9.5" style="138" customWidth="1"/>
    <col min="6684" max="6684" width="4" style="138" customWidth="1"/>
    <col min="6685" max="6686" width="9.5" style="138" customWidth="1"/>
    <col min="6687" max="6687" width="4.5" style="138" customWidth="1"/>
    <col min="6688" max="6688" width="7.5" style="138" customWidth="1"/>
    <col min="6689" max="6689" width="9.5" style="138" customWidth="1"/>
    <col min="6690" max="6690" width="3.5" style="138" customWidth="1"/>
    <col min="6691" max="6692" width="9.5" style="138" customWidth="1"/>
    <col min="6693" max="6693" width="3.5" style="138" customWidth="1"/>
    <col min="6694" max="6695" width="9.5" style="138" customWidth="1"/>
    <col min="6696" max="6696" width="3" style="138" customWidth="1"/>
    <col min="6697" max="6698" width="9.5" style="138" customWidth="1"/>
    <col min="6699" max="6699" width="3.5" style="138" customWidth="1"/>
    <col min="6700" max="6701" width="9.5" style="138" customWidth="1"/>
    <col min="6702" max="6702" width="3.5" style="138" customWidth="1"/>
    <col min="6703" max="6703" width="7.5" style="138" customWidth="1"/>
    <col min="6704" max="6704" width="9.5" style="138" customWidth="1"/>
    <col min="6705" max="6705" width="4.5" style="138" customWidth="1"/>
    <col min="6706" max="6707" width="9.5" style="138" customWidth="1"/>
    <col min="6708" max="6708" width="4.5" style="138" customWidth="1"/>
    <col min="6709" max="6710" width="9.5" style="138" customWidth="1"/>
    <col min="6711" max="6711" width="5.5" style="138" customWidth="1"/>
    <col min="6712" max="6713" width="9.5" style="138" customWidth="1"/>
    <col min="6714" max="6714" width="4" style="138" customWidth="1"/>
    <col min="6715" max="6716" width="9.5" style="138" customWidth="1"/>
    <col min="6717" max="6717" width="3.5" style="138" customWidth="1"/>
    <col min="6718" max="6719" width="9.5" style="138" customWidth="1"/>
    <col min="6720" max="6720" width="9" style="138" customWidth="1"/>
    <col min="6721" max="6722" width="9.5" style="138" customWidth="1"/>
    <col min="6723" max="6723" width="4.5" style="138" customWidth="1"/>
    <col min="6724" max="6725" width="9.5" style="138" customWidth="1"/>
    <col min="6726" max="6726" width="4.5" style="138" customWidth="1"/>
    <col min="6727" max="6912" width="9.5" style="138" customWidth="1"/>
    <col min="6913" max="6913" width="4.5" style="138" customWidth="1"/>
    <col min="6914" max="6914" width="7.5" style="138" customWidth="1"/>
    <col min="6915" max="6915" width="9.5" style="138" customWidth="1"/>
    <col min="6916" max="6916" width="3.5" style="138" customWidth="1"/>
    <col min="6917" max="6918" width="9.5" style="138" customWidth="1"/>
    <col min="6919" max="6919" width="3.5" style="138" customWidth="1"/>
    <col min="6920" max="6921" width="9.5" style="138" customWidth="1"/>
    <col min="6922" max="6922" width="3" style="138" customWidth="1"/>
    <col min="6923" max="6924" width="9.5" style="138" customWidth="1"/>
    <col min="6925" max="6925" width="3.5" style="138" customWidth="1"/>
    <col min="6926" max="6927" width="9.5" style="138" customWidth="1"/>
    <col min="6928" max="6928" width="3.5" style="138" customWidth="1"/>
    <col min="6929" max="6929" width="7.5" style="138" customWidth="1"/>
    <col min="6930" max="6930" width="9.5" style="138" customWidth="1"/>
    <col min="6931" max="6931" width="4.5" style="138" customWidth="1"/>
    <col min="6932" max="6933" width="9.5" style="138" customWidth="1"/>
    <col min="6934" max="6934" width="4.5" style="138" customWidth="1"/>
    <col min="6935" max="6936" width="9.5" style="138" customWidth="1"/>
    <col min="6937" max="6937" width="5.5" style="138" customWidth="1"/>
    <col min="6938" max="6939" width="9.5" style="138" customWidth="1"/>
    <col min="6940" max="6940" width="4" style="138" customWidth="1"/>
    <col min="6941" max="6942" width="9.5" style="138" customWidth="1"/>
    <col min="6943" max="6943" width="4.5" style="138" customWidth="1"/>
    <col min="6944" max="6944" width="7.5" style="138" customWidth="1"/>
    <col min="6945" max="6945" width="9.5" style="138" customWidth="1"/>
    <col min="6946" max="6946" width="3.5" style="138" customWidth="1"/>
    <col min="6947" max="6948" width="9.5" style="138" customWidth="1"/>
    <col min="6949" max="6949" width="3.5" style="138" customWidth="1"/>
    <col min="6950" max="6951" width="9.5" style="138" customWidth="1"/>
    <col min="6952" max="6952" width="3" style="138" customWidth="1"/>
    <col min="6953" max="6954" width="9.5" style="138" customWidth="1"/>
    <col min="6955" max="6955" width="3.5" style="138" customWidth="1"/>
    <col min="6956" max="6957" width="9.5" style="138" customWidth="1"/>
    <col min="6958" max="6958" width="3.5" style="138" customWidth="1"/>
    <col min="6959" max="6959" width="7.5" style="138" customWidth="1"/>
    <col min="6960" max="6960" width="9.5" style="138" customWidth="1"/>
    <col min="6961" max="6961" width="4.5" style="138" customWidth="1"/>
    <col min="6962" max="6963" width="9.5" style="138" customWidth="1"/>
    <col min="6964" max="6964" width="4.5" style="138" customWidth="1"/>
    <col min="6965" max="6966" width="9.5" style="138" customWidth="1"/>
    <col min="6967" max="6967" width="5.5" style="138" customWidth="1"/>
    <col min="6968" max="6969" width="9.5" style="138" customWidth="1"/>
    <col min="6970" max="6970" width="4" style="138" customWidth="1"/>
    <col min="6971" max="6972" width="9.5" style="138" customWidth="1"/>
    <col min="6973" max="6973" width="3.5" style="138" customWidth="1"/>
    <col min="6974" max="6975" width="9.5" style="138" customWidth="1"/>
    <col min="6976" max="6976" width="9" style="138" customWidth="1"/>
    <col min="6977" max="6978" width="9.5" style="138" customWidth="1"/>
    <col min="6979" max="6979" width="4.5" style="138" customWidth="1"/>
    <col min="6980" max="6981" width="9.5" style="138" customWidth="1"/>
    <col min="6982" max="6982" width="4.5" style="138" customWidth="1"/>
    <col min="6983" max="7168" width="9.5" style="138" customWidth="1"/>
    <col min="7169" max="7169" width="4.5" style="138" customWidth="1"/>
    <col min="7170" max="7170" width="7.5" style="138" customWidth="1"/>
    <col min="7171" max="7171" width="9.5" style="138" customWidth="1"/>
    <col min="7172" max="7172" width="3.5" style="138" customWidth="1"/>
    <col min="7173" max="7174" width="9.5" style="138" customWidth="1"/>
    <col min="7175" max="7175" width="3.5" style="138" customWidth="1"/>
    <col min="7176" max="7177" width="9.5" style="138" customWidth="1"/>
    <col min="7178" max="7178" width="3" style="138" customWidth="1"/>
    <col min="7179" max="7180" width="9.5" style="138" customWidth="1"/>
    <col min="7181" max="7181" width="3.5" style="138" customWidth="1"/>
    <col min="7182" max="7183" width="9.5" style="138" customWidth="1"/>
    <col min="7184" max="7184" width="3.5" style="138" customWidth="1"/>
    <col min="7185" max="7185" width="7.5" style="138" customWidth="1"/>
    <col min="7186" max="7186" width="9.5" style="138" customWidth="1"/>
    <col min="7187" max="7187" width="4.5" style="138" customWidth="1"/>
    <col min="7188" max="7189" width="9.5" style="138" customWidth="1"/>
    <col min="7190" max="7190" width="4.5" style="138" customWidth="1"/>
    <col min="7191" max="7192" width="9.5" style="138" customWidth="1"/>
    <col min="7193" max="7193" width="5.5" style="138" customWidth="1"/>
    <col min="7194" max="7195" width="9.5" style="138" customWidth="1"/>
    <col min="7196" max="7196" width="4" style="138" customWidth="1"/>
    <col min="7197" max="7198" width="9.5" style="138" customWidth="1"/>
    <col min="7199" max="7199" width="4.5" style="138" customWidth="1"/>
    <col min="7200" max="7200" width="7.5" style="138" customWidth="1"/>
    <col min="7201" max="7201" width="9.5" style="138" customWidth="1"/>
    <col min="7202" max="7202" width="3.5" style="138" customWidth="1"/>
    <col min="7203" max="7204" width="9.5" style="138" customWidth="1"/>
    <col min="7205" max="7205" width="3.5" style="138" customWidth="1"/>
    <col min="7206" max="7207" width="9.5" style="138" customWidth="1"/>
    <col min="7208" max="7208" width="3" style="138" customWidth="1"/>
    <col min="7209" max="7210" width="9.5" style="138" customWidth="1"/>
    <col min="7211" max="7211" width="3.5" style="138" customWidth="1"/>
    <col min="7212" max="7213" width="9.5" style="138" customWidth="1"/>
    <col min="7214" max="7214" width="3.5" style="138" customWidth="1"/>
    <col min="7215" max="7215" width="7.5" style="138" customWidth="1"/>
    <col min="7216" max="7216" width="9.5" style="138" customWidth="1"/>
    <col min="7217" max="7217" width="4.5" style="138" customWidth="1"/>
    <col min="7218" max="7219" width="9.5" style="138" customWidth="1"/>
    <col min="7220" max="7220" width="4.5" style="138" customWidth="1"/>
    <col min="7221" max="7222" width="9.5" style="138" customWidth="1"/>
    <col min="7223" max="7223" width="5.5" style="138" customWidth="1"/>
    <col min="7224" max="7225" width="9.5" style="138" customWidth="1"/>
    <col min="7226" max="7226" width="4" style="138" customWidth="1"/>
    <col min="7227" max="7228" width="9.5" style="138" customWidth="1"/>
    <col min="7229" max="7229" width="3.5" style="138" customWidth="1"/>
    <col min="7230" max="7231" width="9.5" style="138" customWidth="1"/>
    <col min="7232" max="7232" width="9" style="138" customWidth="1"/>
    <col min="7233" max="7234" width="9.5" style="138" customWidth="1"/>
    <col min="7235" max="7235" width="4.5" style="138" customWidth="1"/>
    <col min="7236" max="7237" width="9.5" style="138" customWidth="1"/>
    <col min="7238" max="7238" width="4.5" style="138" customWidth="1"/>
    <col min="7239" max="7424" width="9.5" style="138" customWidth="1"/>
    <col min="7425" max="7425" width="4.5" style="138" customWidth="1"/>
    <col min="7426" max="7426" width="7.5" style="138" customWidth="1"/>
    <col min="7427" max="7427" width="9.5" style="138" customWidth="1"/>
    <col min="7428" max="7428" width="3.5" style="138" customWidth="1"/>
    <col min="7429" max="7430" width="9.5" style="138" customWidth="1"/>
    <col min="7431" max="7431" width="3.5" style="138" customWidth="1"/>
    <col min="7432" max="7433" width="9.5" style="138" customWidth="1"/>
    <col min="7434" max="7434" width="3" style="138" customWidth="1"/>
    <col min="7435" max="7436" width="9.5" style="138" customWidth="1"/>
    <col min="7437" max="7437" width="3.5" style="138" customWidth="1"/>
    <col min="7438" max="7439" width="9.5" style="138" customWidth="1"/>
    <col min="7440" max="7440" width="3.5" style="138" customWidth="1"/>
    <col min="7441" max="7441" width="7.5" style="138" customWidth="1"/>
    <col min="7442" max="7442" width="9.5" style="138" customWidth="1"/>
    <col min="7443" max="7443" width="4.5" style="138" customWidth="1"/>
    <col min="7444" max="7445" width="9.5" style="138" customWidth="1"/>
    <col min="7446" max="7446" width="4.5" style="138" customWidth="1"/>
    <col min="7447" max="7448" width="9.5" style="138" customWidth="1"/>
    <col min="7449" max="7449" width="5.5" style="138" customWidth="1"/>
    <col min="7450" max="7451" width="9.5" style="138" customWidth="1"/>
    <col min="7452" max="7452" width="4" style="138" customWidth="1"/>
    <col min="7453" max="7454" width="9.5" style="138" customWidth="1"/>
    <col min="7455" max="7455" width="4.5" style="138" customWidth="1"/>
    <col min="7456" max="7456" width="7.5" style="138" customWidth="1"/>
    <col min="7457" max="7457" width="9.5" style="138" customWidth="1"/>
    <col min="7458" max="7458" width="3.5" style="138" customWidth="1"/>
    <col min="7459" max="7460" width="9.5" style="138" customWidth="1"/>
    <col min="7461" max="7461" width="3.5" style="138" customWidth="1"/>
    <col min="7462" max="7463" width="9.5" style="138" customWidth="1"/>
    <col min="7464" max="7464" width="3" style="138" customWidth="1"/>
    <col min="7465" max="7466" width="9.5" style="138" customWidth="1"/>
    <col min="7467" max="7467" width="3.5" style="138" customWidth="1"/>
    <col min="7468" max="7469" width="9.5" style="138" customWidth="1"/>
    <col min="7470" max="7470" width="3.5" style="138" customWidth="1"/>
    <col min="7471" max="7471" width="7.5" style="138" customWidth="1"/>
    <col min="7472" max="7472" width="9.5" style="138" customWidth="1"/>
    <col min="7473" max="7473" width="4.5" style="138" customWidth="1"/>
    <col min="7474" max="7475" width="9.5" style="138" customWidth="1"/>
    <col min="7476" max="7476" width="4.5" style="138" customWidth="1"/>
    <col min="7477" max="7478" width="9.5" style="138" customWidth="1"/>
    <col min="7479" max="7479" width="5.5" style="138" customWidth="1"/>
    <col min="7480" max="7481" width="9.5" style="138" customWidth="1"/>
    <col min="7482" max="7482" width="4" style="138" customWidth="1"/>
    <col min="7483" max="7484" width="9.5" style="138" customWidth="1"/>
    <col min="7485" max="7485" width="3.5" style="138" customWidth="1"/>
    <col min="7486" max="7487" width="9.5" style="138" customWidth="1"/>
    <col min="7488" max="7488" width="9" style="138" customWidth="1"/>
    <col min="7489" max="7490" width="9.5" style="138" customWidth="1"/>
    <col min="7491" max="7491" width="4.5" style="138" customWidth="1"/>
    <col min="7492" max="7493" width="9.5" style="138" customWidth="1"/>
    <col min="7494" max="7494" width="4.5" style="138" customWidth="1"/>
    <col min="7495" max="7680" width="9.5" style="138" customWidth="1"/>
    <col min="7681" max="7681" width="4.5" style="138" customWidth="1"/>
    <col min="7682" max="7682" width="7.5" style="138" customWidth="1"/>
    <col min="7683" max="7683" width="9.5" style="138" customWidth="1"/>
    <col min="7684" max="7684" width="3.5" style="138" customWidth="1"/>
    <col min="7685" max="7686" width="9.5" style="138" customWidth="1"/>
    <col min="7687" max="7687" width="3.5" style="138" customWidth="1"/>
    <col min="7688" max="7689" width="9.5" style="138" customWidth="1"/>
    <col min="7690" max="7690" width="3" style="138" customWidth="1"/>
    <col min="7691" max="7692" width="9.5" style="138" customWidth="1"/>
    <col min="7693" max="7693" width="3.5" style="138" customWidth="1"/>
    <col min="7694" max="7695" width="9.5" style="138" customWidth="1"/>
    <col min="7696" max="7696" width="3.5" style="138" customWidth="1"/>
    <col min="7697" max="7697" width="7.5" style="138" customWidth="1"/>
    <col min="7698" max="7698" width="9.5" style="138" customWidth="1"/>
    <col min="7699" max="7699" width="4.5" style="138" customWidth="1"/>
    <col min="7700" max="7701" width="9.5" style="138" customWidth="1"/>
    <col min="7702" max="7702" width="4.5" style="138" customWidth="1"/>
    <col min="7703" max="7704" width="9.5" style="138" customWidth="1"/>
    <col min="7705" max="7705" width="5.5" style="138" customWidth="1"/>
    <col min="7706" max="7707" width="9.5" style="138" customWidth="1"/>
    <col min="7708" max="7708" width="4" style="138" customWidth="1"/>
    <col min="7709" max="7710" width="9.5" style="138" customWidth="1"/>
    <col min="7711" max="7711" width="4.5" style="138" customWidth="1"/>
    <col min="7712" max="7712" width="7.5" style="138" customWidth="1"/>
    <col min="7713" max="7713" width="9.5" style="138" customWidth="1"/>
    <col min="7714" max="7714" width="3.5" style="138" customWidth="1"/>
    <col min="7715" max="7716" width="9.5" style="138" customWidth="1"/>
    <col min="7717" max="7717" width="3.5" style="138" customWidth="1"/>
    <col min="7718" max="7719" width="9.5" style="138" customWidth="1"/>
    <col min="7720" max="7720" width="3" style="138" customWidth="1"/>
    <col min="7721" max="7722" width="9.5" style="138" customWidth="1"/>
    <col min="7723" max="7723" width="3.5" style="138" customWidth="1"/>
    <col min="7724" max="7725" width="9.5" style="138" customWidth="1"/>
    <col min="7726" max="7726" width="3.5" style="138" customWidth="1"/>
    <col min="7727" max="7727" width="7.5" style="138" customWidth="1"/>
    <col min="7728" max="7728" width="9.5" style="138" customWidth="1"/>
    <col min="7729" max="7729" width="4.5" style="138" customWidth="1"/>
    <col min="7730" max="7731" width="9.5" style="138" customWidth="1"/>
    <col min="7732" max="7732" width="4.5" style="138" customWidth="1"/>
    <col min="7733" max="7734" width="9.5" style="138" customWidth="1"/>
    <col min="7735" max="7735" width="5.5" style="138" customWidth="1"/>
    <col min="7736" max="7737" width="9.5" style="138" customWidth="1"/>
    <col min="7738" max="7738" width="4" style="138" customWidth="1"/>
    <col min="7739" max="7740" width="9.5" style="138" customWidth="1"/>
    <col min="7741" max="7741" width="3.5" style="138" customWidth="1"/>
    <col min="7742" max="7743" width="9.5" style="138" customWidth="1"/>
    <col min="7744" max="7744" width="9" style="138" customWidth="1"/>
    <col min="7745" max="7746" width="9.5" style="138" customWidth="1"/>
    <col min="7747" max="7747" width="4.5" style="138" customWidth="1"/>
    <col min="7748" max="7749" width="9.5" style="138" customWidth="1"/>
    <col min="7750" max="7750" width="4.5" style="138" customWidth="1"/>
    <col min="7751" max="7936" width="9.5" style="138" customWidth="1"/>
    <col min="7937" max="7937" width="4.5" style="138" customWidth="1"/>
    <col min="7938" max="7938" width="7.5" style="138" customWidth="1"/>
    <col min="7939" max="7939" width="9.5" style="138" customWidth="1"/>
    <col min="7940" max="7940" width="3.5" style="138" customWidth="1"/>
    <col min="7941" max="7942" width="9.5" style="138" customWidth="1"/>
    <col min="7943" max="7943" width="3.5" style="138" customWidth="1"/>
    <col min="7944" max="7945" width="9.5" style="138" customWidth="1"/>
    <col min="7946" max="7946" width="3" style="138" customWidth="1"/>
    <col min="7947" max="7948" width="9.5" style="138" customWidth="1"/>
    <col min="7949" max="7949" width="3.5" style="138" customWidth="1"/>
    <col min="7950" max="7951" width="9.5" style="138" customWidth="1"/>
    <col min="7952" max="7952" width="3.5" style="138" customWidth="1"/>
    <col min="7953" max="7953" width="7.5" style="138" customWidth="1"/>
    <col min="7954" max="7954" width="9.5" style="138" customWidth="1"/>
    <col min="7955" max="7955" width="4.5" style="138" customWidth="1"/>
    <col min="7956" max="7957" width="9.5" style="138" customWidth="1"/>
    <col min="7958" max="7958" width="4.5" style="138" customWidth="1"/>
    <col min="7959" max="7960" width="9.5" style="138" customWidth="1"/>
    <col min="7961" max="7961" width="5.5" style="138" customWidth="1"/>
    <col min="7962" max="7963" width="9.5" style="138" customWidth="1"/>
    <col min="7964" max="7964" width="4" style="138" customWidth="1"/>
    <col min="7965" max="7966" width="9.5" style="138" customWidth="1"/>
    <col min="7967" max="7967" width="4.5" style="138" customWidth="1"/>
    <col min="7968" max="7968" width="7.5" style="138" customWidth="1"/>
    <col min="7969" max="7969" width="9.5" style="138" customWidth="1"/>
    <col min="7970" max="7970" width="3.5" style="138" customWidth="1"/>
    <col min="7971" max="7972" width="9.5" style="138" customWidth="1"/>
    <col min="7973" max="7973" width="3.5" style="138" customWidth="1"/>
    <col min="7974" max="7975" width="9.5" style="138" customWidth="1"/>
    <col min="7976" max="7976" width="3" style="138" customWidth="1"/>
    <col min="7977" max="7978" width="9.5" style="138" customWidth="1"/>
    <col min="7979" max="7979" width="3.5" style="138" customWidth="1"/>
    <col min="7980" max="7981" width="9.5" style="138" customWidth="1"/>
    <col min="7982" max="7982" width="3.5" style="138" customWidth="1"/>
    <col min="7983" max="7983" width="7.5" style="138" customWidth="1"/>
    <col min="7984" max="7984" width="9.5" style="138" customWidth="1"/>
    <col min="7985" max="7985" width="4.5" style="138" customWidth="1"/>
    <col min="7986" max="7987" width="9.5" style="138" customWidth="1"/>
    <col min="7988" max="7988" width="4.5" style="138" customWidth="1"/>
    <col min="7989" max="7990" width="9.5" style="138" customWidth="1"/>
    <col min="7991" max="7991" width="5.5" style="138" customWidth="1"/>
    <col min="7992" max="7993" width="9.5" style="138" customWidth="1"/>
    <col min="7994" max="7994" width="4" style="138" customWidth="1"/>
    <col min="7995" max="7996" width="9.5" style="138" customWidth="1"/>
    <col min="7997" max="7997" width="3.5" style="138" customWidth="1"/>
    <col min="7998" max="7999" width="9.5" style="138" customWidth="1"/>
    <col min="8000" max="8000" width="9" style="138" customWidth="1"/>
    <col min="8001" max="8002" width="9.5" style="138" customWidth="1"/>
    <col min="8003" max="8003" width="4.5" style="138" customWidth="1"/>
    <col min="8004" max="8005" width="9.5" style="138" customWidth="1"/>
    <col min="8006" max="8006" width="4.5" style="138" customWidth="1"/>
    <col min="8007" max="8192" width="9.5" style="138" customWidth="1"/>
    <col min="8193" max="8193" width="4.5" style="138" customWidth="1"/>
    <col min="8194" max="8194" width="7.5" style="138" customWidth="1"/>
    <col min="8195" max="8195" width="9.5" style="138" customWidth="1"/>
    <col min="8196" max="8196" width="3.5" style="138" customWidth="1"/>
    <col min="8197" max="8198" width="9.5" style="138" customWidth="1"/>
    <col min="8199" max="8199" width="3.5" style="138" customWidth="1"/>
    <col min="8200" max="8201" width="9.5" style="138" customWidth="1"/>
    <col min="8202" max="8202" width="3" style="138" customWidth="1"/>
    <col min="8203" max="8204" width="9.5" style="138" customWidth="1"/>
    <col min="8205" max="8205" width="3.5" style="138" customWidth="1"/>
    <col min="8206" max="8207" width="9.5" style="138" customWidth="1"/>
    <col min="8208" max="8208" width="3.5" style="138" customWidth="1"/>
    <col min="8209" max="8209" width="7.5" style="138" customWidth="1"/>
    <col min="8210" max="8210" width="9.5" style="138" customWidth="1"/>
    <col min="8211" max="8211" width="4.5" style="138" customWidth="1"/>
    <col min="8212" max="8213" width="9.5" style="138" customWidth="1"/>
    <col min="8214" max="8214" width="4.5" style="138" customWidth="1"/>
    <col min="8215" max="8216" width="9.5" style="138" customWidth="1"/>
    <col min="8217" max="8217" width="5.5" style="138" customWidth="1"/>
    <col min="8218" max="8219" width="9.5" style="138" customWidth="1"/>
    <col min="8220" max="8220" width="4" style="138" customWidth="1"/>
    <col min="8221" max="8222" width="9.5" style="138" customWidth="1"/>
    <col min="8223" max="8223" width="4.5" style="138" customWidth="1"/>
    <col min="8224" max="8224" width="7.5" style="138" customWidth="1"/>
    <col min="8225" max="8225" width="9.5" style="138" customWidth="1"/>
    <col min="8226" max="8226" width="3.5" style="138" customWidth="1"/>
    <col min="8227" max="8228" width="9.5" style="138" customWidth="1"/>
    <col min="8229" max="8229" width="3.5" style="138" customWidth="1"/>
    <col min="8230" max="8231" width="9.5" style="138" customWidth="1"/>
    <col min="8232" max="8232" width="3" style="138" customWidth="1"/>
    <col min="8233" max="8234" width="9.5" style="138" customWidth="1"/>
    <col min="8235" max="8235" width="3.5" style="138" customWidth="1"/>
    <col min="8236" max="8237" width="9.5" style="138" customWidth="1"/>
    <col min="8238" max="8238" width="3.5" style="138" customWidth="1"/>
    <col min="8239" max="8239" width="7.5" style="138" customWidth="1"/>
    <col min="8240" max="8240" width="9.5" style="138" customWidth="1"/>
    <col min="8241" max="8241" width="4.5" style="138" customWidth="1"/>
    <col min="8242" max="8243" width="9.5" style="138" customWidth="1"/>
    <col min="8244" max="8244" width="4.5" style="138" customWidth="1"/>
    <col min="8245" max="8246" width="9.5" style="138" customWidth="1"/>
    <col min="8247" max="8247" width="5.5" style="138" customWidth="1"/>
    <col min="8248" max="8249" width="9.5" style="138" customWidth="1"/>
    <col min="8250" max="8250" width="4" style="138" customWidth="1"/>
    <col min="8251" max="8252" width="9.5" style="138" customWidth="1"/>
    <col min="8253" max="8253" width="3.5" style="138" customWidth="1"/>
    <col min="8254" max="8255" width="9.5" style="138" customWidth="1"/>
    <col min="8256" max="8256" width="9" style="138" customWidth="1"/>
    <col min="8257" max="8258" width="9.5" style="138" customWidth="1"/>
    <col min="8259" max="8259" width="4.5" style="138" customWidth="1"/>
    <col min="8260" max="8261" width="9.5" style="138" customWidth="1"/>
    <col min="8262" max="8262" width="4.5" style="138" customWidth="1"/>
    <col min="8263" max="8448" width="9.5" style="138" customWidth="1"/>
    <col min="8449" max="8449" width="4.5" style="138" customWidth="1"/>
    <col min="8450" max="8450" width="7.5" style="138" customWidth="1"/>
    <col min="8451" max="8451" width="9.5" style="138" customWidth="1"/>
    <col min="8452" max="8452" width="3.5" style="138" customWidth="1"/>
    <col min="8453" max="8454" width="9.5" style="138" customWidth="1"/>
    <col min="8455" max="8455" width="3.5" style="138" customWidth="1"/>
    <col min="8456" max="8457" width="9.5" style="138" customWidth="1"/>
    <col min="8458" max="8458" width="3" style="138" customWidth="1"/>
    <col min="8459" max="8460" width="9.5" style="138" customWidth="1"/>
    <col min="8461" max="8461" width="3.5" style="138" customWidth="1"/>
    <col min="8462" max="8463" width="9.5" style="138" customWidth="1"/>
    <col min="8464" max="8464" width="3.5" style="138" customWidth="1"/>
    <col min="8465" max="8465" width="7.5" style="138" customWidth="1"/>
    <col min="8466" max="8466" width="9.5" style="138" customWidth="1"/>
    <col min="8467" max="8467" width="4.5" style="138" customWidth="1"/>
    <col min="8468" max="8469" width="9.5" style="138" customWidth="1"/>
    <col min="8470" max="8470" width="4.5" style="138" customWidth="1"/>
    <col min="8471" max="8472" width="9.5" style="138" customWidth="1"/>
    <col min="8473" max="8473" width="5.5" style="138" customWidth="1"/>
    <col min="8474" max="8475" width="9.5" style="138" customWidth="1"/>
    <col min="8476" max="8476" width="4" style="138" customWidth="1"/>
    <col min="8477" max="8478" width="9.5" style="138" customWidth="1"/>
    <col min="8479" max="8479" width="4.5" style="138" customWidth="1"/>
    <col min="8480" max="8480" width="7.5" style="138" customWidth="1"/>
    <col min="8481" max="8481" width="9.5" style="138" customWidth="1"/>
    <col min="8482" max="8482" width="3.5" style="138" customWidth="1"/>
    <col min="8483" max="8484" width="9.5" style="138" customWidth="1"/>
    <col min="8485" max="8485" width="3.5" style="138" customWidth="1"/>
    <col min="8486" max="8487" width="9.5" style="138" customWidth="1"/>
    <col min="8488" max="8488" width="3" style="138" customWidth="1"/>
    <col min="8489" max="8490" width="9.5" style="138" customWidth="1"/>
    <col min="8491" max="8491" width="3.5" style="138" customWidth="1"/>
    <col min="8492" max="8493" width="9.5" style="138" customWidth="1"/>
    <col min="8494" max="8494" width="3.5" style="138" customWidth="1"/>
    <col min="8495" max="8495" width="7.5" style="138" customWidth="1"/>
    <col min="8496" max="8496" width="9.5" style="138" customWidth="1"/>
    <col min="8497" max="8497" width="4.5" style="138" customWidth="1"/>
    <col min="8498" max="8499" width="9.5" style="138" customWidth="1"/>
    <col min="8500" max="8500" width="4.5" style="138" customWidth="1"/>
    <col min="8501" max="8502" width="9.5" style="138" customWidth="1"/>
    <col min="8503" max="8503" width="5.5" style="138" customWidth="1"/>
    <col min="8504" max="8505" width="9.5" style="138" customWidth="1"/>
    <col min="8506" max="8506" width="4" style="138" customWidth="1"/>
    <col min="8507" max="8508" width="9.5" style="138" customWidth="1"/>
    <col min="8509" max="8509" width="3.5" style="138" customWidth="1"/>
    <col min="8510" max="8511" width="9.5" style="138" customWidth="1"/>
    <col min="8512" max="8512" width="9" style="138" customWidth="1"/>
    <col min="8513" max="8514" width="9.5" style="138" customWidth="1"/>
    <col min="8515" max="8515" width="4.5" style="138" customWidth="1"/>
    <col min="8516" max="8517" width="9.5" style="138" customWidth="1"/>
    <col min="8518" max="8518" width="4.5" style="138" customWidth="1"/>
    <col min="8519" max="8704" width="9.5" style="138" customWidth="1"/>
    <col min="8705" max="8705" width="4.5" style="138" customWidth="1"/>
    <col min="8706" max="8706" width="7.5" style="138" customWidth="1"/>
    <col min="8707" max="8707" width="9.5" style="138" customWidth="1"/>
    <col min="8708" max="8708" width="3.5" style="138" customWidth="1"/>
    <col min="8709" max="8710" width="9.5" style="138" customWidth="1"/>
    <col min="8711" max="8711" width="3.5" style="138" customWidth="1"/>
    <col min="8712" max="8713" width="9.5" style="138" customWidth="1"/>
    <col min="8714" max="8714" width="3" style="138" customWidth="1"/>
    <col min="8715" max="8716" width="9.5" style="138" customWidth="1"/>
    <col min="8717" max="8717" width="3.5" style="138" customWidth="1"/>
    <col min="8718" max="8719" width="9.5" style="138" customWidth="1"/>
    <col min="8720" max="8720" width="3.5" style="138" customWidth="1"/>
    <col min="8721" max="8721" width="7.5" style="138" customWidth="1"/>
    <col min="8722" max="8722" width="9.5" style="138" customWidth="1"/>
    <col min="8723" max="8723" width="4.5" style="138" customWidth="1"/>
    <col min="8724" max="8725" width="9.5" style="138" customWidth="1"/>
    <col min="8726" max="8726" width="4.5" style="138" customWidth="1"/>
    <col min="8727" max="8728" width="9.5" style="138" customWidth="1"/>
    <col min="8729" max="8729" width="5.5" style="138" customWidth="1"/>
    <col min="8730" max="8731" width="9.5" style="138" customWidth="1"/>
    <col min="8732" max="8732" width="4" style="138" customWidth="1"/>
    <col min="8733" max="8734" width="9.5" style="138" customWidth="1"/>
    <col min="8735" max="8735" width="4.5" style="138" customWidth="1"/>
    <col min="8736" max="8736" width="7.5" style="138" customWidth="1"/>
    <col min="8737" max="8737" width="9.5" style="138" customWidth="1"/>
    <col min="8738" max="8738" width="3.5" style="138" customWidth="1"/>
    <col min="8739" max="8740" width="9.5" style="138" customWidth="1"/>
    <col min="8741" max="8741" width="3.5" style="138" customWidth="1"/>
    <col min="8742" max="8743" width="9.5" style="138" customWidth="1"/>
    <col min="8744" max="8744" width="3" style="138" customWidth="1"/>
    <col min="8745" max="8746" width="9.5" style="138" customWidth="1"/>
    <col min="8747" max="8747" width="3.5" style="138" customWidth="1"/>
    <col min="8748" max="8749" width="9.5" style="138" customWidth="1"/>
    <col min="8750" max="8750" width="3.5" style="138" customWidth="1"/>
    <col min="8751" max="8751" width="7.5" style="138" customWidth="1"/>
    <col min="8752" max="8752" width="9.5" style="138" customWidth="1"/>
    <col min="8753" max="8753" width="4.5" style="138" customWidth="1"/>
    <col min="8754" max="8755" width="9.5" style="138" customWidth="1"/>
    <col min="8756" max="8756" width="4.5" style="138" customWidth="1"/>
    <col min="8757" max="8758" width="9.5" style="138" customWidth="1"/>
    <col min="8759" max="8759" width="5.5" style="138" customWidth="1"/>
    <col min="8760" max="8761" width="9.5" style="138" customWidth="1"/>
    <col min="8762" max="8762" width="4" style="138" customWidth="1"/>
    <col min="8763" max="8764" width="9.5" style="138" customWidth="1"/>
    <col min="8765" max="8765" width="3.5" style="138" customWidth="1"/>
    <col min="8766" max="8767" width="9.5" style="138" customWidth="1"/>
    <col min="8768" max="8768" width="9" style="138" customWidth="1"/>
    <col min="8769" max="8770" width="9.5" style="138" customWidth="1"/>
    <col min="8771" max="8771" width="4.5" style="138" customWidth="1"/>
    <col min="8772" max="8773" width="9.5" style="138" customWidth="1"/>
    <col min="8774" max="8774" width="4.5" style="138" customWidth="1"/>
    <col min="8775" max="8960" width="9.5" style="138" customWidth="1"/>
    <col min="8961" max="8961" width="4.5" style="138" customWidth="1"/>
    <col min="8962" max="8962" width="7.5" style="138" customWidth="1"/>
    <col min="8963" max="8963" width="9.5" style="138" customWidth="1"/>
    <col min="8964" max="8964" width="3.5" style="138" customWidth="1"/>
    <col min="8965" max="8966" width="9.5" style="138" customWidth="1"/>
    <col min="8967" max="8967" width="3.5" style="138" customWidth="1"/>
    <col min="8968" max="8969" width="9.5" style="138" customWidth="1"/>
    <col min="8970" max="8970" width="3" style="138" customWidth="1"/>
    <col min="8971" max="8972" width="9.5" style="138" customWidth="1"/>
    <col min="8973" max="8973" width="3.5" style="138" customWidth="1"/>
    <col min="8974" max="8975" width="9.5" style="138" customWidth="1"/>
    <col min="8976" max="8976" width="3.5" style="138" customWidth="1"/>
    <col min="8977" max="8977" width="7.5" style="138" customWidth="1"/>
    <col min="8978" max="8978" width="9.5" style="138" customWidth="1"/>
    <col min="8979" max="8979" width="4.5" style="138" customWidth="1"/>
    <col min="8980" max="8981" width="9.5" style="138" customWidth="1"/>
    <col min="8982" max="8982" width="4.5" style="138" customWidth="1"/>
    <col min="8983" max="8984" width="9.5" style="138" customWidth="1"/>
    <col min="8985" max="8985" width="5.5" style="138" customWidth="1"/>
    <col min="8986" max="8987" width="9.5" style="138" customWidth="1"/>
    <col min="8988" max="8988" width="4" style="138" customWidth="1"/>
    <col min="8989" max="8990" width="9.5" style="138" customWidth="1"/>
    <col min="8991" max="8991" width="4.5" style="138" customWidth="1"/>
    <col min="8992" max="8992" width="7.5" style="138" customWidth="1"/>
    <col min="8993" max="8993" width="9.5" style="138" customWidth="1"/>
    <col min="8994" max="8994" width="3.5" style="138" customWidth="1"/>
    <col min="8995" max="8996" width="9.5" style="138" customWidth="1"/>
    <col min="8997" max="8997" width="3.5" style="138" customWidth="1"/>
    <col min="8998" max="8999" width="9.5" style="138" customWidth="1"/>
    <col min="9000" max="9000" width="3" style="138" customWidth="1"/>
    <col min="9001" max="9002" width="9.5" style="138" customWidth="1"/>
    <col min="9003" max="9003" width="3.5" style="138" customWidth="1"/>
    <col min="9004" max="9005" width="9.5" style="138" customWidth="1"/>
    <col min="9006" max="9006" width="3.5" style="138" customWidth="1"/>
    <col min="9007" max="9007" width="7.5" style="138" customWidth="1"/>
    <col min="9008" max="9008" width="9.5" style="138" customWidth="1"/>
    <col min="9009" max="9009" width="4.5" style="138" customWidth="1"/>
    <col min="9010" max="9011" width="9.5" style="138" customWidth="1"/>
    <col min="9012" max="9012" width="4.5" style="138" customWidth="1"/>
    <col min="9013" max="9014" width="9.5" style="138" customWidth="1"/>
    <col min="9015" max="9015" width="5.5" style="138" customWidth="1"/>
    <col min="9016" max="9017" width="9.5" style="138" customWidth="1"/>
    <col min="9018" max="9018" width="4" style="138" customWidth="1"/>
    <col min="9019" max="9020" width="9.5" style="138" customWidth="1"/>
    <col min="9021" max="9021" width="3.5" style="138" customWidth="1"/>
    <col min="9022" max="9023" width="9.5" style="138" customWidth="1"/>
    <col min="9024" max="9024" width="9" style="138" customWidth="1"/>
    <col min="9025" max="9026" width="9.5" style="138" customWidth="1"/>
    <col min="9027" max="9027" width="4.5" style="138" customWidth="1"/>
    <col min="9028" max="9029" width="9.5" style="138" customWidth="1"/>
    <col min="9030" max="9030" width="4.5" style="138" customWidth="1"/>
    <col min="9031" max="9216" width="9.5" style="138" customWidth="1"/>
    <col min="9217" max="9217" width="4.5" style="138" customWidth="1"/>
    <col min="9218" max="9218" width="7.5" style="138" customWidth="1"/>
    <col min="9219" max="9219" width="9.5" style="138" customWidth="1"/>
    <col min="9220" max="9220" width="3.5" style="138" customWidth="1"/>
    <col min="9221" max="9222" width="9.5" style="138" customWidth="1"/>
    <col min="9223" max="9223" width="3.5" style="138" customWidth="1"/>
    <col min="9224" max="9225" width="9.5" style="138" customWidth="1"/>
    <col min="9226" max="9226" width="3" style="138" customWidth="1"/>
    <col min="9227" max="9228" width="9.5" style="138" customWidth="1"/>
    <col min="9229" max="9229" width="3.5" style="138" customWidth="1"/>
    <col min="9230" max="9231" width="9.5" style="138" customWidth="1"/>
    <col min="9232" max="9232" width="3.5" style="138" customWidth="1"/>
    <col min="9233" max="9233" width="7.5" style="138" customWidth="1"/>
    <col min="9234" max="9234" width="9.5" style="138" customWidth="1"/>
    <col min="9235" max="9235" width="4.5" style="138" customWidth="1"/>
    <col min="9236" max="9237" width="9.5" style="138" customWidth="1"/>
    <col min="9238" max="9238" width="4.5" style="138" customWidth="1"/>
    <col min="9239" max="9240" width="9.5" style="138" customWidth="1"/>
    <col min="9241" max="9241" width="5.5" style="138" customWidth="1"/>
    <col min="9242" max="9243" width="9.5" style="138" customWidth="1"/>
    <col min="9244" max="9244" width="4" style="138" customWidth="1"/>
    <col min="9245" max="9246" width="9.5" style="138" customWidth="1"/>
    <col min="9247" max="9247" width="4.5" style="138" customWidth="1"/>
    <col min="9248" max="9248" width="7.5" style="138" customWidth="1"/>
    <col min="9249" max="9249" width="9.5" style="138" customWidth="1"/>
    <col min="9250" max="9250" width="3.5" style="138" customWidth="1"/>
    <col min="9251" max="9252" width="9.5" style="138" customWidth="1"/>
    <col min="9253" max="9253" width="3.5" style="138" customWidth="1"/>
    <col min="9254" max="9255" width="9.5" style="138" customWidth="1"/>
    <col min="9256" max="9256" width="3" style="138" customWidth="1"/>
    <col min="9257" max="9258" width="9.5" style="138" customWidth="1"/>
    <col min="9259" max="9259" width="3.5" style="138" customWidth="1"/>
    <col min="9260" max="9261" width="9.5" style="138" customWidth="1"/>
    <col min="9262" max="9262" width="3.5" style="138" customWidth="1"/>
    <col min="9263" max="9263" width="7.5" style="138" customWidth="1"/>
    <col min="9264" max="9264" width="9.5" style="138" customWidth="1"/>
    <col min="9265" max="9265" width="4.5" style="138" customWidth="1"/>
    <col min="9266" max="9267" width="9.5" style="138" customWidth="1"/>
    <col min="9268" max="9268" width="4.5" style="138" customWidth="1"/>
    <col min="9269" max="9270" width="9.5" style="138" customWidth="1"/>
    <col min="9271" max="9271" width="5.5" style="138" customWidth="1"/>
    <col min="9272" max="9273" width="9.5" style="138" customWidth="1"/>
    <col min="9274" max="9274" width="4" style="138" customWidth="1"/>
    <col min="9275" max="9276" width="9.5" style="138" customWidth="1"/>
    <col min="9277" max="9277" width="3.5" style="138" customWidth="1"/>
    <col min="9278" max="9279" width="9.5" style="138" customWidth="1"/>
    <col min="9280" max="9280" width="9" style="138" customWidth="1"/>
    <col min="9281" max="9282" width="9.5" style="138" customWidth="1"/>
    <col min="9283" max="9283" width="4.5" style="138" customWidth="1"/>
    <col min="9284" max="9285" width="9.5" style="138" customWidth="1"/>
    <col min="9286" max="9286" width="4.5" style="138" customWidth="1"/>
    <col min="9287" max="9472" width="9.5" style="138" customWidth="1"/>
    <col min="9473" max="9473" width="4.5" style="138" customWidth="1"/>
    <col min="9474" max="9474" width="7.5" style="138" customWidth="1"/>
    <col min="9475" max="9475" width="9.5" style="138" customWidth="1"/>
    <col min="9476" max="9476" width="3.5" style="138" customWidth="1"/>
    <col min="9477" max="9478" width="9.5" style="138" customWidth="1"/>
    <col min="9479" max="9479" width="3.5" style="138" customWidth="1"/>
    <col min="9480" max="9481" width="9.5" style="138" customWidth="1"/>
    <col min="9482" max="9482" width="3" style="138" customWidth="1"/>
    <col min="9483" max="9484" width="9.5" style="138" customWidth="1"/>
    <col min="9485" max="9485" width="3.5" style="138" customWidth="1"/>
    <col min="9486" max="9487" width="9.5" style="138" customWidth="1"/>
    <col min="9488" max="9488" width="3.5" style="138" customWidth="1"/>
    <col min="9489" max="9489" width="7.5" style="138" customWidth="1"/>
    <col min="9490" max="9490" width="9.5" style="138" customWidth="1"/>
    <col min="9491" max="9491" width="4.5" style="138" customWidth="1"/>
    <col min="9492" max="9493" width="9.5" style="138" customWidth="1"/>
    <col min="9494" max="9494" width="4.5" style="138" customWidth="1"/>
    <col min="9495" max="9496" width="9.5" style="138" customWidth="1"/>
    <col min="9497" max="9497" width="5.5" style="138" customWidth="1"/>
    <col min="9498" max="9499" width="9.5" style="138" customWidth="1"/>
    <col min="9500" max="9500" width="4" style="138" customWidth="1"/>
    <col min="9501" max="9502" width="9.5" style="138" customWidth="1"/>
    <col min="9503" max="9503" width="4.5" style="138" customWidth="1"/>
    <col min="9504" max="9504" width="7.5" style="138" customWidth="1"/>
    <col min="9505" max="9505" width="9.5" style="138" customWidth="1"/>
    <col min="9506" max="9506" width="3.5" style="138" customWidth="1"/>
    <col min="9507" max="9508" width="9.5" style="138" customWidth="1"/>
    <col min="9509" max="9509" width="3.5" style="138" customWidth="1"/>
    <col min="9510" max="9511" width="9.5" style="138" customWidth="1"/>
    <col min="9512" max="9512" width="3" style="138" customWidth="1"/>
    <col min="9513" max="9514" width="9.5" style="138" customWidth="1"/>
    <col min="9515" max="9515" width="3.5" style="138" customWidth="1"/>
    <col min="9516" max="9517" width="9.5" style="138" customWidth="1"/>
    <col min="9518" max="9518" width="3.5" style="138" customWidth="1"/>
    <col min="9519" max="9519" width="7.5" style="138" customWidth="1"/>
    <col min="9520" max="9520" width="9.5" style="138" customWidth="1"/>
    <col min="9521" max="9521" width="4.5" style="138" customWidth="1"/>
    <col min="9522" max="9523" width="9.5" style="138" customWidth="1"/>
    <col min="9524" max="9524" width="4.5" style="138" customWidth="1"/>
    <col min="9525" max="9526" width="9.5" style="138" customWidth="1"/>
    <col min="9527" max="9527" width="5.5" style="138" customWidth="1"/>
    <col min="9528" max="9529" width="9.5" style="138" customWidth="1"/>
    <col min="9530" max="9530" width="4" style="138" customWidth="1"/>
    <col min="9531" max="9532" width="9.5" style="138" customWidth="1"/>
    <col min="9533" max="9533" width="3.5" style="138" customWidth="1"/>
    <col min="9534" max="9535" width="9.5" style="138" customWidth="1"/>
    <col min="9536" max="9536" width="9" style="138" customWidth="1"/>
    <col min="9537" max="9538" width="9.5" style="138" customWidth="1"/>
    <col min="9539" max="9539" width="4.5" style="138" customWidth="1"/>
    <col min="9540" max="9541" width="9.5" style="138" customWidth="1"/>
    <col min="9542" max="9542" width="4.5" style="138" customWidth="1"/>
    <col min="9543" max="9728" width="9.5" style="138" customWidth="1"/>
    <col min="9729" max="9729" width="4.5" style="138" customWidth="1"/>
    <col min="9730" max="9730" width="7.5" style="138" customWidth="1"/>
    <col min="9731" max="9731" width="9.5" style="138" customWidth="1"/>
    <col min="9732" max="9732" width="3.5" style="138" customWidth="1"/>
    <col min="9733" max="9734" width="9.5" style="138" customWidth="1"/>
    <col min="9735" max="9735" width="3.5" style="138" customWidth="1"/>
    <col min="9736" max="9737" width="9.5" style="138" customWidth="1"/>
    <col min="9738" max="9738" width="3" style="138" customWidth="1"/>
    <col min="9739" max="9740" width="9.5" style="138" customWidth="1"/>
    <col min="9741" max="9741" width="3.5" style="138" customWidth="1"/>
    <col min="9742" max="9743" width="9.5" style="138" customWidth="1"/>
    <col min="9744" max="9744" width="3.5" style="138" customWidth="1"/>
    <col min="9745" max="9745" width="7.5" style="138" customWidth="1"/>
    <col min="9746" max="9746" width="9.5" style="138" customWidth="1"/>
    <col min="9747" max="9747" width="4.5" style="138" customWidth="1"/>
    <col min="9748" max="9749" width="9.5" style="138" customWidth="1"/>
    <col min="9750" max="9750" width="4.5" style="138" customWidth="1"/>
    <col min="9751" max="9752" width="9.5" style="138" customWidth="1"/>
    <col min="9753" max="9753" width="5.5" style="138" customWidth="1"/>
    <col min="9754" max="9755" width="9.5" style="138" customWidth="1"/>
    <col min="9756" max="9756" width="4" style="138" customWidth="1"/>
    <col min="9757" max="9758" width="9.5" style="138" customWidth="1"/>
    <col min="9759" max="9759" width="4.5" style="138" customWidth="1"/>
    <col min="9760" max="9760" width="7.5" style="138" customWidth="1"/>
    <col min="9761" max="9761" width="9.5" style="138" customWidth="1"/>
    <col min="9762" max="9762" width="3.5" style="138" customWidth="1"/>
    <col min="9763" max="9764" width="9.5" style="138" customWidth="1"/>
    <col min="9765" max="9765" width="3.5" style="138" customWidth="1"/>
    <col min="9766" max="9767" width="9.5" style="138" customWidth="1"/>
    <col min="9768" max="9768" width="3" style="138" customWidth="1"/>
    <col min="9769" max="9770" width="9.5" style="138" customWidth="1"/>
    <col min="9771" max="9771" width="3.5" style="138" customWidth="1"/>
    <col min="9772" max="9773" width="9.5" style="138" customWidth="1"/>
    <col min="9774" max="9774" width="3.5" style="138" customWidth="1"/>
    <col min="9775" max="9775" width="7.5" style="138" customWidth="1"/>
    <col min="9776" max="9776" width="9.5" style="138" customWidth="1"/>
    <col min="9777" max="9777" width="4.5" style="138" customWidth="1"/>
    <col min="9778" max="9779" width="9.5" style="138" customWidth="1"/>
    <col min="9780" max="9780" width="4.5" style="138" customWidth="1"/>
    <col min="9781" max="9782" width="9.5" style="138" customWidth="1"/>
    <col min="9783" max="9783" width="5.5" style="138" customWidth="1"/>
    <col min="9784" max="9785" width="9.5" style="138" customWidth="1"/>
    <col min="9786" max="9786" width="4" style="138" customWidth="1"/>
    <col min="9787" max="9788" width="9.5" style="138" customWidth="1"/>
    <col min="9789" max="9789" width="3.5" style="138" customWidth="1"/>
    <col min="9790" max="9791" width="9.5" style="138" customWidth="1"/>
    <col min="9792" max="9792" width="9" style="138" customWidth="1"/>
    <col min="9793" max="9794" width="9.5" style="138" customWidth="1"/>
    <col min="9795" max="9795" width="4.5" style="138" customWidth="1"/>
    <col min="9796" max="9797" width="9.5" style="138" customWidth="1"/>
    <col min="9798" max="9798" width="4.5" style="138" customWidth="1"/>
    <col min="9799" max="9984" width="9.5" style="138" customWidth="1"/>
    <col min="9985" max="9985" width="4.5" style="138" customWidth="1"/>
    <col min="9986" max="9986" width="7.5" style="138" customWidth="1"/>
    <col min="9987" max="9987" width="9.5" style="138" customWidth="1"/>
    <col min="9988" max="9988" width="3.5" style="138" customWidth="1"/>
    <col min="9989" max="9990" width="9.5" style="138" customWidth="1"/>
    <col min="9991" max="9991" width="3.5" style="138" customWidth="1"/>
    <col min="9992" max="9993" width="9.5" style="138" customWidth="1"/>
    <col min="9994" max="9994" width="3" style="138" customWidth="1"/>
    <col min="9995" max="9996" width="9.5" style="138" customWidth="1"/>
    <col min="9997" max="9997" width="3.5" style="138" customWidth="1"/>
    <col min="9998" max="9999" width="9.5" style="138" customWidth="1"/>
    <col min="10000" max="10000" width="3.5" style="138" customWidth="1"/>
    <col min="10001" max="10001" width="7.5" style="138" customWidth="1"/>
    <col min="10002" max="10002" width="9.5" style="138" customWidth="1"/>
    <col min="10003" max="10003" width="4.5" style="138" customWidth="1"/>
    <col min="10004" max="10005" width="9.5" style="138" customWidth="1"/>
    <col min="10006" max="10006" width="4.5" style="138" customWidth="1"/>
    <col min="10007" max="10008" width="9.5" style="138" customWidth="1"/>
    <col min="10009" max="10009" width="5.5" style="138" customWidth="1"/>
    <col min="10010" max="10011" width="9.5" style="138" customWidth="1"/>
    <col min="10012" max="10012" width="4" style="138" customWidth="1"/>
    <col min="10013" max="10014" width="9.5" style="138" customWidth="1"/>
    <col min="10015" max="10015" width="4.5" style="138" customWidth="1"/>
    <col min="10016" max="10016" width="7.5" style="138" customWidth="1"/>
    <col min="10017" max="10017" width="9.5" style="138" customWidth="1"/>
    <col min="10018" max="10018" width="3.5" style="138" customWidth="1"/>
    <col min="10019" max="10020" width="9.5" style="138" customWidth="1"/>
    <col min="10021" max="10021" width="3.5" style="138" customWidth="1"/>
    <col min="10022" max="10023" width="9.5" style="138" customWidth="1"/>
    <col min="10024" max="10024" width="3" style="138" customWidth="1"/>
    <col min="10025" max="10026" width="9.5" style="138" customWidth="1"/>
    <col min="10027" max="10027" width="3.5" style="138" customWidth="1"/>
    <col min="10028" max="10029" width="9.5" style="138" customWidth="1"/>
    <col min="10030" max="10030" width="3.5" style="138" customWidth="1"/>
    <col min="10031" max="10031" width="7.5" style="138" customWidth="1"/>
    <col min="10032" max="10032" width="9.5" style="138" customWidth="1"/>
    <col min="10033" max="10033" width="4.5" style="138" customWidth="1"/>
    <col min="10034" max="10035" width="9.5" style="138" customWidth="1"/>
    <col min="10036" max="10036" width="4.5" style="138" customWidth="1"/>
    <col min="10037" max="10038" width="9.5" style="138" customWidth="1"/>
    <col min="10039" max="10039" width="5.5" style="138" customWidth="1"/>
    <col min="10040" max="10041" width="9.5" style="138" customWidth="1"/>
    <col min="10042" max="10042" width="4" style="138" customWidth="1"/>
    <col min="10043" max="10044" width="9.5" style="138" customWidth="1"/>
    <col min="10045" max="10045" width="3.5" style="138" customWidth="1"/>
    <col min="10046" max="10047" width="9.5" style="138" customWidth="1"/>
    <col min="10048" max="10048" width="9" style="138" customWidth="1"/>
    <col min="10049" max="10050" width="9.5" style="138" customWidth="1"/>
    <col min="10051" max="10051" width="4.5" style="138" customWidth="1"/>
    <col min="10052" max="10053" width="9.5" style="138" customWidth="1"/>
    <col min="10054" max="10054" width="4.5" style="138" customWidth="1"/>
    <col min="10055" max="10240" width="9.5" style="138" customWidth="1"/>
    <col min="10241" max="10241" width="4.5" style="138" customWidth="1"/>
    <col min="10242" max="10242" width="7.5" style="138" customWidth="1"/>
    <col min="10243" max="10243" width="9.5" style="138" customWidth="1"/>
    <col min="10244" max="10244" width="3.5" style="138" customWidth="1"/>
    <col min="10245" max="10246" width="9.5" style="138" customWidth="1"/>
    <col min="10247" max="10247" width="3.5" style="138" customWidth="1"/>
    <col min="10248" max="10249" width="9.5" style="138" customWidth="1"/>
    <col min="10250" max="10250" width="3" style="138" customWidth="1"/>
    <col min="10251" max="10252" width="9.5" style="138" customWidth="1"/>
    <col min="10253" max="10253" width="3.5" style="138" customWidth="1"/>
    <col min="10254" max="10255" width="9.5" style="138" customWidth="1"/>
    <col min="10256" max="10256" width="3.5" style="138" customWidth="1"/>
    <col min="10257" max="10257" width="7.5" style="138" customWidth="1"/>
    <col min="10258" max="10258" width="9.5" style="138" customWidth="1"/>
    <col min="10259" max="10259" width="4.5" style="138" customWidth="1"/>
    <col min="10260" max="10261" width="9.5" style="138" customWidth="1"/>
    <col min="10262" max="10262" width="4.5" style="138" customWidth="1"/>
    <col min="10263" max="10264" width="9.5" style="138" customWidth="1"/>
    <col min="10265" max="10265" width="5.5" style="138" customWidth="1"/>
    <col min="10266" max="10267" width="9.5" style="138" customWidth="1"/>
    <col min="10268" max="10268" width="4" style="138" customWidth="1"/>
    <col min="10269" max="10270" width="9.5" style="138" customWidth="1"/>
    <col min="10271" max="10271" width="4.5" style="138" customWidth="1"/>
    <col min="10272" max="10272" width="7.5" style="138" customWidth="1"/>
    <col min="10273" max="10273" width="9.5" style="138" customWidth="1"/>
    <col min="10274" max="10274" width="3.5" style="138" customWidth="1"/>
    <col min="10275" max="10276" width="9.5" style="138" customWidth="1"/>
    <col min="10277" max="10277" width="3.5" style="138" customWidth="1"/>
    <col min="10278" max="10279" width="9.5" style="138" customWidth="1"/>
    <col min="10280" max="10280" width="3" style="138" customWidth="1"/>
    <col min="10281" max="10282" width="9.5" style="138" customWidth="1"/>
    <col min="10283" max="10283" width="3.5" style="138" customWidth="1"/>
    <col min="10284" max="10285" width="9.5" style="138" customWidth="1"/>
    <col min="10286" max="10286" width="3.5" style="138" customWidth="1"/>
    <col min="10287" max="10287" width="7.5" style="138" customWidth="1"/>
    <col min="10288" max="10288" width="9.5" style="138" customWidth="1"/>
    <col min="10289" max="10289" width="4.5" style="138" customWidth="1"/>
    <col min="10290" max="10291" width="9.5" style="138" customWidth="1"/>
    <col min="10292" max="10292" width="4.5" style="138" customWidth="1"/>
    <col min="10293" max="10294" width="9.5" style="138" customWidth="1"/>
    <col min="10295" max="10295" width="5.5" style="138" customWidth="1"/>
    <col min="10296" max="10297" width="9.5" style="138" customWidth="1"/>
    <col min="10298" max="10298" width="4" style="138" customWidth="1"/>
    <col min="10299" max="10300" width="9.5" style="138" customWidth="1"/>
    <col min="10301" max="10301" width="3.5" style="138" customWidth="1"/>
    <col min="10302" max="10303" width="9.5" style="138" customWidth="1"/>
    <col min="10304" max="10304" width="9" style="138" customWidth="1"/>
    <col min="10305" max="10306" width="9.5" style="138" customWidth="1"/>
    <col min="10307" max="10307" width="4.5" style="138" customWidth="1"/>
    <col min="10308" max="10309" width="9.5" style="138" customWidth="1"/>
    <col min="10310" max="10310" width="4.5" style="138" customWidth="1"/>
    <col min="10311" max="10496" width="9.5" style="138" customWidth="1"/>
    <col min="10497" max="10497" width="4.5" style="138" customWidth="1"/>
    <col min="10498" max="10498" width="7.5" style="138" customWidth="1"/>
    <col min="10499" max="10499" width="9.5" style="138" customWidth="1"/>
    <col min="10500" max="10500" width="3.5" style="138" customWidth="1"/>
    <col min="10501" max="10502" width="9.5" style="138" customWidth="1"/>
    <col min="10503" max="10503" width="3.5" style="138" customWidth="1"/>
    <col min="10504" max="10505" width="9.5" style="138" customWidth="1"/>
    <col min="10506" max="10506" width="3" style="138" customWidth="1"/>
    <col min="10507" max="10508" width="9.5" style="138" customWidth="1"/>
    <col min="10509" max="10509" width="3.5" style="138" customWidth="1"/>
    <col min="10510" max="10511" width="9.5" style="138" customWidth="1"/>
    <col min="10512" max="10512" width="3.5" style="138" customWidth="1"/>
    <col min="10513" max="10513" width="7.5" style="138" customWidth="1"/>
    <col min="10514" max="10514" width="9.5" style="138" customWidth="1"/>
    <col min="10515" max="10515" width="4.5" style="138" customWidth="1"/>
    <col min="10516" max="10517" width="9.5" style="138" customWidth="1"/>
    <col min="10518" max="10518" width="4.5" style="138" customWidth="1"/>
    <col min="10519" max="10520" width="9.5" style="138" customWidth="1"/>
    <col min="10521" max="10521" width="5.5" style="138" customWidth="1"/>
    <col min="10522" max="10523" width="9.5" style="138" customWidth="1"/>
    <col min="10524" max="10524" width="4" style="138" customWidth="1"/>
    <col min="10525" max="10526" width="9.5" style="138" customWidth="1"/>
    <col min="10527" max="10527" width="4.5" style="138" customWidth="1"/>
    <col min="10528" max="10528" width="7.5" style="138" customWidth="1"/>
    <col min="10529" max="10529" width="9.5" style="138" customWidth="1"/>
    <col min="10530" max="10530" width="3.5" style="138" customWidth="1"/>
    <col min="10531" max="10532" width="9.5" style="138" customWidth="1"/>
    <col min="10533" max="10533" width="3.5" style="138" customWidth="1"/>
    <col min="10534" max="10535" width="9.5" style="138" customWidth="1"/>
    <col min="10536" max="10536" width="3" style="138" customWidth="1"/>
    <col min="10537" max="10538" width="9.5" style="138" customWidth="1"/>
    <col min="10539" max="10539" width="3.5" style="138" customWidth="1"/>
    <col min="10540" max="10541" width="9.5" style="138" customWidth="1"/>
    <col min="10542" max="10542" width="3.5" style="138" customWidth="1"/>
    <col min="10543" max="10543" width="7.5" style="138" customWidth="1"/>
    <col min="10544" max="10544" width="9.5" style="138" customWidth="1"/>
    <col min="10545" max="10545" width="4.5" style="138" customWidth="1"/>
    <col min="10546" max="10547" width="9.5" style="138" customWidth="1"/>
    <col min="10548" max="10548" width="4.5" style="138" customWidth="1"/>
    <col min="10549" max="10550" width="9.5" style="138" customWidth="1"/>
    <col min="10551" max="10551" width="5.5" style="138" customWidth="1"/>
    <col min="10552" max="10553" width="9.5" style="138" customWidth="1"/>
    <col min="10554" max="10554" width="4" style="138" customWidth="1"/>
    <col min="10555" max="10556" width="9.5" style="138" customWidth="1"/>
    <col min="10557" max="10557" width="3.5" style="138" customWidth="1"/>
    <col min="10558" max="10559" width="9.5" style="138" customWidth="1"/>
    <col min="10560" max="10560" width="9" style="138" customWidth="1"/>
    <col min="10561" max="10562" width="9.5" style="138" customWidth="1"/>
    <col min="10563" max="10563" width="4.5" style="138" customWidth="1"/>
    <col min="10564" max="10565" width="9.5" style="138" customWidth="1"/>
    <col min="10566" max="10566" width="4.5" style="138" customWidth="1"/>
    <col min="10567" max="10752" width="9.5" style="138" customWidth="1"/>
    <col min="10753" max="10753" width="4.5" style="138" customWidth="1"/>
    <col min="10754" max="10754" width="7.5" style="138" customWidth="1"/>
    <col min="10755" max="10755" width="9.5" style="138" customWidth="1"/>
    <col min="10756" max="10756" width="3.5" style="138" customWidth="1"/>
    <col min="10757" max="10758" width="9.5" style="138" customWidth="1"/>
    <col min="10759" max="10759" width="3.5" style="138" customWidth="1"/>
    <col min="10760" max="10761" width="9.5" style="138" customWidth="1"/>
    <col min="10762" max="10762" width="3" style="138" customWidth="1"/>
    <col min="10763" max="10764" width="9.5" style="138" customWidth="1"/>
    <col min="10765" max="10765" width="3.5" style="138" customWidth="1"/>
    <col min="10766" max="10767" width="9.5" style="138" customWidth="1"/>
    <col min="10768" max="10768" width="3.5" style="138" customWidth="1"/>
    <col min="10769" max="10769" width="7.5" style="138" customWidth="1"/>
    <col min="10770" max="10770" width="9.5" style="138" customWidth="1"/>
    <col min="10771" max="10771" width="4.5" style="138" customWidth="1"/>
    <col min="10772" max="10773" width="9.5" style="138" customWidth="1"/>
    <col min="10774" max="10774" width="4.5" style="138" customWidth="1"/>
    <col min="10775" max="10776" width="9.5" style="138" customWidth="1"/>
    <col min="10777" max="10777" width="5.5" style="138" customWidth="1"/>
    <col min="10778" max="10779" width="9.5" style="138" customWidth="1"/>
    <col min="10780" max="10780" width="4" style="138" customWidth="1"/>
    <col min="10781" max="10782" width="9.5" style="138" customWidth="1"/>
    <col min="10783" max="10783" width="4.5" style="138" customWidth="1"/>
    <col min="10784" max="10784" width="7.5" style="138" customWidth="1"/>
    <col min="10785" max="10785" width="9.5" style="138" customWidth="1"/>
    <col min="10786" max="10786" width="3.5" style="138" customWidth="1"/>
    <col min="10787" max="10788" width="9.5" style="138" customWidth="1"/>
    <col min="10789" max="10789" width="3.5" style="138" customWidth="1"/>
    <col min="10790" max="10791" width="9.5" style="138" customWidth="1"/>
    <col min="10792" max="10792" width="3" style="138" customWidth="1"/>
    <col min="10793" max="10794" width="9.5" style="138" customWidth="1"/>
    <col min="10795" max="10795" width="3.5" style="138" customWidth="1"/>
    <col min="10796" max="10797" width="9.5" style="138" customWidth="1"/>
    <col min="10798" max="10798" width="3.5" style="138" customWidth="1"/>
    <col min="10799" max="10799" width="7.5" style="138" customWidth="1"/>
    <col min="10800" max="10800" width="9.5" style="138" customWidth="1"/>
    <col min="10801" max="10801" width="4.5" style="138" customWidth="1"/>
    <col min="10802" max="10803" width="9.5" style="138" customWidth="1"/>
    <col min="10804" max="10804" width="4.5" style="138" customWidth="1"/>
    <col min="10805" max="10806" width="9.5" style="138" customWidth="1"/>
    <col min="10807" max="10807" width="5.5" style="138" customWidth="1"/>
    <col min="10808" max="10809" width="9.5" style="138" customWidth="1"/>
    <col min="10810" max="10810" width="4" style="138" customWidth="1"/>
    <col min="10811" max="10812" width="9.5" style="138" customWidth="1"/>
    <col min="10813" max="10813" width="3.5" style="138" customWidth="1"/>
    <col min="10814" max="10815" width="9.5" style="138" customWidth="1"/>
    <col min="10816" max="10816" width="9" style="138" customWidth="1"/>
    <col min="10817" max="10818" width="9.5" style="138" customWidth="1"/>
    <col min="10819" max="10819" width="4.5" style="138" customWidth="1"/>
    <col min="10820" max="10821" width="9.5" style="138" customWidth="1"/>
    <col min="10822" max="10822" width="4.5" style="138" customWidth="1"/>
    <col min="10823" max="11008" width="9.5" style="138" customWidth="1"/>
    <col min="11009" max="11009" width="4.5" style="138" customWidth="1"/>
    <col min="11010" max="11010" width="7.5" style="138" customWidth="1"/>
    <col min="11011" max="11011" width="9.5" style="138" customWidth="1"/>
    <col min="11012" max="11012" width="3.5" style="138" customWidth="1"/>
    <col min="11013" max="11014" width="9.5" style="138" customWidth="1"/>
    <col min="11015" max="11015" width="3.5" style="138" customWidth="1"/>
    <col min="11016" max="11017" width="9.5" style="138" customWidth="1"/>
    <col min="11018" max="11018" width="3" style="138" customWidth="1"/>
    <col min="11019" max="11020" width="9.5" style="138" customWidth="1"/>
    <col min="11021" max="11021" width="3.5" style="138" customWidth="1"/>
    <col min="11022" max="11023" width="9.5" style="138" customWidth="1"/>
    <col min="11024" max="11024" width="3.5" style="138" customWidth="1"/>
    <col min="11025" max="11025" width="7.5" style="138" customWidth="1"/>
    <col min="11026" max="11026" width="9.5" style="138" customWidth="1"/>
    <col min="11027" max="11027" width="4.5" style="138" customWidth="1"/>
    <col min="11028" max="11029" width="9.5" style="138" customWidth="1"/>
    <col min="11030" max="11030" width="4.5" style="138" customWidth="1"/>
    <col min="11031" max="11032" width="9.5" style="138" customWidth="1"/>
    <col min="11033" max="11033" width="5.5" style="138" customWidth="1"/>
    <col min="11034" max="11035" width="9.5" style="138" customWidth="1"/>
    <col min="11036" max="11036" width="4" style="138" customWidth="1"/>
    <col min="11037" max="11038" width="9.5" style="138" customWidth="1"/>
    <col min="11039" max="11039" width="4.5" style="138" customWidth="1"/>
    <col min="11040" max="11040" width="7.5" style="138" customWidth="1"/>
    <col min="11041" max="11041" width="9.5" style="138" customWidth="1"/>
    <col min="11042" max="11042" width="3.5" style="138" customWidth="1"/>
    <col min="11043" max="11044" width="9.5" style="138" customWidth="1"/>
    <col min="11045" max="11045" width="3.5" style="138" customWidth="1"/>
    <col min="11046" max="11047" width="9.5" style="138" customWidth="1"/>
    <col min="11048" max="11048" width="3" style="138" customWidth="1"/>
    <col min="11049" max="11050" width="9.5" style="138" customWidth="1"/>
    <col min="11051" max="11051" width="3.5" style="138" customWidth="1"/>
    <col min="11052" max="11053" width="9.5" style="138" customWidth="1"/>
    <col min="11054" max="11054" width="3.5" style="138" customWidth="1"/>
    <col min="11055" max="11055" width="7.5" style="138" customWidth="1"/>
    <col min="11056" max="11056" width="9.5" style="138" customWidth="1"/>
    <col min="11057" max="11057" width="4.5" style="138" customWidth="1"/>
    <col min="11058" max="11059" width="9.5" style="138" customWidth="1"/>
    <col min="11060" max="11060" width="4.5" style="138" customWidth="1"/>
    <col min="11061" max="11062" width="9.5" style="138" customWidth="1"/>
    <col min="11063" max="11063" width="5.5" style="138" customWidth="1"/>
    <col min="11064" max="11065" width="9.5" style="138" customWidth="1"/>
    <col min="11066" max="11066" width="4" style="138" customWidth="1"/>
    <col min="11067" max="11068" width="9.5" style="138" customWidth="1"/>
    <col min="11069" max="11069" width="3.5" style="138" customWidth="1"/>
    <col min="11070" max="11071" width="9.5" style="138" customWidth="1"/>
    <col min="11072" max="11072" width="9" style="138" customWidth="1"/>
    <col min="11073" max="11074" width="9.5" style="138" customWidth="1"/>
    <col min="11075" max="11075" width="4.5" style="138" customWidth="1"/>
    <col min="11076" max="11077" width="9.5" style="138" customWidth="1"/>
    <col min="11078" max="11078" width="4.5" style="138" customWidth="1"/>
    <col min="11079" max="11264" width="9.5" style="138" customWidth="1"/>
    <col min="11265" max="11265" width="4.5" style="138" customWidth="1"/>
    <col min="11266" max="11266" width="7.5" style="138" customWidth="1"/>
    <col min="11267" max="11267" width="9.5" style="138" customWidth="1"/>
    <col min="11268" max="11268" width="3.5" style="138" customWidth="1"/>
    <col min="11269" max="11270" width="9.5" style="138" customWidth="1"/>
    <col min="11271" max="11271" width="3.5" style="138" customWidth="1"/>
    <col min="11272" max="11273" width="9.5" style="138" customWidth="1"/>
    <col min="11274" max="11274" width="3" style="138" customWidth="1"/>
    <col min="11275" max="11276" width="9.5" style="138" customWidth="1"/>
    <col min="11277" max="11277" width="3.5" style="138" customWidth="1"/>
    <col min="11278" max="11279" width="9.5" style="138" customWidth="1"/>
    <col min="11280" max="11280" width="3.5" style="138" customWidth="1"/>
    <col min="11281" max="11281" width="7.5" style="138" customWidth="1"/>
    <col min="11282" max="11282" width="9.5" style="138" customWidth="1"/>
    <col min="11283" max="11283" width="4.5" style="138" customWidth="1"/>
    <col min="11284" max="11285" width="9.5" style="138" customWidth="1"/>
    <col min="11286" max="11286" width="4.5" style="138" customWidth="1"/>
    <col min="11287" max="11288" width="9.5" style="138" customWidth="1"/>
    <col min="11289" max="11289" width="5.5" style="138" customWidth="1"/>
    <col min="11290" max="11291" width="9.5" style="138" customWidth="1"/>
    <col min="11292" max="11292" width="4" style="138" customWidth="1"/>
    <col min="11293" max="11294" width="9.5" style="138" customWidth="1"/>
    <col min="11295" max="11295" width="4.5" style="138" customWidth="1"/>
    <col min="11296" max="11296" width="7.5" style="138" customWidth="1"/>
    <col min="11297" max="11297" width="9.5" style="138" customWidth="1"/>
    <col min="11298" max="11298" width="3.5" style="138" customWidth="1"/>
    <col min="11299" max="11300" width="9.5" style="138" customWidth="1"/>
    <col min="11301" max="11301" width="3.5" style="138" customWidth="1"/>
    <col min="11302" max="11303" width="9.5" style="138" customWidth="1"/>
    <col min="11304" max="11304" width="3" style="138" customWidth="1"/>
    <col min="11305" max="11306" width="9.5" style="138" customWidth="1"/>
    <col min="11307" max="11307" width="3.5" style="138" customWidth="1"/>
    <col min="11308" max="11309" width="9.5" style="138" customWidth="1"/>
    <col min="11310" max="11310" width="3.5" style="138" customWidth="1"/>
    <col min="11311" max="11311" width="7.5" style="138" customWidth="1"/>
    <col min="11312" max="11312" width="9.5" style="138" customWidth="1"/>
    <col min="11313" max="11313" width="4.5" style="138" customWidth="1"/>
    <col min="11314" max="11315" width="9.5" style="138" customWidth="1"/>
    <col min="11316" max="11316" width="4.5" style="138" customWidth="1"/>
    <col min="11317" max="11318" width="9.5" style="138" customWidth="1"/>
    <col min="11319" max="11319" width="5.5" style="138" customWidth="1"/>
    <col min="11320" max="11321" width="9.5" style="138" customWidth="1"/>
    <col min="11322" max="11322" width="4" style="138" customWidth="1"/>
    <col min="11323" max="11324" width="9.5" style="138" customWidth="1"/>
    <col min="11325" max="11325" width="3.5" style="138" customWidth="1"/>
    <col min="11326" max="11327" width="9.5" style="138" customWidth="1"/>
    <col min="11328" max="11328" width="9" style="138" customWidth="1"/>
    <col min="11329" max="11330" width="9.5" style="138" customWidth="1"/>
    <col min="11331" max="11331" width="4.5" style="138" customWidth="1"/>
    <col min="11332" max="11333" width="9.5" style="138" customWidth="1"/>
    <col min="11334" max="11334" width="4.5" style="138" customWidth="1"/>
    <col min="11335" max="11520" width="9.5" style="138" customWidth="1"/>
    <col min="11521" max="11521" width="4.5" style="138" customWidth="1"/>
    <col min="11522" max="11522" width="7.5" style="138" customWidth="1"/>
    <col min="11523" max="11523" width="9.5" style="138" customWidth="1"/>
    <col min="11524" max="11524" width="3.5" style="138" customWidth="1"/>
    <col min="11525" max="11526" width="9.5" style="138" customWidth="1"/>
    <col min="11527" max="11527" width="3.5" style="138" customWidth="1"/>
    <col min="11528" max="11529" width="9.5" style="138" customWidth="1"/>
    <col min="11530" max="11530" width="3" style="138" customWidth="1"/>
    <col min="11531" max="11532" width="9.5" style="138" customWidth="1"/>
    <col min="11533" max="11533" width="3.5" style="138" customWidth="1"/>
    <col min="11534" max="11535" width="9.5" style="138" customWidth="1"/>
    <col min="11536" max="11536" width="3.5" style="138" customWidth="1"/>
    <col min="11537" max="11537" width="7.5" style="138" customWidth="1"/>
    <col min="11538" max="11538" width="9.5" style="138" customWidth="1"/>
    <col min="11539" max="11539" width="4.5" style="138" customWidth="1"/>
    <col min="11540" max="11541" width="9.5" style="138" customWidth="1"/>
    <col min="11542" max="11542" width="4.5" style="138" customWidth="1"/>
    <col min="11543" max="11544" width="9.5" style="138" customWidth="1"/>
    <col min="11545" max="11545" width="5.5" style="138" customWidth="1"/>
    <col min="11546" max="11547" width="9.5" style="138" customWidth="1"/>
    <col min="11548" max="11548" width="4" style="138" customWidth="1"/>
    <col min="11549" max="11550" width="9.5" style="138" customWidth="1"/>
    <col min="11551" max="11551" width="4.5" style="138" customWidth="1"/>
    <col min="11552" max="11552" width="7.5" style="138" customWidth="1"/>
    <col min="11553" max="11553" width="9.5" style="138" customWidth="1"/>
    <col min="11554" max="11554" width="3.5" style="138" customWidth="1"/>
    <col min="11555" max="11556" width="9.5" style="138" customWidth="1"/>
    <col min="11557" max="11557" width="3.5" style="138" customWidth="1"/>
    <col min="11558" max="11559" width="9.5" style="138" customWidth="1"/>
    <col min="11560" max="11560" width="3" style="138" customWidth="1"/>
    <col min="11561" max="11562" width="9.5" style="138" customWidth="1"/>
    <col min="11563" max="11563" width="3.5" style="138" customWidth="1"/>
    <col min="11564" max="11565" width="9.5" style="138" customWidth="1"/>
    <col min="11566" max="11566" width="3.5" style="138" customWidth="1"/>
    <col min="11567" max="11567" width="7.5" style="138" customWidth="1"/>
    <col min="11568" max="11568" width="9.5" style="138" customWidth="1"/>
    <col min="11569" max="11569" width="4.5" style="138" customWidth="1"/>
    <col min="11570" max="11571" width="9.5" style="138" customWidth="1"/>
    <col min="11572" max="11572" width="4.5" style="138" customWidth="1"/>
    <col min="11573" max="11574" width="9.5" style="138" customWidth="1"/>
    <col min="11575" max="11575" width="5.5" style="138" customWidth="1"/>
    <col min="11576" max="11577" width="9.5" style="138" customWidth="1"/>
    <col min="11578" max="11578" width="4" style="138" customWidth="1"/>
    <col min="11579" max="11580" width="9.5" style="138" customWidth="1"/>
    <col min="11581" max="11581" width="3.5" style="138" customWidth="1"/>
    <col min="11582" max="11583" width="9.5" style="138" customWidth="1"/>
    <col min="11584" max="11584" width="9" style="138" customWidth="1"/>
    <col min="11585" max="11586" width="9.5" style="138" customWidth="1"/>
    <col min="11587" max="11587" width="4.5" style="138" customWidth="1"/>
    <col min="11588" max="11589" width="9.5" style="138" customWidth="1"/>
    <col min="11590" max="11590" width="4.5" style="138" customWidth="1"/>
    <col min="11591" max="11776" width="9.5" style="138" customWidth="1"/>
    <col min="11777" max="11777" width="4.5" style="138" customWidth="1"/>
    <col min="11778" max="11778" width="7.5" style="138" customWidth="1"/>
    <col min="11779" max="11779" width="9.5" style="138" customWidth="1"/>
    <col min="11780" max="11780" width="3.5" style="138" customWidth="1"/>
    <col min="11781" max="11782" width="9.5" style="138" customWidth="1"/>
    <col min="11783" max="11783" width="3.5" style="138" customWidth="1"/>
    <col min="11784" max="11785" width="9.5" style="138" customWidth="1"/>
    <col min="11786" max="11786" width="3" style="138" customWidth="1"/>
    <col min="11787" max="11788" width="9.5" style="138" customWidth="1"/>
    <col min="11789" max="11789" width="3.5" style="138" customWidth="1"/>
    <col min="11790" max="11791" width="9.5" style="138" customWidth="1"/>
    <col min="11792" max="11792" width="3.5" style="138" customWidth="1"/>
    <col min="11793" max="11793" width="7.5" style="138" customWidth="1"/>
    <col min="11794" max="11794" width="9.5" style="138" customWidth="1"/>
    <col min="11795" max="11795" width="4.5" style="138" customWidth="1"/>
    <col min="11796" max="11797" width="9.5" style="138" customWidth="1"/>
    <col min="11798" max="11798" width="4.5" style="138" customWidth="1"/>
    <col min="11799" max="11800" width="9.5" style="138" customWidth="1"/>
    <col min="11801" max="11801" width="5.5" style="138" customWidth="1"/>
    <col min="11802" max="11803" width="9.5" style="138" customWidth="1"/>
    <col min="11804" max="11804" width="4" style="138" customWidth="1"/>
    <col min="11805" max="11806" width="9.5" style="138" customWidth="1"/>
    <col min="11807" max="11807" width="4.5" style="138" customWidth="1"/>
    <col min="11808" max="11808" width="7.5" style="138" customWidth="1"/>
    <col min="11809" max="11809" width="9.5" style="138" customWidth="1"/>
    <col min="11810" max="11810" width="3.5" style="138" customWidth="1"/>
    <col min="11811" max="11812" width="9.5" style="138" customWidth="1"/>
    <col min="11813" max="11813" width="3.5" style="138" customWidth="1"/>
    <col min="11814" max="11815" width="9.5" style="138" customWidth="1"/>
    <col min="11816" max="11816" width="3" style="138" customWidth="1"/>
    <col min="11817" max="11818" width="9.5" style="138" customWidth="1"/>
    <col min="11819" max="11819" width="3.5" style="138" customWidth="1"/>
    <col min="11820" max="11821" width="9.5" style="138" customWidth="1"/>
    <col min="11822" max="11822" width="3.5" style="138" customWidth="1"/>
    <col min="11823" max="11823" width="7.5" style="138" customWidth="1"/>
    <col min="11824" max="11824" width="9.5" style="138" customWidth="1"/>
    <col min="11825" max="11825" width="4.5" style="138" customWidth="1"/>
    <col min="11826" max="11827" width="9.5" style="138" customWidth="1"/>
    <col min="11828" max="11828" width="4.5" style="138" customWidth="1"/>
    <col min="11829" max="11830" width="9.5" style="138" customWidth="1"/>
    <col min="11831" max="11831" width="5.5" style="138" customWidth="1"/>
    <col min="11832" max="11833" width="9.5" style="138" customWidth="1"/>
    <col min="11834" max="11834" width="4" style="138" customWidth="1"/>
    <col min="11835" max="11836" width="9.5" style="138" customWidth="1"/>
    <col min="11837" max="11837" width="3.5" style="138" customWidth="1"/>
    <col min="11838" max="11839" width="9.5" style="138" customWidth="1"/>
    <col min="11840" max="11840" width="9" style="138" customWidth="1"/>
    <col min="11841" max="11842" width="9.5" style="138" customWidth="1"/>
    <col min="11843" max="11843" width="4.5" style="138" customWidth="1"/>
    <col min="11844" max="11845" width="9.5" style="138" customWidth="1"/>
    <col min="11846" max="11846" width="4.5" style="138" customWidth="1"/>
    <col min="11847" max="12032" width="9.5" style="138" customWidth="1"/>
    <col min="12033" max="12033" width="4.5" style="138" customWidth="1"/>
    <col min="12034" max="12034" width="7.5" style="138" customWidth="1"/>
    <col min="12035" max="12035" width="9.5" style="138" customWidth="1"/>
    <col min="12036" max="12036" width="3.5" style="138" customWidth="1"/>
    <col min="12037" max="12038" width="9.5" style="138" customWidth="1"/>
    <col min="12039" max="12039" width="3.5" style="138" customWidth="1"/>
    <col min="12040" max="12041" width="9.5" style="138" customWidth="1"/>
    <col min="12042" max="12042" width="3" style="138" customWidth="1"/>
    <col min="12043" max="12044" width="9.5" style="138" customWidth="1"/>
    <col min="12045" max="12045" width="3.5" style="138" customWidth="1"/>
    <col min="12046" max="12047" width="9.5" style="138" customWidth="1"/>
    <col min="12048" max="12048" width="3.5" style="138" customWidth="1"/>
    <col min="12049" max="12049" width="7.5" style="138" customWidth="1"/>
    <col min="12050" max="12050" width="9.5" style="138" customWidth="1"/>
    <col min="12051" max="12051" width="4.5" style="138" customWidth="1"/>
    <col min="12052" max="12053" width="9.5" style="138" customWidth="1"/>
    <col min="12054" max="12054" width="4.5" style="138" customWidth="1"/>
    <col min="12055" max="12056" width="9.5" style="138" customWidth="1"/>
    <col min="12057" max="12057" width="5.5" style="138" customWidth="1"/>
    <col min="12058" max="12059" width="9.5" style="138" customWidth="1"/>
    <col min="12060" max="12060" width="4" style="138" customWidth="1"/>
    <col min="12061" max="12062" width="9.5" style="138" customWidth="1"/>
    <col min="12063" max="12063" width="4.5" style="138" customWidth="1"/>
    <col min="12064" max="12064" width="7.5" style="138" customWidth="1"/>
    <col min="12065" max="12065" width="9.5" style="138" customWidth="1"/>
    <col min="12066" max="12066" width="3.5" style="138" customWidth="1"/>
    <col min="12067" max="12068" width="9.5" style="138" customWidth="1"/>
    <col min="12069" max="12069" width="3.5" style="138" customWidth="1"/>
    <col min="12070" max="12071" width="9.5" style="138" customWidth="1"/>
    <col min="12072" max="12072" width="3" style="138" customWidth="1"/>
    <col min="12073" max="12074" width="9.5" style="138" customWidth="1"/>
    <col min="12075" max="12075" width="3.5" style="138" customWidth="1"/>
    <col min="12076" max="12077" width="9.5" style="138" customWidth="1"/>
    <col min="12078" max="12078" width="3.5" style="138" customWidth="1"/>
    <col min="12079" max="12079" width="7.5" style="138" customWidth="1"/>
    <col min="12080" max="12080" width="9.5" style="138" customWidth="1"/>
    <col min="12081" max="12081" width="4.5" style="138" customWidth="1"/>
    <col min="12082" max="12083" width="9.5" style="138" customWidth="1"/>
    <col min="12084" max="12084" width="4.5" style="138" customWidth="1"/>
    <col min="12085" max="12086" width="9.5" style="138" customWidth="1"/>
    <col min="12087" max="12087" width="5.5" style="138" customWidth="1"/>
    <col min="12088" max="12089" width="9.5" style="138" customWidth="1"/>
    <col min="12090" max="12090" width="4" style="138" customWidth="1"/>
    <col min="12091" max="12092" width="9.5" style="138" customWidth="1"/>
    <col min="12093" max="12093" width="3.5" style="138" customWidth="1"/>
    <col min="12094" max="12095" width="9.5" style="138" customWidth="1"/>
    <col min="12096" max="12096" width="9" style="138" customWidth="1"/>
    <col min="12097" max="12098" width="9.5" style="138" customWidth="1"/>
    <col min="12099" max="12099" width="4.5" style="138" customWidth="1"/>
    <col min="12100" max="12101" width="9.5" style="138" customWidth="1"/>
    <col min="12102" max="12102" width="4.5" style="138" customWidth="1"/>
    <col min="12103" max="12288" width="9.5" style="138" customWidth="1"/>
    <col min="12289" max="12289" width="4.5" style="138" customWidth="1"/>
    <col min="12290" max="12290" width="7.5" style="138" customWidth="1"/>
    <col min="12291" max="12291" width="9.5" style="138" customWidth="1"/>
    <col min="12292" max="12292" width="3.5" style="138" customWidth="1"/>
    <col min="12293" max="12294" width="9.5" style="138" customWidth="1"/>
    <col min="12295" max="12295" width="3.5" style="138" customWidth="1"/>
    <col min="12296" max="12297" width="9.5" style="138" customWidth="1"/>
    <col min="12298" max="12298" width="3" style="138" customWidth="1"/>
    <col min="12299" max="12300" width="9.5" style="138" customWidth="1"/>
    <col min="12301" max="12301" width="3.5" style="138" customWidth="1"/>
    <col min="12302" max="12303" width="9.5" style="138" customWidth="1"/>
    <col min="12304" max="12304" width="3.5" style="138" customWidth="1"/>
    <col min="12305" max="12305" width="7.5" style="138" customWidth="1"/>
    <col min="12306" max="12306" width="9.5" style="138" customWidth="1"/>
    <col min="12307" max="12307" width="4.5" style="138" customWidth="1"/>
    <col min="12308" max="12309" width="9.5" style="138" customWidth="1"/>
    <col min="12310" max="12310" width="4.5" style="138" customWidth="1"/>
    <col min="12311" max="12312" width="9.5" style="138" customWidth="1"/>
    <col min="12313" max="12313" width="5.5" style="138" customWidth="1"/>
    <col min="12314" max="12315" width="9.5" style="138" customWidth="1"/>
    <col min="12316" max="12316" width="4" style="138" customWidth="1"/>
    <col min="12317" max="12318" width="9.5" style="138" customWidth="1"/>
    <col min="12319" max="12319" width="4.5" style="138" customWidth="1"/>
    <col min="12320" max="12320" width="7.5" style="138" customWidth="1"/>
    <col min="12321" max="12321" width="9.5" style="138" customWidth="1"/>
    <col min="12322" max="12322" width="3.5" style="138" customWidth="1"/>
    <col min="12323" max="12324" width="9.5" style="138" customWidth="1"/>
    <col min="12325" max="12325" width="3.5" style="138" customWidth="1"/>
    <col min="12326" max="12327" width="9.5" style="138" customWidth="1"/>
    <col min="12328" max="12328" width="3" style="138" customWidth="1"/>
    <col min="12329" max="12330" width="9.5" style="138" customWidth="1"/>
    <col min="12331" max="12331" width="3.5" style="138" customWidth="1"/>
    <col min="12332" max="12333" width="9.5" style="138" customWidth="1"/>
    <col min="12334" max="12334" width="3.5" style="138" customWidth="1"/>
    <col min="12335" max="12335" width="7.5" style="138" customWidth="1"/>
    <col min="12336" max="12336" width="9.5" style="138" customWidth="1"/>
    <col min="12337" max="12337" width="4.5" style="138" customWidth="1"/>
    <col min="12338" max="12339" width="9.5" style="138" customWidth="1"/>
    <col min="12340" max="12340" width="4.5" style="138" customWidth="1"/>
    <col min="12341" max="12342" width="9.5" style="138" customWidth="1"/>
    <col min="12343" max="12343" width="5.5" style="138" customWidth="1"/>
    <col min="12344" max="12345" width="9.5" style="138" customWidth="1"/>
    <col min="12346" max="12346" width="4" style="138" customWidth="1"/>
    <col min="12347" max="12348" width="9.5" style="138" customWidth="1"/>
    <col min="12349" max="12349" width="3.5" style="138" customWidth="1"/>
    <col min="12350" max="12351" width="9.5" style="138" customWidth="1"/>
    <col min="12352" max="12352" width="9" style="138" customWidth="1"/>
    <col min="12353" max="12354" width="9.5" style="138" customWidth="1"/>
    <col min="12355" max="12355" width="4.5" style="138" customWidth="1"/>
    <col min="12356" max="12357" width="9.5" style="138" customWidth="1"/>
    <col min="12358" max="12358" width="4.5" style="138" customWidth="1"/>
    <col min="12359" max="12544" width="9.5" style="138" customWidth="1"/>
    <col min="12545" max="12545" width="4.5" style="138" customWidth="1"/>
    <col min="12546" max="12546" width="7.5" style="138" customWidth="1"/>
    <col min="12547" max="12547" width="9.5" style="138" customWidth="1"/>
    <col min="12548" max="12548" width="3.5" style="138" customWidth="1"/>
    <col min="12549" max="12550" width="9.5" style="138" customWidth="1"/>
    <col min="12551" max="12551" width="3.5" style="138" customWidth="1"/>
    <col min="12552" max="12553" width="9.5" style="138" customWidth="1"/>
    <col min="12554" max="12554" width="3" style="138" customWidth="1"/>
    <col min="12555" max="12556" width="9.5" style="138" customWidth="1"/>
    <col min="12557" max="12557" width="3.5" style="138" customWidth="1"/>
    <col min="12558" max="12559" width="9.5" style="138" customWidth="1"/>
    <col min="12560" max="12560" width="3.5" style="138" customWidth="1"/>
    <col min="12561" max="12561" width="7.5" style="138" customWidth="1"/>
    <col min="12562" max="12562" width="9.5" style="138" customWidth="1"/>
    <col min="12563" max="12563" width="4.5" style="138" customWidth="1"/>
    <col min="12564" max="12565" width="9.5" style="138" customWidth="1"/>
    <col min="12566" max="12566" width="4.5" style="138" customWidth="1"/>
    <col min="12567" max="12568" width="9.5" style="138" customWidth="1"/>
    <col min="12569" max="12569" width="5.5" style="138" customWidth="1"/>
    <col min="12570" max="12571" width="9.5" style="138" customWidth="1"/>
    <col min="12572" max="12572" width="4" style="138" customWidth="1"/>
    <col min="12573" max="12574" width="9.5" style="138" customWidth="1"/>
    <col min="12575" max="12575" width="4.5" style="138" customWidth="1"/>
    <col min="12576" max="12576" width="7.5" style="138" customWidth="1"/>
    <col min="12577" max="12577" width="9.5" style="138" customWidth="1"/>
    <col min="12578" max="12578" width="3.5" style="138" customWidth="1"/>
    <col min="12579" max="12580" width="9.5" style="138" customWidth="1"/>
    <col min="12581" max="12581" width="3.5" style="138" customWidth="1"/>
    <col min="12582" max="12583" width="9.5" style="138" customWidth="1"/>
    <col min="12584" max="12584" width="3" style="138" customWidth="1"/>
    <col min="12585" max="12586" width="9.5" style="138" customWidth="1"/>
    <col min="12587" max="12587" width="3.5" style="138" customWidth="1"/>
    <col min="12588" max="12589" width="9.5" style="138" customWidth="1"/>
    <col min="12590" max="12590" width="3.5" style="138" customWidth="1"/>
    <col min="12591" max="12591" width="7.5" style="138" customWidth="1"/>
    <col min="12592" max="12592" width="9.5" style="138" customWidth="1"/>
    <col min="12593" max="12593" width="4.5" style="138" customWidth="1"/>
    <col min="12594" max="12595" width="9.5" style="138" customWidth="1"/>
    <col min="12596" max="12596" width="4.5" style="138" customWidth="1"/>
    <col min="12597" max="12598" width="9.5" style="138" customWidth="1"/>
    <col min="12599" max="12599" width="5.5" style="138" customWidth="1"/>
    <col min="12600" max="12601" width="9.5" style="138" customWidth="1"/>
    <col min="12602" max="12602" width="4" style="138" customWidth="1"/>
    <col min="12603" max="12604" width="9.5" style="138" customWidth="1"/>
    <col min="12605" max="12605" width="3.5" style="138" customWidth="1"/>
    <col min="12606" max="12607" width="9.5" style="138" customWidth="1"/>
    <col min="12608" max="12608" width="9" style="138" customWidth="1"/>
    <col min="12609" max="12610" width="9.5" style="138" customWidth="1"/>
    <col min="12611" max="12611" width="4.5" style="138" customWidth="1"/>
    <col min="12612" max="12613" width="9.5" style="138" customWidth="1"/>
    <col min="12614" max="12614" width="4.5" style="138" customWidth="1"/>
    <col min="12615" max="12800" width="9.5" style="138" customWidth="1"/>
    <col min="12801" max="12801" width="4.5" style="138" customWidth="1"/>
    <col min="12802" max="12802" width="7.5" style="138" customWidth="1"/>
    <col min="12803" max="12803" width="9.5" style="138" customWidth="1"/>
    <col min="12804" max="12804" width="3.5" style="138" customWidth="1"/>
    <col min="12805" max="12806" width="9.5" style="138" customWidth="1"/>
    <col min="12807" max="12807" width="3.5" style="138" customWidth="1"/>
    <col min="12808" max="12809" width="9.5" style="138" customWidth="1"/>
    <col min="12810" max="12810" width="3" style="138" customWidth="1"/>
    <col min="12811" max="12812" width="9.5" style="138" customWidth="1"/>
    <col min="12813" max="12813" width="3.5" style="138" customWidth="1"/>
    <col min="12814" max="12815" width="9.5" style="138" customWidth="1"/>
    <col min="12816" max="12816" width="3.5" style="138" customWidth="1"/>
    <col min="12817" max="12817" width="7.5" style="138" customWidth="1"/>
    <col min="12818" max="12818" width="9.5" style="138" customWidth="1"/>
    <col min="12819" max="12819" width="4.5" style="138" customWidth="1"/>
    <col min="12820" max="12821" width="9.5" style="138" customWidth="1"/>
    <col min="12822" max="12822" width="4.5" style="138" customWidth="1"/>
    <col min="12823" max="12824" width="9.5" style="138" customWidth="1"/>
    <col min="12825" max="12825" width="5.5" style="138" customWidth="1"/>
    <col min="12826" max="12827" width="9.5" style="138" customWidth="1"/>
    <col min="12828" max="12828" width="4" style="138" customWidth="1"/>
    <col min="12829" max="12830" width="9.5" style="138" customWidth="1"/>
    <col min="12831" max="12831" width="4.5" style="138" customWidth="1"/>
    <col min="12832" max="12832" width="7.5" style="138" customWidth="1"/>
    <col min="12833" max="12833" width="9.5" style="138" customWidth="1"/>
    <col min="12834" max="12834" width="3.5" style="138" customWidth="1"/>
    <col min="12835" max="12836" width="9.5" style="138" customWidth="1"/>
    <col min="12837" max="12837" width="3.5" style="138" customWidth="1"/>
    <col min="12838" max="12839" width="9.5" style="138" customWidth="1"/>
    <col min="12840" max="12840" width="3" style="138" customWidth="1"/>
    <col min="12841" max="12842" width="9.5" style="138" customWidth="1"/>
    <col min="12843" max="12843" width="3.5" style="138" customWidth="1"/>
    <col min="12844" max="12845" width="9.5" style="138" customWidth="1"/>
    <col min="12846" max="12846" width="3.5" style="138" customWidth="1"/>
    <col min="12847" max="12847" width="7.5" style="138" customWidth="1"/>
    <col min="12848" max="12848" width="9.5" style="138" customWidth="1"/>
    <col min="12849" max="12849" width="4.5" style="138" customWidth="1"/>
    <col min="12850" max="12851" width="9.5" style="138" customWidth="1"/>
    <col min="12852" max="12852" width="4.5" style="138" customWidth="1"/>
    <col min="12853" max="12854" width="9.5" style="138" customWidth="1"/>
    <col min="12855" max="12855" width="5.5" style="138" customWidth="1"/>
    <col min="12856" max="12857" width="9.5" style="138" customWidth="1"/>
    <col min="12858" max="12858" width="4" style="138" customWidth="1"/>
    <col min="12859" max="12860" width="9.5" style="138" customWidth="1"/>
    <col min="12861" max="12861" width="3.5" style="138" customWidth="1"/>
    <col min="12862" max="12863" width="9.5" style="138" customWidth="1"/>
    <col min="12864" max="12864" width="9" style="138" customWidth="1"/>
    <col min="12865" max="12866" width="9.5" style="138" customWidth="1"/>
    <col min="12867" max="12867" width="4.5" style="138" customWidth="1"/>
    <col min="12868" max="12869" width="9.5" style="138" customWidth="1"/>
    <col min="12870" max="12870" width="4.5" style="138" customWidth="1"/>
    <col min="12871" max="13056" width="9.5" style="138" customWidth="1"/>
    <col min="13057" max="13057" width="4.5" style="138" customWidth="1"/>
    <col min="13058" max="13058" width="7.5" style="138" customWidth="1"/>
    <col min="13059" max="13059" width="9.5" style="138" customWidth="1"/>
    <col min="13060" max="13060" width="3.5" style="138" customWidth="1"/>
    <col min="13061" max="13062" width="9.5" style="138" customWidth="1"/>
    <col min="13063" max="13063" width="3.5" style="138" customWidth="1"/>
    <col min="13064" max="13065" width="9.5" style="138" customWidth="1"/>
    <col min="13066" max="13066" width="3" style="138" customWidth="1"/>
    <col min="13067" max="13068" width="9.5" style="138" customWidth="1"/>
    <col min="13069" max="13069" width="3.5" style="138" customWidth="1"/>
    <col min="13070" max="13071" width="9.5" style="138" customWidth="1"/>
    <col min="13072" max="13072" width="3.5" style="138" customWidth="1"/>
    <col min="13073" max="13073" width="7.5" style="138" customWidth="1"/>
    <col min="13074" max="13074" width="9.5" style="138" customWidth="1"/>
    <col min="13075" max="13075" width="4.5" style="138" customWidth="1"/>
    <col min="13076" max="13077" width="9.5" style="138" customWidth="1"/>
    <col min="13078" max="13078" width="4.5" style="138" customWidth="1"/>
    <col min="13079" max="13080" width="9.5" style="138" customWidth="1"/>
    <col min="13081" max="13081" width="5.5" style="138" customWidth="1"/>
    <col min="13082" max="13083" width="9.5" style="138" customWidth="1"/>
    <col min="13084" max="13084" width="4" style="138" customWidth="1"/>
    <col min="13085" max="13086" width="9.5" style="138" customWidth="1"/>
    <col min="13087" max="13087" width="4.5" style="138" customWidth="1"/>
    <col min="13088" max="13088" width="7.5" style="138" customWidth="1"/>
    <col min="13089" max="13089" width="9.5" style="138" customWidth="1"/>
    <col min="13090" max="13090" width="3.5" style="138" customWidth="1"/>
    <col min="13091" max="13092" width="9.5" style="138" customWidth="1"/>
    <col min="13093" max="13093" width="3.5" style="138" customWidth="1"/>
    <col min="13094" max="13095" width="9.5" style="138" customWidth="1"/>
    <col min="13096" max="13096" width="3" style="138" customWidth="1"/>
    <col min="13097" max="13098" width="9.5" style="138" customWidth="1"/>
    <col min="13099" max="13099" width="3.5" style="138" customWidth="1"/>
    <col min="13100" max="13101" width="9.5" style="138" customWidth="1"/>
    <col min="13102" max="13102" width="3.5" style="138" customWidth="1"/>
    <col min="13103" max="13103" width="7.5" style="138" customWidth="1"/>
    <col min="13104" max="13104" width="9.5" style="138" customWidth="1"/>
    <col min="13105" max="13105" width="4.5" style="138" customWidth="1"/>
    <col min="13106" max="13107" width="9.5" style="138" customWidth="1"/>
    <col min="13108" max="13108" width="4.5" style="138" customWidth="1"/>
    <col min="13109" max="13110" width="9.5" style="138" customWidth="1"/>
    <col min="13111" max="13111" width="5.5" style="138" customWidth="1"/>
    <col min="13112" max="13113" width="9.5" style="138" customWidth="1"/>
    <col min="13114" max="13114" width="4" style="138" customWidth="1"/>
    <col min="13115" max="13116" width="9.5" style="138" customWidth="1"/>
    <col min="13117" max="13117" width="3.5" style="138" customWidth="1"/>
    <col min="13118" max="13119" width="9.5" style="138" customWidth="1"/>
    <col min="13120" max="13120" width="9" style="138" customWidth="1"/>
    <col min="13121" max="13122" width="9.5" style="138" customWidth="1"/>
    <col min="13123" max="13123" width="4.5" style="138" customWidth="1"/>
    <col min="13124" max="13125" width="9.5" style="138" customWidth="1"/>
    <col min="13126" max="13126" width="4.5" style="138" customWidth="1"/>
    <col min="13127" max="13312" width="9.5" style="138" customWidth="1"/>
    <col min="13313" max="13313" width="4.5" style="138" customWidth="1"/>
    <col min="13314" max="13314" width="7.5" style="138" customWidth="1"/>
    <col min="13315" max="13315" width="9.5" style="138" customWidth="1"/>
    <col min="13316" max="13316" width="3.5" style="138" customWidth="1"/>
    <col min="13317" max="13318" width="9.5" style="138" customWidth="1"/>
    <col min="13319" max="13319" width="3.5" style="138" customWidth="1"/>
    <col min="13320" max="13321" width="9.5" style="138" customWidth="1"/>
    <col min="13322" max="13322" width="3" style="138" customWidth="1"/>
    <col min="13323" max="13324" width="9.5" style="138" customWidth="1"/>
    <col min="13325" max="13325" width="3.5" style="138" customWidth="1"/>
    <col min="13326" max="13327" width="9.5" style="138" customWidth="1"/>
    <col min="13328" max="13328" width="3.5" style="138" customWidth="1"/>
    <col min="13329" max="13329" width="7.5" style="138" customWidth="1"/>
    <col min="13330" max="13330" width="9.5" style="138" customWidth="1"/>
    <col min="13331" max="13331" width="4.5" style="138" customWidth="1"/>
    <col min="13332" max="13333" width="9.5" style="138" customWidth="1"/>
    <col min="13334" max="13334" width="4.5" style="138" customWidth="1"/>
    <col min="13335" max="13336" width="9.5" style="138" customWidth="1"/>
    <col min="13337" max="13337" width="5.5" style="138" customWidth="1"/>
    <col min="13338" max="13339" width="9.5" style="138" customWidth="1"/>
    <col min="13340" max="13340" width="4" style="138" customWidth="1"/>
    <col min="13341" max="13342" width="9.5" style="138" customWidth="1"/>
    <col min="13343" max="13343" width="4.5" style="138" customWidth="1"/>
    <col min="13344" max="13344" width="7.5" style="138" customWidth="1"/>
    <col min="13345" max="13345" width="9.5" style="138" customWidth="1"/>
    <col min="13346" max="13346" width="3.5" style="138" customWidth="1"/>
    <col min="13347" max="13348" width="9.5" style="138" customWidth="1"/>
    <col min="13349" max="13349" width="3.5" style="138" customWidth="1"/>
    <col min="13350" max="13351" width="9.5" style="138" customWidth="1"/>
    <col min="13352" max="13352" width="3" style="138" customWidth="1"/>
    <col min="13353" max="13354" width="9.5" style="138" customWidth="1"/>
    <col min="13355" max="13355" width="3.5" style="138" customWidth="1"/>
    <col min="13356" max="13357" width="9.5" style="138" customWidth="1"/>
    <col min="13358" max="13358" width="3.5" style="138" customWidth="1"/>
    <col min="13359" max="13359" width="7.5" style="138" customWidth="1"/>
    <col min="13360" max="13360" width="9.5" style="138" customWidth="1"/>
    <col min="13361" max="13361" width="4.5" style="138" customWidth="1"/>
    <col min="13362" max="13363" width="9.5" style="138" customWidth="1"/>
    <col min="13364" max="13364" width="4.5" style="138" customWidth="1"/>
    <col min="13365" max="13366" width="9.5" style="138" customWidth="1"/>
    <col min="13367" max="13367" width="5.5" style="138" customWidth="1"/>
    <col min="13368" max="13369" width="9.5" style="138" customWidth="1"/>
    <col min="13370" max="13370" width="4" style="138" customWidth="1"/>
    <col min="13371" max="13372" width="9.5" style="138" customWidth="1"/>
    <col min="13373" max="13373" width="3.5" style="138" customWidth="1"/>
    <col min="13374" max="13375" width="9.5" style="138" customWidth="1"/>
    <col min="13376" max="13376" width="9" style="138" customWidth="1"/>
    <col min="13377" max="13378" width="9.5" style="138" customWidth="1"/>
    <col min="13379" max="13379" width="4.5" style="138" customWidth="1"/>
    <col min="13380" max="13381" width="9.5" style="138" customWidth="1"/>
    <col min="13382" max="13382" width="4.5" style="138" customWidth="1"/>
    <col min="13383" max="13568" width="9.5" style="138" customWidth="1"/>
    <col min="13569" max="13569" width="4.5" style="138" customWidth="1"/>
    <col min="13570" max="13570" width="7.5" style="138" customWidth="1"/>
    <col min="13571" max="13571" width="9.5" style="138" customWidth="1"/>
    <col min="13572" max="13572" width="3.5" style="138" customWidth="1"/>
    <col min="13573" max="13574" width="9.5" style="138" customWidth="1"/>
    <col min="13575" max="13575" width="3.5" style="138" customWidth="1"/>
    <col min="13576" max="13577" width="9.5" style="138" customWidth="1"/>
    <col min="13578" max="13578" width="3" style="138" customWidth="1"/>
    <col min="13579" max="13580" width="9.5" style="138" customWidth="1"/>
    <col min="13581" max="13581" width="3.5" style="138" customWidth="1"/>
    <col min="13582" max="13583" width="9.5" style="138" customWidth="1"/>
    <col min="13584" max="13584" width="3.5" style="138" customWidth="1"/>
    <col min="13585" max="13585" width="7.5" style="138" customWidth="1"/>
    <col min="13586" max="13586" width="9.5" style="138" customWidth="1"/>
    <col min="13587" max="13587" width="4.5" style="138" customWidth="1"/>
    <col min="13588" max="13589" width="9.5" style="138" customWidth="1"/>
    <col min="13590" max="13590" width="4.5" style="138" customWidth="1"/>
    <col min="13591" max="13592" width="9.5" style="138" customWidth="1"/>
    <col min="13593" max="13593" width="5.5" style="138" customWidth="1"/>
    <col min="13594" max="13595" width="9.5" style="138" customWidth="1"/>
    <col min="13596" max="13596" width="4" style="138" customWidth="1"/>
    <col min="13597" max="13598" width="9.5" style="138" customWidth="1"/>
    <col min="13599" max="13599" width="4.5" style="138" customWidth="1"/>
    <col min="13600" max="13600" width="7.5" style="138" customWidth="1"/>
    <col min="13601" max="13601" width="9.5" style="138" customWidth="1"/>
    <col min="13602" max="13602" width="3.5" style="138" customWidth="1"/>
    <col min="13603" max="13604" width="9.5" style="138" customWidth="1"/>
    <col min="13605" max="13605" width="3.5" style="138" customWidth="1"/>
    <col min="13606" max="13607" width="9.5" style="138" customWidth="1"/>
    <col min="13608" max="13608" width="3" style="138" customWidth="1"/>
    <col min="13609" max="13610" width="9.5" style="138" customWidth="1"/>
    <col min="13611" max="13611" width="3.5" style="138" customWidth="1"/>
    <col min="13612" max="13613" width="9.5" style="138" customWidth="1"/>
    <col min="13614" max="13614" width="3.5" style="138" customWidth="1"/>
    <col min="13615" max="13615" width="7.5" style="138" customWidth="1"/>
    <col min="13616" max="13616" width="9.5" style="138" customWidth="1"/>
    <col min="13617" max="13617" width="4.5" style="138" customWidth="1"/>
    <col min="13618" max="13619" width="9.5" style="138" customWidth="1"/>
    <col min="13620" max="13620" width="4.5" style="138" customWidth="1"/>
    <col min="13621" max="13622" width="9.5" style="138" customWidth="1"/>
    <col min="13623" max="13623" width="5.5" style="138" customWidth="1"/>
    <col min="13624" max="13625" width="9.5" style="138" customWidth="1"/>
    <col min="13626" max="13626" width="4" style="138" customWidth="1"/>
    <col min="13627" max="13628" width="9.5" style="138" customWidth="1"/>
    <col min="13629" max="13629" width="3.5" style="138" customWidth="1"/>
    <col min="13630" max="13631" width="9.5" style="138" customWidth="1"/>
    <col min="13632" max="13632" width="9" style="138" customWidth="1"/>
    <col min="13633" max="13634" width="9.5" style="138" customWidth="1"/>
    <col min="13635" max="13635" width="4.5" style="138" customWidth="1"/>
    <col min="13636" max="13637" width="9.5" style="138" customWidth="1"/>
    <col min="13638" max="13638" width="4.5" style="138" customWidth="1"/>
    <col min="13639" max="13824" width="9.5" style="138" customWidth="1"/>
    <col min="13825" max="13825" width="4.5" style="138" customWidth="1"/>
    <col min="13826" max="13826" width="7.5" style="138" customWidth="1"/>
    <col min="13827" max="13827" width="9.5" style="138" customWidth="1"/>
    <col min="13828" max="13828" width="3.5" style="138" customWidth="1"/>
    <col min="13829" max="13830" width="9.5" style="138" customWidth="1"/>
    <col min="13831" max="13831" width="3.5" style="138" customWidth="1"/>
    <col min="13832" max="13833" width="9.5" style="138" customWidth="1"/>
    <col min="13834" max="13834" width="3" style="138" customWidth="1"/>
    <col min="13835" max="13836" width="9.5" style="138" customWidth="1"/>
    <col min="13837" max="13837" width="3.5" style="138" customWidth="1"/>
    <col min="13838" max="13839" width="9.5" style="138" customWidth="1"/>
    <col min="13840" max="13840" width="3.5" style="138" customWidth="1"/>
    <col min="13841" max="13841" width="7.5" style="138" customWidth="1"/>
    <col min="13842" max="13842" width="9.5" style="138" customWidth="1"/>
    <col min="13843" max="13843" width="4.5" style="138" customWidth="1"/>
    <col min="13844" max="13845" width="9.5" style="138" customWidth="1"/>
    <col min="13846" max="13846" width="4.5" style="138" customWidth="1"/>
    <col min="13847" max="13848" width="9.5" style="138" customWidth="1"/>
    <col min="13849" max="13849" width="5.5" style="138" customWidth="1"/>
    <col min="13850" max="13851" width="9.5" style="138" customWidth="1"/>
    <col min="13852" max="13852" width="4" style="138" customWidth="1"/>
    <col min="13853" max="13854" width="9.5" style="138" customWidth="1"/>
    <col min="13855" max="13855" width="4.5" style="138" customWidth="1"/>
    <col min="13856" max="13856" width="7.5" style="138" customWidth="1"/>
    <col min="13857" max="13857" width="9.5" style="138" customWidth="1"/>
    <col min="13858" max="13858" width="3.5" style="138" customWidth="1"/>
    <col min="13859" max="13860" width="9.5" style="138" customWidth="1"/>
    <col min="13861" max="13861" width="3.5" style="138" customWidth="1"/>
    <col min="13862" max="13863" width="9.5" style="138" customWidth="1"/>
    <col min="13864" max="13864" width="3" style="138" customWidth="1"/>
    <col min="13865" max="13866" width="9.5" style="138" customWidth="1"/>
    <col min="13867" max="13867" width="3.5" style="138" customWidth="1"/>
    <col min="13868" max="13869" width="9.5" style="138" customWidth="1"/>
    <col min="13870" max="13870" width="3.5" style="138" customWidth="1"/>
    <col min="13871" max="13871" width="7.5" style="138" customWidth="1"/>
    <col min="13872" max="13872" width="9.5" style="138" customWidth="1"/>
    <col min="13873" max="13873" width="4.5" style="138" customWidth="1"/>
    <col min="13874" max="13875" width="9.5" style="138" customWidth="1"/>
    <col min="13876" max="13876" width="4.5" style="138" customWidth="1"/>
    <col min="13877" max="13878" width="9.5" style="138" customWidth="1"/>
    <col min="13879" max="13879" width="5.5" style="138" customWidth="1"/>
    <col min="13880" max="13881" width="9.5" style="138" customWidth="1"/>
    <col min="13882" max="13882" width="4" style="138" customWidth="1"/>
    <col min="13883" max="13884" width="9.5" style="138" customWidth="1"/>
    <col min="13885" max="13885" width="3.5" style="138" customWidth="1"/>
    <col min="13886" max="13887" width="9.5" style="138" customWidth="1"/>
    <col min="13888" max="13888" width="9" style="138" customWidth="1"/>
    <col min="13889" max="13890" width="9.5" style="138" customWidth="1"/>
    <col min="13891" max="13891" width="4.5" style="138" customWidth="1"/>
    <col min="13892" max="13893" width="9.5" style="138" customWidth="1"/>
    <col min="13894" max="13894" width="4.5" style="138" customWidth="1"/>
    <col min="13895" max="14080" width="9.5" style="138" customWidth="1"/>
    <col min="14081" max="14081" width="4.5" style="138" customWidth="1"/>
    <col min="14082" max="14082" width="7.5" style="138" customWidth="1"/>
    <col min="14083" max="14083" width="9.5" style="138" customWidth="1"/>
    <col min="14084" max="14084" width="3.5" style="138" customWidth="1"/>
    <col min="14085" max="14086" width="9.5" style="138" customWidth="1"/>
    <col min="14087" max="14087" width="3.5" style="138" customWidth="1"/>
    <col min="14088" max="14089" width="9.5" style="138" customWidth="1"/>
    <col min="14090" max="14090" width="3" style="138" customWidth="1"/>
    <col min="14091" max="14092" width="9.5" style="138" customWidth="1"/>
    <col min="14093" max="14093" width="3.5" style="138" customWidth="1"/>
    <col min="14094" max="14095" width="9.5" style="138" customWidth="1"/>
    <col min="14096" max="14096" width="3.5" style="138" customWidth="1"/>
    <col min="14097" max="14097" width="7.5" style="138" customWidth="1"/>
    <col min="14098" max="14098" width="9.5" style="138" customWidth="1"/>
    <col min="14099" max="14099" width="4.5" style="138" customWidth="1"/>
    <col min="14100" max="14101" width="9.5" style="138" customWidth="1"/>
    <col min="14102" max="14102" width="4.5" style="138" customWidth="1"/>
    <col min="14103" max="14104" width="9.5" style="138" customWidth="1"/>
    <col min="14105" max="14105" width="5.5" style="138" customWidth="1"/>
    <col min="14106" max="14107" width="9.5" style="138" customWidth="1"/>
    <col min="14108" max="14108" width="4" style="138" customWidth="1"/>
    <col min="14109" max="14110" width="9.5" style="138" customWidth="1"/>
    <col min="14111" max="14111" width="4.5" style="138" customWidth="1"/>
    <col min="14112" max="14112" width="7.5" style="138" customWidth="1"/>
    <col min="14113" max="14113" width="9.5" style="138" customWidth="1"/>
    <col min="14114" max="14114" width="3.5" style="138" customWidth="1"/>
    <col min="14115" max="14116" width="9.5" style="138" customWidth="1"/>
    <col min="14117" max="14117" width="3.5" style="138" customWidth="1"/>
    <col min="14118" max="14119" width="9.5" style="138" customWidth="1"/>
    <col min="14120" max="14120" width="3" style="138" customWidth="1"/>
    <col min="14121" max="14122" width="9.5" style="138" customWidth="1"/>
    <col min="14123" max="14123" width="3.5" style="138" customWidth="1"/>
    <col min="14124" max="14125" width="9.5" style="138" customWidth="1"/>
    <col min="14126" max="14126" width="3.5" style="138" customWidth="1"/>
    <col min="14127" max="14127" width="7.5" style="138" customWidth="1"/>
    <col min="14128" max="14128" width="9.5" style="138" customWidth="1"/>
    <col min="14129" max="14129" width="4.5" style="138" customWidth="1"/>
    <col min="14130" max="14131" width="9.5" style="138" customWidth="1"/>
    <col min="14132" max="14132" width="4.5" style="138" customWidth="1"/>
    <col min="14133" max="14134" width="9.5" style="138" customWidth="1"/>
    <col min="14135" max="14135" width="5.5" style="138" customWidth="1"/>
    <col min="14136" max="14137" width="9.5" style="138" customWidth="1"/>
    <col min="14138" max="14138" width="4" style="138" customWidth="1"/>
    <col min="14139" max="14140" width="9.5" style="138" customWidth="1"/>
    <col min="14141" max="14141" width="3.5" style="138" customWidth="1"/>
    <col min="14142" max="14143" width="9.5" style="138" customWidth="1"/>
    <col min="14144" max="14144" width="9" style="138" customWidth="1"/>
    <col min="14145" max="14146" width="9.5" style="138" customWidth="1"/>
    <col min="14147" max="14147" width="4.5" style="138" customWidth="1"/>
    <col min="14148" max="14149" width="9.5" style="138" customWidth="1"/>
    <col min="14150" max="14150" width="4.5" style="138" customWidth="1"/>
    <col min="14151" max="14336" width="9.5" style="138" customWidth="1"/>
    <col min="14337" max="14337" width="4.5" style="138" customWidth="1"/>
    <col min="14338" max="14338" width="7.5" style="138" customWidth="1"/>
    <col min="14339" max="14339" width="9.5" style="138" customWidth="1"/>
    <col min="14340" max="14340" width="3.5" style="138" customWidth="1"/>
    <col min="14341" max="14342" width="9.5" style="138" customWidth="1"/>
    <col min="14343" max="14343" width="3.5" style="138" customWidth="1"/>
    <col min="14344" max="14345" width="9.5" style="138" customWidth="1"/>
    <col min="14346" max="14346" width="3" style="138" customWidth="1"/>
    <col min="14347" max="14348" width="9.5" style="138" customWidth="1"/>
    <col min="14349" max="14349" width="3.5" style="138" customWidth="1"/>
    <col min="14350" max="14351" width="9.5" style="138" customWidth="1"/>
    <col min="14352" max="14352" width="3.5" style="138" customWidth="1"/>
    <col min="14353" max="14353" width="7.5" style="138" customWidth="1"/>
    <col min="14354" max="14354" width="9.5" style="138" customWidth="1"/>
    <col min="14355" max="14355" width="4.5" style="138" customWidth="1"/>
    <col min="14356" max="14357" width="9.5" style="138" customWidth="1"/>
    <col min="14358" max="14358" width="4.5" style="138" customWidth="1"/>
    <col min="14359" max="14360" width="9.5" style="138" customWidth="1"/>
    <col min="14361" max="14361" width="5.5" style="138" customWidth="1"/>
    <col min="14362" max="14363" width="9.5" style="138" customWidth="1"/>
    <col min="14364" max="14364" width="4" style="138" customWidth="1"/>
    <col min="14365" max="14366" width="9.5" style="138" customWidth="1"/>
    <col min="14367" max="14367" width="4.5" style="138" customWidth="1"/>
    <col min="14368" max="14368" width="7.5" style="138" customWidth="1"/>
    <col min="14369" max="14369" width="9.5" style="138" customWidth="1"/>
    <col min="14370" max="14370" width="3.5" style="138" customWidth="1"/>
    <col min="14371" max="14372" width="9.5" style="138" customWidth="1"/>
    <col min="14373" max="14373" width="3.5" style="138" customWidth="1"/>
    <col min="14374" max="14375" width="9.5" style="138" customWidth="1"/>
    <col min="14376" max="14376" width="3" style="138" customWidth="1"/>
    <col min="14377" max="14378" width="9.5" style="138" customWidth="1"/>
    <col min="14379" max="14379" width="3.5" style="138" customWidth="1"/>
    <col min="14380" max="14381" width="9.5" style="138" customWidth="1"/>
    <col min="14382" max="14382" width="3.5" style="138" customWidth="1"/>
    <col min="14383" max="14383" width="7.5" style="138" customWidth="1"/>
    <col min="14384" max="14384" width="9.5" style="138" customWidth="1"/>
    <col min="14385" max="14385" width="4.5" style="138" customWidth="1"/>
    <col min="14386" max="14387" width="9.5" style="138" customWidth="1"/>
    <col min="14388" max="14388" width="4.5" style="138" customWidth="1"/>
    <col min="14389" max="14390" width="9.5" style="138" customWidth="1"/>
    <col min="14391" max="14391" width="5.5" style="138" customWidth="1"/>
    <col min="14392" max="14393" width="9.5" style="138" customWidth="1"/>
    <col min="14394" max="14394" width="4" style="138" customWidth="1"/>
    <col min="14395" max="14396" width="9.5" style="138" customWidth="1"/>
    <col min="14397" max="14397" width="3.5" style="138" customWidth="1"/>
    <col min="14398" max="14399" width="9.5" style="138" customWidth="1"/>
    <col min="14400" max="14400" width="9" style="138" customWidth="1"/>
    <col min="14401" max="14402" width="9.5" style="138" customWidth="1"/>
    <col min="14403" max="14403" width="4.5" style="138" customWidth="1"/>
    <col min="14404" max="14405" width="9.5" style="138" customWidth="1"/>
    <col min="14406" max="14406" width="4.5" style="138" customWidth="1"/>
    <col min="14407" max="14592" width="9.5" style="138" customWidth="1"/>
    <col min="14593" max="14593" width="4.5" style="138" customWidth="1"/>
    <col min="14594" max="14594" width="7.5" style="138" customWidth="1"/>
    <col min="14595" max="14595" width="9.5" style="138" customWidth="1"/>
    <col min="14596" max="14596" width="3.5" style="138" customWidth="1"/>
    <col min="14597" max="14598" width="9.5" style="138" customWidth="1"/>
    <col min="14599" max="14599" width="3.5" style="138" customWidth="1"/>
    <col min="14600" max="14601" width="9.5" style="138" customWidth="1"/>
    <col min="14602" max="14602" width="3" style="138" customWidth="1"/>
    <col min="14603" max="14604" width="9.5" style="138" customWidth="1"/>
    <col min="14605" max="14605" width="3.5" style="138" customWidth="1"/>
    <col min="14606" max="14607" width="9.5" style="138" customWidth="1"/>
    <col min="14608" max="14608" width="3.5" style="138" customWidth="1"/>
    <col min="14609" max="14609" width="7.5" style="138" customWidth="1"/>
    <col min="14610" max="14610" width="9.5" style="138" customWidth="1"/>
    <col min="14611" max="14611" width="4.5" style="138" customWidth="1"/>
    <col min="14612" max="14613" width="9.5" style="138" customWidth="1"/>
    <col min="14614" max="14614" width="4.5" style="138" customWidth="1"/>
    <col min="14615" max="14616" width="9.5" style="138" customWidth="1"/>
    <col min="14617" max="14617" width="5.5" style="138" customWidth="1"/>
    <col min="14618" max="14619" width="9.5" style="138" customWidth="1"/>
    <col min="14620" max="14620" width="4" style="138" customWidth="1"/>
    <col min="14621" max="14622" width="9.5" style="138" customWidth="1"/>
    <col min="14623" max="14623" width="4.5" style="138" customWidth="1"/>
    <col min="14624" max="14624" width="7.5" style="138" customWidth="1"/>
    <col min="14625" max="14625" width="9.5" style="138" customWidth="1"/>
    <col min="14626" max="14626" width="3.5" style="138" customWidth="1"/>
    <col min="14627" max="14628" width="9.5" style="138" customWidth="1"/>
    <col min="14629" max="14629" width="3.5" style="138" customWidth="1"/>
    <col min="14630" max="14631" width="9.5" style="138" customWidth="1"/>
    <col min="14632" max="14632" width="3" style="138" customWidth="1"/>
    <col min="14633" max="14634" width="9.5" style="138" customWidth="1"/>
    <col min="14635" max="14635" width="3.5" style="138" customWidth="1"/>
    <col min="14636" max="14637" width="9.5" style="138" customWidth="1"/>
    <col min="14638" max="14638" width="3.5" style="138" customWidth="1"/>
    <col min="14639" max="14639" width="7.5" style="138" customWidth="1"/>
    <col min="14640" max="14640" width="9.5" style="138" customWidth="1"/>
    <col min="14641" max="14641" width="4.5" style="138" customWidth="1"/>
    <col min="14642" max="14643" width="9.5" style="138" customWidth="1"/>
    <col min="14644" max="14644" width="4.5" style="138" customWidth="1"/>
    <col min="14645" max="14646" width="9.5" style="138" customWidth="1"/>
    <col min="14647" max="14647" width="5.5" style="138" customWidth="1"/>
    <col min="14648" max="14649" width="9.5" style="138" customWidth="1"/>
    <col min="14650" max="14650" width="4" style="138" customWidth="1"/>
    <col min="14651" max="14652" width="9.5" style="138" customWidth="1"/>
    <col min="14653" max="14653" width="3.5" style="138" customWidth="1"/>
    <col min="14654" max="14655" width="9.5" style="138" customWidth="1"/>
    <col min="14656" max="14656" width="9" style="138" customWidth="1"/>
    <col min="14657" max="14658" width="9.5" style="138" customWidth="1"/>
    <col min="14659" max="14659" width="4.5" style="138" customWidth="1"/>
    <col min="14660" max="14661" width="9.5" style="138" customWidth="1"/>
    <col min="14662" max="14662" width="4.5" style="138" customWidth="1"/>
    <col min="14663" max="14848" width="9.5" style="138" customWidth="1"/>
    <col min="14849" max="14849" width="4.5" style="138" customWidth="1"/>
    <col min="14850" max="14850" width="7.5" style="138" customWidth="1"/>
    <col min="14851" max="14851" width="9.5" style="138" customWidth="1"/>
    <col min="14852" max="14852" width="3.5" style="138" customWidth="1"/>
    <col min="14853" max="14854" width="9.5" style="138" customWidth="1"/>
    <col min="14855" max="14855" width="3.5" style="138" customWidth="1"/>
    <col min="14856" max="14857" width="9.5" style="138" customWidth="1"/>
    <col min="14858" max="14858" width="3" style="138" customWidth="1"/>
    <col min="14859" max="14860" width="9.5" style="138" customWidth="1"/>
    <col min="14861" max="14861" width="3.5" style="138" customWidth="1"/>
    <col min="14862" max="14863" width="9.5" style="138" customWidth="1"/>
    <col min="14864" max="14864" width="3.5" style="138" customWidth="1"/>
    <col min="14865" max="14865" width="7.5" style="138" customWidth="1"/>
    <col min="14866" max="14866" width="9.5" style="138" customWidth="1"/>
    <col min="14867" max="14867" width="4.5" style="138" customWidth="1"/>
    <col min="14868" max="14869" width="9.5" style="138" customWidth="1"/>
    <col min="14870" max="14870" width="4.5" style="138" customWidth="1"/>
    <col min="14871" max="14872" width="9.5" style="138" customWidth="1"/>
    <col min="14873" max="14873" width="5.5" style="138" customWidth="1"/>
    <col min="14874" max="14875" width="9.5" style="138" customWidth="1"/>
    <col min="14876" max="14876" width="4" style="138" customWidth="1"/>
    <col min="14877" max="14878" width="9.5" style="138" customWidth="1"/>
    <col min="14879" max="14879" width="4.5" style="138" customWidth="1"/>
    <col min="14880" max="14880" width="7.5" style="138" customWidth="1"/>
    <col min="14881" max="14881" width="9.5" style="138" customWidth="1"/>
    <col min="14882" max="14882" width="3.5" style="138" customWidth="1"/>
    <col min="14883" max="14884" width="9.5" style="138" customWidth="1"/>
    <col min="14885" max="14885" width="3.5" style="138" customWidth="1"/>
    <col min="14886" max="14887" width="9.5" style="138" customWidth="1"/>
    <col min="14888" max="14888" width="3" style="138" customWidth="1"/>
    <col min="14889" max="14890" width="9.5" style="138" customWidth="1"/>
    <col min="14891" max="14891" width="3.5" style="138" customWidth="1"/>
    <col min="14892" max="14893" width="9.5" style="138" customWidth="1"/>
    <col min="14894" max="14894" width="3.5" style="138" customWidth="1"/>
    <col min="14895" max="14895" width="7.5" style="138" customWidth="1"/>
    <col min="14896" max="14896" width="9.5" style="138" customWidth="1"/>
    <col min="14897" max="14897" width="4.5" style="138" customWidth="1"/>
    <col min="14898" max="14899" width="9.5" style="138" customWidth="1"/>
    <col min="14900" max="14900" width="4.5" style="138" customWidth="1"/>
    <col min="14901" max="14902" width="9.5" style="138" customWidth="1"/>
    <col min="14903" max="14903" width="5.5" style="138" customWidth="1"/>
    <col min="14904" max="14905" width="9.5" style="138" customWidth="1"/>
    <col min="14906" max="14906" width="4" style="138" customWidth="1"/>
    <col min="14907" max="14908" width="9.5" style="138" customWidth="1"/>
    <col min="14909" max="14909" width="3.5" style="138" customWidth="1"/>
    <col min="14910" max="14911" width="9.5" style="138" customWidth="1"/>
    <col min="14912" max="14912" width="9" style="138" customWidth="1"/>
    <col min="14913" max="14914" width="9.5" style="138" customWidth="1"/>
    <col min="14915" max="14915" width="4.5" style="138" customWidth="1"/>
    <col min="14916" max="14917" width="9.5" style="138" customWidth="1"/>
    <col min="14918" max="14918" width="4.5" style="138" customWidth="1"/>
    <col min="14919" max="15104" width="9.5" style="138" customWidth="1"/>
    <col min="15105" max="15105" width="4.5" style="138" customWidth="1"/>
    <col min="15106" max="15106" width="7.5" style="138" customWidth="1"/>
    <col min="15107" max="15107" width="9.5" style="138" customWidth="1"/>
    <col min="15108" max="15108" width="3.5" style="138" customWidth="1"/>
    <col min="15109" max="15110" width="9.5" style="138" customWidth="1"/>
    <col min="15111" max="15111" width="3.5" style="138" customWidth="1"/>
    <col min="15112" max="15113" width="9.5" style="138" customWidth="1"/>
    <col min="15114" max="15114" width="3" style="138" customWidth="1"/>
    <col min="15115" max="15116" width="9.5" style="138" customWidth="1"/>
    <col min="15117" max="15117" width="3.5" style="138" customWidth="1"/>
    <col min="15118" max="15119" width="9.5" style="138" customWidth="1"/>
    <col min="15120" max="15120" width="3.5" style="138" customWidth="1"/>
    <col min="15121" max="15121" width="7.5" style="138" customWidth="1"/>
    <col min="15122" max="15122" width="9.5" style="138" customWidth="1"/>
    <col min="15123" max="15123" width="4.5" style="138" customWidth="1"/>
    <col min="15124" max="15125" width="9.5" style="138" customWidth="1"/>
    <col min="15126" max="15126" width="4.5" style="138" customWidth="1"/>
    <col min="15127" max="15128" width="9.5" style="138" customWidth="1"/>
    <col min="15129" max="15129" width="5.5" style="138" customWidth="1"/>
    <col min="15130" max="15131" width="9.5" style="138" customWidth="1"/>
    <col min="15132" max="15132" width="4" style="138" customWidth="1"/>
    <col min="15133" max="15134" width="9.5" style="138" customWidth="1"/>
    <col min="15135" max="15135" width="4.5" style="138" customWidth="1"/>
    <col min="15136" max="15136" width="7.5" style="138" customWidth="1"/>
    <col min="15137" max="15137" width="9.5" style="138" customWidth="1"/>
    <col min="15138" max="15138" width="3.5" style="138" customWidth="1"/>
    <col min="15139" max="15140" width="9.5" style="138" customWidth="1"/>
    <col min="15141" max="15141" width="3.5" style="138" customWidth="1"/>
    <col min="15142" max="15143" width="9.5" style="138" customWidth="1"/>
    <col min="15144" max="15144" width="3" style="138" customWidth="1"/>
    <col min="15145" max="15146" width="9.5" style="138" customWidth="1"/>
    <col min="15147" max="15147" width="3.5" style="138" customWidth="1"/>
    <col min="15148" max="15149" width="9.5" style="138" customWidth="1"/>
    <col min="15150" max="15150" width="3.5" style="138" customWidth="1"/>
    <col min="15151" max="15151" width="7.5" style="138" customWidth="1"/>
    <col min="15152" max="15152" width="9.5" style="138" customWidth="1"/>
    <col min="15153" max="15153" width="4.5" style="138" customWidth="1"/>
    <col min="15154" max="15155" width="9.5" style="138" customWidth="1"/>
    <col min="15156" max="15156" width="4.5" style="138" customWidth="1"/>
    <col min="15157" max="15158" width="9.5" style="138" customWidth="1"/>
    <col min="15159" max="15159" width="5.5" style="138" customWidth="1"/>
    <col min="15160" max="15161" width="9.5" style="138" customWidth="1"/>
    <col min="15162" max="15162" width="4" style="138" customWidth="1"/>
    <col min="15163" max="15164" width="9.5" style="138" customWidth="1"/>
    <col min="15165" max="15165" width="3.5" style="138" customWidth="1"/>
    <col min="15166" max="15167" width="9.5" style="138" customWidth="1"/>
    <col min="15168" max="15168" width="9" style="138" customWidth="1"/>
    <col min="15169" max="15170" width="9.5" style="138" customWidth="1"/>
    <col min="15171" max="15171" width="4.5" style="138" customWidth="1"/>
    <col min="15172" max="15173" width="9.5" style="138" customWidth="1"/>
    <col min="15174" max="15174" width="4.5" style="138" customWidth="1"/>
    <col min="15175" max="15360" width="9.5" style="138" customWidth="1"/>
    <col min="15361" max="15361" width="4.5" style="138" customWidth="1"/>
    <col min="15362" max="15362" width="7.5" style="138" customWidth="1"/>
    <col min="15363" max="15363" width="9.5" style="138" customWidth="1"/>
    <col min="15364" max="15364" width="3.5" style="138" customWidth="1"/>
    <col min="15365" max="15366" width="9.5" style="138" customWidth="1"/>
    <col min="15367" max="15367" width="3.5" style="138" customWidth="1"/>
    <col min="15368" max="15369" width="9.5" style="138" customWidth="1"/>
    <col min="15370" max="15370" width="3" style="138" customWidth="1"/>
    <col min="15371" max="15372" width="9.5" style="138" customWidth="1"/>
    <col min="15373" max="15373" width="3.5" style="138" customWidth="1"/>
    <col min="15374" max="15375" width="9.5" style="138" customWidth="1"/>
    <col min="15376" max="15376" width="3.5" style="138" customWidth="1"/>
    <col min="15377" max="15377" width="7.5" style="138" customWidth="1"/>
    <col min="15378" max="15378" width="9.5" style="138" customWidth="1"/>
    <col min="15379" max="15379" width="4.5" style="138" customWidth="1"/>
    <col min="15380" max="15381" width="9.5" style="138" customWidth="1"/>
    <col min="15382" max="15382" width="4.5" style="138" customWidth="1"/>
    <col min="15383" max="15384" width="9.5" style="138" customWidth="1"/>
    <col min="15385" max="15385" width="5.5" style="138" customWidth="1"/>
    <col min="15386" max="15387" width="9.5" style="138" customWidth="1"/>
    <col min="15388" max="15388" width="4" style="138" customWidth="1"/>
    <col min="15389" max="15390" width="9.5" style="138" customWidth="1"/>
    <col min="15391" max="15391" width="4.5" style="138" customWidth="1"/>
    <col min="15392" max="15392" width="7.5" style="138" customWidth="1"/>
    <col min="15393" max="15393" width="9.5" style="138" customWidth="1"/>
    <col min="15394" max="15394" width="3.5" style="138" customWidth="1"/>
    <col min="15395" max="15396" width="9.5" style="138" customWidth="1"/>
    <col min="15397" max="15397" width="3.5" style="138" customWidth="1"/>
    <col min="15398" max="15399" width="9.5" style="138" customWidth="1"/>
    <col min="15400" max="15400" width="3" style="138" customWidth="1"/>
    <col min="15401" max="15402" width="9.5" style="138" customWidth="1"/>
    <col min="15403" max="15403" width="3.5" style="138" customWidth="1"/>
    <col min="15404" max="15405" width="9.5" style="138" customWidth="1"/>
    <col min="15406" max="15406" width="3.5" style="138" customWidth="1"/>
    <col min="15407" max="15407" width="7.5" style="138" customWidth="1"/>
    <col min="15408" max="15408" width="9.5" style="138" customWidth="1"/>
    <col min="15409" max="15409" width="4.5" style="138" customWidth="1"/>
    <col min="15410" max="15411" width="9.5" style="138" customWidth="1"/>
    <col min="15412" max="15412" width="4.5" style="138" customWidth="1"/>
    <col min="15413" max="15414" width="9.5" style="138" customWidth="1"/>
    <col min="15415" max="15415" width="5.5" style="138" customWidth="1"/>
    <col min="15416" max="15417" width="9.5" style="138" customWidth="1"/>
    <col min="15418" max="15418" width="4" style="138" customWidth="1"/>
    <col min="15419" max="15420" width="9.5" style="138" customWidth="1"/>
    <col min="15421" max="15421" width="3.5" style="138" customWidth="1"/>
    <col min="15422" max="15423" width="9.5" style="138" customWidth="1"/>
    <col min="15424" max="15424" width="9" style="138" customWidth="1"/>
    <col min="15425" max="15426" width="9.5" style="138" customWidth="1"/>
    <col min="15427" max="15427" width="4.5" style="138" customWidth="1"/>
    <col min="15428" max="15429" width="9.5" style="138" customWidth="1"/>
    <col min="15430" max="15430" width="4.5" style="138" customWidth="1"/>
    <col min="15431" max="15616" width="9.5" style="138" customWidth="1"/>
    <col min="15617" max="15617" width="4.5" style="138" customWidth="1"/>
    <col min="15618" max="15618" width="7.5" style="138" customWidth="1"/>
    <col min="15619" max="15619" width="9.5" style="138" customWidth="1"/>
    <col min="15620" max="15620" width="3.5" style="138" customWidth="1"/>
    <col min="15621" max="15622" width="9.5" style="138" customWidth="1"/>
    <col min="15623" max="15623" width="3.5" style="138" customWidth="1"/>
    <col min="15624" max="15625" width="9.5" style="138" customWidth="1"/>
    <col min="15626" max="15626" width="3" style="138" customWidth="1"/>
    <col min="15627" max="15628" width="9.5" style="138" customWidth="1"/>
    <col min="15629" max="15629" width="3.5" style="138" customWidth="1"/>
    <col min="15630" max="15631" width="9.5" style="138" customWidth="1"/>
    <col min="15632" max="15632" width="3.5" style="138" customWidth="1"/>
    <col min="15633" max="15633" width="7.5" style="138" customWidth="1"/>
    <col min="15634" max="15634" width="9.5" style="138" customWidth="1"/>
    <col min="15635" max="15635" width="4.5" style="138" customWidth="1"/>
    <col min="15636" max="15637" width="9.5" style="138" customWidth="1"/>
    <col min="15638" max="15638" width="4.5" style="138" customWidth="1"/>
    <col min="15639" max="15640" width="9.5" style="138" customWidth="1"/>
    <col min="15641" max="15641" width="5.5" style="138" customWidth="1"/>
    <col min="15642" max="15643" width="9.5" style="138" customWidth="1"/>
    <col min="15644" max="15644" width="4" style="138" customWidth="1"/>
    <col min="15645" max="15646" width="9.5" style="138" customWidth="1"/>
    <col min="15647" max="15647" width="4.5" style="138" customWidth="1"/>
    <col min="15648" max="15648" width="7.5" style="138" customWidth="1"/>
    <col min="15649" max="15649" width="9.5" style="138" customWidth="1"/>
    <col min="15650" max="15650" width="3.5" style="138" customWidth="1"/>
    <col min="15651" max="15652" width="9.5" style="138" customWidth="1"/>
    <col min="15653" max="15653" width="3.5" style="138" customWidth="1"/>
    <col min="15654" max="15655" width="9.5" style="138" customWidth="1"/>
    <col min="15656" max="15656" width="3" style="138" customWidth="1"/>
    <col min="15657" max="15658" width="9.5" style="138" customWidth="1"/>
    <col min="15659" max="15659" width="3.5" style="138" customWidth="1"/>
    <col min="15660" max="15661" width="9.5" style="138" customWidth="1"/>
    <col min="15662" max="15662" width="3.5" style="138" customWidth="1"/>
    <col min="15663" max="15663" width="7.5" style="138" customWidth="1"/>
    <col min="15664" max="15664" width="9.5" style="138" customWidth="1"/>
    <col min="15665" max="15665" width="4.5" style="138" customWidth="1"/>
    <col min="15666" max="15667" width="9.5" style="138" customWidth="1"/>
    <col min="15668" max="15668" width="4.5" style="138" customWidth="1"/>
    <col min="15669" max="15670" width="9.5" style="138" customWidth="1"/>
    <col min="15671" max="15671" width="5.5" style="138" customWidth="1"/>
    <col min="15672" max="15673" width="9.5" style="138" customWidth="1"/>
    <col min="15674" max="15674" width="4" style="138" customWidth="1"/>
    <col min="15675" max="15676" width="9.5" style="138" customWidth="1"/>
    <col min="15677" max="15677" width="3.5" style="138" customWidth="1"/>
    <col min="15678" max="15679" width="9.5" style="138" customWidth="1"/>
    <col min="15680" max="15680" width="9" style="138" customWidth="1"/>
    <col min="15681" max="15682" width="9.5" style="138" customWidth="1"/>
    <col min="15683" max="15683" width="4.5" style="138" customWidth="1"/>
    <col min="15684" max="15685" width="9.5" style="138" customWidth="1"/>
    <col min="15686" max="15686" width="4.5" style="138" customWidth="1"/>
    <col min="15687" max="15872" width="9.5" style="138" customWidth="1"/>
    <col min="15873" max="15873" width="4.5" style="138" customWidth="1"/>
    <col min="15874" max="15874" width="7.5" style="138" customWidth="1"/>
    <col min="15875" max="15875" width="9.5" style="138" customWidth="1"/>
    <col min="15876" max="15876" width="3.5" style="138" customWidth="1"/>
    <col min="15877" max="15878" width="9.5" style="138" customWidth="1"/>
    <col min="15879" max="15879" width="3.5" style="138" customWidth="1"/>
    <col min="15880" max="15881" width="9.5" style="138" customWidth="1"/>
    <col min="15882" max="15882" width="3" style="138" customWidth="1"/>
    <col min="15883" max="15884" width="9.5" style="138" customWidth="1"/>
    <col min="15885" max="15885" width="3.5" style="138" customWidth="1"/>
    <col min="15886" max="15887" width="9.5" style="138" customWidth="1"/>
    <col min="15888" max="15888" width="3.5" style="138" customWidth="1"/>
    <col min="15889" max="15889" width="7.5" style="138" customWidth="1"/>
    <col min="15890" max="15890" width="9.5" style="138" customWidth="1"/>
    <col min="15891" max="15891" width="4.5" style="138" customWidth="1"/>
    <col min="15892" max="15893" width="9.5" style="138" customWidth="1"/>
    <col min="15894" max="15894" width="4.5" style="138" customWidth="1"/>
    <col min="15895" max="15896" width="9.5" style="138" customWidth="1"/>
    <col min="15897" max="15897" width="5.5" style="138" customWidth="1"/>
    <col min="15898" max="15899" width="9.5" style="138" customWidth="1"/>
    <col min="15900" max="15900" width="4" style="138" customWidth="1"/>
    <col min="15901" max="15902" width="9.5" style="138" customWidth="1"/>
    <col min="15903" max="15903" width="4.5" style="138" customWidth="1"/>
    <col min="15904" max="15904" width="7.5" style="138" customWidth="1"/>
    <col min="15905" max="15905" width="9.5" style="138" customWidth="1"/>
    <col min="15906" max="15906" width="3.5" style="138" customWidth="1"/>
    <col min="15907" max="15908" width="9.5" style="138" customWidth="1"/>
    <col min="15909" max="15909" width="3.5" style="138" customWidth="1"/>
    <col min="15910" max="15911" width="9.5" style="138" customWidth="1"/>
    <col min="15912" max="15912" width="3" style="138" customWidth="1"/>
    <col min="15913" max="15914" width="9.5" style="138" customWidth="1"/>
    <col min="15915" max="15915" width="3.5" style="138" customWidth="1"/>
    <col min="15916" max="15917" width="9.5" style="138" customWidth="1"/>
    <col min="15918" max="15918" width="3.5" style="138" customWidth="1"/>
    <col min="15919" max="15919" width="7.5" style="138" customWidth="1"/>
    <col min="15920" max="15920" width="9.5" style="138" customWidth="1"/>
    <col min="15921" max="15921" width="4.5" style="138" customWidth="1"/>
    <col min="15922" max="15923" width="9.5" style="138" customWidth="1"/>
    <col min="15924" max="15924" width="4.5" style="138" customWidth="1"/>
    <col min="15925" max="15926" width="9.5" style="138" customWidth="1"/>
    <col min="15927" max="15927" width="5.5" style="138" customWidth="1"/>
    <col min="15928" max="15929" width="9.5" style="138" customWidth="1"/>
    <col min="15930" max="15930" width="4" style="138" customWidth="1"/>
    <col min="15931" max="15932" width="9.5" style="138" customWidth="1"/>
    <col min="15933" max="15933" width="3.5" style="138" customWidth="1"/>
    <col min="15934" max="15935" width="9.5" style="138" customWidth="1"/>
    <col min="15936" max="15936" width="9" style="138" customWidth="1"/>
    <col min="15937" max="15938" width="9.5" style="138" customWidth="1"/>
    <col min="15939" max="15939" width="4.5" style="138" customWidth="1"/>
    <col min="15940" max="15941" width="9.5" style="138" customWidth="1"/>
    <col min="15942" max="15942" width="4.5" style="138" customWidth="1"/>
    <col min="15943" max="16128" width="9.5" style="138" customWidth="1"/>
    <col min="16129" max="16129" width="4.5" style="138" customWidth="1"/>
    <col min="16130" max="16130" width="7.5" style="138" customWidth="1"/>
    <col min="16131" max="16131" width="9.5" style="138" customWidth="1"/>
    <col min="16132" max="16132" width="3.5" style="138" customWidth="1"/>
    <col min="16133" max="16134" width="9.5" style="138" customWidth="1"/>
    <col min="16135" max="16135" width="3.5" style="138" customWidth="1"/>
    <col min="16136" max="16137" width="9.5" style="138" customWidth="1"/>
    <col min="16138" max="16138" width="3" style="138" customWidth="1"/>
    <col min="16139" max="16140" width="9.5" style="138" customWidth="1"/>
    <col min="16141" max="16141" width="3.5" style="138" customWidth="1"/>
    <col min="16142" max="16143" width="9.5" style="138" customWidth="1"/>
    <col min="16144" max="16144" width="3.5" style="138" customWidth="1"/>
    <col min="16145" max="16145" width="7.5" style="138" customWidth="1"/>
    <col min="16146" max="16146" width="9.5" style="138" customWidth="1"/>
    <col min="16147" max="16147" width="4.5" style="138" customWidth="1"/>
    <col min="16148" max="16149" width="9.5" style="138" customWidth="1"/>
    <col min="16150" max="16150" width="4.5" style="138" customWidth="1"/>
    <col min="16151" max="16152" width="9.5" style="138" customWidth="1"/>
    <col min="16153" max="16153" width="5.5" style="138" customWidth="1"/>
    <col min="16154" max="16155" width="9.5" style="138" customWidth="1"/>
    <col min="16156" max="16156" width="4" style="138" customWidth="1"/>
    <col min="16157" max="16158" width="9.5" style="138" customWidth="1"/>
    <col min="16159" max="16159" width="4.5" style="138" customWidth="1"/>
    <col min="16160" max="16160" width="7.5" style="138" customWidth="1"/>
    <col min="16161" max="16161" width="9.5" style="138" customWidth="1"/>
    <col min="16162" max="16162" width="3.5" style="138" customWidth="1"/>
    <col min="16163" max="16164" width="9.5" style="138" customWidth="1"/>
    <col min="16165" max="16165" width="3.5" style="138" customWidth="1"/>
    <col min="16166" max="16167" width="9.5" style="138" customWidth="1"/>
    <col min="16168" max="16168" width="3" style="138" customWidth="1"/>
    <col min="16169" max="16170" width="9.5" style="138" customWidth="1"/>
    <col min="16171" max="16171" width="3.5" style="138" customWidth="1"/>
    <col min="16172" max="16173" width="9.5" style="138" customWidth="1"/>
    <col min="16174" max="16174" width="3.5" style="138" customWidth="1"/>
    <col min="16175" max="16175" width="7.5" style="138" customWidth="1"/>
    <col min="16176" max="16176" width="9.5" style="138" customWidth="1"/>
    <col min="16177" max="16177" width="4.5" style="138" customWidth="1"/>
    <col min="16178" max="16179" width="9.5" style="138" customWidth="1"/>
    <col min="16180" max="16180" width="4.5" style="138" customWidth="1"/>
    <col min="16181" max="16182" width="9.5" style="138" customWidth="1"/>
    <col min="16183" max="16183" width="5.5" style="138" customWidth="1"/>
    <col min="16184" max="16185" width="9.5" style="138" customWidth="1"/>
    <col min="16186" max="16186" width="4" style="138" customWidth="1"/>
    <col min="16187" max="16188" width="9.5" style="138" customWidth="1"/>
    <col min="16189" max="16189" width="3.5" style="138" customWidth="1"/>
    <col min="16190" max="16191" width="9.5" style="138" customWidth="1"/>
    <col min="16192" max="16192" width="9" style="138" customWidth="1"/>
    <col min="16193" max="16194" width="9.5" style="138" customWidth="1"/>
    <col min="16195" max="16195" width="4.5" style="138" customWidth="1"/>
    <col min="16196" max="16197" width="9.5" style="138" customWidth="1"/>
    <col min="16198" max="16198" width="4.5" style="138" customWidth="1"/>
    <col min="16199" max="16384" width="9.5" style="138" customWidth="1"/>
  </cols>
  <sheetData>
    <row r="1" spans="2:72" x14ac:dyDescent="0.15">
      <c r="B1" s="137">
        <v>1</v>
      </c>
      <c r="C1" s="137"/>
      <c r="E1" s="137">
        <v>2</v>
      </c>
      <c r="F1" s="137"/>
      <c r="H1" s="137">
        <v>3</v>
      </c>
      <c r="I1" s="137"/>
      <c r="K1" s="137">
        <v>4</v>
      </c>
      <c r="L1" s="137"/>
      <c r="N1" s="137">
        <v>5</v>
      </c>
      <c r="O1" s="137"/>
      <c r="Q1" s="137">
        <v>6</v>
      </c>
      <c r="R1" s="137"/>
      <c r="T1" s="137">
        <v>7</v>
      </c>
      <c r="U1" s="137"/>
      <c r="W1" s="137">
        <v>8</v>
      </c>
      <c r="X1" s="137"/>
      <c r="Z1" s="137">
        <v>9</v>
      </c>
      <c r="AA1" s="137"/>
      <c r="AC1" s="137">
        <v>10</v>
      </c>
      <c r="AD1" s="137"/>
      <c r="AF1" s="137">
        <v>11</v>
      </c>
      <c r="AG1" s="137"/>
      <c r="AI1" s="137">
        <v>12</v>
      </c>
      <c r="AJ1" s="137"/>
      <c r="AL1" s="137">
        <v>13</v>
      </c>
      <c r="AM1" s="137"/>
      <c r="AO1" s="137">
        <v>14</v>
      </c>
      <c r="AP1" s="137"/>
      <c r="AR1" s="137">
        <v>15</v>
      </c>
      <c r="AS1" s="137"/>
      <c r="AU1" s="137">
        <v>16</v>
      </c>
      <c r="AV1" s="137"/>
      <c r="AX1" s="137">
        <v>17</v>
      </c>
      <c r="AY1" s="137"/>
      <c r="BA1" s="137">
        <v>18</v>
      </c>
      <c r="BB1" s="137"/>
      <c r="BD1" s="137">
        <v>19</v>
      </c>
      <c r="BE1" s="137"/>
      <c r="BG1" s="137">
        <v>20</v>
      </c>
      <c r="BH1" s="137"/>
      <c r="BJ1" s="137">
        <v>21</v>
      </c>
      <c r="BK1" s="137"/>
      <c r="BM1" s="137">
        <v>22</v>
      </c>
      <c r="BN1" s="137"/>
      <c r="BP1" s="137">
        <v>23</v>
      </c>
      <c r="BQ1" s="137"/>
      <c r="BS1" s="137">
        <v>24</v>
      </c>
      <c r="BT1" s="137"/>
    </row>
    <row r="2" spans="2:72" x14ac:dyDescent="0.15">
      <c r="C2" s="137">
        <f>'Statistical Process Control'!D3</f>
        <v>25</v>
      </c>
      <c r="F2" s="139">
        <f>F4-C4</f>
        <v>20</v>
      </c>
      <c r="I2" s="139">
        <f>I4-F4</f>
        <v>20</v>
      </c>
      <c r="L2" s="139">
        <f>L4-I4</f>
        <v>20</v>
      </c>
      <c r="O2" s="139">
        <f>O4-L4</f>
        <v>20</v>
      </c>
      <c r="R2" s="139">
        <f>R4-O4</f>
        <v>20</v>
      </c>
      <c r="U2" s="139">
        <f>U4-R4</f>
        <v>20</v>
      </c>
      <c r="X2" s="139">
        <f>X4-U4</f>
        <v>20</v>
      </c>
      <c r="AA2" s="139">
        <f>AA4-X4</f>
        <v>20</v>
      </c>
      <c r="AD2" s="139">
        <f>AD4-AA4</f>
        <v>20</v>
      </c>
      <c r="AG2" s="139" t="e">
        <f>AG4-AD4</f>
        <v>#VALUE!</v>
      </c>
      <c r="AJ2" s="139" t="e">
        <f>AJ4-AG4</f>
        <v>#VALUE!</v>
      </c>
      <c r="AM2" s="139" t="e">
        <f>AM4-AJ4</f>
        <v>#VALUE!</v>
      </c>
      <c r="AP2" s="139" t="e">
        <f>AP4-AM4</f>
        <v>#VALUE!</v>
      </c>
      <c r="AS2" s="139" t="e">
        <f>AS4-AP4</f>
        <v>#VALUE!</v>
      </c>
      <c r="AV2" s="139" t="e">
        <f>AV4-AS4</f>
        <v>#VALUE!</v>
      </c>
      <c r="AY2" s="139" t="e">
        <f>AY4-AV4</f>
        <v>#VALUE!</v>
      </c>
      <c r="BB2" s="139" t="e">
        <f>BB4-AY4</f>
        <v>#VALUE!</v>
      </c>
      <c r="BE2" s="139" t="e">
        <f>BE4-BB4</f>
        <v>#VALUE!</v>
      </c>
      <c r="BH2" s="139" t="e">
        <f>BH4-BE4</f>
        <v>#VALUE!</v>
      </c>
      <c r="BK2" s="139" t="e">
        <f>BK4-BH4</f>
        <v>#VALUE!</v>
      </c>
      <c r="BN2" s="139" t="e">
        <f>BN4-BK4</f>
        <v>#VALUE!</v>
      </c>
      <c r="BQ2" s="139" t="e">
        <f>BQ4-BN4</f>
        <v>#VALUE!</v>
      </c>
      <c r="BT2" s="139" t="e">
        <f>BT4-BQ4</f>
        <v>#VALUE!</v>
      </c>
    </row>
    <row r="3" spans="2:72" x14ac:dyDescent="0.15">
      <c r="B3" s="140" t="s">
        <v>677</v>
      </c>
      <c r="C3" s="141">
        <f>'Statistical Process Control'!D4</f>
        <v>0.9</v>
      </c>
      <c r="E3" s="140" t="s">
        <v>677</v>
      </c>
      <c r="F3" s="141">
        <f>C3</f>
        <v>0.9</v>
      </c>
      <c r="H3" s="140" t="s">
        <v>677</v>
      </c>
      <c r="I3" s="141">
        <f>F3</f>
        <v>0.9</v>
      </c>
      <c r="K3" s="140" t="s">
        <v>677</v>
      </c>
      <c r="L3" s="141">
        <f>I3</f>
        <v>0.9</v>
      </c>
      <c r="N3" s="140" t="s">
        <v>677</v>
      </c>
      <c r="O3" s="141">
        <f>L3</f>
        <v>0.9</v>
      </c>
      <c r="Q3" s="140" t="s">
        <v>677</v>
      </c>
      <c r="R3" s="141">
        <f>O3</f>
        <v>0.9</v>
      </c>
      <c r="T3" s="140" t="s">
        <v>677</v>
      </c>
      <c r="U3" s="141">
        <f>R3</f>
        <v>0.9</v>
      </c>
      <c r="W3" s="140" t="s">
        <v>677</v>
      </c>
      <c r="X3" s="141">
        <f>U3</f>
        <v>0.9</v>
      </c>
      <c r="Z3" s="140" t="s">
        <v>677</v>
      </c>
      <c r="AA3" s="141">
        <f>X3</f>
        <v>0.9</v>
      </c>
      <c r="AC3" s="140" t="s">
        <v>677</v>
      </c>
      <c r="AD3" s="141">
        <f>AA3</f>
        <v>0.9</v>
      </c>
      <c r="AF3" s="140" t="s">
        <v>677</v>
      </c>
      <c r="AG3" s="141">
        <f>AD3</f>
        <v>0.9</v>
      </c>
      <c r="AI3" s="140" t="s">
        <v>677</v>
      </c>
      <c r="AJ3" s="141">
        <f>AG3</f>
        <v>0.9</v>
      </c>
      <c r="AL3" s="140" t="s">
        <v>677</v>
      </c>
      <c r="AM3" s="141">
        <f>AJ3</f>
        <v>0.9</v>
      </c>
      <c r="AO3" s="140" t="s">
        <v>677</v>
      </c>
      <c r="AP3" s="141">
        <f>AM3</f>
        <v>0.9</v>
      </c>
      <c r="AR3" s="140" t="s">
        <v>677</v>
      </c>
      <c r="AS3" s="141">
        <f>AP3</f>
        <v>0.9</v>
      </c>
      <c r="AU3" s="140" t="s">
        <v>677</v>
      </c>
      <c r="AV3" s="141">
        <f>AS3</f>
        <v>0.9</v>
      </c>
      <c r="AX3" s="140" t="s">
        <v>677</v>
      </c>
      <c r="AY3" s="141">
        <f>AV3</f>
        <v>0.9</v>
      </c>
      <c r="BA3" s="140" t="s">
        <v>677</v>
      </c>
      <c r="BB3" s="141">
        <f>AY3</f>
        <v>0.9</v>
      </c>
      <c r="BD3" s="140" t="s">
        <v>677</v>
      </c>
      <c r="BE3" s="141">
        <f>BB3</f>
        <v>0.9</v>
      </c>
      <c r="BG3" s="140" t="s">
        <v>677</v>
      </c>
      <c r="BH3" s="141">
        <f>BE3</f>
        <v>0.9</v>
      </c>
      <c r="BJ3" s="140" t="s">
        <v>677</v>
      </c>
      <c r="BK3" s="141">
        <f>BH3</f>
        <v>0.9</v>
      </c>
      <c r="BM3" s="140" t="s">
        <v>677</v>
      </c>
      <c r="BN3" s="141">
        <f>BK3</f>
        <v>0.9</v>
      </c>
      <c r="BP3" s="140" t="s">
        <v>677</v>
      </c>
      <c r="BQ3" s="141">
        <f>BN3</f>
        <v>0.9</v>
      </c>
      <c r="BS3" s="140" t="s">
        <v>677</v>
      </c>
      <c r="BT3" s="141">
        <f>BQ3</f>
        <v>0.9</v>
      </c>
    </row>
    <row r="4" spans="2:72" x14ac:dyDescent="0.15">
      <c r="B4" s="142" t="s">
        <v>678</v>
      </c>
      <c r="C4" s="143">
        <f>IF('Statistical Process Control'!$I$47="NA",C2,'Statistical Process Control'!$I$47)</f>
        <v>20</v>
      </c>
      <c r="E4" s="142" t="s">
        <v>678</v>
      </c>
      <c r="F4" s="143">
        <f>IF('Statistical Process Control'!$I$48="NA",C4+C2,'Statistical Process Control'!$I$48)</f>
        <v>40</v>
      </c>
      <c r="H4" s="142" t="s">
        <v>678</v>
      </c>
      <c r="I4" s="143">
        <f>IF('Statistical Process Control'!$I$49="NA",F4+F2,'Statistical Process Control'!$I$49)</f>
        <v>60</v>
      </c>
      <c r="K4" s="142" t="s">
        <v>678</v>
      </c>
      <c r="L4" s="143">
        <f>IF('Statistical Process Control'!$I$50="NA",I4+I2,'Statistical Process Control'!$I$50)</f>
        <v>80</v>
      </c>
      <c r="N4" s="142" t="s">
        <v>678</v>
      </c>
      <c r="O4" s="143">
        <f>IF('Statistical Process Control'!$I$51="NA",L4+L2,'Statistical Process Control'!$I$51)</f>
        <v>100</v>
      </c>
      <c r="Q4" s="142" t="s">
        <v>678</v>
      </c>
      <c r="R4" s="143">
        <f>IF('Statistical Process Control'!$I$52="NA",O4+O2,'Statistical Process Control'!$I$52)</f>
        <v>120</v>
      </c>
      <c r="T4" s="142" t="s">
        <v>678</v>
      </c>
      <c r="U4" s="143">
        <f>IF('Statistical Process Control'!$I$53="NA",R4+R2,'Statistical Process Control'!$I$53)</f>
        <v>140</v>
      </c>
      <c r="W4" s="142" t="s">
        <v>678</v>
      </c>
      <c r="X4" s="143">
        <f>IF('Statistical Process Control'!$I$54="NA",U4+U2,'Statistical Process Control'!$I$54)</f>
        <v>160</v>
      </c>
      <c r="Z4" s="142" t="s">
        <v>678</v>
      </c>
      <c r="AA4" s="143">
        <f>IF('Statistical Process Control'!$I$55="NA",X4+X2,'Statistical Process Control'!$I$55)</f>
        <v>180</v>
      </c>
      <c r="AC4" s="142" t="s">
        <v>678</v>
      </c>
      <c r="AD4" s="143">
        <f>IF('Statistical Process Control'!$I$56="NA",AA4+AA2,'Statistical Process Control'!$I$56)</f>
        <v>200</v>
      </c>
      <c r="AF4" s="142" t="s">
        <v>678</v>
      </c>
      <c r="AG4" s="143" t="e">
        <f>IF('Statistical Process Control'!$I$57="NA",AD2+AD4,'Statistical Process Control'!$I$57)</f>
        <v>#VALUE!</v>
      </c>
      <c r="AI4" s="142" t="s">
        <v>678</v>
      </c>
      <c r="AJ4" s="143" t="e">
        <f>IF('Statistical Process Control'!$I$58="NA",AG2+AG4,'Statistical Process Control'!$I$58)</f>
        <v>#VALUE!</v>
      </c>
      <c r="AL4" s="142" t="s">
        <v>678</v>
      </c>
      <c r="AM4" s="143" t="e">
        <f>IF('Statistical Process Control'!$I$59="NA",AJ2+AJ4,'Statistical Process Control'!$I$59)</f>
        <v>#VALUE!</v>
      </c>
      <c r="AO4" s="142" t="s">
        <v>678</v>
      </c>
      <c r="AP4" s="143" t="e">
        <f>IF('Statistical Process Control'!$I$60="NA",AM2+AM4,'Statistical Process Control'!$I$60)</f>
        <v>#VALUE!</v>
      </c>
      <c r="AR4" s="142" t="s">
        <v>678</v>
      </c>
      <c r="AS4" s="143" t="e">
        <f>IF('Statistical Process Control'!$I$61="NA",AP2+AP4,'Statistical Process Control'!$I$61)</f>
        <v>#VALUE!</v>
      </c>
      <c r="AU4" s="142" t="s">
        <v>678</v>
      </c>
      <c r="AV4" s="143" t="e">
        <f>IF('Statistical Process Control'!$I$62="NA",AS2+AS4,'Statistical Process Control'!$I$62)</f>
        <v>#VALUE!</v>
      </c>
      <c r="AX4" s="142" t="s">
        <v>678</v>
      </c>
      <c r="AY4" s="143" t="e">
        <f>IF('Statistical Process Control'!$I$63="NA",AV2+AV4,'Statistical Process Control'!$I$63)</f>
        <v>#VALUE!</v>
      </c>
      <c r="BA4" s="142" t="s">
        <v>678</v>
      </c>
      <c r="BB4" s="143" t="e">
        <f>IF('Statistical Process Control'!$I$64="NA",AY2+AY4,'Statistical Process Control'!$I$64)</f>
        <v>#VALUE!</v>
      </c>
      <c r="BD4" s="142" t="s">
        <v>678</v>
      </c>
      <c r="BE4" s="143" t="e">
        <f>IF('Statistical Process Control'!$I$65="NA",BB2+BB4,'Statistical Process Control'!$I$65)</f>
        <v>#VALUE!</v>
      </c>
      <c r="BG4" s="142" t="s">
        <v>678</v>
      </c>
      <c r="BH4" s="143" t="e">
        <f>IF('Statistical Process Control'!$I$66="NA",BE2+BE4,'Statistical Process Control'!$I$66)</f>
        <v>#VALUE!</v>
      </c>
      <c r="BJ4" s="142" t="s">
        <v>678</v>
      </c>
      <c r="BK4" s="143" t="e">
        <f>IF('Statistical Process Control'!$I$67="NA",BH2+BH4,'Statistical Process Control'!$I$67)</f>
        <v>#VALUE!</v>
      </c>
      <c r="BM4" s="142" t="s">
        <v>678</v>
      </c>
      <c r="BN4" s="143" t="e">
        <f>IF('Statistical Process Control'!$I$68="NA",BK2+BK4,'Statistical Process Control'!$I$68)</f>
        <v>#VALUE!</v>
      </c>
      <c r="BP4" s="142" t="s">
        <v>678</v>
      </c>
      <c r="BQ4" s="143" t="e">
        <f>IF('Statistical Process Control'!$I$69="NA",BN2+BN4,'Statistical Process Control'!$I$69)</f>
        <v>#VALUE!</v>
      </c>
      <c r="BS4" s="142" t="s">
        <v>678</v>
      </c>
      <c r="BT4" s="143" t="e">
        <f>IF('Statistical Process Control'!$I$70="NA",BQ2+BQ4,'Statistical Process Control'!$I$70)</f>
        <v>#VALUE!</v>
      </c>
    </row>
    <row r="5" spans="2:72" x14ac:dyDescent="0.15">
      <c r="B5" s="144" t="s">
        <v>679</v>
      </c>
      <c r="C5" s="145">
        <f>'Statistical Process Control'!$D2*C4</f>
        <v>0.4</v>
      </c>
      <c r="E5" s="144" t="s">
        <v>679</v>
      </c>
      <c r="F5" s="145">
        <f>'Statistical Process Control'!$D2*F4</f>
        <v>0.8</v>
      </c>
      <c r="H5" s="144" t="s">
        <v>679</v>
      </c>
      <c r="I5" s="145">
        <f>'Statistical Process Control'!$D2*I4</f>
        <v>1.2</v>
      </c>
      <c r="K5" s="144" t="s">
        <v>679</v>
      </c>
      <c r="L5" s="145">
        <f>'Statistical Process Control'!$D2*L4</f>
        <v>1.6</v>
      </c>
      <c r="N5" s="144" t="s">
        <v>679</v>
      </c>
      <c r="O5" s="145">
        <f>'Statistical Process Control'!$D2*O4</f>
        <v>2</v>
      </c>
      <c r="Q5" s="144" t="s">
        <v>679</v>
      </c>
      <c r="R5" s="145">
        <f>'Statistical Process Control'!$D2*R4</f>
        <v>2.4</v>
      </c>
      <c r="T5" s="144" t="s">
        <v>679</v>
      </c>
      <c r="U5" s="145">
        <f>'Statistical Process Control'!$D2*U4</f>
        <v>2.8000000000000003</v>
      </c>
      <c r="W5" s="144" t="s">
        <v>679</v>
      </c>
      <c r="X5" s="145">
        <f>'Statistical Process Control'!$D2*X4</f>
        <v>3.2</v>
      </c>
      <c r="Z5" s="144" t="s">
        <v>679</v>
      </c>
      <c r="AA5" s="145">
        <f>'Statistical Process Control'!$D2*AA4</f>
        <v>3.6</v>
      </c>
      <c r="AC5" s="144" t="s">
        <v>679</v>
      </c>
      <c r="AD5" s="145">
        <f>'Statistical Process Control'!$D2*AD4</f>
        <v>4</v>
      </c>
      <c r="AF5" s="144" t="s">
        <v>679</v>
      </c>
      <c r="AG5" s="145" t="e">
        <f>'Statistical Process Control'!$D2*AG4</f>
        <v>#VALUE!</v>
      </c>
      <c r="AI5" s="144" t="s">
        <v>679</v>
      </c>
      <c r="AJ5" s="145" t="e">
        <f>'Statistical Process Control'!$D2*AJ4</f>
        <v>#VALUE!</v>
      </c>
      <c r="AL5" s="144" t="s">
        <v>679</v>
      </c>
      <c r="AM5" s="145" t="e">
        <f>'Statistical Process Control'!$D2*AM4</f>
        <v>#VALUE!</v>
      </c>
      <c r="AO5" s="144" t="s">
        <v>679</v>
      </c>
      <c r="AP5" s="145" t="e">
        <f>'Statistical Process Control'!$D2*AP4</f>
        <v>#VALUE!</v>
      </c>
      <c r="AR5" s="144" t="s">
        <v>679</v>
      </c>
      <c r="AS5" s="145" t="e">
        <f>'Statistical Process Control'!$D2*AS4</f>
        <v>#VALUE!</v>
      </c>
      <c r="AU5" s="144" t="s">
        <v>679</v>
      </c>
      <c r="AV5" s="145" t="e">
        <f>'Statistical Process Control'!$D2*AV4</f>
        <v>#VALUE!</v>
      </c>
      <c r="AX5" s="144" t="s">
        <v>679</v>
      </c>
      <c r="AY5" s="145" t="e">
        <f>'Statistical Process Control'!$D2*AY4</f>
        <v>#VALUE!</v>
      </c>
      <c r="BA5" s="144" t="s">
        <v>679</v>
      </c>
      <c r="BB5" s="145" t="e">
        <f>'Statistical Process Control'!$D2*BB4</f>
        <v>#VALUE!</v>
      </c>
      <c r="BD5" s="144" t="s">
        <v>679</v>
      </c>
      <c r="BE5" s="145" t="e">
        <f>'Statistical Process Control'!$D2*BE4</f>
        <v>#VALUE!</v>
      </c>
      <c r="BG5" s="144" t="s">
        <v>679</v>
      </c>
      <c r="BH5" s="145" t="e">
        <f>'Statistical Process Control'!$D2*BH4</f>
        <v>#VALUE!</v>
      </c>
      <c r="BJ5" s="144" t="s">
        <v>679</v>
      </c>
      <c r="BK5" s="145" t="e">
        <f>'Statistical Process Control'!$D2*BK4</f>
        <v>#VALUE!</v>
      </c>
      <c r="BM5" s="144" t="s">
        <v>679</v>
      </c>
      <c r="BN5" s="145" t="e">
        <f>'Statistical Process Control'!$D2*BN4</f>
        <v>#VALUE!</v>
      </c>
      <c r="BP5" s="144" t="s">
        <v>679</v>
      </c>
      <c r="BQ5" s="145" t="e">
        <f>'Statistical Process Control'!$D2*BQ4</f>
        <v>#VALUE!</v>
      </c>
      <c r="BS5" s="144" t="s">
        <v>679</v>
      </c>
      <c r="BT5" s="145" t="e">
        <f>'Statistical Process Control'!$D2*BT4</f>
        <v>#VALUE!</v>
      </c>
    </row>
    <row r="6" spans="2:72" x14ac:dyDescent="0.15">
      <c r="B6" s="142" t="s">
        <v>680</v>
      </c>
      <c r="C6" s="146">
        <f>2*(C5+1)</f>
        <v>2.8</v>
      </c>
      <c r="E6" s="142" t="s">
        <v>680</v>
      </c>
      <c r="F6" s="146">
        <f>2*(F5+1)</f>
        <v>3.6</v>
      </c>
      <c r="H6" s="142" t="s">
        <v>680</v>
      </c>
      <c r="I6" s="146">
        <f>2*(I5+1)</f>
        <v>4.4000000000000004</v>
      </c>
      <c r="K6" s="142" t="s">
        <v>680</v>
      </c>
      <c r="L6" s="146">
        <f>2*(L5+1)</f>
        <v>5.2</v>
      </c>
      <c r="N6" s="142" t="s">
        <v>680</v>
      </c>
      <c r="O6" s="146">
        <f>2*(O5+1)</f>
        <v>6</v>
      </c>
      <c r="Q6" s="142" t="s">
        <v>680</v>
      </c>
      <c r="R6" s="146">
        <f>2*(R5+1)</f>
        <v>6.8</v>
      </c>
      <c r="T6" s="142" t="s">
        <v>680</v>
      </c>
      <c r="U6" s="146">
        <f>2*(U5+1)</f>
        <v>7.6000000000000005</v>
      </c>
      <c r="W6" s="142" t="s">
        <v>680</v>
      </c>
      <c r="X6" s="146">
        <f>2*(X5+1)</f>
        <v>8.4</v>
      </c>
      <c r="Z6" s="142" t="s">
        <v>680</v>
      </c>
      <c r="AA6" s="146">
        <f>2*(AA5+1)</f>
        <v>9.1999999999999993</v>
      </c>
      <c r="AC6" s="142" t="s">
        <v>680</v>
      </c>
      <c r="AD6" s="146">
        <f>2*(AD5+1)</f>
        <v>10</v>
      </c>
      <c r="AF6" s="142" t="s">
        <v>680</v>
      </c>
      <c r="AG6" s="146" t="e">
        <f>2*(AG5+1)</f>
        <v>#VALUE!</v>
      </c>
      <c r="AI6" s="142" t="s">
        <v>680</v>
      </c>
      <c r="AJ6" s="146" t="e">
        <f>2*(AJ5+1)</f>
        <v>#VALUE!</v>
      </c>
      <c r="AL6" s="142" t="s">
        <v>680</v>
      </c>
      <c r="AM6" s="146" t="e">
        <f>2*(AM5+1)</f>
        <v>#VALUE!</v>
      </c>
      <c r="AO6" s="142" t="s">
        <v>680</v>
      </c>
      <c r="AP6" s="146" t="e">
        <f>2*(AP5+1)</f>
        <v>#VALUE!</v>
      </c>
      <c r="AR6" s="142" t="s">
        <v>680</v>
      </c>
      <c r="AS6" s="146" t="e">
        <f>2*(AS5+1)</f>
        <v>#VALUE!</v>
      </c>
      <c r="AU6" s="142" t="s">
        <v>680</v>
      </c>
      <c r="AV6" s="146" t="e">
        <f>2*(AV5+1)</f>
        <v>#VALUE!</v>
      </c>
      <c r="AX6" s="142" t="s">
        <v>680</v>
      </c>
      <c r="AY6" s="146" t="e">
        <f>2*(AY5+1)</f>
        <v>#VALUE!</v>
      </c>
      <c r="BA6" s="142" t="s">
        <v>680</v>
      </c>
      <c r="BB6" s="146" t="e">
        <f>2*(BB5+1)</f>
        <v>#VALUE!</v>
      </c>
      <c r="BD6" s="142" t="s">
        <v>680</v>
      </c>
      <c r="BE6" s="146" t="e">
        <f>2*(BE5+1)</f>
        <v>#VALUE!</v>
      </c>
      <c r="BG6" s="142" t="s">
        <v>680</v>
      </c>
      <c r="BH6" s="146" t="e">
        <f>2*(BH5+1)</f>
        <v>#VALUE!</v>
      </c>
      <c r="BJ6" s="142" t="s">
        <v>680</v>
      </c>
      <c r="BK6" s="146" t="e">
        <f>2*(BK5+1)</f>
        <v>#VALUE!</v>
      </c>
      <c r="BM6" s="142" t="s">
        <v>680</v>
      </c>
      <c r="BN6" s="146" t="e">
        <f>2*(BN5+1)</f>
        <v>#VALUE!</v>
      </c>
      <c r="BP6" s="142" t="s">
        <v>680</v>
      </c>
      <c r="BQ6" s="146" t="e">
        <f>2*(BQ5+1)</f>
        <v>#VALUE!</v>
      </c>
      <c r="BS6" s="142" t="s">
        <v>680</v>
      </c>
      <c r="BT6" s="146" t="e">
        <f>2*(BT5+1)</f>
        <v>#VALUE!</v>
      </c>
    </row>
    <row r="7" spans="2:72" x14ac:dyDescent="0.15">
      <c r="B7" s="144" t="s">
        <v>681</v>
      </c>
      <c r="C7" s="147">
        <f>2*(C4-C5)</f>
        <v>39.200000000000003</v>
      </c>
      <c r="E7" s="144" t="s">
        <v>681</v>
      </c>
      <c r="F7" s="147">
        <f>2*(F4-F5)</f>
        <v>78.400000000000006</v>
      </c>
      <c r="H7" s="144" t="s">
        <v>681</v>
      </c>
      <c r="I7" s="147">
        <f>2*(I4-I5)</f>
        <v>117.6</v>
      </c>
      <c r="K7" s="144" t="s">
        <v>681</v>
      </c>
      <c r="L7" s="147">
        <f>2*(L4-L5)</f>
        <v>156.80000000000001</v>
      </c>
      <c r="N7" s="144" t="s">
        <v>681</v>
      </c>
      <c r="O7" s="147">
        <f>2*(O4-O5)</f>
        <v>196</v>
      </c>
      <c r="Q7" s="144" t="s">
        <v>681</v>
      </c>
      <c r="R7" s="147">
        <f>2*(R4-R5)</f>
        <v>235.2</v>
      </c>
      <c r="T7" s="144" t="s">
        <v>681</v>
      </c>
      <c r="U7" s="147">
        <f>2*(U4-U5)</f>
        <v>274.39999999999998</v>
      </c>
      <c r="W7" s="144" t="s">
        <v>681</v>
      </c>
      <c r="X7" s="147">
        <f>2*(X4-X5)</f>
        <v>313.60000000000002</v>
      </c>
      <c r="Z7" s="144" t="s">
        <v>681</v>
      </c>
      <c r="AA7" s="147">
        <f>2*(AA4-AA5)</f>
        <v>352.8</v>
      </c>
      <c r="AC7" s="144" t="s">
        <v>681</v>
      </c>
      <c r="AD7" s="147">
        <f>2*(AD4-AD5)</f>
        <v>392</v>
      </c>
      <c r="AF7" s="144" t="s">
        <v>681</v>
      </c>
      <c r="AG7" s="147" t="e">
        <f>2*(AG4-AG5)</f>
        <v>#VALUE!</v>
      </c>
      <c r="AI7" s="144" t="s">
        <v>681</v>
      </c>
      <c r="AJ7" s="147" t="e">
        <f>2*(AJ4-AJ5)</f>
        <v>#VALUE!</v>
      </c>
      <c r="AL7" s="144" t="s">
        <v>681</v>
      </c>
      <c r="AM7" s="147" t="e">
        <f>2*(AM4-AM5)</f>
        <v>#VALUE!</v>
      </c>
      <c r="AO7" s="144" t="s">
        <v>681</v>
      </c>
      <c r="AP7" s="147" t="e">
        <f>2*(AP4-AP5)</f>
        <v>#VALUE!</v>
      </c>
      <c r="AR7" s="144" t="s">
        <v>681</v>
      </c>
      <c r="AS7" s="147" t="e">
        <f>2*(AS4-AS5)</f>
        <v>#VALUE!</v>
      </c>
      <c r="AU7" s="144" t="s">
        <v>681</v>
      </c>
      <c r="AV7" s="147" t="e">
        <f>2*(AV4-AV5)</f>
        <v>#VALUE!</v>
      </c>
      <c r="AX7" s="144" t="s">
        <v>681</v>
      </c>
      <c r="AY7" s="147" t="e">
        <f>2*(AY4-AY5)</f>
        <v>#VALUE!</v>
      </c>
      <c r="BA7" s="144" t="s">
        <v>681</v>
      </c>
      <c r="BB7" s="147" t="e">
        <f>2*(BB4-BB5)</f>
        <v>#VALUE!</v>
      </c>
      <c r="BD7" s="144" t="s">
        <v>681</v>
      </c>
      <c r="BE7" s="147" t="e">
        <f>2*(BE4-BE5)</f>
        <v>#VALUE!</v>
      </c>
      <c r="BG7" s="144" t="s">
        <v>681</v>
      </c>
      <c r="BH7" s="147" t="e">
        <f>2*(BH4-BH5)</f>
        <v>#VALUE!</v>
      </c>
      <c r="BJ7" s="144" t="s">
        <v>681</v>
      </c>
      <c r="BK7" s="147" t="e">
        <f>2*(BK4-BK5)</f>
        <v>#VALUE!</v>
      </c>
      <c r="BM7" s="144" t="s">
        <v>681</v>
      </c>
      <c r="BN7" s="147" t="e">
        <f>2*(BN4-BN5)</f>
        <v>#VALUE!</v>
      </c>
      <c r="BP7" s="144" t="s">
        <v>681</v>
      </c>
      <c r="BQ7" s="147" t="e">
        <f>2*(BQ4-BQ5)</f>
        <v>#VALUE!</v>
      </c>
      <c r="BS7" s="144" t="s">
        <v>681</v>
      </c>
      <c r="BT7" s="147" t="e">
        <f>2*(BT4-BT5)</f>
        <v>#VALUE!</v>
      </c>
    </row>
    <row r="9" spans="2:72" x14ac:dyDescent="0.15">
      <c r="B9" s="140" t="s">
        <v>682</v>
      </c>
      <c r="C9" s="148">
        <f>C5/C4</f>
        <v>0.02</v>
      </c>
      <c r="E9" s="140" t="s">
        <v>682</v>
      </c>
      <c r="F9" s="148">
        <f>F5/F4</f>
        <v>0.02</v>
      </c>
      <c r="H9" s="140" t="s">
        <v>682</v>
      </c>
      <c r="I9" s="148">
        <f>I5/I4</f>
        <v>0.02</v>
      </c>
      <c r="K9" s="140" t="s">
        <v>682</v>
      </c>
      <c r="L9" s="148">
        <f>L5/L4</f>
        <v>0.02</v>
      </c>
      <c r="N9" s="140" t="s">
        <v>682</v>
      </c>
      <c r="O9" s="148">
        <f>O5/O4</f>
        <v>0.02</v>
      </c>
      <c r="Q9" s="140" t="s">
        <v>682</v>
      </c>
      <c r="R9" s="148">
        <f>R5/R4</f>
        <v>0.02</v>
      </c>
      <c r="T9" s="140" t="s">
        <v>682</v>
      </c>
      <c r="U9" s="148">
        <f>U5/U4</f>
        <v>0.02</v>
      </c>
      <c r="W9" s="140" t="s">
        <v>682</v>
      </c>
      <c r="X9" s="148">
        <f>X5/X4</f>
        <v>0.02</v>
      </c>
      <c r="Z9" s="140" t="s">
        <v>682</v>
      </c>
      <c r="AA9" s="148">
        <f>AA5/AA4</f>
        <v>0.02</v>
      </c>
      <c r="AC9" s="140" t="s">
        <v>682</v>
      </c>
      <c r="AD9" s="148">
        <f>AD5/AD4</f>
        <v>0.02</v>
      </c>
      <c r="AF9" s="140" t="s">
        <v>682</v>
      </c>
      <c r="AG9" s="148" t="e">
        <f>AG5/AG4</f>
        <v>#VALUE!</v>
      </c>
      <c r="AI9" s="140" t="s">
        <v>682</v>
      </c>
      <c r="AJ9" s="148" t="e">
        <f>AJ5/AJ4</f>
        <v>#VALUE!</v>
      </c>
      <c r="AL9" s="140" t="s">
        <v>682</v>
      </c>
      <c r="AM9" s="148" t="e">
        <f>AM5/AM4</f>
        <v>#VALUE!</v>
      </c>
      <c r="AO9" s="140" t="s">
        <v>682</v>
      </c>
      <c r="AP9" s="148" t="e">
        <f>AP5/AP4</f>
        <v>#VALUE!</v>
      </c>
      <c r="AR9" s="140" t="s">
        <v>682</v>
      </c>
      <c r="AS9" s="148" t="e">
        <f>AS5/AS4</f>
        <v>#VALUE!</v>
      </c>
      <c r="AU9" s="140" t="s">
        <v>682</v>
      </c>
      <c r="AV9" s="148" t="e">
        <f>AV5/AV4</f>
        <v>#VALUE!</v>
      </c>
      <c r="AX9" s="140" t="s">
        <v>682</v>
      </c>
      <c r="AY9" s="148" t="e">
        <f>AY5/AY4</f>
        <v>#VALUE!</v>
      </c>
      <c r="BA9" s="140" t="s">
        <v>682</v>
      </c>
      <c r="BB9" s="148" t="e">
        <f>BB5/BB4</f>
        <v>#VALUE!</v>
      </c>
      <c r="BD9" s="140" t="s">
        <v>682</v>
      </c>
      <c r="BE9" s="148" t="e">
        <f>BE5/BE4</f>
        <v>#VALUE!</v>
      </c>
      <c r="BG9" s="140" t="s">
        <v>682</v>
      </c>
      <c r="BH9" s="148" t="e">
        <f>BH5/BH4</f>
        <v>#VALUE!</v>
      </c>
      <c r="BJ9" s="140" t="s">
        <v>682</v>
      </c>
      <c r="BK9" s="148" t="e">
        <f>BK5/BK4</f>
        <v>#VALUE!</v>
      </c>
      <c r="BM9" s="140" t="s">
        <v>682</v>
      </c>
      <c r="BN9" s="148" t="e">
        <f>BN5/BN4</f>
        <v>#VALUE!</v>
      </c>
      <c r="BP9" s="140" t="s">
        <v>682</v>
      </c>
      <c r="BQ9" s="148" t="e">
        <f>BQ5/BQ4</f>
        <v>#VALUE!</v>
      </c>
      <c r="BS9" s="140" t="s">
        <v>682</v>
      </c>
      <c r="BT9" s="148" t="e">
        <f>BT5/BT4</f>
        <v>#VALUE!</v>
      </c>
    </row>
    <row r="10" spans="2:72" x14ac:dyDescent="0.15">
      <c r="B10" s="142" t="s">
        <v>683</v>
      </c>
      <c r="C10" s="149">
        <f>IF(C9=0,"NA",1/C9)</f>
        <v>50</v>
      </c>
      <c r="E10" s="142" t="s">
        <v>683</v>
      </c>
      <c r="F10" s="149">
        <f>IF(F9=0,"NA",1/F9)</f>
        <v>50</v>
      </c>
      <c r="H10" s="142" t="s">
        <v>683</v>
      </c>
      <c r="I10" s="149">
        <f>IF(I9=0,"NA",1/I9)</f>
        <v>50</v>
      </c>
      <c r="K10" s="142" t="s">
        <v>683</v>
      </c>
      <c r="L10" s="149">
        <f>IF(L9=0,"NA",1/L9)</f>
        <v>50</v>
      </c>
      <c r="N10" s="142" t="s">
        <v>683</v>
      </c>
      <c r="O10" s="149">
        <f>IF(O9=0,"NA",1/O9)</f>
        <v>50</v>
      </c>
      <c r="Q10" s="142" t="s">
        <v>683</v>
      </c>
      <c r="R10" s="149">
        <f>IF(R9=0,"NA",1/R9)</f>
        <v>50</v>
      </c>
      <c r="T10" s="142" t="s">
        <v>683</v>
      </c>
      <c r="U10" s="149">
        <f>IF(U9=0,"NA",1/U9)</f>
        <v>50</v>
      </c>
      <c r="W10" s="142" t="s">
        <v>683</v>
      </c>
      <c r="X10" s="149">
        <f>IF(X9=0,"NA",1/X9)</f>
        <v>50</v>
      </c>
      <c r="Z10" s="142" t="s">
        <v>683</v>
      </c>
      <c r="AA10" s="149">
        <f>IF(AA9=0,"NA",1/AA9)</f>
        <v>50</v>
      </c>
      <c r="AC10" s="142" t="s">
        <v>683</v>
      </c>
      <c r="AD10" s="149">
        <f>IF(AD9=0,"NA",1/AD9)</f>
        <v>50</v>
      </c>
      <c r="AF10" s="142" t="s">
        <v>683</v>
      </c>
      <c r="AG10" s="149" t="e">
        <f>IF(AG9=0,"NA",1/AG9)</f>
        <v>#VALUE!</v>
      </c>
      <c r="AI10" s="142" t="s">
        <v>683</v>
      </c>
      <c r="AJ10" s="149" t="e">
        <f>IF(AJ9=0,"NA",1/AJ9)</f>
        <v>#VALUE!</v>
      </c>
      <c r="AL10" s="142" t="s">
        <v>683</v>
      </c>
      <c r="AM10" s="149" t="e">
        <f>IF(AM9=0,"NA",1/AM9)</f>
        <v>#VALUE!</v>
      </c>
      <c r="AO10" s="142" t="s">
        <v>683</v>
      </c>
      <c r="AP10" s="149" t="e">
        <f>IF(AP9=0,"NA",1/AP9)</f>
        <v>#VALUE!</v>
      </c>
      <c r="AR10" s="142" t="s">
        <v>683</v>
      </c>
      <c r="AS10" s="149" t="e">
        <f>IF(AS9=0,"NA",1/AS9)</f>
        <v>#VALUE!</v>
      </c>
      <c r="AU10" s="142" t="s">
        <v>683</v>
      </c>
      <c r="AV10" s="149" t="e">
        <f>IF(AV9=0,"NA",1/AV9)</f>
        <v>#VALUE!</v>
      </c>
      <c r="AX10" s="142" t="s">
        <v>683</v>
      </c>
      <c r="AY10" s="149" t="e">
        <f>IF(AY9=0,"NA",1/AY9)</f>
        <v>#VALUE!</v>
      </c>
      <c r="BA10" s="142" t="s">
        <v>683</v>
      </c>
      <c r="BB10" s="149" t="e">
        <f>IF(BB9=0,"NA",1/BB9)</f>
        <v>#VALUE!</v>
      </c>
      <c r="BD10" s="142" t="s">
        <v>683</v>
      </c>
      <c r="BE10" s="149" t="e">
        <f>IF(BE9=0,"NA",1/BE9)</f>
        <v>#VALUE!</v>
      </c>
      <c r="BG10" s="142" t="s">
        <v>683</v>
      </c>
      <c r="BH10" s="149" t="e">
        <f>IF(BH9=0,"NA",1/BH9)</f>
        <v>#VALUE!</v>
      </c>
      <c r="BJ10" s="142" t="s">
        <v>683</v>
      </c>
      <c r="BK10" s="149" t="e">
        <f>IF(BK9=0,"NA",1/BK9)</f>
        <v>#VALUE!</v>
      </c>
      <c r="BM10" s="142" t="s">
        <v>683</v>
      </c>
      <c r="BN10" s="149" t="e">
        <f>IF(BN9=0,"NA",1/BN9)</f>
        <v>#VALUE!</v>
      </c>
      <c r="BP10" s="142" t="s">
        <v>683</v>
      </c>
      <c r="BQ10" s="149" t="e">
        <f>IF(BQ9=0,"NA",1/BQ9)</f>
        <v>#VALUE!</v>
      </c>
      <c r="BS10" s="142" t="s">
        <v>683</v>
      </c>
      <c r="BT10" s="149" t="e">
        <f>IF(BT9=0,"NA",1/BT9)</f>
        <v>#VALUE!</v>
      </c>
    </row>
    <row r="11" spans="2:72" x14ac:dyDescent="0.15">
      <c r="B11" s="140" t="s">
        <v>684</v>
      </c>
      <c r="C11" s="150">
        <f>IF(C5=C4,1,(C6)*B18/(C7+C6*B18))</f>
        <v>0.14862790937658446</v>
      </c>
      <c r="E11" s="140" t="s">
        <v>684</v>
      </c>
      <c r="F11" s="150">
        <f>IF(F5=F4,1,(F6)*E18/(F7+F6*E18))</f>
        <v>9.0057962325347005E-2</v>
      </c>
      <c r="H11" s="140" t="s">
        <v>684</v>
      </c>
      <c r="I11" s="150">
        <f>IF(I5=I4,1,(I6)*H18/(I7+I6*H18))</f>
        <v>6.9410823142639175E-2</v>
      </c>
      <c r="K11" s="140" t="s">
        <v>684</v>
      </c>
      <c r="L11" s="150">
        <f>IF(L5=L4,1,(L6)*K18/(L7+L6*K18))</f>
        <v>5.8821631097975884E-2</v>
      </c>
      <c r="N11" s="140" t="s">
        <v>684</v>
      </c>
      <c r="O11" s="150">
        <f>IF(O5=O4,1,(O6)*N18/(O7+O6*N18))</f>
        <v>5.2345290180388124E-2</v>
      </c>
      <c r="Q11" s="140" t="s">
        <v>684</v>
      </c>
      <c r="R11" s="150">
        <f>IF(R5=R4,1,(R6)*Q18/(R7+R6*Q18))</f>
        <v>4.9449305557185144E-2</v>
      </c>
      <c r="T11" s="140" t="s">
        <v>684</v>
      </c>
      <c r="U11" s="150">
        <f>IF(U5=U4,1,(U6)*T18/(U7+U6*T18))</f>
        <v>4.5946665708491694E-2</v>
      </c>
      <c r="W11" s="140" t="s">
        <v>684</v>
      </c>
      <c r="X11" s="150">
        <f>IF(X5=X4,1,(X6)*W18/(X7+X6*W18))</f>
        <v>4.3305320007228448E-2</v>
      </c>
      <c r="Z11" s="140" t="s">
        <v>684</v>
      </c>
      <c r="AA11" s="150">
        <f>IF(AA5=AA4,1,(AA6)*Z18/(AA7+AA6*Z18))</f>
        <v>4.1237407233679253E-2</v>
      </c>
      <c r="AC11" s="140" t="s">
        <v>684</v>
      </c>
      <c r="AD11" s="150">
        <f>IF(AD5=AD4,1,(AD6)*AC18/(AD7+AD6*AC18))</f>
        <v>3.9569892809598967E-2</v>
      </c>
      <c r="AF11" s="140" t="s">
        <v>684</v>
      </c>
      <c r="AG11" s="150" t="e">
        <f>IF(AG5=AG4,1,(AG6)*AF18/(AG7+AG6*AF18))</f>
        <v>#VALUE!</v>
      </c>
      <c r="AI11" s="140" t="s">
        <v>684</v>
      </c>
      <c r="AJ11" s="150" t="e">
        <f>IF(AJ5=AJ4,1,(AJ6)*AI18/(AJ7+AJ6*AI18))</f>
        <v>#VALUE!</v>
      </c>
      <c r="AL11" s="140" t="s">
        <v>684</v>
      </c>
      <c r="AM11" s="150" t="e">
        <f>IF(AM5=AM4,1,(AM6)*AL18/(AM7+AM6*AL18))</f>
        <v>#VALUE!</v>
      </c>
      <c r="AO11" s="140" t="s">
        <v>684</v>
      </c>
      <c r="AP11" s="150" t="e">
        <f>IF(AP5=AP4,1,(AP6)*AO18/(AP7+AP6*AO18))</f>
        <v>#VALUE!</v>
      </c>
      <c r="AR11" s="140" t="s">
        <v>684</v>
      </c>
      <c r="AS11" s="150" t="e">
        <f>IF(AS5=AS4,1,(AS6)*AR18/(AS7+AS6*AR18))</f>
        <v>#VALUE!</v>
      </c>
      <c r="AU11" s="140" t="s">
        <v>684</v>
      </c>
      <c r="AV11" s="150" t="e">
        <f>IF(AV5=AV4,1,(AV6)*AU18/(AV7+AV6*AU18))</f>
        <v>#VALUE!</v>
      </c>
      <c r="AX11" s="140" t="s">
        <v>684</v>
      </c>
      <c r="AY11" s="150" t="e">
        <f>IF(AY5=AY4,1,(AY6)*AX18/(AY7+AY6*AX18))</f>
        <v>#VALUE!</v>
      </c>
      <c r="BA11" s="140" t="s">
        <v>684</v>
      </c>
      <c r="BB11" s="150" t="e">
        <f>IF(BB5=BB4,1,(BB6)*BA18/(BB7+BB6*BA18))</f>
        <v>#VALUE!</v>
      </c>
      <c r="BD11" s="140" t="s">
        <v>684</v>
      </c>
      <c r="BE11" s="150" t="e">
        <f>IF(BE5=BE4,1,(BE6)*BD18/(BE7+BE6*BD18))</f>
        <v>#VALUE!</v>
      </c>
      <c r="BG11" s="140" t="s">
        <v>684</v>
      </c>
      <c r="BH11" s="150" t="e">
        <f>IF(BH5=BH4,1,(BH6)*BG18/(BH7+BH6*BG18))</f>
        <v>#VALUE!</v>
      </c>
      <c r="BJ11" s="140" t="s">
        <v>684</v>
      </c>
      <c r="BK11" s="150" t="e">
        <f>IF(BK5=BK4,1,(BK6)*BJ18/(BK7+BK6*BJ18))</f>
        <v>#VALUE!</v>
      </c>
      <c r="BM11" s="140" t="s">
        <v>684</v>
      </c>
      <c r="BN11" s="150" t="e">
        <f>IF(BN5=BN4,1,(BN6)*BM18/(BN7+BN6*BM18))</f>
        <v>#VALUE!</v>
      </c>
      <c r="BP11" s="140" t="s">
        <v>684</v>
      </c>
      <c r="BQ11" s="150" t="e">
        <f>IF(BQ5=BQ4,1,(BQ6)*BP18/(BQ7+BQ6*BP18))</f>
        <v>#VALUE!</v>
      </c>
      <c r="BS11" s="140" t="s">
        <v>684</v>
      </c>
      <c r="BT11" s="150" t="e">
        <f>IF(BT5=BT4,1,(BT6)*BS18/(BT7+BT6*BS18))</f>
        <v>#VALUE!</v>
      </c>
    </row>
    <row r="12" spans="2:72" x14ac:dyDescent="0.15">
      <c r="B12" s="144" t="s">
        <v>683</v>
      </c>
      <c r="C12" s="151">
        <f>1/C11</f>
        <v>6.7282114388506944</v>
      </c>
      <c r="E12" s="144" t="s">
        <v>683</v>
      </c>
      <c r="F12" s="151">
        <f>1/F11</f>
        <v>11.103959874057109</v>
      </c>
      <c r="H12" s="144" t="s">
        <v>683</v>
      </c>
      <c r="I12" s="151">
        <f>1/I11</f>
        <v>14.406975090109521</v>
      </c>
      <c r="K12" s="144" t="s">
        <v>683</v>
      </c>
      <c r="L12" s="151">
        <f>1/L11</f>
        <v>17.000548630390004</v>
      </c>
      <c r="N12" s="144" t="s">
        <v>683</v>
      </c>
      <c r="O12" s="151">
        <f>1/O11</f>
        <v>19.103915491802233</v>
      </c>
      <c r="Q12" s="144" t="s">
        <v>683</v>
      </c>
      <c r="R12" s="151">
        <f>1/R11</f>
        <v>20.222730910620378</v>
      </c>
      <c r="T12" s="144" t="s">
        <v>683</v>
      </c>
      <c r="U12" s="151">
        <f>1/U11</f>
        <v>21.764364934432745</v>
      </c>
      <c r="W12" s="144" t="s">
        <v>683</v>
      </c>
      <c r="X12" s="151">
        <f>1/X11</f>
        <v>23.091851066637581</v>
      </c>
      <c r="Z12" s="144" t="s">
        <v>683</v>
      </c>
      <c r="AA12" s="151">
        <f>1/AA11</f>
        <v>24.249827209875697</v>
      </c>
      <c r="AC12" s="144" t="s">
        <v>683</v>
      </c>
      <c r="AD12" s="151">
        <f>1/AD11</f>
        <v>25.27173891553776</v>
      </c>
      <c r="AF12" s="144" t="s">
        <v>683</v>
      </c>
      <c r="AG12" s="151" t="e">
        <f>1/AG11</f>
        <v>#VALUE!</v>
      </c>
      <c r="AI12" s="144" t="s">
        <v>683</v>
      </c>
      <c r="AJ12" s="151" t="e">
        <f>1/AJ11</f>
        <v>#VALUE!</v>
      </c>
      <c r="AL12" s="144" t="s">
        <v>683</v>
      </c>
      <c r="AM12" s="151" t="e">
        <f>1/AM11</f>
        <v>#VALUE!</v>
      </c>
      <c r="AO12" s="144" t="s">
        <v>683</v>
      </c>
      <c r="AP12" s="151" t="e">
        <f>1/AP11</f>
        <v>#VALUE!</v>
      </c>
      <c r="AR12" s="144" t="s">
        <v>683</v>
      </c>
      <c r="AS12" s="151" t="e">
        <f>1/AS11</f>
        <v>#VALUE!</v>
      </c>
      <c r="AU12" s="144" t="s">
        <v>683</v>
      </c>
      <c r="AV12" s="151" t="e">
        <f>1/AV11</f>
        <v>#VALUE!</v>
      </c>
      <c r="AX12" s="144" t="s">
        <v>683</v>
      </c>
      <c r="AY12" s="151" t="e">
        <f>1/AY11</f>
        <v>#VALUE!</v>
      </c>
      <c r="BA12" s="144" t="s">
        <v>683</v>
      </c>
      <c r="BB12" s="151" t="e">
        <f>1/BB11</f>
        <v>#VALUE!</v>
      </c>
      <c r="BD12" s="144" t="s">
        <v>683</v>
      </c>
      <c r="BE12" s="151" t="e">
        <f>1/BE11</f>
        <v>#VALUE!</v>
      </c>
      <c r="BG12" s="144" t="s">
        <v>683</v>
      </c>
      <c r="BH12" s="151" t="e">
        <f>1/BH11</f>
        <v>#VALUE!</v>
      </c>
      <c r="BJ12" s="144" t="s">
        <v>683</v>
      </c>
      <c r="BK12" s="151" t="e">
        <f>1/BK11</f>
        <v>#VALUE!</v>
      </c>
      <c r="BM12" s="144" t="s">
        <v>683</v>
      </c>
      <c r="BN12" s="151" t="e">
        <f>1/BN11</f>
        <v>#VALUE!</v>
      </c>
      <c r="BP12" s="144" t="s">
        <v>683</v>
      </c>
      <c r="BQ12" s="151" t="e">
        <f>1/BQ11</f>
        <v>#VALUE!</v>
      </c>
      <c r="BS12" s="144" t="s">
        <v>683</v>
      </c>
      <c r="BT12" s="151" t="e">
        <f>1/BT11</f>
        <v>#VALUE!</v>
      </c>
    </row>
    <row r="13" spans="2:72" x14ac:dyDescent="0.15">
      <c r="B13" s="138">
        <v>1</v>
      </c>
      <c r="E13" s="138">
        <v>2</v>
      </c>
      <c r="H13" s="138">
        <v>3</v>
      </c>
      <c r="K13" s="138">
        <v>4</v>
      </c>
      <c r="N13" s="138">
        <v>5</v>
      </c>
      <c r="Q13" s="138">
        <v>6</v>
      </c>
      <c r="T13" s="138">
        <v>7</v>
      </c>
      <c r="W13" s="138">
        <v>8</v>
      </c>
      <c r="Z13" s="138">
        <v>9</v>
      </c>
      <c r="AC13" s="138">
        <v>10</v>
      </c>
      <c r="AF13" s="138">
        <v>11</v>
      </c>
      <c r="AI13" s="138">
        <v>12</v>
      </c>
      <c r="AL13" s="138">
        <v>13</v>
      </c>
      <c r="AO13" s="138">
        <v>14</v>
      </c>
      <c r="AR13" s="138">
        <v>15</v>
      </c>
      <c r="AU13" s="138">
        <v>16</v>
      </c>
      <c r="AX13" s="138">
        <v>17</v>
      </c>
      <c r="BA13" s="138">
        <v>18</v>
      </c>
      <c r="BD13" s="138">
        <v>19</v>
      </c>
      <c r="BG13" s="138">
        <v>20</v>
      </c>
      <c r="BJ13" s="138">
        <v>21</v>
      </c>
      <c r="BM13" s="138">
        <v>22</v>
      </c>
      <c r="BP13" s="138">
        <v>23</v>
      </c>
      <c r="BS13" s="138">
        <v>24</v>
      </c>
    </row>
    <row r="17" spans="2:71" x14ac:dyDescent="0.15">
      <c r="B17" s="152" t="s">
        <v>685</v>
      </c>
      <c r="E17" s="152" t="s">
        <v>685</v>
      </c>
      <c r="H17" s="152" t="s">
        <v>685</v>
      </c>
      <c r="K17" s="152" t="s">
        <v>685</v>
      </c>
      <c r="N17" s="152" t="s">
        <v>685</v>
      </c>
      <c r="Q17" s="152" t="s">
        <v>685</v>
      </c>
      <c r="T17" s="152" t="s">
        <v>685</v>
      </c>
      <c r="W17" s="152" t="s">
        <v>685</v>
      </c>
      <c r="Z17" s="152" t="s">
        <v>685</v>
      </c>
      <c r="AC17" s="152" t="s">
        <v>685</v>
      </c>
      <c r="AF17" s="152" t="s">
        <v>685</v>
      </c>
      <c r="AI17" s="152" t="s">
        <v>685</v>
      </c>
      <c r="AL17" s="152" t="s">
        <v>685</v>
      </c>
      <c r="AO17" s="152" t="s">
        <v>685</v>
      </c>
      <c r="AR17" s="152" t="s">
        <v>685</v>
      </c>
      <c r="AU17" s="152" t="s">
        <v>685</v>
      </c>
      <c r="AX17" s="152" t="s">
        <v>685</v>
      </c>
      <c r="BA17" s="152" t="s">
        <v>685</v>
      </c>
      <c r="BD17" s="152" t="s">
        <v>685</v>
      </c>
      <c r="BG17" s="152" t="s">
        <v>685</v>
      </c>
      <c r="BJ17" s="152" t="s">
        <v>685</v>
      </c>
      <c r="BM17" s="152" t="s">
        <v>685</v>
      </c>
      <c r="BP17" s="152" t="s">
        <v>685</v>
      </c>
      <c r="BS17" s="152" t="s">
        <v>685</v>
      </c>
    </row>
    <row r="18" spans="2:71" x14ac:dyDescent="0.15">
      <c r="B18" s="153">
        <f>FINV((1-C3),C6,C7)</f>
        <v>2.4440438607149169</v>
      </c>
      <c r="E18" s="153">
        <f>FINV((1-F3),F6,F7)</f>
        <v>2.1553705724519276</v>
      </c>
      <c r="H18" s="153">
        <f>FINV((1-I3),I6,I7)</f>
        <v>1.9935348986356918</v>
      </c>
      <c r="K18" s="153">
        <f>FINV((1-L3),L6,L7)</f>
        <v>1.8845507645015778</v>
      </c>
      <c r="N18" s="153">
        <f>FINV((1-O3),O6,O7)</f>
        <v>1.8043978763300514</v>
      </c>
      <c r="Q18" s="153">
        <f>FINV((1-R3),R6,R7)</f>
        <v>1.799340346329666</v>
      </c>
      <c r="T18" s="153">
        <f>FINV((1-U3),U6,U7)</f>
        <v>1.738808929235431</v>
      </c>
      <c r="W18" s="153">
        <f>FINV((1-X3),X6,X7)</f>
        <v>1.6899142231550239</v>
      </c>
      <c r="Z18" s="153">
        <f>FINV((1-AA3),AA6,AA7)</f>
        <v>1.6493811218806711</v>
      </c>
      <c r="AC18" s="153">
        <f>FINV((1-AD3),AD6,AD7)</f>
        <v>1.6150470362428704</v>
      </c>
      <c r="AF18" s="153" t="e">
        <f>FINV((1-AG3),AG6,AG7)</f>
        <v>#VALUE!</v>
      </c>
      <c r="AI18" s="153" t="e">
        <f>FINV((1-AJ3),AJ6,AJ7)</f>
        <v>#VALUE!</v>
      </c>
      <c r="AL18" s="153" t="e">
        <f>FINV((1-AM3),AM6,AM7)</f>
        <v>#VALUE!</v>
      </c>
      <c r="AO18" s="153" t="e">
        <f>FINV((1-AP3),AP6,AP7)</f>
        <v>#VALUE!</v>
      </c>
      <c r="AR18" s="153" t="e">
        <f>FINV((1-AS3),AS6,AS7)</f>
        <v>#VALUE!</v>
      </c>
      <c r="AU18" s="153" t="e">
        <f>FINV((1-AV3),AV6,AV7)</f>
        <v>#VALUE!</v>
      </c>
      <c r="AX18" s="153" t="e">
        <f>FINV((1-AY3),AY6,AY7)</f>
        <v>#VALUE!</v>
      </c>
      <c r="BA18" s="153" t="e">
        <f>FINV((1-BB3),BB6,BB7)</f>
        <v>#VALUE!</v>
      </c>
      <c r="BD18" s="153" t="e">
        <f>FINV((1-BE3),BE6,BE7)</f>
        <v>#VALUE!</v>
      </c>
      <c r="BG18" s="153" t="e">
        <f>FINV((1-BH3),BH6,BH7)</f>
        <v>#VALUE!</v>
      </c>
      <c r="BJ18" s="153" t="e">
        <f>FINV((1-BK3),BK6,BK7)</f>
        <v>#VALUE!</v>
      </c>
      <c r="BM18" s="153" t="e">
        <f>FINV((1-BN3),BN6,BN7)</f>
        <v>#VALUE!</v>
      </c>
      <c r="BP18" s="153" t="e">
        <f>FINV((1-BQ3),BQ6,BQ7)</f>
        <v>#VALUE!</v>
      </c>
      <c r="BS18" s="153" t="e">
        <f>FINV((1-BT3),BT6,BT7)</f>
        <v>#VALUE!</v>
      </c>
    </row>
    <row r="21" spans="2:71" x14ac:dyDescent="0.15">
      <c r="C21" s="154" t="s">
        <v>686</v>
      </c>
      <c r="D21" s="154" t="s">
        <v>687</v>
      </c>
      <c r="BM21" s="155"/>
    </row>
    <row r="22" spans="2:71" x14ac:dyDescent="0.15">
      <c r="B22" s="138">
        <v>1</v>
      </c>
      <c r="C22" s="156">
        <f>C11</f>
        <v>0.14862790937658446</v>
      </c>
      <c r="D22" s="138">
        <v>1.8E-3</v>
      </c>
    </row>
    <row r="23" spans="2:71" x14ac:dyDescent="0.15">
      <c r="B23" s="138">
        <v>2</v>
      </c>
      <c r="C23" s="156">
        <f>F11</f>
        <v>9.0057962325347005E-2</v>
      </c>
      <c r="D23" s="138">
        <v>1.8E-3</v>
      </c>
    </row>
    <row r="24" spans="2:71" x14ac:dyDescent="0.15">
      <c r="B24" s="138">
        <v>3</v>
      </c>
      <c r="C24" s="156">
        <f>I11</f>
        <v>6.9410823142639175E-2</v>
      </c>
      <c r="D24" s="138">
        <v>1.8E-3</v>
      </c>
    </row>
    <row r="25" spans="2:71" x14ac:dyDescent="0.15">
      <c r="B25" s="138">
        <v>4</v>
      </c>
      <c r="C25" s="156">
        <f>L11</f>
        <v>5.8821631097975884E-2</v>
      </c>
      <c r="D25" s="138">
        <v>1.8E-3</v>
      </c>
    </row>
    <row r="26" spans="2:71" x14ac:dyDescent="0.15">
      <c r="B26" s="138">
        <v>5</v>
      </c>
      <c r="C26" s="156">
        <f>O11</f>
        <v>5.2345290180388124E-2</v>
      </c>
      <c r="D26" s="138">
        <v>1.8E-3</v>
      </c>
    </row>
    <row r="27" spans="2:71" x14ac:dyDescent="0.15">
      <c r="B27" s="138">
        <v>6</v>
      </c>
      <c r="C27" s="156">
        <f>R11</f>
        <v>4.9449305557185144E-2</v>
      </c>
      <c r="D27" s="138">
        <v>1.8E-3</v>
      </c>
    </row>
    <row r="28" spans="2:71" x14ac:dyDescent="0.15">
      <c r="B28" s="138">
        <v>7</v>
      </c>
      <c r="C28" s="156">
        <f>U11</f>
        <v>4.5946665708491694E-2</v>
      </c>
      <c r="D28" s="138">
        <v>1.8E-3</v>
      </c>
    </row>
    <row r="29" spans="2:71" x14ac:dyDescent="0.15">
      <c r="B29" s="138">
        <v>8</v>
      </c>
      <c r="C29" s="156">
        <f>X11</f>
        <v>4.3305320007228448E-2</v>
      </c>
      <c r="D29" s="138">
        <v>1.8E-3</v>
      </c>
    </row>
    <row r="30" spans="2:71" x14ac:dyDescent="0.15">
      <c r="B30" s="138">
        <v>9</v>
      </c>
      <c r="C30" s="156">
        <f>AA11</f>
        <v>4.1237407233679253E-2</v>
      </c>
      <c r="D30" s="138">
        <v>1.8E-3</v>
      </c>
    </row>
    <row r="31" spans="2:71" x14ac:dyDescent="0.15">
      <c r="B31" s="138">
        <v>10</v>
      </c>
      <c r="C31" s="156">
        <f>AD11</f>
        <v>3.9569892809598967E-2</v>
      </c>
      <c r="D31" s="138">
        <v>1.8E-3</v>
      </c>
    </row>
    <row r="32" spans="2:71" x14ac:dyDescent="0.15">
      <c r="B32" s="138">
        <v>11</v>
      </c>
      <c r="C32" s="156" t="e">
        <f>AG11</f>
        <v>#VALUE!</v>
      </c>
      <c r="D32" s="138">
        <v>1.8E-3</v>
      </c>
    </row>
    <row r="33" spans="2:4" x14ac:dyDescent="0.15">
      <c r="B33" s="138">
        <v>12</v>
      </c>
      <c r="C33" s="156" t="e">
        <f>AJ11</f>
        <v>#VALUE!</v>
      </c>
      <c r="D33" s="138">
        <v>1.8E-3</v>
      </c>
    </row>
    <row r="34" spans="2:4" x14ac:dyDescent="0.15">
      <c r="B34" s="138">
        <v>13</v>
      </c>
      <c r="C34" s="156" t="e">
        <f>AM11</f>
        <v>#VALUE!</v>
      </c>
      <c r="D34" s="138">
        <v>1.8E-3</v>
      </c>
    </row>
    <row r="35" spans="2:4" x14ac:dyDescent="0.15">
      <c r="B35" s="138">
        <v>14</v>
      </c>
      <c r="C35" s="156" t="e">
        <f>AP11</f>
        <v>#VALUE!</v>
      </c>
      <c r="D35" s="138">
        <v>1.8E-3</v>
      </c>
    </row>
    <row r="36" spans="2:4" x14ac:dyDescent="0.15">
      <c r="B36" s="138">
        <v>15</v>
      </c>
      <c r="C36" s="156" t="e">
        <f>AS11</f>
        <v>#VALUE!</v>
      </c>
      <c r="D36" s="138">
        <v>1.8E-3</v>
      </c>
    </row>
    <row r="37" spans="2:4" x14ac:dyDescent="0.15">
      <c r="B37" s="138">
        <v>16</v>
      </c>
      <c r="C37" s="156" t="e">
        <f>AV11</f>
        <v>#VALUE!</v>
      </c>
      <c r="D37" s="138">
        <v>1.8E-3</v>
      </c>
    </row>
    <row r="38" spans="2:4" x14ac:dyDescent="0.15">
      <c r="B38" s="138">
        <v>17</v>
      </c>
      <c r="C38" s="156" t="e">
        <f>AY11</f>
        <v>#VALUE!</v>
      </c>
      <c r="D38" s="138">
        <v>1.8E-3</v>
      </c>
    </row>
    <row r="39" spans="2:4" x14ac:dyDescent="0.15">
      <c r="B39" s="138">
        <v>18</v>
      </c>
      <c r="C39" s="156" t="e">
        <f>BB11</f>
        <v>#VALUE!</v>
      </c>
      <c r="D39" s="138">
        <v>1.8E-3</v>
      </c>
    </row>
    <row r="40" spans="2:4" x14ac:dyDescent="0.15">
      <c r="B40" s="138">
        <v>19</v>
      </c>
      <c r="C40" s="156" t="e">
        <f>BE11</f>
        <v>#VALUE!</v>
      </c>
      <c r="D40" s="138">
        <v>1.8E-3</v>
      </c>
    </row>
    <row r="41" spans="2:4" x14ac:dyDescent="0.15">
      <c r="B41" s="138">
        <v>20</v>
      </c>
      <c r="C41" s="156" t="e">
        <f>BH11</f>
        <v>#VALUE!</v>
      </c>
      <c r="D41" s="138">
        <v>1.8E-3</v>
      </c>
    </row>
    <row r="42" spans="2:4" x14ac:dyDescent="0.15">
      <c r="B42" s="138">
        <v>21</v>
      </c>
      <c r="C42" s="156" t="e">
        <f>BK11</f>
        <v>#VALUE!</v>
      </c>
      <c r="D42" s="138">
        <v>1.8E-3</v>
      </c>
    </row>
    <row r="43" spans="2:4" x14ac:dyDescent="0.15">
      <c r="B43" s="138">
        <v>22</v>
      </c>
      <c r="C43" s="156" t="e">
        <f>BN11</f>
        <v>#VALUE!</v>
      </c>
      <c r="D43" s="138">
        <v>1.8E-3</v>
      </c>
    </row>
    <row r="44" spans="2:4" x14ac:dyDescent="0.15">
      <c r="B44" s="138">
        <v>23</v>
      </c>
      <c r="C44" s="156" t="e">
        <f>BQ11</f>
        <v>#VALUE!</v>
      </c>
      <c r="D44" s="138">
        <v>1.8E-3</v>
      </c>
    </row>
    <row r="45" spans="2:4" x14ac:dyDescent="0.15">
      <c r="B45" s="138">
        <v>24</v>
      </c>
      <c r="C45" s="156" t="e">
        <f>BT11</f>
        <v>#VALUE!</v>
      </c>
      <c r="D45" s="138">
        <v>1.8E-3</v>
      </c>
    </row>
  </sheetData>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14"/>
  <sheetViews>
    <sheetView zoomScaleNormal="100" workbookViewId="0"/>
  </sheetViews>
  <sheetFormatPr baseColWidth="10" defaultColWidth="8.83203125" defaultRowHeight="13" x14ac:dyDescent="0.15"/>
  <cols>
    <col min="1" max="1" width="38.5" bestFit="1" customWidth="1"/>
  </cols>
  <sheetData>
    <row r="1" spans="1:20" x14ac:dyDescent="0.15">
      <c r="A1" s="39" t="s">
        <v>688</v>
      </c>
      <c r="C1" s="39" t="s">
        <v>689</v>
      </c>
      <c r="G1" s="39" t="s">
        <v>690</v>
      </c>
      <c r="T1" t="s">
        <v>691</v>
      </c>
    </row>
    <row r="2" spans="1:20" x14ac:dyDescent="0.15">
      <c r="A2" s="39"/>
      <c r="C2" s="39"/>
      <c r="J2" s="39"/>
      <c r="P2" s="39" t="s">
        <v>249</v>
      </c>
      <c r="Q2" s="39" t="s">
        <v>249</v>
      </c>
      <c r="R2" s="39" t="s">
        <v>692</v>
      </c>
    </row>
    <row r="3" spans="1:20" x14ac:dyDescent="0.15">
      <c r="A3" s="39" t="s">
        <v>693</v>
      </c>
      <c r="C3" s="39" t="s">
        <v>694</v>
      </c>
      <c r="G3" s="39" t="s">
        <v>695</v>
      </c>
      <c r="J3" s="39" t="s">
        <v>694</v>
      </c>
      <c r="N3" s="39" t="s">
        <v>695</v>
      </c>
      <c r="P3" s="39" t="s">
        <v>696</v>
      </c>
      <c r="Q3" s="39" t="s">
        <v>692</v>
      </c>
      <c r="R3" s="39" t="s">
        <v>697</v>
      </c>
      <c r="T3" t="s">
        <v>698</v>
      </c>
    </row>
    <row r="4" spans="1:20" x14ac:dyDescent="0.15">
      <c r="A4" s="39" t="s">
        <v>699</v>
      </c>
      <c r="C4" t="s">
        <v>249</v>
      </c>
      <c r="G4" t="s">
        <v>249</v>
      </c>
      <c r="J4" t="s">
        <v>249</v>
      </c>
      <c r="N4" t="s">
        <v>249</v>
      </c>
      <c r="Q4" s="39" t="s">
        <v>697</v>
      </c>
      <c r="R4" s="39" t="s">
        <v>700</v>
      </c>
      <c r="T4" t="s">
        <v>701</v>
      </c>
    </row>
    <row r="5" spans="1:20" x14ac:dyDescent="0.15">
      <c r="A5" t="s">
        <v>249</v>
      </c>
      <c r="C5" s="39" t="s">
        <v>702</v>
      </c>
      <c r="T5" t="s">
        <v>703</v>
      </c>
    </row>
    <row r="6" spans="1:20" x14ac:dyDescent="0.15">
      <c r="C6" s="39" t="s">
        <v>704</v>
      </c>
      <c r="T6" t="s">
        <v>249</v>
      </c>
    </row>
    <row r="7" spans="1:20" x14ac:dyDescent="0.15">
      <c r="C7" s="39" t="s">
        <v>705</v>
      </c>
    </row>
    <row r="8" spans="1:20" x14ac:dyDescent="0.15">
      <c r="C8" s="39" t="s">
        <v>706</v>
      </c>
      <c r="J8" s="39" t="s">
        <v>707</v>
      </c>
      <c r="L8" s="39" t="s">
        <v>708</v>
      </c>
      <c r="M8" t="s">
        <v>249</v>
      </c>
    </row>
    <row r="9" spans="1:20" x14ac:dyDescent="0.15">
      <c r="C9" s="39" t="s">
        <v>709</v>
      </c>
      <c r="J9" s="39" t="s">
        <v>708</v>
      </c>
      <c r="L9" s="39" t="s">
        <v>249</v>
      </c>
      <c r="M9" s="39" t="s">
        <v>710</v>
      </c>
    </row>
    <row r="10" spans="1:20" x14ac:dyDescent="0.15">
      <c r="C10" s="39" t="s">
        <v>711</v>
      </c>
      <c r="J10" t="s">
        <v>249</v>
      </c>
      <c r="M10" s="39" t="s">
        <v>712</v>
      </c>
    </row>
    <row r="11" spans="1:20" x14ac:dyDescent="0.15">
      <c r="C11" s="39" t="s">
        <v>713</v>
      </c>
    </row>
    <row r="12" spans="1:20" x14ac:dyDescent="0.15">
      <c r="C12" s="39" t="s">
        <v>714</v>
      </c>
    </row>
    <row r="13" spans="1:20" x14ac:dyDescent="0.15">
      <c r="C13" s="39" t="s">
        <v>715</v>
      </c>
    </row>
    <row r="14" spans="1:20" x14ac:dyDescent="0.15">
      <c r="C14" s="39" t="s">
        <v>716</v>
      </c>
    </row>
  </sheetData>
  <pageMargins left="0.51181102362204722" right="0.51181102362204722" top="0.98425196850393704" bottom="0.98425196850393704" header="0.23622047244094491" footer="0.23622047244094491"/>
  <pageSetup scale="27" orientation="landscape"/>
  <headerFooter alignWithMargins="0">
    <oddHeader>&amp;LPart No.: 700-5702
Batch No(s).: 1001506046
Cartridge No. (LSP): 92303 &amp;C&amp;12Product QC Testing Worksheet-MTB Ultra V2&amp;RDocument Number: D25862 Attachment 1
Rev: AW
Effective:  9/11/2025
p. &amp;P of &amp;N</oddHeader>
    <oddFooter xml:space="preserve">&amp;C 
User of printed copy is responsible for using current revision and discarding expired or obsolete revisions.
Current released version resides in Agile Workplace.
Cepheid Confidential    Date Printed: &amp;D       &amp;T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A20D2DD403744EA5F1EDF1CF9595BA" ma:contentTypeVersion="20" ma:contentTypeDescription="Create a new document." ma:contentTypeScope="" ma:versionID="e8ac0c3ee0b1ef5532833631aac2374b">
  <xsd:schema xmlns:xsd="http://www.w3.org/2001/XMLSchema" xmlns:xs="http://www.w3.org/2001/XMLSchema" xmlns:p="http://schemas.microsoft.com/office/2006/metadata/properties" xmlns:ns2="b8e969d0-7d2e-4421-b9a7-15b46cfd22ed" xmlns:ns3="22f6027c-ba04-4254-ace5-7e13db22d805" targetNamespace="http://schemas.microsoft.com/office/2006/metadata/properties" ma:root="true" ma:fieldsID="9fc078275ed35f2a1a2c8606019c9baf" ns2:_="" ns3:_="">
    <xsd:import namespace="b8e969d0-7d2e-4421-b9a7-15b46cfd22ed"/>
    <xsd:import namespace="22f6027c-ba04-4254-ace5-7e13db22d80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3:Restricted"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e969d0-7d2e-4421-b9a7-15b46cfd22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c893bb2c-950b-4672-b623-c5bc4517d6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f6027c-ba04-4254-ace5-7e13db22d80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Restricted" ma:index="20" nillable="true" ma:displayName="Restricted" ma:default="1" ma:description="Used for Shared Content folders" ma:internalName="Restricted0">
      <xsd:simpleType>
        <xsd:restriction base="dms:Boolean"/>
      </xsd:simpleType>
    </xsd:element>
    <xsd:element name="TaxCatchAll" ma:index="24" nillable="true" ma:displayName="Taxonomy Catch All Column" ma:hidden="true" ma:list="{5545df32-8639-498d-b935-28043430d4c3}" ma:internalName="TaxCatchAll" ma:showField="CatchAllData" ma:web="22f6027c-ba04-4254-ace5-7e13db22d8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2f6027c-ba04-4254-ace5-7e13db22d805" xsi:nil="true"/>
    <lcf76f155ced4ddcb4097134ff3c332f xmlns="b8e969d0-7d2e-4421-b9a7-15b46cfd22ed">
      <Terms xmlns="http://schemas.microsoft.com/office/infopath/2007/PartnerControls"/>
    </lcf76f155ced4ddcb4097134ff3c332f>
    <Restricted xmlns="22f6027c-ba04-4254-ace5-7e13db22d805">true</Restricted>
  </documentManagement>
</p:properties>
</file>

<file path=customXml/itemProps1.xml><?xml version="1.0" encoding="utf-8"?>
<ds:datastoreItem xmlns:ds="http://schemas.openxmlformats.org/officeDocument/2006/customXml" ds:itemID="{11FA3A5A-8AC2-4AB1-B810-68C38562F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e969d0-7d2e-4421-b9a7-15b46cfd22ed"/>
    <ds:schemaRef ds:uri="22f6027c-ba04-4254-ace5-7e13db22d8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67E94F-08C7-4609-9C68-8554A236F36B}">
  <ds:schemaRefs>
    <ds:schemaRef ds:uri="http://schemas.microsoft.com/sharepoint/v3/contenttype/forms"/>
  </ds:schemaRefs>
</ds:datastoreItem>
</file>

<file path=customXml/itemProps3.xml><?xml version="1.0" encoding="utf-8"?>
<ds:datastoreItem xmlns:ds="http://schemas.openxmlformats.org/officeDocument/2006/customXml" ds:itemID="{8DB79CBC-7899-4A27-80D6-0251FFC8EF83}">
  <ds:schemaRefs>
    <ds:schemaRef ds:uri="http://schemas.microsoft.com/office/2006/documentManagement/types"/>
    <ds:schemaRef ds:uri="http://schemas.microsoft.com/office/infopath/2007/PartnerControls"/>
    <ds:schemaRef ds:uri="http://www.w3.org/XML/1998/namespace"/>
    <ds:schemaRef ds:uri="e245ad04-e272-4adb-8d4d-bf240e7692da"/>
    <ds:schemaRef ds:uri="http://purl.org/dc/terms/"/>
    <ds:schemaRef ds:uri="http://purl.org/dc/dcmitype/"/>
    <ds:schemaRef ds:uri="http://purl.org/dc/elements/1.1/"/>
    <ds:schemaRef ds:uri="http://schemas.microsoft.com/office/2006/metadata/properties"/>
    <ds:schemaRef ds:uri="http://schemas.openxmlformats.org/package/2006/metadata/core-properties"/>
    <ds:schemaRef ds:uri="5a919c31-ae3b-4ef6-8a89-4747d65c0432"/>
    <ds:schemaRef ds:uri="22f6027c-ba04-4254-ace5-7e13db22d805"/>
    <ds:schemaRef ds:uri="b8e969d0-7d2e-4421-b9a7-15b46cfd22e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Kalkylblad</vt:lpstr>
      </vt:variant>
      <vt:variant>
        <vt:i4>17</vt:i4>
      </vt:variant>
      <vt:variant>
        <vt:lpstr>Namngivna områden</vt:lpstr>
      </vt:variant>
      <vt:variant>
        <vt:i4>16</vt:i4>
      </vt:variant>
    </vt:vector>
  </HeadingPairs>
  <TitlesOfParts>
    <vt:vector size="33" baseType="lpstr">
      <vt:lpstr>Intended Use</vt:lpstr>
      <vt:lpstr>Test Summary</vt:lpstr>
      <vt:lpstr>Vacuum Seal Data</vt:lpstr>
      <vt:lpstr>Data Summary</vt:lpstr>
      <vt:lpstr>Mean Ct Evaluation</vt:lpstr>
      <vt:lpstr>Data - First 10</vt:lpstr>
      <vt:lpstr>Data - Sample Type 0</vt:lpstr>
      <vt:lpstr>Data - Sample Type 1</vt:lpstr>
      <vt:lpstr>Data - Sample Type 2</vt:lpstr>
      <vt:lpstr>Data - Replaced</vt:lpstr>
      <vt:lpstr>Statistical Process Control</vt:lpstr>
      <vt:lpstr>Resample Data Summary</vt:lpstr>
      <vt:lpstr>Resample Mean Ct Evaluation</vt:lpstr>
      <vt:lpstr>Data - Resample Replaced</vt:lpstr>
      <vt:lpstr>Specifications</vt:lpstr>
      <vt:lpstr>HistoricalAccuStats</vt:lpstr>
      <vt:lpstr>For Reference Only</vt:lpstr>
      <vt:lpstr>codes</vt:lpstr>
      <vt:lpstr>list</vt:lpstr>
      <vt:lpstr>'Data Summary'!Utskriftsområde</vt:lpstr>
      <vt:lpstr>'Intended Use'!Utskriftsområde</vt:lpstr>
      <vt:lpstr>'Mean Ct Evaluation'!Utskriftsområde</vt:lpstr>
      <vt:lpstr>'Resample Data Summary'!Utskriftsområde</vt:lpstr>
      <vt:lpstr>'Resample Mean Ct Evaluation'!Utskriftsområde</vt:lpstr>
      <vt:lpstr>'Statistical Process Control'!Utskriftsområde</vt:lpstr>
      <vt:lpstr>'Data - First 10'!Utskriftsrubriker</vt:lpstr>
      <vt:lpstr>'Data - Replaced'!Utskriftsrubriker</vt:lpstr>
      <vt:lpstr>'Data - Resample Replaced'!Utskriftsrubriker</vt:lpstr>
      <vt:lpstr>'Data - Sample Type 0'!Utskriftsrubriker</vt:lpstr>
      <vt:lpstr>'Data - Sample Type 1'!Utskriftsrubriker</vt:lpstr>
      <vt:lpstr>'Data - Sample Type 2'!Utskriftsrubriker</vt:lpstr>
      <vt:lpstr>'Data Summary'!Utskriftsrubriker</vt:lpstr>
      <vt:lpstr>'Resample Data Summary'!Utskriftsrubriker</vt:lpstr>
    </vt:vector>
  </TitlesOfParts>
  <Manager/>
  <Company>Cepheid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Whitmore</dc:creator>
  <cp:keywords/>
  <dc:description/>
  <cp:lastModifiedBy>Jesper Fredriksson (elev)</cp:lastModifiedBy>
  <cp:revision/>
  <dcterms:created xsi:type="dcterms:W3CDTF">2007-10-31T21:49:46Z</dcterms:created>
  <dcterms:modified xsi:type="dcterms:W3CDTF">2026-01-03T13:23:02Z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0x0101005AA20D2DD403744EA5F1EDF1CF9595BA</vt:lpwstr>
  </property>
  <property fmtid="{D5CDD505-2E9C-101B-9397-08002B2CF9AE}" pid="3" name="MediaServiceImageTags">
    <vt:lpwstr/>
  </property>
  <property fmtid="{D5CDD505-2E9C-101B-9397-08002B2CF9AE}" pid="4" name="MSIP_Label_631ef649-45d3-4e5d-80df-d43468de9a5e_Enabled">
    <vt:lpwstr>true</vt:lpwstr>
  </property>
  <property fmtid="{D5CDD505-2E9C-101B-9397-08002B2CF9AE}" pid="5" name="MSIP_Label_631ef649-45d3-4e5d-80df-d43468de9a5e_SetDate">
    <vt:lpwstr>2025-11-26T16:03:17Z</vt:lpwstr>
  </property>
  <property fmtid="{D5CDD505-2E9C-101B-9397-08002B2CF9AE}" pid="6" name="MSIP_Label_631ef649-45d3-4e5d-80df-d43468de9a5e_Method">
    <vt:lpwstr>Privileged</vt:lpwstr>
  </property>
  <property fmtid="{D5CDD505-2E9C-101B-9397-08002B2CF9AE}" pid="7" name="MSIP_Label_631ef649-45d3-4e5d-80df-d43468de9a5e_Name">
    <vt:lpwstr>Unclassified</vt:lpwstr>
  </property>
  <property fmtid="{D5CDD505-2E9C-101B-9397-08002B2CF9AE}" pid="8" name="MSIP_Label_631ef649-45d3-4e5d-80df-d43468de9a5e_SiteId">
    <vt:lpwstr>771c9c47-7f24-44dc-958e-34f8713a8394</vt:lpwstr>
  </property>
  <property fmtid="{D5CDD505-2E9C-101B-9397-08002B2CF9AE}" pid="9" name="MSIP_Label_631ef649-45d3-4e5d-80df-d43468de9a5e_ActionId">
    <vt:lpwstr>32b91870-ba93-4805-9303-da79d8192f20</vt:lpwstr>
  </property>
  <property fmtid="{D5CDD505-2E9C-101B-9397-08002B2CF9AE}" pid="10" name="MSIP_Label_631ef649-45d3-4e5d-80df-d43468de9a5e_ContentBits">
    <vt:lpwstr>0</vt:lpwstr>
  </property>
  <property fmtid="{D5CDD505-2E9C-101B-9397-08002B2CF9AE}" pid="11" name="MSIP_Label_631ef649-45d3-4e5d-80df-d43468de9a5e_Tag">
    <vt:lpwstr>10, 0, 1, 1</vt:lpwstr>
  </property>
</Properties>
</file>