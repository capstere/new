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QC\QC-1\IPT\8. IPT - WR + Rework\1. PQC - Kontrollprovsfil - RÖR EJ -\"/>
    </mc:Choice>
  </mc:AlternateContent>
  <xr:revisionPtr revIDLastSave="0" documentId="13_ncr:1_{933CFD71-24A0-4442-B63B-67280246A5D6}" xr6:coauthVersionLast="47" xr6:coauthVersionMax="47" xr10:uidLastSave="{00000000-0000-0000-0000-000000000000}"/>
  <bookViews>
    <workbookView xWindow="-120" yWindow="-120" windowWidth="29040" windowHeight="15720" tabRatio="883" firstSheet="1" activeTab="1" xr2:uid="{00000000-000D-0000-FFFF-FFFF00000000}"/>
  </bookViews>
  <sheets>
    <sheet name="raw_data" sheetId="1" state="hidden" r:id="rId1"/>
    <sheet name="BULK SR" sheetId="30" r:id="rId2"/>
    <sheet name="KUND SR" sheetId="25" r:id="rId3"/>
    <sheet name="MTB RIF" sheetId="2" r:id="rId4"/>
    <sheet name="MTB ULTRA" sheetId="3" r:id="rId5"/>
    <sheet name="MTB JP" sheetId="5" r:id="rId6"/>
    <sheet name="MTB XDR" sheetId="27" r:id="rId7"/>
    <sheet name="FLUVID | FLUVID+" sheetId="28" r:id="rId8"/>
    <sheet name="SARS-COV-2 Plus" sheetId="16" r:id="rId9"/>
    <sheet name="Respiratory Panel" sheetId="31" r:id="rId10"/>
    <sheet name="CTNG | CTNG JP" sheetId="6" r:id="rId11"/>
    <sheet name="C.DIFF | C.DIFF JP" sheetId="4" r:id="rId12"/>
    <sheet name="EBOLA" sheetId="7" r:id="rId13"/>
    <sheet name="HPV" sheetId="15" r:id="rId14"/>
    <sheet name="HBV VL" sheetId="8" r:id="rId15"/>
    <sheet name="HCV VL" sheetId="9" r:id="rId16"/>
    <sheet name="HCV VL FS" sheetId="10" r:id="rId17"/>
    <sheet name="HIV VL" sheetId="11" r:id="rId18"/>
    <sheet name="HIV VL XC" sheetId="12" r:id="rId19"/>
    <sheet name="HIV QA" sheetId="13" r:id="rId20"/>
    <sheet name="HIV QA XC" sheetId="14" r:id="rId21"/>
    <sheet name="SARS-COV-2" sheetId="17" r:id="rId22"/>
    <sheet name="FLU RSV" sheetId="18" r:id="rId23"/>
    <sheet name="MRSA SA" sheetId="29" r:id="rId24"/>
    <sheet name="MRSA NxG" sheetId="19" r:id="rId25"/>
    <sheet name="NORO" sheetId="22" r:id="rId26"/>
    <sheet name="VAN AB" sheetId="23" r:id="rId27"/>
    <sheet name="GBS" sheetId="24" r:id="rId28"/>
    <sheet name="STREP A" sheetId="20" r:id="rId29"/>
    <sheet name="CARBA R" sheetId="21" r:id="rId30"/>
  </sheets>
  <definedNames>
    <definedName name="_xlnm.Print_Area" localSheetId="2">'KUND SR'!$A$1:$W$36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31" l="1"/>
  <c r="H22" i="31"/>
  <c r="H23" i="31"/>
  <c r="H20" i="31"/>
  <c r="H16" i="31"/>
  <c r="H17" i="31"/>
  <c r="H18" i="31"/>
  <c r="H15" i="31"/>
  <c r="H11" i="31"/>
  <c r="H12" i="31"/>
  <c r="H13" i="31"/>
  <c r="H10" i="31"/>
  <c r="H6" i="31"/>
  <c r="H7" i="31"/>
  <c r="H8" i="31"/>
  <c r="H5" i="31"/>
  <c r="G21" i="31"/>
  <c r="G22" i="31"/>
  <c r="G23" i="31"/>
  <c r="G20" i="31"/>
  <c r="G16" i="31"/>
  <c r="G17" i="31"/>
  <c r="G18" i="31"/>
  <c r="G15" i="31"/>
  <c r="G11" i="31"/>
  <c r="G12" i="31"/>
  <c r="G13" i="31"/>
  <c r="G10" i="31"/>
  <c r="G6" i="31"/>
  <c r="G7" i="31"/>
  <c r="G8" i="31"/>
  <c r="G5" i="31"/>
  <c r="F21" i="31"/>
  <c r="F22" i="31"/>
  <c r="F23" i="31"/>
  <c r="F20" i="31"/>
  <c r="F16" i="31"/>
  <c r="F17" i="31"/>
  <c r="F18" i="31"/>
  <c r="F15" i="31"/>
  <c r="F11" i="31"/>
  <c r="F12" i="31"/>
  <c r="F13" i="31"/>
  <c r="F10" i="31"/>
  <c r="F6" i="31"/>
  <c r="F7" i="31"/>
  <c r="F8" i="31"/>
  <c r="F5" i="31"/>
  <c r="D21" i="31"/>
  <c r="D22" i="31"/>
  <c r="D23" i="31"/>
  <c r="D20" i="31"/>
  <c r="D16" i="31"/>
  <c r="D17" i="31"/>
  <c r="D18" i="31"/>
  <c r="D15" i="31"/>
  <c r="D11" i="31"/>
  <c r="D12" i="31"/>
  <c r="D13" i="31"/>
  <c r="D10" i="31"/>
  <c r="D6" i="31"/>
  <c r="D7" i="31"/>
  <c r="D8" i="31"/>
  <c r="D5" i="31"/>
  <c r="C21" i="31"/>
  <c r="C22" i="31"/>
  <c r="C23" i="31"/>
  <c r="C20" i="31"/>
  <c r="C16" i="31"/>
  <c r="C17" i="31"/>
  <c r="C18" i="31"/>
  <c r="C15" i="31"/>
  <c r="C11" i="31"/>
  <c r="C12" i="31"/>
  <c r="C13" i="31"/>
  <c r="C10" i="31"/>
  <c r="C6" i="31"/>
  <c r="C7" i="31"/>
  <c r="C8" i="31"/>
  <c r="C5" i="31"/>
  <c r="A21" i="31"/>
  <c r="A22" i="31"/>
  <c r="A23" i="31"/>
  <c r="A20" i="31"/>
  <c r="A16" i="31"/>
  <c r="A17" i="31"/>
  <c r="A18" i="31"/>
  <c r="A15" i="31"/>
  <c r="A11" i="31"/>
  <c r="A12" i="31"/>
  <c r="A13" i="31"/>
  <c r="A10" i="31"/>
  <c r="A6" i="31"/>
  <c r="A7" i="31"/>
  <c r="A8" i="31"/>
  <c r="A5" i="31"/>
  <c r="H29" i="31"/>
  <c r="G29" i="31"/>
  <c r="F29" i="31"/>
  <c r="D29" i="31"/>
  <c r="C29" i="31"/>
  <c r="A29" i="31"/>
  <c r="H28" i="31"/>
  <c r="G28" i="31"/>
  <c r="F28" i="31"/>
  <c r="D28" i="31"/>
  <c r="C28" i="31"/>
  <c r="A28" i="31"/>
  <c r="H27" i="31"/>
  <c r="G27" i="31"/>
  <c r="F27" i="31"/>
  <c r="D27" i="31"/>
  <c r="C27" i="31"/>
  <c r="A27" i="31"/>
  <c r="H26" i="31"/>
  <c r="G26" i="31"/>
  <c r="F26" i="31"/>
  <c r="D26" i="31"/>
  <c r="C26" i="31"/>
  <c r="A26" i="31"/>
  <c r="F13" i="3"/>
  <c r="H24" i="13" l="1"/>
  <c r="H25" i="13"/>
  <c r="H26" i="13"/>
  <c r="G24" i="13"/>
  <c r="G25" i="13"/>
  <c r="G26" i="13"/>
  <c r="F24" i="13"/>
  <c r="F25" i="13"/>
  <c r="F26" i="13"/>
  <c r="H23" i="13"/>
  <c r="G23" i="13"/>
  <c r="F23" i="13"/>
  <c r="A24" i="13"/>
  <c r="A25" i="13"/>
  <c r="A26" i="13"/>
  <c r="D24" i="13"/>
  <c r="D25" i="13"/>
  <c r="D26" i="13"/>
  <c r="D23" i="13"/>
  <c r="A23" i="13"/>
  <c r="H16" i="24"/>
  <c r="H17" i="24"/>
  <c r="H18" i="24"/>
  <c r="G16" i="24"/>
  <c r="G17" i="24"/>
  <c r="G18" i="24"/>
  <c r="F16" i="24"/>
  <c r="F17" i="24"/>
  <c r="F18" i="24"/>
  <c r="D16" i="24"/>
  <c r="D17" i="24"/>
  <c r="D18" i="24"/>
  <c r="C16" i="24"/>
  <c r="C17" i="24"/>
  <c r="C18" i="24"/>
  <c r="H15" i="24"/>
  <c r="G15" i="24"/>
  <c r="F15" i="24"/>
  <c r="D15" i="24"/>
  <c r="C15" i="24"/>
  <c r="A16" i="24"/>
  <c r="A17" i="24"/>
  <c r="A18" i="24"/>
  <c r="A15" i="24"/>
  <c r="H13" i="14"/>
  <c r="G13" i="14"/>
  <c r="F13" i="14"/>
  <c r="D13" i="14"/>
  <c r="C13" i="14"/>
  <c r="A13" i="14"/>
  <c r="H12" i="14"/>
  <c r="G12" i="14"/>
  <c r="F12" i="14"/>
  <c r="D12" i="14"/>
  <c r="C12" i="14"/>
  <c r="A12" i="14"/>
  <c r="H11" i="14"/>
  <c r="G11" i="14"/>
  <c r="F11" i="14"/>
  <c r="D11" i="14"/>
  <c r="C11" i="14"/>
  <c r="A11" i="14"/>
  <c r="H10" i="14"/>
  <c r="G10" i="14"/>
  <c r="F10" i="14"/>
  <c r="D10" i="14"/>
  <c r="C10" i="14"/>
  <c r="A10" i="14"/>
  <c r="H11" i="7"/>
  <c r="H12" i="7"/>
  <c r="H13" i="7"/>
  <c r="H10" i="7"/>
  <c r="G11" i="7"/>
  <c r="G12" i="7"/>
  <c r="G13" i="7"/>
  <c r="G10" i="7"/>
  <c r="F11" i="7"/>
  <c r="F12" i="7"/>
  <c r="F13" i="7"/>
  <c r="F15" i="7"/>
  <c r="F16" i="7"/>
  <c r="F17" i="7"/>
  <c r="F18" i="7"/>
  <c r="F20" i="7"/>
  <c r="F21" i="7"/>
  <c r="F22" i="7"/>
  <c r="F23" i="7"/>
  <c r="F10" i="7"/>
  <c r="D11" i="7"/>
  <c r="D12" i="7"/>
  <c r="D13" i="7"/>
  <c r="D10" i="7"/>
  <c r="C11" i="7"/>
  <c r="C12" i="7"/>
  <c r="C13" i="7"/>
  <c r="C10" i="7"/>
  <c r="A11" i="7"/>
  <c r="A12" i="7"/>
  <c r="A13" i="7"/>
  <c r="A10" i="7"/>
  <c r="A10" i="3"/>
  <c r="C10" i="3"/>
  <c r="D10" i="3"/>
  <c r="F10" i="3"/>
  <c r="G10" i="3"/>
  <c r="H10" i="3"/>
  <c r="A11" i="3"/>
  <c r="C11" i="3"/>
  <c r="D11" i="3"/>
  <c r="F11" i="3"/>
  <c r="G11" i="3"/>
  <c r="H11" i="3"/>
  <c r="A12" i="3"/>
  <c r="C12" i="3"/>
  <c r="D12" i="3"/>
  <c r="F12" i="3"/>
  <c r="G12" i="3"/>
  <c r="H12" i="3"/>
  <c r="A13" i="3"/>
  <c r="C13" i="3"/>
  <c r="D13" i="3"/>
  <c r="G13" i="3"/>
  <c r="H13" i="3"/>
  <c r="H29" i="3"/>
  <c r="G29" i="3"/>
  <c r="F29" i="3"/>
  <c r="D29" i="3"/>
  <c r="A29" i="3"/>
  <c r="H28" i="3"/>
  <c r="G28" i="3"/>
  <c r="F28" i="3"/>
  <c r="D28" i="3"/>
  <c r="A28" i="3"/>
  <c r="H27" i="3"/>
  <c r="G27" i="3"/>
  <c r="F27" i="3"/>
  <c r="D27" i="3"/>
  <c r="A27" i="3"/>
  <c r="H26" i="3"/>
  <c r="G26" i="3"/>
  <c r="F26" i="3"/>
  <c r="D26" i="3"/>
  <c r="A26" i="3"/>
  <c r="H21" i="3"/>
  <c r="G21" i="3"/>
  <c r="F21" i="3"/>
  <c r="D21" i="3"/>
  <c r="A21" i="3"/>
  <c r="H20" i="3"/>
  <c r="G20" i="3"/>
  <c r="F20" i="3"/>
  <c r="D20" i="3"/>
  <c r="A20" i="3"/>
  <c r="H19" i="3"/>
  <c r="G19" i="3"/>
  <c r="F19" i="3"/>
  <c r="D19" i="3"/>
  <c r="A19" i="3"/>
  <c r="H16" i="20"/>
  <c r="H17" i="20"/>
  <c r="H18" i="20"/>
  <c r="H15" i="20"/>
  <c r="G16" i="20"/>
  <c r="G17" i="20"/>
  <c r="G18" i="20"/>
  <c r="G15" i="20"/>
  <c r="F16" i="20"/>
  <c r="F17" i="20"/>
  <c r="F18" i="20"/>
  <c r="F15" i="20"/>
  <c r="D16" i="20"/>
  <c r="D17" i="20"/>
  <c r="D18" i="20"/>
  <c r="D15" i="20"/>
  <c r="C16" i="20"/>
  <c r="C17" i="20"/>
  <c r="C18" i="20"/>
  <c r="C15" i="20"/>
  <c r="A16" i="20"/>
  <c r="A17" i="20"/>
  <c r="A18" i="20"/>
  <c r="A15" i="20"/>
  <c r="H24" i="22"/>
  <c r="H25" i="22"/>
  <c r="H26" i="22"/>
  <c r="G24" i="22"/>
  <c r="G25" i="22"/>
  <c r="G26" i="22"/>
  <c r="F24" i="22"/>
  <c r="F25" i="22"/>
  <c r="F26" i="22"/>
  <c r="D24" i="22"/>
  <c r="D25" i="22"/>
  <c r="D26" i="22"/>
  <c r="A24" i="22"/>
  <c r="A25" i="22"/>
  <c r="A26" i="22"/>
  <c r="H23" i="22"/>
  <c r="G23" i="22"/>
  <c r="F23" i="22"/>
  <c r="D23" i="22"/>
  <c r="A23" i="22"/>
  <c r="O15" i="30"/>
  <c r="J24" i="30"/>
  <c r="J25" i="30"/>
  <c r="J26" i="30"/>
  <c r="I24" i="30"/>
  <c r="I25" i="30"/>
  <c r="I26" i="30"/>
  <c r="H24" i="30"/>
  <c r="H25" i="30"/>
  <c r="H26" i="30"/>
  <c r="F24" i="30"/>
  <c r="F25" i="30"/>
  <c r="F26" i="30"/>
  <c r="C24" i="30"/>
  <c r="C25" i="30"/>
  <c r="C26" i="30"/>
  <c r="J23" i="30"/>
  <c r="I23" i="30"/>
  <c r="H23" i="30"/>
  <c r="F23" i="30"/>
  <c r="C23" i="30"/>
  <c r="J16" i="30"/>
  <c r="J17" i="30"/>
  <c r="J18" i="30"/>
  <c r="I16" i="30"/>
  <c r="I17" i="30"/>
  <c r="I18" i="30"/>
  <c r="H16" i="30"/>
  <c r="H17" i="30"/>
  <c r="H18" i="30"/>
  <c r="F16" i="30"/>
  <c r="F17" i="30"/>
  <c r="F18" i="30"/>
  <c r="C16" i="30"/>
  <c r="C17" i="30"/>
  <c r="C18" i="30"/>
  <c r="J15" i="30"/>
  <c r="I15" i="30"/>
  <c r="H15" i="30"/>
  <c r="F15" i="30"/>
  <c r="C15" i="30"/>
  <c r="U16" i="30"/>
  <c r="U17" i="30"/>
  <c r="U18" i="30"/>
  <c r="U15" i="30"/>
  <c r="S16" i="30"/>
  <c r="S17" i="30"/>
  <c r="S18" i="30"/>
  <c r="S15" i="30"/>
  <c r="R16" i="30"/>
  <c r="R17" i="30"/>
  <c r="R18" i="30"/>
  <c r="R15" i="30"/>
  <c r="Q16" i="30"/>
  <c r="Q17" i="30"/>
  <c r="Q18" i="30"/>
  <c r="Q15" i="30"/>
  <c r="L16" i="30"/>
  <c r="L17" i="30"/>
  <c r="L18" i="30"/>
  <c r="L15" i="30"/>
  <c r="AB16" i="30"/>
  <c r="AB17" i="30"/>
  <c r="AB18" i="30"/>
  <c r="AB15" i="30"/>
  <c r="AA16" i="30"/>
  <c r="AA17" i="30"/>
  <c r="AA18" i="30"/>
  <c r="AA15" i="30"/>
  <c r="Z16" i="30"/>
  <c r="Z17" i="30"/>
  <c r="Z18" i="30"/>
  <c r="Z15" i="30"/>
  <c r="X16" i="30"/>
  <c r="X17" i="30"/>
  <c r="X18" i="30"/>
  <c r="X15" i="30"/>
  <c r="O16" i="30"/>
  <c r="O17" i="30"/>
  <c r="O18" i="30"/>
  <c r="U8" i="30"/>
  <c r="U9" i="30"/>
  <c r="U10" i="30"/>
  <c r="X8" i="30"/>
  <c r="X9" i="30"/>
  <c r="X10" i="30"/>
  <c r="Z8" i="30"/>
  <c r="Z9" i="30"/>
  <c r="Z10" i="30"/>
  <c r="AA8" i="30"/>
  <c r="AA9" i="30"/>
  <c r="AA10" i="30"/>
  <c r="AB8" i="30"/>
  <c r="AB9" i="30"/>
  <c r="AB10" i="30"/>
  <c r="AB7" i="30"/>
  <c r="AA7" i="30"/>
  <c r="Z7" i="30"/>
  <c r="X7" i="30"/>
  <c r="U7" i="30"/>
  <c r="L8" i="30"/>
  <c r="L9" i="30"/>
  <c r="L10" i="30"/>
  <c r="O8" i="30"/>
  <c r="O9" i="30"/>
  <c r="O10" i="30"/>
  <c r="Q8" i="30"/>
  <c r="Q9" i="30"/>
  <c r="Q10" i="30"/>
  <c r="R8" i="30"/>
  <c r="R9" i="30"/>
  <c r="R10" i="30"/>
  <c r="S8" i="30"/>
  <c r="S9" i="30"/>
  <c r="S10" i="30"/>
  <c r="S7" i="30"/>
  <c r="R7" i="30"/>
  <c r="Q7" i="30"/>
  <c r="O7" i="30"/>
  <c r="L7" i="30"/>
  <c r="J8" i="30"/>
  <c r="J9" i="30"/>
  <c r="J10" i="30"/>
  <c r="I8" i="30"/>
  <c r="I9" i="30"/>
  <c r="I10" i="30"/>
  <c r="H8" i="30"/>
  <c r="H9" i="30"/>
  <c r="H10" i="30"/>
  <c r="F8" i="30"/>
  <c r="F9" i="30"/>
  <c r="F10" i="30"/>
  <c r="C8" i="30"/>
  <c r="C9" i="30"/>
  <c r="C10" i="30"/>
  <c r="J7" i="30"/>
  <c r="I7" i="30"/>
  <c r="H7" i="30"/>
  <c r="F7" i="30"/>
  <c r="C7" i="30"/>
  <c r="A21" i="2"/>
  <c r="H16" i="21"/>
  <c r="H17" i="21"/>
  <c r="H18" i="21"/>
  <c r="G16" i="21"/>
  <c r="G17" i="21"/>
  <c r="G18" i="21"/>
  <c r="F16" i="21"/>
  <c r="F17" i="21"/>
  <c r="F18" i="21"/>
  <c r="D16" i="21"/>
  <c r="D17" i="21"/>
  <c r="D18" i="21"/>
  <c r="C16" i="21"/>
  <c r="C17" i="21"/>
  <c r="C18" i="21"/>
  <c r="A16" i="21"/>
  <c r="A17" i="21"/>
  <c r="A18" i="21"/>
  <c r="H15" i="21"/>
  <c r="G15" i="21"/>
  <c r="F15" i="21"/>
  <c r="D15" i="21"/>
  <c r="C15" i="21"/>
  <c r="A15" i="21"/>
  <c r="H11" i="21"/>
  <c r="H12" i="21"/>
  <c r="H13" i="21"/>
  <c r="G11" i="21"/>
  <c r="G12" i="21"/>
  <c r="G13" i="21"/>
  <c r="F11" i="21"/>
  <c r="F12" i="21"/>
  <c r="F13" i="21"/>
  <c r="D11" i="21"/>
  <c r="D12" i="21"/>
  <c r="D13" i="21"/>
  <c r="C11" i="21"/>
  <c r="C12" i="21"/>
  <c r="C13" i="21"/>
  <c r="A11" i="21"/>
  <c r="A12" i="21"/>
  <c r="A13" i="21"/>
  <c r="H10" i="21"/>
  <c r="G10" i="21"/>
  <c r="F10" i="21"/>
  <c r="D10" i="21"/>
  <c r="C10" i="21"/>
  <c r="A10" i="21"/>
  <c r="H6" i="21"/>
  <c r="H7" i="21"/>
  <c r="H8" i="21"/>
  <c r="G6" i="21"/>
  <c r="G7" i="21"/>
  <c r="G8" i="21"/>
  <c r="F6" i="21"/>
  <c r="F7" i="21"/>
  <c r="F8" i="21"/>
  <c r="D6" i="21"/>
  <c r="D7" i="21"/>
  <c r="D8" i="21"/>
  <c r="C6" i="21"/>
  <c r="C7" i="21"/>
  <c r="C8" i="21"/>
  <c r="A6" i="21"/>
  <c r="A7" i="21"/>
  <c r="A8" i="21"/>
  <c r="H5" i="21"/>
  <c r="G5" i="21"/>
  <c r="F5" i="21"/>
  <c r="D5" i="21"/>
  <c r="C5" i="21"/>
  <c r="A5" i="21"/>
  <c r="H11" i="20"/>
  <c r="H12" i="20"/>
  <c r="H13" i="20"/>
  <c r="G11" i="20"/>
  <c r="G12" i="20"/>
  <c r="G13" i="20"/>
  <c r="F11" i="20"/>
  <c r="F12" i="20"/>
  <c r="F13" i="20"/>
  <c r="D13" i="20"/>
  <c r="D11" i="20"/>
  <c r="D12" i="20"/>
  <c r="C11" i="20"/>
  <c r="C12" i="20"/>
  <c r="C13" i="20"/>
  <c r="A11" i="20"/>
  <c r="A12" i="20"/>
  <c r="A13" i="20"/>
  <c r="H10" i="20"/>
  <c r="G10" i="20"/>
  <c r="F10" i="20"/>
  <c r="D10" i="20"/>
  <c r="C10" i="20"/>
  <c r="A10" i="20"/>
  <c r="H6" i="20"/>
  <c r="H7" i="20"/>
  <c r="H8" i="20"/>
  <c r="G6" i="20"/>
  <c r="G7" i="20"/>
  <c r="G8" i="20"/>
  <c r="F6" i="20"/>
  <c r="F7" i="20"/>
  <c r="F8" i="20"/>
  <c r="D6" i="20"/>
  <c r="D7" i="20"/>
  <c r="D8" i="20"/>
  <c r="C6" i="20"/>
  <c r="C7" i="20"/>
  <c r="C8" i="20"/>
  <c r="A6" i="20"/>
  <c r="A7" i="20"/>
  <c r="A8" i="20"/>
  <c r="H5" i="20"/>
  <c r="G5" i="20"/>
  <c r="F5" i="20"/>
  <c r="D5" i="20"/>
  <c r="C5" i="20"/>
  <c r="A5" i="20"/>
  <c r="H21" i="24" l="1"/>
  <c r="H22" i="24"/>
  <c r="H23" i="24"/>
  <c r="G21" i="24"/>
  <c r="G22" i="24"/>
  <c r="G23" i="24"/>
  <c r="F21" i="24"/>
  <c r="F22" i="24"/>
  <c r="F23" i="24"/>
  <c r="D21" i="24"/>
  <c r="D22" i="24"/>
  <c r="D23" i="24"/>
  <c r="C21" i="24"/>
  <c r="C22" i="24"/>
  <c r="C23" i="24"/>
  <c r="A21" i="24"/>
  <c r="A22" i="24"/>
  <c r="A23" i="24"/>
  <c r="H20" i="24"/>
  <c r="G20" i="24"/>
  <c r="F20" i="24"/>
  <c r="D20" i="24"/>
  <c r="C20" i="24"/>
  <c r="A20" i="24"/>
  <c r="H11" i="24"/>
  <c r="H12" i="24"/>
  <c r="H13" i="24"/>
  <c r="G11" i="24"/>
  <c r="G12" i="24"/>
  <c r="G13" i="24"/>
  <c r="F11" i="24"/>
  <c r="F12" i="24"/>
  <c r="F13" i="24"/>
  <c r="D11" i="24"/>
  <c r="D12" i="24"/>
  <c r="D13" i="24"/>
  <c r="C11" i="24"/>
  <c r="C12" i="24"/>
  <c r="C13" i="24"/>
  <c r="A11" i="24"/>
  <c r="A12" i="24"/>
  <c r="A13" i="24"/>
  <c r="H10" i="24"/>
  <c r="G10" i="24"/>
  <c r="F10" i="24"/>
  <c r="D10" i="24"/>
  <c r="C10" i="24"/>
  <c r="A10" i="24"/>
  <c r="H6" i="24"/>
  <c r="H7" i="24"/>
  <c r="H8" i="24"/>
  <c r="G6" i="24"/>
  <c r="G7" i="24"/>
  <c r="G8" i="24"/>
  <c r="F6" i="24"/>
  <c r="F7" i="24"/>
  <c r="F8" i="24"/>
  <c r="D6" i="24"/>
  <c r="D7" i="24"/>
  <c r="D8" i="24"/>
  <c r="C6" i="24"/>
  <c r="C7" i="24"/>
  <c r="C8" i="24"/>
  <c r="A6" i="24"/>
  <c r="A7" i="24"/>
  <c r="A8" i="24"/>
  <c r="H5" i="24"/>
  <c r="G5" i="24"/>
  <c r="F5" i="24"/>
  <c r="D5" i="24"/>
  <c r="C5" i="24"/>
  <c r="A5" i="24"/>
  <c r="H14" i="23" l="1"/>
  <c r="H15" i="23"/>
  <c r="H16" i="23"/>
  <c r="G14" i="23"/>
  <c r="G15" i="23"/>
  <c r="G16" i="23"/>
  <c r="F14" i="23"/>
  <c r="F15" i="23"/>
  <c r="F16" i="23"/>
  <c r="D14" i="23"/>
  <c r="D15" i="23"/>
  <c r="D16" i="23"/>
  <c r="A14" i="23"/>
  <c r="A15" i="23"/>
  <c r="A16" i="23"/>
  <c r="H13" i="23"/>
  <c r="G13" i="23"/>
  <c r="F13" i="23"/>
  <c r="D13" i="23"/>
  <c r="A13" i="23"/>
  <c r="H6" i="23"/>
  <c r="H7" i="23"/>
  <c r="H8" i="23"/>
  <c r="G6" i="23"/>
  <c r="G7" i="23"/>
  <c r="G8" i="23"/>
  <c r="F6" i="23"/>
  <c r="F7" i="23"/>
  <c r="F8" i="23"/>
  <c r="D6" i="23"/>
  <c r="D7" i="23"/>
  <c r="D8" i="23"/>
  <c r="C6" i="23"/>
  <c r="C7" i="23"/>
  <c r="C8" i="23"/>
  <c r="A8" i="23"/>
  <c r="A6" i="23"/>
  <c r="A7" i="23"/>
  <c r="H5" i="23"/>
  <c r="G5" i="23"/>
  <c r="F5" i="23"/>
  <c r="D5" i="23"/>
  <c r="C5" i="23"/>
  <c r="A5" i="23"/>
  <c r="A23" i="19" l="1"/>
  <c r="H16" i="22"/>
  <c r="H17" i="22"/>
  <c r="H18" i="22"/>
  <c r="G16" i="22"/>
  <c r="G17" i="22"/>
  <c r="G18" i="22"/>
  <c r="F16" i="22"/>
  <c r="F17" i="22"/>
  <c r="F18" i="22"/>
  <c r="D16" i="22"/>
  <c r="D17" i="22"/>
  <c r="D18" i="22"/>
  <c r="C16" i="22"/>
  <c r="C17" i="22"/>
  <c r="C18" i="22"/>
  <c r="A16" i="22"/>
  <c r="A17" i="22"/>
  <c r="A18" i="22"/>
  <c r="H15" i="22"/>
  <c r="G15" i="22"/>
  <c r="F15" i="22"/>
  <c r="D15" i="22"/>
  <c r="C15" i="22"/>
  <c r="A15" i="22"/>
  <c r="H11" i="22"/>
  <c r="H12" i="22"/>
  <c r="H13" i="22"/>
  <c r="G11" i="22"/>
  <c r="G12" i="22"/>
  <c r="G13" i="22"/>
  <c r="F11" i="22"/>
  <c r="F12" i="22"/>
  <c r="F13" i="22"/>
  <c r="D11" i="22"/>
  <c r="D12" i="22"/>
  <c r="D13" i="22"/>
  <c r="C11" i="22"/>
  <c r="C12" i="22"/>
  <c r="C13" i="22"/>
  <c r="A11" i="22"/>
  <c r="A12" i="22"/>
  <c r="A13" i="22"/>
  <c r="H10" i="22"/>
  <c r="G10" i="22"/>
  <c r="F10" i="22"/>
  <c r="D10" i="22"/>
  <c r="C10" i="22"/>
  <c r="A10" i="22"/>
  <c r="H6" i="22"/>
  <c r="H7" i="22"/>
  <c r="H8" i="22"/>
  <c r="G6" i="22"/>
  <c r="G7" i="22"/>
  <c r="G8" i="22"/>
  <c r="F6" i="22"/>
  <c r="F7" i="22"/>
  <c r="F8" i="22"/>
  <c r="D6" i="22"/>
  <c r="D7" i="22"/>
  <c r="D8" i="22"/>
  <c r="C6" i="22"/>
  <c r="C7" i="22"/>
  <c r="C8" i="22"/>
  <c r="A6" i="22"/>
  <c r="A7" i="22"/>
  <c r="A8" i="22"/>
  <c r="H5" i="22"/>
  <c r="G5" i="22"/>
  <c r="F5" i="22"/>
  <c r="D5" i="22"/>
  <c r="C5" i="22"/>
  <c r="A5" i="22"/>
  <c r="H6" i="29"/>
  <c r="H7" i="29"/>
  <c r="H8" i="29"/>
  <c r="G6" i="29"/>
  <c r="G7" i="29"/>
  <c r="G8" i="29"/>
  <c r="F6" i="29"/>
  <c r="F7" i="29"/>
  <c r="F8" i="29"/>
  <c r="D6" i="29"/>
  <c r="D7" i="29"/>
  <c r="D8" i="29"/>
  <c r="C6" i="29"/>
  <c r="C7" i="29"/>
  <c r="C8" i="29"/>
  <c r="A6" i="29"/>
  <c r="A7" i="29"/>
  <c r="A8" i="29"/>
  <c r="H5" i="29"/>
  <c r="G5" i="29"/>
  <c r="F5" i="29"/>
  <c r="D5" i="29"/>
  <c r="C5" i="29"/>
  <c r="A5" i="29"/>
  <c r="H14" i="29"/>
  <c r="H15" i="29"/>
  <c r="H16" i="29"/>
  <c r="H13" i="29"/>
  <c r="G14" i="29"/>
  <c r="G15" i="29"/>
  <c r="G16" i="29"/>
  <c r="G13" i="29"/>
  <c r="F14" i="29"/>
  <c r="F15" i="29"/>
  <c r="F16" i="29"/>
  <c r="F13" i="29"/>
  <c r="D14" i="29"/>
  <c r="D15" i="29"/>
  <c r="D16" i="29"/>
  <c r="D13" i="29"/>
  <c r="A14" i="29"/>
  <c r="A15" i="29"/>
  <c r="A16" i="29"/>
  <c r="A13" i="29"/>
  <c r="H6" i="19" l="1"/>
  <c r="H7" i="19"/>
  <c r="H8" i="19"/>
  <c r="G6" i="19"/>
  <c r="G7" i="19"/>
  <c r="G8" i="19"/>
  <c r="F8" i="19"/>
  <c r="F6" i="19"/>
  <c r="F7" i="19"/>
  <c r="C6" i="19"/>
  <c r="C7" i="19"/>
  <c r="C8" i="19"/>
  <c r="D6" i="19"/>
  <c r="D7" i="19"/>
  <c r="D8" i="19"/>
  <c r="H5" i="19"/>
  <c r="G5" i="19"/>
  <c r="F5" i="19"/>
  <c r="D5" i="19"/>
  <c r="C5" i="19"/>
  <c r="A5" i="19"/>
  <c r="H11" i="19"/>
  <c r="H12" i="19"/>
  <c r="H13" i="19"/>
  <c r="G11" i="19"/>
  <c r="G12" i="19"/>
  <c r="G13" i="19"/>
  <c r="H10" i="19"/>
  <c r="G10" i="19"/>
  <c r="F11" i="19"/>
  <c r="F12" i="19"/>
  <c r="F13" i="19"/>
  <c r="F10" i="19"/>
  <c r="D11" i="19"/>
  <c r="D12" i="19"/>
  <c r="D13" i="19"/>
  <c r="C11" i="19"/>
  <c r="C12" i="19"/>
  <c r="C13" i="19"/>
  <c r="C10" i="19"/>
  <c r="D10" i="19"/>
  <c r="A11" i="19"/>
  <c r="A12" i="19"/>
  <c r="A13" i="19"/>
  <c r="A10" i="19"/>
  <c r="A6" i="19"/>
  <c r="A7" i="19"/>
  <c r="A8" i="19"/>
  <c r="H24" i="19"/>
  <c r="H25" i="19"/>
  <c r="H26" i="19"/>
  <c r="H23" i="19"/>
  <c r="G24" i="19"/>
  <c r="G25" i="19"/>
  <c r="G26" i="19"/>
  <c r="G23" i="19"/>
  <c r="F24" i="19"/>
  <c r="F25" i="19"/>
  <c r="F26" i="19"/>
  <c r="F23" i="19"/>
  <c r="D24" i="19"/>
  <c r="D25" i="19"/>
  <c r="D26" i="19"/>
  <c r="D23" i="19"/>
  <c r="A24" i="19"/>
  <c r="A25" i="19"/>
  <c r="A26" i="19"/>
  <c r="H14" i="4"/>
  <c r="H15" i="4"/>
  <c r="H16" i="4"/>
  <c r="H13" i="4"/>
  <c r="G14" i="4"/>
  <c r="G15" i="4"/>
  <c r="G16" i="4"/>
  <c r="G13" i="4"/>
  <c r="F14" i="4"/>
  <c r="F15" i="4"/>
  <c r="F16" i="4"/>
  <c r="F13" i="4"/>
  <c r="D14" i="4"/>
  <c r="D15" i="4"/>
  <c r="D16" i="4"/>
  <c r="D13" i="4"/>
  <c r="A14" i="4"/>
  <c r="A15" i="4"/>
  <c r="A16" i="4"/>
  <c r="A13" i="4"/>
  <c r="H16" i="19"/>
  <c r="H17" i="19"/>
  <c r="H18" i="19"/>
  <c r="G16" i="19"/>
  <c r="G17" i="19"/>
  <c r="G18" i="19"/>
  <c r="F16" i="19"/>
  <c r="F17" i="19"/>
  <c r="F18" i="19"/>
  <c r="D16" i="19"/>
  <c r="D17" i="19"/>
  <c r="D18" i="19"/>
  <c r="C16" i="19"/>
  <c r="C17" i="19"/>
  <c r="C18" i="19"/>
  <c r="H15" i="19"/>
  <c r="G15" i="19"/>
  <c r="F15" i="19"/>
  <c r="D15" i="19"/>
  <c r="C15" i="19"/>
  <c r="A15" i="19"/>
  <c r="A16" i="19"/>
  <c r="A17" i="19"/>
  <c r="A18" i="19"/>
  <c r="H36" i="18" l="1"/>
  <c r="H37" i="18"/>
  <c r="H38" i="18"/>
  <c r="G36" i="18"/>
  <c r="G37" i="18"/>
  <c r="G38" i="18"/>
  <c r="F36" i="18"/>
  <c r="F37" i="18"/>
  <c r="F38" i="18"/>
  <c r="D36" i="18"/>
  <c r="D37" i="18"/>
  <c r="D38" i="18"/>
  <c r="C36" i="18"/>
  <c r="C37" i="18"/>
  <c r="C38" i="18"/>
  <c r="A36" i="18"/>
  <c r="A37" i="18"/>
  <c r="A38" i="18"/>
  <c r="H35" i="18"/>
  <c r="G35" i="18"/>
  <c r="F35" i="18"/>
  <c r="D35" i="18"/>
  <c r="C35" i="18"/>
  <c r="H31" i="18"/>
  <c r="H32" i="18"/>
  <c r="H33" i="18"/>
  <c r="G31" i="18"/>
  <c r="G32" i="18"/>
  <c r="G33" i="18"/>
  <c r="F31" i="18"/>
  <c r="F32" i="18"/>
  <c r="F33" i="18"/>
  <c r="D31" i="18"/>
  <c r="D32" i="18"/>
  <c r="D33" i="18"/>
  <c r="C31" i="18"/>
  <c r="C32" i="18"/>
  <c r="C33" i="18"/>
  <c r="H30" i="18"/>
  <c r="G30" i="18"/>
  <c r="F30" i="18"/>
  <c r="D30" i="18"/>
  <c r="C30" i="18"/>
  <c r="H26" i="18"/>
  <c r="H27" i="18"/>
  <c r="H28" i="18"/>
  <c r="G26" i="18"/>
  <c r="G27" i="18"/>
  <c r="G28" i="18"/>
  <c r="F26" i="18"/>
  <c r="F27" i="18"/>
  <c r="F28" i="18"/>
  <c r="D26" i="18"/>
  <c r="D27" i="18"/>
  <c r="D28" i="18"/>
  <c r="C26" i="18"/>
  <c r="C27" i="18"/>
  <c r="C28" i="18"/>
  <c r="H25" i="18"/>
  <c r="G25" i="18"/>
  <c r="F25" i="18"/>
  <c r="D25" i="18"/>
  <c r="C25" i="18"/>
  <c r="H21" i="18"/>
  <c r="H22" i="18"/>
  <c r="H23" i="18"/>
  <c r="G21" i="18"/>
  <c r="G22" i="18"/>
  <c r="G23" i="18"/>
  <c r="F21" i="18"/>
  <c r="F22" i="18"/>
  <c r="F23" i="18"/>
  <c r="D21" i="18"/>
  <c r="D22" i="18"/>
  <c r="D23" i="18"/>
  <c r="C21" i="18"/>
  <c r="C22" i="18"/>
  <c r="C23" i="18"/>
  <c r="H20" i="18"/>
  <c r="G20" i="18"/>
  <c r="F20" i="18"/>
  <c r="D20" i="18"/>
  <c r="C20" i="18"/>
  <c r="H16" i="18"/>
  <c r="H17" i="18"/>
  <c r="H18" i="18"/>
  <c r="G16" i="18"/>
  <c r="G17" i="18"/>
  <c r="G18" i="18"/>
  <c r="F16" i="18"/>
  <c r="F17" i="18"/>
  <c r="F18" i="18"/>
  <c r="D16" i="18"/>
  <c r="D17" i="18"/>
  <c r="D18" i="18"/>
  <c r="C16" i="18"/>
  <c r="C17" i="18"/>
  <c r="C18" i="18"/>
  <c r="H15" i="18"/>
  <c r="G15" i="18"/>
  <c r="F15" i="18"/>
  <c r="D15" i="18"/>
  <c r="C15" i="18"/>
  <c r="H42" i="18"/>
  <c r="H43" i="18"/>
  <c r="H44" i="18"/>
  <c r="G42" i="18"/>
  <c r="G43" i="18"/>
  <c r="F42" i="18"/>
  <c r="F43" i="18"/>
  <c r="F44" i="18"/>
  <c r="D42" i="18"/>
  <c r="D43" i="18"/>
  <c r="D44" i="18"/>
  <c r="C42" i="18"/>
  <c r="C43" i="18"/>
  <c r="C44" i="18"/>
  <c r="H41" i="18"/>
  <c r="G41" i="18"/>
  <c r="F41" i="18"/>
  <c r="D41" i="18"/>
  <c r="C41" i="18"/>
  <c r="A42" i="18"/>
  <c r="A43" i="18"/>
  <c r="A44" i="18"/>
  <c r="A41" i="18"/>
  <c r="G44" i="18"/>
  <c r="A35" i="18"/>
  <c r="A31" i="18"/>
  <c r="A32" i="18"/>
  <c r="A33" i="18"/>
  <c r="A30" i="18"/>
  <c r="A26" i="18"/>
  <c r="A27" i="18"/>
  <c r="A28" i="18"/>
  <c r="A25" i="18"/>
  <c r="A21" i="18"/>
  <c r="A22" i="18"/>
  <c r="A23" i="18"/>
  <c r="A20" i="18"/>
  <c r="A16" i="18"/>
  <c r="A17" i="18"/>
  <c r="A18" i="18"/>
  <c r="A15" i="18"/>
  <c r="H11" i="18"/>
  <c r="H12" i="18"/>
  <c r="H13" i="18"/>
  <c r="H10" i="18"/>
  <c r="G11" i="18"/>
  <c r="G12" i="18"/>
  <c r="G13" i="18"/>
  <c r="G10" i="18"/>
  <c r="F11" i="18"/>
  <c r="F12" i="18"/>
  <c r="F13" i="18"/>
  <c r="F10" i="18"/>
  <c r="D11" i="18"/>
  <c r="D12" i="18"/>
  <c r="D13" i="18"/>
  <c r="D10" i="18"/>
  <c r="C11" i="18"/>
  <c r="C12" i="18"/>
  <c r="C13" i="18"/>
  <c r="C10" i="18"/>
  <c r="A11" i="18"/>
  <c r="A12" i="18"/>
  <c r="A13" i="18"/>
  <c r="A10" i="18"/>
  <c r="F5" i="18"/>
  <c r="F6" i="18"/>
  <c r="F7" i="18"/>
  <c r="F8" i="18"/>
  <c r="G6" i="18"/>
  <c r="G7" i="18"/>
  <c r="G8" i="18"/>
  <c r="H6" i="18"/>
  <c r="H7" i="18"/>
  <c r="H8" i="18"/>
  <c r="H5" i="18"/>
  <c r="G5" i="18"/>
  <c r="D6" i="18"/>
  <c r="D7" i="18"/>
  <c r="D8" i="18"/>
  <c r="D5" i="18"/>
  <c r="C6" i="18"/>
  <c r="C7" i="18"/>
  <c r="C8" i="18"/>
  <c r="C5" i="18"/>
  <c r="A6" i="18"/>
  <c r="A7" i="18"/>
  <c r="A8" i="18"/>
  <c r="A5" i="18"/>
  <c r="H6" i="17" l="1"/>
  <c r="H7" i="17"/>
  <c r="H8" i="17"/>
  <c r="G6" i="17"/>
  <c r="G7" i="17"/>
  <c r="G8" i="17"/>
  <c r="F6" i="17"/>
  <c r="F7" i="17"/>
  <c r="F8" i="17"/>
  <c r="D6" i="17"/>
  <c r="D7" i="17"/>
  <c r="D8" i="17"/>
  <c r="C6" i="17"/>
  <c r="C7" i="17"/>
  <c r="C8" i="17"/>
  <c r="A6" i="17"/>
  <c r="A7" i="17"/>
  <c r="A8" i="17"/>
  <c r="H5" i="17"/>
  <c r="G5" i="17"/>
  <c r="F5" i="17"/>
  <c r="D5" i="17"/>
  <c r="C5" i="17"/>
  <c r="A5" i="17"/>
  <c r="H14" i="17"/>
  <c r="G14" i="17"/>
  <c r="F14" i="17"/>
  <c r="D14" i="17"/>
  <c r="C14" i="17"/>
  <c r="A14" i="17"/>
  <c r="H13" i="17"/>
  <c r="G13" i="17"/>
  <c r="F13" i="17"/>
  <c r="D13" i="17"/>
  <c r="C13" i="17"/>
  <c r="A13" i="17"/>
  <c r="H12" i="17"/>
  <c r="G12" i="17"/>
  <c r="F12" i="17"/>
  <c r="D12" i="17"/>
  <c r="C12" i="17"/>
  <c r="A12" i="17"/>
  <c r="H11" i="17"/>
  <c r="G11" i="17"/>
  <c r="F11" i="17"/>
  <c r="D11" i="17"/>
  <c r="C11" i="17"/>
  <c r="A11" i="17"/>
  <c r="H24" i="15" l="1"/>
  <c r="H25" i="15"/>
  <c r="H26" i="15"/>
  <c r="G24" i="15"/>
  <c r="G25" i="15"/>
  <c r="G26" i="15"/>
  <c r="F24" i="15"/>
  <c r="F25" i="15"/>
  <c r="F26" i="15"/>
  <c r="D24" i="15"/>
  <c r="D25" i="15"/>
  <c r="D26" i="15"/>
  <c r="A24" i="15"/>
  <c r="A25" i="15"/>
  <c r="A26" i="15"/>
  <c r="H23" i="15"/>
  <c r="G23" i="15"/>
  <c r="F23" i="15"/>
  <c r="D23" i="15"/>
  <c r="A23" i="15"/>
  <c r="H16" i="15"/>
  <c r="H17" i="15"/>
  <c r="H18" i="15"/>
  <c r="G16" i="15"/>
  <c r="G17" i="15"/>
  <c r="G18" i="15"/>
  <c r="F16" i="15"/>
  <c r="F17" i="15"/>
  <c r="F18" i="15"/>
  <c r="D16" i="15"/>
  <c r="D17" i="15"/>
  <c r="D18" i="15"/>
  <c r="C16" i="15"/>
  <c r="C17" i="15"/>
  <c r="C18" i="15"/>
  <c r="A16" i="15"/>
  <c r="A17" i="15"/>
  <c r="A18" i="15"/>
  <c r="A6" i="15"/>
  <c r="A7" i="15"/>
  <c r="A8" i="15"/>
  <c r="H15" i="15"/>
  <c r="G15" i="15"/>
  <c r="F15" i="15"/>
  <c r="D15" i="15"/>
  <c r="C15" i="15"/>
  <c r="A15" i="15"/>
  <c r="H11" i="15"/>
  <c r="H12" i="15"/>
  <c r="H13" i="15"/>
  <c r="G11" i="15"/>
  <c r="G12" i="15"/>
  <c r="G13" i="15"/>
  <c r="F11" i="15"/>
  <c r="F12" i="15"/>
  <c r="F13" i="15"/>
  <c r="D11" i="15"/>
  <c r="D12" i="15"/>
  <c r="D13" i="15"/>
  <c r="C11" i="15"/>
  <c r="C12" i="15"/>
  <c r="C13" i="15"/>
  <c r="A11" i="15"/>
  <c r="A12" i="15"/>
  <c r="A13" i="15"/>
  <c r="H10" i="15"/>
  <c r="G10" i="15"/>
  <c r="F10" i="15"/>
  <c r="D10" i="15"/>
  <c r="C10" i="15"/>
  <c r="A10" i="15"/>
  <c r="H6" i="15"/>
  <c r="H7" i="15"/>
  <c r="H8" i="15"/>
  <c r="G6" i="15"/>
  <c r="G7" i="15"/>
  <c r="G8" i="15"/>
  <c r="F6" i="15"/>
  <c r="F7" i="15"/>
  <c r="F8" i="15"/>
  <c r="D6" i="15"/>
  <c r="D7" i="15"/>
  <c r="D8" i="15"/>
  <c r="C6" i="15"/>
  <c r="C7" i="15"/>
  <c r="C8" i="15"/>
  <c r="H5" i="15"/>
  <c r="G5" i="15"/>
  <c r="F5" i="15"/>
  <c r="D5" i="15"/>
  <c r="C5" i="15"/>
  <c r="A5" i="15"/>
  <c r="H16" i="14" l="1"/>
  <c r="H17" i="14"/>
  <c r="H18" i="14"/>
  <c r="G16" i="14"/>
  <c r="G17" i="14"/>
  <c r="G18" i="14"/>
  <c r="F16" i="14"/>
  <c r="F17" i="14"/>
  <c r="F18" i="14"/>
  <c r="D16" i="14"/>
  <c r="D17" i="14"/>
  <c r="D18" i="14"/>
  <c r="C16" i="14"/>
  <c r="C17" i="14"/>
  <c r="C18" i="14"/>
  <c r="A16" i="14"/>
  <c r="A17" i="14"/>
  <c r="A18" i="14"/>
  <c r="H15" i="14"/>
  <c r="G15" i="14"/>
  <c r="F15" i="14"/>
  <c r="D15" i="14"/>
  <c r="C15" i="14"/>
  <c r="A15" i="14"/>
  <c r="H8" i="14"/>
  <c r="G8" i="14"/>
  <c r="F8" i="14"/>
  <c r="D8" i="14"/>
  <c r="C8" i="14"/>
  <c r="A8" i="14"/>
  <c r="H7" i="14"/>
  <c r="G7" i="14"/>
  <c r="F7" i="14"/>
  <c r="D7" i="14"/>
  <c r="C7" i="14"/>
  <c r="A7" i="14"/>
  <c r="H6" i="14"/>
  <c r="G6" i="14"/>
  <c r="F6" i="14"/>
  <c r="D6" i="14"/>
  <c r="C6" i="14"/>
  <c r="A6" i="14"/>
  <c r="H5" i="14"/>
  <c r="G5" i="14"/>
  <c r="F5" i="14"/>
  <c r="D5" i="14"/>
  <c r="C5" i="14"/>
  <c r="A5" i="14"/>
  <c r="H16" i="13"/>
  <c r="H17" i="13"/>
  <c r="H18" i="13"/>
  <c r="H11" i="13"/>
  <c r="H12" i="13"/>
  <c r="H13" i="13"/>
  <c r="F16" i="13"/>
  <c r="F17" i="13"/>
  <c r="F18" i="13"/>
  <c r="G16" i="13"/>
  <c r="G17" i="13"/>
  <c r="G18" i="13"/>
  <c r="G11" i="13"/>
  <c r="G12" i="13"/>
  <c r="G13" i="13"/>
  <c r="F11" i="13"/>
  <c r="F12" i="13"/>
  <c r="F13" i="13"/>
  <c r="D16" i="13"/>
  <c r="D17" i="13"/>
  <c r="D18" i="13"/>
  <c r="D11" i="13"/>
  <c r="D12" i="13"/>
  <c r="D13" i="13"/>
  <c r="C16" i="13"/>
  <c r="C17" i="13"/>
  <c r="C18" i="13"/>
  <c r="C11" i="13"/>
  <c r="C12" i="13"/>
  <c r="C13" i="13"/>
  <c r="A16" i="13"/>
  <c r="A17" i="13"/>
  <c r="A18" i="13"/>
  <c r="A11" i="13"/>
  <c r="A12" i="13"/>
  <c r="A13" i="13"/>
  <c r="A6" i="13"/>
  <c r="A7" i="13"/>
  <c r="A8" i="13"/>
  <c r="H15" i="13"/>
  <c r="G15" i="13"/>
  <c r="F15" i="13"/>
  <c r="D15" i="13"/>
  <c r="C15" i="13"/>
  <c r="A15" i="13"/>
  <c r="H10" i="13"/>
  <c r="G10" i="13"/>
  <c r="F10" i="13"/>
  <c r="D10" i="13"/>
  <c r="C10" i="13"/>
  <c r="A10" i="13"/>
  <c r="H8" i="13"/>
  <c r="G8" i="13"/>
  <c r="F8" i="13"/>
  <c r="D8" i="13"/>
  <c r="C8" i="13"/>
  <c r="H7" i="13"/>
  <c r="G7" i="13"/>
  <c r="F7" i="13"/>
  <c r="D7" i="13"/>
  <c r="C7" i="13"/>
  <c r="H6" i="13"/>
  <c r="G6" i="13"/>
  <c r="F6" i="13"/>
  <c r="D6" i="13"/>
  <c r="C6" i="13"/>
  <c r="H5" i="13"/>
  <c r="G5" i="13"/>
  <c r="F5" i="13"/>
  <c r="D5" i="13"/>
  <c r="C5" i="13"/>
  <c r="A5" i="13"/>
  <c r="H11" i="12"/>
  <c r="H12" i="12"/>
  <c r="H13" i="12"/>
  <c r="H16" i="12"/>
  <c r="H17" i="12"/>
  <c r="H18" i="12"/>
  <c r="G16" i="12"/>
  <c r="G17" i="12"/>
  <c r="G18" i="12"/>
  <c r="G11" i="12"/>
  <c r="G12" i="12"/>
  <c r="G13" i="12"/>
  <c r="F16" i="12"/>
  <c r="F17" i="12"/>
  <c r="F18" i="12"/>
  <c r="F11" i="12"/>
  <c r="F12" i="12"/>
  <c r="F13" i="12"/>
  <c r="C16" i="12"/>
  <c r="C17" i="12"/>
  <c r="C18" i="12"/>
  <c r="D16" i="12"/>
  <c r="D17" i="12"/>
  <c r="D18" i="12"/>
  <c r="D11" i="12"/>
  <c r="D12" i="12"/>
  <c r="D13" i="12"/>
  <c r="C11" i="12"/>
  <c r="C12" i="12"/>
  <c r="C13" i="12"/>
  <c r="A16" i="12"/>
  <c r="A17" i="12"/>
  <c r="A18" i="12"/>
  <c r="A11" i="12"/>
  <c r="A12" i="12"/>
  <c r="A13" i="12"/>
  <c r="H15" i="12"/>
  <c r="G15" i="12"/>
  <c r="F15" i="12"/>
  <c r="D15" i="12"/>
  <c r="C15" i="12"/>
  <c r="A15" i="12"/>
  <c r="H10" i="12"/>
  <c r="G10" i="12"/>
  <c r="F10" i="12"/>
  <c r="D10" i="12"/>
  <c r="C10" i="12"/>
  <c r="A10" i="12"/>
  <c r="H8" i="12"/>
  <c r="G8" i="12"/>
  <c r="F8" i="12"/>
  <c r="D8" i="12"/>
  <c r="C8" i="12"/>
  <c r="A8" i="12"/>
  <c r="H7" i="12"/>
  <c r="G7" i="12"/>
  <c r="F7" i="12"/>
  <c r="D7" i="12"/>
  <c r="C7" i="12"/>
  <c r="A7" i="12"/>
  <c r="H6" i="12"/>
  <c r="G6" i="12"/>
  <c r="F6" i="12"/>
  <c r="D6" i="12"/>
  <c r="C6" i="12"/>
  <c r="A6" i="12"/>
  <c r="H5" i="12"/>
  <c r="G5" i="12"/>
  <c r="F5" i="12"/>
  <c r="D5" i="12"/>
  <c r="C5" i="12"/>
  <c r="A5" i="12"/>
  <c r="H16" i="11"/>
  <c r="H17" i="11"/>
  <c r="H18" i="11"/>
  <c r="H11" i="11"/>
  <c r="H12" i="11"/>
  <c r="H13" i="11"/>
  <c r="G11" i="11"/>
  <c r="G12" i="11"/>
  <c r="G13" i="11"/>
  <c r="G16" i="11"/>
  <c r="G17" i="11"/>
  <c r="G18" i="11"/>
  <c r="F16" i="11"/>
  <c r="F17" i="11"/>
  <c r="F18" i="11"/>
  <c r="F11" i="11"/>
  <c r="F12" i="11"/>
  <c r="F13" i="11"/>
  <c r="H6" i="11"/>
  <c r="H7" i="11"/>
  <c r="H8" i="11"/>
  <c r="G6" i="11"/>
  <c r="G7" i="11"/>
  <c r="G8" i="11"/>
  <c r="F6" i="11"/>
  <c r="F7" i="11"/>
  <c r="F8" i="11"/>
  <c r="D6" i="11"/>
  <c r="D7" i="11"/>
  <c r="D8" i="11"/>
  <c r="D11" i="11"/>
  <c r="D12" i="11"/>
  <c r="D13" i="11"/>
  <c r="D16" i="11"/>
  <c r="D17" i="11"/>
  <c r="D18" i="11"/>
  <c r="C16" i="11"/>
  <c r="C17" i="11"/>
  <c r="C18" i="11"/>
  <c r="C11" i="11"/>
  <c r="C12" i="11"/>
  <c r="C13" i="11"/>
  <c r="C6" i="11"/>
  <c r="C7" i="11"/>
  <c r="C8" i="11"/>
  <c r="A16" i="11"/>
  <c r="A17" i="11"/>
  <c r="A18" i="11"/>
  <c r="A11" i="11"/>
  <c r="A12" i="11"/>
  <c r="A13" i="11"/>
  <c r="A6" i="11"/>
  <c r="A7" i="11"/>
  <c r="A8" i="11"/>
  <c r="H15" i="11"/>
  <c r="G15" i="11"/>
  <c r="F15" i="11"/>
  <c r="D15" i="11"/>
  <c r="C15" i="11"/>
  <c r="A15" i="11"/>
  <c r="H10" i="11"/>
  <c r="G10" i="11"/>
  <c r="F10" i="11"/>
  <c r="D10" i="11"/>
  <c r="C10" i="11"/>
  <c r="A10" i="11"/>
  <c r="H5" i="11"/>
  <c r="G5" i="11"/>
  <c r="F5" i="11"/>
  <c r="D5" i="11"/>
  <c r="C5" i="11"/>
  <c r="A5" i="11"/>
  <c r="H16" i="10"/>
  <c r="H17" i="10"/>
  <c r="H18" i="10"/>
  <c r="G16" i="10"/>
  <c r="G17" i="10"/>
  <c r="G18" i="10"/>
  <c r="F16" i="10"/>
  <c r="F17" i="10"/>
  <c r="F18" i="10"/>
  <c r="D16" i="10"/>
  <c r="D17" i="10"/>
  <c r="D18" i="10"/>
  <c r="C16" i="10"/>
  <c r="C17" i="10"/>
  <c r="C18" i="10"/>
  <c r="A16" i="10"/>
  <c r="A17" i="10"/>
  <c r="A18" i="10"/>
  <c r="H11" i="10"/>
  <c r="H12" i="10"/>
  <c r="H13" i="10"/>
  <c r="G11" i="10"/>
  <c r="G12" i="10"/>
  <c r="G13" i="10"/>
  <c r="F11" i="10"/>
  <c r="F12" i="10"/>
  <c r="F13" i="10"/>
  <c r="D11" i="10"/>
  <c r="D12" i="10"/>
  <c r="D13" i="10"/>
  <c r="C11" i="10"/>
  <c r="C12" i="10"/>
  <c r="C13" i="10"/>
  <c r="A11" i="10"/>
  <c r="A12" i="10"/>
  <c r="A13" i="10"/>
  <c r="H6" i="10"/>
  <c r="H7" i="10"/>
  <c r="H8" i="10"/>
  <c r="G6" i="10"/>
  <c r="G7" i="10"/>
  <c r="G8" i="10"/>
  <c r="F6" i="10"/>
  <c r="F7" i="10"/>
  <c r="F8" i="10"/>
  <c r="D6" i="10"/>
  <c r="D7" i="10"/>
  <c r="D8" i="10"/>
  <c r="C6" i="10"/>
  <c r="C7" i="10"/>
  <c r="C8" i="10"/>
  <c r="A6" i="10"/>
  <c r="A7" i="10"/>
  <c r="A8" i="10"/>
  <c r="H15" i="10"/>
  <c r="G15" i="10"/>
  <c r="F15" i="10"/>
  <c r="D15" i="10"/>
  <c r="C15" i="10"/>
  <c r="A15" i="10"/>
  <c r="H10" i="10"/>
  <c r="G10" i="10"/>
  <c r="F10" i="10"/>
  <c r="D10" i="10"/>
  <c r="C10" i="10"/>
  <c r="A10" i="10"/>
  <c r="H5" i="10"/>
  <c r="G5" i="10"/>
  <c r="F5" i="10"/>
  <c r="D5" i="10"/>
  <c r="C5" i="10"/>
  <c r="A5" i="10"/>
  <c r="H16" i="9"/>
  <c r="H17" i="9"/>
  <c r="H18" i="9"/>
  <c r="G16" i="9"/>
  <c r="G17" i="9"/>
  <c r="G18" i="9"/>
  <c r="F16" i="9"/>
  <c r="F17" i="9"/>
  <c r="F18" i="9"/>
  <c r="D16" i="9"/>
  <c r="D17" i="9"/>
  <c r="D18" i="9"/>
  <c r="C16" i="9"/>
  <c r="C17" i="9"/>
  <c r="C18" i="9"/>
  <c r="A16" i="9"/>
  <c r="A17" i="9"/>
  <c r="A18" i="9"/>
  <c r="H11" i="9"/>
  <c r="H12" i="9"/>
  <c r="H13" i="9"/>
  <c r="G11" i="9"/>
  <c r="G12" i="9"/>
  <c r="G13" i="9"/>
  <c r="F11" i="9"/>
  <c r="F12" i="9"/>
  <c r="F13" i="9"/>
  <c r="D11" i="9"/>
  <c r="D12" i="9"/>
  <c r="D13" i="9"/>
  <c r="C11" i="9"/>
  <c r="C12" i="9"/>
  <c r="C13" i="9"/>
  <c r="A11" i="9"/>
  <c r="A12" i="9"/>
  <c r="A13" i="9"/>
  <c r="H6" i="9"/>
  <c r="H7" i="9"/>
  <c r="H8" i="9"/>
  <c r="G6" i="9"/>
  <c r="G7" i="9"/>
  <c r="G8" i="9"/>
  <c r="F6" i="9"/>
  <c r="F7" i="9"/>
  <c r="F8" i="9"/>
  <c r="D6" i="9"/>
  <c r="D7" i="9"/>
  <c r="D8" i="9"/>
  <c r="C6" i="9"/>
  <c r="C7" i="9"/>
  <c r="C8" i="9"/>
  <c r="A6" i="9"/>
  <c r="A7" i="9"/>
  <c r="A8" i="9"/>
  <c r="H15" i="9"/>
  <c r="G15" i="9"/>
  <c r="F15" i="9"/>
  <c r="D15" i="9"/>
  <c r="C15" i="9"/>
  <c r="A15" i="9"/>
  <c r="H10" i="9"/>
  <c r="G10" i="9"/>
  <c r="F10" i="9"/>
  <c r="D10" i="9"/>
  <c r="C10" i="9"/>
  <c r="A10" i="9"/>
  <c r="H5" i="9"/>
  <c r="G5" i="9"/>
  <c r="F5" i="9"/>
  <c r="D5" i="9"/>
  <c r="C5" i="9"/>
  <c r="A5" i="9"/>
  <c r="H16" i="8"/>
  <c r="H17" i="8"/>
  <c r="H18" i="8"/>
  <c r="G16" i="8"/>
  <c r="G17" i="8"/>
  <c r="G18" i="8"/>
  <c r="G15" i="8"/>
  <c r="F16" i="8"/>
  <c r="F17" i="8"/>
  <c r="F18" i="8"/>
  <c r="D16" i="8"/>
  <c r="D17" i="8"/>
  <c r="D18" i="8"/>
  <c r="C16" i="8"/>
  <c r="C17" i="8"/>
  <c r="C18" i="8"/>
  <c r="A16" i="8"/>
  <c r="A17" i="8"/>
  <c r="A18" i="8"/>
  <c r="H11" i="8"/>
  <c r="H12" i="8"/>
  <c r="H13" i="8"/>
  <c r="G11" i="8"/>
  <c r="G12" i="8"/>
  <c r="G13" i="8"/>
  <c r="F11" i="8"/>
  <c r="F12" i="8"/>
  <c r="F13" i="8"/>
  <c r="D11" i="8"/>
  <c r="D12" i="8"/>
  <c r="D13" i="8"/>
  <c r="C11" i="8"/>
  <c r="C12" i="8"/>
  <c r="C13" i="8"/>
  <c r="A11" i="8"/>
  <c r="A12" i="8"/>
  <c r="A13" i="8"/>
  <c r="H6" i="8"/>
  <c r="H7" i="8"/>
  <c r="H8" i="8"/>
  <c r="G6" i="8"/>
  <c r="G7" i="8"/>
  <c r="G8" i="8"/>
  <c r="F6" i="8"/>
  <c r="F7" i="8"/>
  <c r="F8" i="8"/>
  <c r="D6" i="8"/>
  <c r="D7" i="8"/>
  <c r="D8" i="8"/>
  <c r="C6" i="8"/>
  <c r="C7" i="8"/>
  <c r="C8" i="8"/>
  <c r="A6" i="8"/>
  <c r="A7" i="8"/>
  <c r="A8" i="8"/>
  <c r="H15" i="8"/>
  <c r="F15" i="8"/>
  <c r="D15" i="8"/>
  <c r="C15" i="8"/>
  <c r="A15" i="8"/>
  <c r="H10" i="8"/>
  <c r="G10" i="8"/>
  <c r="F10" i="8"/>
  <c r="D10" i="8"/>
  <c r="C10" i="8"/>
  <c r="A10" i="8"/>
  <c r="H5" i="8"/>
  <c r="G5" i="8"/>
  <c r="F5" i="8"/>
  <c r="D5" i="8"/>
  <c r="C5" i="8"/>
  <c r="A5" i="8"/>
  <c r="H21" i="7" l="1"/>
  <c r="H22" i="7"/>
  <c r="H23" i="7"/>
  <c r="H16" i="7"/>
  <c r="H17" i="7"/>
  <c r="H18" i="7"/>
  <c r="H6" i="7"/>
  <c r="H7" i="7"/>
  <c r="H8" i="7"/>
  <c r="G21" i="7"/>
  <c r="G22" i="7"/>
  <c r="G23" i="7"/>
  <c r="G16" i="7"/>
  <c r="G17" i="7"/>
  <c r="G18" i="7"/>
  <c r="G6" i="7"/>
  <c r="G7" i="7"/>
  <c r="G8" i="7"/>
  <c r="F6" i="7"/>
  <c r="F7" i="7"/>
  <c r="F8" i="7"/>
  <c r="D21" i="7"/>
  <c r="D22" i="7"/>
  <c r="D23" i="7"/>
  <c r="D16" i="7"/>
  <c r="D17" i="7"/>
  <c r="D18" i="7"/>
  <c r="D6" i="7"/>
  <c r="D7" i="7"/>
  <c r="D8" i="7"/>
  <c r="C21" i="7"/>
  <c r="C22" i="7"/>
  <c r="C23" i="7"/>
  <c r="C16" i="7"/>
  <c r="C17" i="7"/>
  <c r="C18" i="7"/>
  <c r="C6" i="7"/>
  <c r="C7" i="7"/>
  <c r="C8" i="7"/>
  <c r="A21" i="7"/>
  <c r="A22" i="7"/>
  <c r="A23" i="7"/>
  <c r="A16" i="7"/>
  <c r="A17" i="7"/>
  <c r="A18" i="7"/>
  <c r="A6" i="7"/>
  <c r="A7" i="7"/>
  <c r="A8" i="7"/>
  <c r="H20" i="7"/>
  <c r="G20" i="7"/>
  <c r="D20" i="7"/>
  <c r="C20" i="7"/>
  <c r="A20" i="7"/>
  <c r="H15" i="7"/>
  <c r="G15" i="7"/>
  <c r="D15" i="7"/>
  <c r="C15" i="7"/>
  <c r="A15" i="7"/>
  <c r="H5" i="7"/>
  <c r="G5" i="7"/>
  <c r="F5" i="7"/>
  <c r="D5" i="7"/>
  <c r="C5" i="7"/>
  <c r="A5" i="7"/>
  <c r="H6" i="4" l="1"/>
  <c r="H7" i="4"/>
  <c r="H8" i="4"/>
  <c r="G6" i="4"/>
  <c r="G7" i="4"/>
  <c r="G8" i="4"/>
  <c r="F6" i="4"/>
  <c r="F7" i="4"/>
  <c r="F8" i="4"/>
  <c r="D6" i="4"/>
  <c r="D7" i="4"/>
  <c r="D8" i="4"/>
  <c r="C6" i="4"/>
  <c r="C7" i="4"/>
  <c r="C8" i="4"/>
  <c r="A6" i="4"/>
  <c r="A7" i="4"/>
  <c r="A8" i="4"/>
  <c r="H5" i="4"/>
  <c r="G5" i="4"/>
  <c r="F5" i="4"/>
  <c r="D5" i="4"/>
  <c r="C5" i="4"/>
  <c r="A5" i="4"/>
  <c r="H11" i="6"/>
  <c r="H12" i="6"/>
  <c r="H13" i="6"/>
  <c r="G11" i="6"/>
  <c r="G12" i="6"/>
  <c r="G13" i="6"/>
  <c r="F11" i="6"/>
  <c r="F12" i="6"/>
  <c r="F13" i="6"/>
  <c r="D11" i="6"/>
  <c r="D12" i="6"/>
  <c r="D13" i="6"/>
  <c r="C11" i="6"/>
  <c r="C12" i="6"/>
  <c r="C13" i="6"/>
  <c r="A11" i="6"/>
  <c r="A12" i="6"/>
  <c r="A13" i="6"/>
  <c r="H6" i="6"/>
  <c r="H7" i="6"/>
  <c r="H8" i="6"/>
  <c r="G6" i="6"/>
  <c r="G7" i="6"/>
  <c r="G8" i="6"/>
  <c r="F6" i="6"/>
  <c r="F7" i="6"/>
  <c r="F8" i="6"/>
  <c r="D6" i="6"/>
  <c r="D7" i="6"/>
  <c r="D8" i="6"/>
  <c r="C6" i="6"/>
  <c r="C7" i="6"/>
  <c r="C8" i="6"/>
  <c r="A6" i="6"/>
  <c r="A7" i="6"/>
  <c r="A8" i="6"/>
  <c r="H10" i="6"/>
  <c r="G10" i="6"/>
  <c r="F10" i="6"/>
  <c r="D10" i="6"/>
  <c r="C10" i="6"/>
  <c r="A10" i="6"/>
  <c r="H5" i="6"/>
  <c r="G5" i="6"/>
  <c r="F5" i="6"/>
  <c r="D5" i="6"/>
  <c r="C5" i="6"/>
  <c r="A5" i="6"/>
  <c r="F19" i="6"/>
  <c r="F20" i="6"/>
  <c r="F21" i="6"/>
  <c r="G19" i="6"/>
  <c r="G20" i="6"/>
  <c r="G21" i="6"/>
  <c r="H19" i="6"/>
  <c r="H20" i="6"/>
  <c r="H21" i="6"/>
  <c r="H18" i="6"/>
  <c r="G18" i="6"/>
  <c r="F18" i="6"/>
  <c r="D19" i="6"/>
  <c r="D20" i="6"/>
  <c r="D21" i="6"/>
  <c r="D18" i="6"/>
  <c r="A19" i="6"/>
  <c r="A20" i="6"/>
  <c r="A21" i="6"/>
  <c r="A18" i="6"/>
  <c r="H6" i="16"/>
  <c r="H7" i="16"/>
  <c r="H8" i="16"/>
  <c r="G6" i="16"/>
  <c r="G7" i="16"/>
  <c r="G8" i="16"/>
  <c r="F6" i="16"/>
  <c r="F7" i="16"/>
  <c r="F8" i="16"/>
  <c r="D6" i="16"/>
  <c r="D7" i="16"/>
  <c r="D8" i="16"/>
  <c r="C6" i="16"/>
  <c r="C7" i="16"/>
  <c r="C8" i="16"/>
  <c r="C11" i="16"/>
  <c r="C12" i="16"/>
  <c r="C13" i="16"/>
  <c r="C14" i="16"/>
  <c r="A6" i="16"/>
  <c r="A7" i="16"/>
  <c r="A8" i="16"/>
  <c r="D5" i="16"/>
  <c r="C5" i="16"/>
  <c r="A5" i="16"/>
  <c r="H12" i="16"/>
  <c r="H13" i="16"/>
  <c r="H14" i="16"/>
  <c r="G12" i="16"/>
  <c r="G13" i="16"/>
  <c r="G14" i="16"/>
  <c r="F12" i="16"/>
  <c r="F13" i="16"/>
  <c r="F14" i="16"/>
  <c r="D12" i="16"/>
  <c r="D13" i="16"/>
  <c r="D14" i="16"/>
  <c r="A12" i="16"/>
  <c r="A13" i="16"/>
  <c r="A14" i="16"/>
  <c r="H11" i="16"/>
  <c r="G11" i="16"/>
  <c r="F11" i="16"/>
  <c r="D11" i="16"/>
  <c r="A11" i="16"/>
  <c r="H5" i="16"/>
  <c r="G5" i="16"/>
  <c r="F5" i="16"/>
  <c r="D21" i="28" l="1"/>
  <c r="D22" i="28"/>
  <c r="D23" i="28"/>
  <c r="C21" i="28"/>
  <c r="C22" i="28"/>
  <c r="C23" i="28"/>
  <c r="A21" i="28"/>
  <c r="A22" i="28"/>
  <c r="A23" i="28"/>
  <c r="C27" i="28" l="1"/>
  <c r="C28" i="28"/>
  <c r="C29" i="28"/>
  <c r="D27" i="28"/>
  <c r="D28" i="28"/>
  <c r="D29" i="28"/>
  <c r="F27" i="28"/>
  <c r="F28" i="28"/>
  <c r="F29" i="28"/>
  <c r="G27" i="28"/>
  <c r="G28" i="28"/>
  <c r="G29" i="28"/>
  <c r="H27" i="28"/>
  <c r="H28" i="28"/>
  <c r="H29" i="28"/>
  <c r="H26" i="28"/>
  <c r="G26" i="28"/>
  <c r="F26" i="28"/>
  <c r="D26" i="28"/>
  <c r="C26" i="28"/>
  <c r="A27" i="28"/>
  <c r="A28" i="28"/>
  <c r="A29" i="28"/>
  <c r="A26" i="28"/>
  <c r="H21" i="28"/>
  <c r="H22" i="28"/>
  <c r="H23" i="28"/>
  <c r="G21" i="28"/>
  <c r="G22" i="28"/>
  <c r="G23" i="28"/>
  <c r="F21" i="28"/>
  <c r="F22" i="28"/>
  <c r="F23" i="28"/>
  <c r="H20" i="28"/>
  <c r="G20" i="28"/>
  <c r="F20" i="28"/>
  <c r="D20" i="28"/>
  <c r="C20" i="28"/>
  <c r="A20" i="28"/>
  <c r="H16" i="28"/>
  <c r="H17" i="28"/>
  <c r="H18" i="28"/>
  <c r="G16" i="28"/>
  <c r="G17" i="28"/>
  <c r="G18" i="28"/>
  <c r="F16" i="28"/>
  <c r="F17" i="28"/>
  <c r="F18" i="28"/>
  <c r="D16" i="28"/>
  <c r="D17" i="28"/>
  <c r="D18" i="28"/>
  <c r="C16" i="28"/>
  <c r="C17" i="28"/>
  <c r="C18" i="28"/>
  <c r="A16" i="28"/>
  <c r="A17" i="28"/>
  <c r="A18" i="28"/>
  <c r="H15" i="28"/>
  <c r="G15" i="28"/>
  <c r="F15" i="28"/>
  <c r="D15" i="28"/>
  <c r="C15" i="28"/>
  <c r="A15" i="28"/>
  <c r="H29" i="27"/>
  <c r="H30" i="27"/>
  <c r="H31" i="27"/>
  <c r="G29" i="27"/>
  <c r="G30" i="27"/>
  <c r="G31" i="27"/>
  <c r="F29" i="27"/>
  <c r="F30" i="27"/>
  <c r="F31" i="27"/>
  <c r="H28" i="27"/>
  <c r="G28" i="27"/>
  <c r="F28" i="27"/>
  <c r="A29" i="27"/>
  <c r="A30" i="27"/>
  <c r="A31" i="27"/>
  <c r="D29" i="27"/>
  <c r="D30" i="27"/>
  <c r="D31" i="27"/>
  <c r="D28" i="27"/>
  <c r="A28" i="27"/>
  <c r="H19" i="27"/>
  <c r="H20" i="27"/>
  <c r="H21" i="27"/>
  <c r="H18" i="27"/>
  <c r="G19" i="27"/>
  <c r="G20" i="27"/>
  <c r="G21" i="27"/>
  <c r="G18" i="27"/>
  <c r="F19" i="27"/>
  <c r="F20" i="27"/>
  <c r="F21" i="27"/>
  <c r="F18" i="27"/>
  <c r="D19" i="27"/>
  <c r="D20" i="27"/>
  <c r="D21" i="27"/>
  <c r="D18" i="27"/>
  <c r="A19" i="27"/>
  <c r="A20" i="27"/>
  <c r="A21" i="27"/>
  <c r="A18" i="27"/>
  <c r="H11" i="28"/>
  <c r="H12" i="28"/>
  <c r="H13" i="28"/>
  <c r="G11" i="28"/>
  <c r="G12" i="28"/>
  <c r="G13" i="28"/>
  <c r="F11" i="28"/>
  <c r="F12" i="28"/>
  <c r="F13" i="28"/>
  <c r="D11" i="28"/>
  <c r="D12" i="28"/>
  <c r="D13" i="28"/>
  <c r="C11" i="28"/>
  <c r="C12" i="28"/>
  <c r="C13" i="28"/>
  <c r="A11" i="28"/>
  <c r="A12" i="28"/>
  <c r="A13" i="28"/>
  <c r="H10" i="28"/>
  <c r="G10" i="28"/>
  <c r="F10" i="28"/>
  <c r="D10" i="28"/>
  <c r="C10" i="28"/>
  <c r="A10" i="28"/>
  <c r="H6" i="28"/>
  <c r="H7" i="28"/>
  <c r="H8" i="28"/>
  <c r="G6" i="28"/>
  <c r="G7" i="28"/>
  <c r="G8" i="28"/>
  <c r="F6" i="28"/>
  <c r="F7" i="28"/>
  <c r="F8" i="28"/>
  <c r="D6" i="28"/>
  <c r="D7" i="28"/>
  <c r="D8" i="28"/>
  <c r="C6" i="28"/>
  <c r="C7" i="28"/>
  <c r="C8" i="28"/>
  <c r="A6" i="28"/>
  <c r="A7" i="28"/>
  <c r="A8" i="28"/>
  <c r="H5" i="28"/>
  <c r="G5" i="28"/>
  <c r="F5" i="28"/>
  <c r="D5" i="28"/>
  <c r="C5" i="28"/>
  <c r="A5" i="28"/>
  <c r="H11" i="27" l="1"/>
  <c r="H12" i="27"/>
  <c r="H13" i="27"/>
  <c r="G11" i="27"/>
  <c r="G12" i="27"/>
  <c r="G13" i="27"/>
  <c r="F11" i="27"/>
  <c r="F12" i="27"/>
  <c r="F13" i="27"/>
  <c r="D11" i="27"/>
  <c r="D12" i="27"/>
  <c r="D13" i="27"/>
  <c r="D10" i="27"/>
  <c r="C11" i="27"/>
  <c r="C12" i="27"/>
  <c r="C13" i="27"/>
  <c r="H10" i="27"/>
  <c r="G10" i="27"/>
  <c r="F10" i="27"/>
  <c r="C10" i="27"/>
  <c r="A11" i="27"/>
  <c r="A12" i="27"/>
  <c r="A13" i="27"/>
  <c r="A10" i="27"/>
  <c r="H6" i="27"/>
  <c r="H7" i="27"/>
  <c r="H8" i="27"/>
  <c r="H5" i="27"/>
  <c r="G6" i="27"/>
  <c r="G7" i="27"/>
  <c r="G8" i="27"/>
  <c r="G5" i="27"/>
  <c r="F6" i="27"/>
  <c r="F7" i="27"/>
  <c r="F8" i="27"/>
  <c r="F5" i="27"/>
  <c r="D6" i="27"/>
  <c r="D7" i="27"/>
  <c r="D8" i="27"/>
  <c r="D5" i="27"/>
  <c r="C6" i="27"/>
  <c r="C7" i="27"/>
  <c r="C8" i="27"/>
  <c r="C5" i="27"/>
  <c r="A6" i="27"/>
  <c r="A7" i="27"/>
  <c r="A8" i="27"/>
  <c r="A5" i="27"/>
  <c r="H16" i="5"/>
  <c r="H17" i="5"/>
  <c r="H18" i="5"/>
  <c r="G16" i="5"/>
  <c r="G17" i="5"/>
  <c r="G18" i="5"/>
  <c r="F16" i="5"/>
  <c r="F17" i="5"/>
  <c r="F18" i="5"/>
  <c r="D16" i="5"/>
  <c r="D17" i="5"/>
  <c r="D18" i="5"/>
  <c r="C16" i="5"/>
  <c r="C17" i="5"/>
  <c r="C18" i="5"/>
  <c r="A16" i="5"/>
  <c r="A17" i="5"/>
  <c r="A18" i="5"/>
  <c r="H15" i="5"/>
  <c r="G15" i="5"/>
  <c r="F15" i="5"/>
  <c r="D15" i="5"/>
  <c r="C15" i="5"/>
  <c r="A15" i="5"/>
  <c r="H11" i="5"/>
  <c r="H12" i="5"/>
  <c r="H13" i="5"/>
  <c r="H10" i="5"/>
  <c r="G11" i="5"/>
  <c r="G12" i="5"/>
  <c r="G13" i="5"/>
  <c r="G10" i="5"/>
  <c r="F11" i="5"/>
  <c r="F12" i="5"/>
  <c r="F13" i="5"/>
  <c r="F10" i="5"/>
  <c r="D11" i="5"/>
  <c r="D12" i="5"/>
  <c r="D13" i="5"/>
  <c r="D10" i="5"/>
  <c r="C11" i="5"/>
  <c r="C12" i="5"/>
  <c r="C13" i="5"/>
  <c r="C10" i="5"/>
  <c r="A11" i="5"/>
  <c r="A12" i="5"/>
  <c r="A13" i="5"/>
  <c r="A10" i="5"/>
  <c r="H34" i="5" l="1"/>
  <c r="G34" i="5"/>
  <c r="F34" i="5"/>
  <c r="D34" i="5"/>
  <c r="A34" i="5"/>
  <c r="H33" i="5"/>
  <c r="G33" i="5"/>
  <c r="F33" i="5"/>
  <c r="D33" i="5"/>
  <c r="A33" i="5"/>
  <c r="H32" i="5"/>
  <c r="G32" i="5"/>
  <c r="F32" i="5"/>
  <c r="D32" i="5"/>
  <c r="A32" i="5"/>
  <c r="H31" i="5"/>
  <c r="G31" i="5"/>
  <c r="F31" i="5"/>
  <c r="D31" i="5"/>
  <c r="A31" i="5"/>
  <c r="H26" i="5"/>
  <c r="G26" i="5"/>
  <c r="F26" i="5"/>
  <c r="D26" i="5"/>
  <c r="A26" i="5"/>
  <c r="H25" i="5"/>
  <c r="G25" i="5"/>
  <c r="F25" i="5"/>
  <c r="D25" i="5"/>
  <c r="A25" i="5"/>
  <c r="H24" i="5"/>
  <c r="G24" i="5"/>
  <c r="F24" i="5"/>
  <c r="D24" i="5"/>
  <c r="A24" i="5"/>
  <c r="H23" i="5"/>
  <c r="G23" i="5"/>
  <c r="F23" i="5"/>
  <c r="D23" i="5"/>
  <c r="A23" i="5"/>
  <c r="H8" i="5"/>
  <c r="G8" i="5"/>
  <c r="F8" i="5"/>
  <c r="D8" i="5"/>
  <c r="C8" i="5"/>
  <c r="A8" i="5"/>
  <c r="H7" i="5"/>
  <c r="G7" i="5"/>
  <c r="F7" i="5"/>
  <c r="D7" i="5"/>
  <c r="C7" i="5"/>
  <c r="A7" i="5"/>
  <c r="H6" i="5"/>
  <c r="G6" i="5"/>
  <c r="F6" i="5"/>
  <c r="D6" i="5"/>
  <c r="C6" i="5"/>
  <c r="A6" i="5"/>
  <c r="H5" i="5"/>
  <c r="G5" i="5"/>
  <c r="F5" i="5"/>
  <c r="D5" i="5"/>
  <c r="C5" i="5"/>
  <c r="A5" i="5"/>
  <c r="H6" i="3"/>
  <c r="H7" i="3"/>
  <c r="H8" i="3"/>
  <c r="H5" i="3"/>
  <c r="G6" i="3"/>
  <c r="G7" i="3"/>
  <c r="G8" i="3"/>
  <c r="G5" i="3"/>
  <c r="F6" i="3"/>
  <c r="F7" i="3"/>
  <c r="F8" i="3"/>
  <c r="F5" i="3"/>
  <c r="D6" i="3"/>
  <c r="D7" i="3"/>
  <c r="D8" i="3"/>
  <c r="D5" i="3"/>
  <c r="C6" i="3"/>
  <c r="C7" i="3"/>
  <c r="C8" i="3"/>
  <c r="C5" i="3"/>
  <c r="A6" i="3"/>
  <c r="A7" i="3"/>
  <c r="A8" i="3"/>
  <c r="A5" i="3"/>
  <c r="H18" i="3"/>
  <c r="G18" i="3"/>
  <c r="F18" i="3"/>
  <c r="D18" i="3"/>
  <c r="A18" i="3"/>
  <c r="H22" i="2"/>
  <c r="H23" i="2"/>
  <c r="H24" i="2"/>
  <c r="H21" i="2"/>
  <c r="G22" i="2"/>
  <c r="G23" i="2"/>
  <c r="G24" i="2"/>
  <c r="G21" i="2"/>
  <c r="F22" i="2"/>
  <c r="F23" i="2"/>
  <c r="F24" i="2"/>
  <c r="F21" i="2"/>
  <c r="D22" i="2" l="1"/>
  <c r="D23" i="2"/>
  <c r="D24" i="2"/>
  <c r="D21" i="2"/>
  <c r="A22" i="2"/>
  <c r="A23" i="2"/>
  <c r="A24" i="2"/>
  <c r="H14" i="2"/>
  <c r="H15" i="2"/>
  <c r="H16" i="2"/>
  <c r="H13" i="2"/>
  <c r="G14" i="2"/>
  <c r="G15" i="2"/>
  <c r="G16" i="2"/>
  <c r="G13" i="2"/>
  <c r="F14" i="2"/>
  <c r="F15" i="2"/>
  <c r="F16" i="2"/>
  <c r="F13" i="2"/>
  <c r="D14" i="2"/>
  <c r="D15" i="2"/>
  <c r="D16" i="2"/>
  <c r="D13" i="2"/>
  <c r="A14" i="2"/>
  <c r="A15" i="2"/>
  <c r="A16" i="2"/>
  <c r="A13" i="2"/>
  <c r="H6" i="2"/>
  <c r="H7" i="2"/>
  <c r="H8" i="2"/>
  <c r="H5" i="2"/>
  <c r="G6" i="2"/>
  <c r="G7" i="2"/>
  <c r="G8" i="2"/>
  <c r="G5" i="2"/>
  <c r="F6" i="2"/>
  <c r="F7" i="2"/>
  <c r="F8" i="2"/>
  <c r="F5" i="2"/>
  <c r="D6" i="2"/>
  <c r="D7" i="2"/>
  <c r="D8" i="2"/>
  <c r="D5" i="2"/>
  <c r="C6" i="2"/>
  <c r="C7" i="2"/>
  <c r="C8" i="2"/>
  <c r="C5" i="2"/>
  <c r="A6" i="2"/>
  <c r="A7" i="2"/>
  <c r="A8" i="2"/>
  <c r="A5" i="2"/>
</calcChain>
</file>

<file path=xl/sharedStrings.xml><?xml version="1.0" encoding="utf-8"?>
<sst xmlns="http://schemas.openxmlformats.org/spreadsheetml/2006/main" count="3630" uniqueCount="400">
  <si>
    <t>P/N</t>
  </si>
  <si>
    <t>Lotnr.</t>
  </si>
  <si>
    <t>Utgångsdatum</t>
  </si>
  <si>
    <t>Antal i lager</t>
  </si>
  <si>
    <t>Senast inventering</t>
  </si>
  <si>
    <t>SIGN</t>
  </si>
  <si>
    <t>Produkt</t>
  </si>
  <si>
    <t>Beskrivning</t>
  </si>
  <si>
    <t>Förvaringsplats</t>
  </si>
  <si>
    <t>001-1471</t>
  </si>
  <si>
    <t>JESP</t>
  </si>
  <si>
    <t>FLUVID</t>
  </si>
  <si>
    <t>SARS</t>
  </si>
  <si>
    <t>SARS plus</t>
  </si>
  <si>
    <t>FLU RSV</t>
  </si>
  <si>
    <t>Purified Serum Protein Matrix</t>
  </si>
  <si>
    <t>IPT kylskåp</t>
  </si>
  <si>
    <t>N/A</t>
  </si>
  <si>
    <t>001-1658</t>
  </si>
  <si>
    <t>MTB JP</t>
  </si>
  <si>
    <t>INTROL TBMDR1-04</t>
  </si>
  <si>
    <t>1 Låda</t>
  </si>
  <si>
    <t>001-1683</t>
  </si>
  <si>
    <t>ELS</t>
  </si>
  <si>
    <t>MTB</t>
  </si>
  <si>
    <t>MTB U</t>
  </si>
  <si>
    <t>INTROL TBWT-04</t>
  </si>
  <si>
    <t>001-1686</t>
  </si>
  <si>
    <t>CARBA</t>
  </si>
  <si>
    <t>Xpert CARBA-R High POS</t>
  </si>
  <si>
    <t>001-1687</t>
  </si>
  <si>
    <t>Xpert CARBA-R Low POS</t>
  </si>
  <si>
    <t>001-1688</t>
  </si>
  <si>
    <t>Xpert CARBA-R Negative</t>
  </si>
  <si>
    <t>001-1689</t>
  </si>
  <si>
    <t>HPV</t>
  </si>
  <si>
    <t>P/N 001-1689 PreservCyt Solution</t>
  </si>
  <si>
    <t>Labb</t>
  </si>
  <si>
    <t>001-1922</t>
  </si>
  <si>
    <t>INTROL TBMDR2-04</t>
  </si>
  <si>
    <t>001-1923</t>
  </si>
  <si>
    <t>INTROL TB1081MDR2</t>
  </si>
  <si>
    <t>500-0905</t>
  </si>
  <si>
    <t>MRSA/SA</t>
  </si>
  <si>
    <t>MRSA JP</t>
  </si>
  <si>
    <t>MRSA 5.3e3 cells</t>
  </si>
  <si>
    <t>500-0952</t>
  </si>
  <si>
    <t>VAN AB</t>
  </si>
  <si>
    <t>P/N 500-0952 Buffer, TET (exp 6 mån) 500-0952 Samole buffer Van A/B</t>
  </si>
  <si>
    <t>500-0995</t>
  </si>
  <si>
    <t>MTB XDR</t>
  </si>
  <si>
    <t>P/N 500-0995 MTB TET Buffer (exp 6 mån) 500-0995, BUFFER, TET, 50_0.1_0.1</t>
  </si>
  <si>
    <t>500-1509</t>
  </si>
  <si>
    <t>VIRUS, CVA9, FINAL WORKING STOCK</t>
  </si>
  <si>
    <t>500-1514</t>
  </si>
  <si>
    <t>CTNG</t>
  </si>
  <si>
    <t>CTNG JP</t>
  </si>
  <si>
    <t>P/N 500-1514 Transport buffer (exp 6 mån) 500-1514, TRANSPORT BUFFER,SWAB,BULK,CT/NG</t>
  </si>
  <si>
    <t>500-1526</t>
  </si>
  <si>
    <t>10X Negative cells mix</t>
  </si>
  <si>
    <t>500-1529</t>
  </si>
  <si>
    <t>CDIFF</t>
  </si>
  <si>
    <t>CDIFF JP</t>
  </si>
  <si>
    <t>C.difficile cells</t>
  </si>
  <si>
    <t>500-1544</t>
  </si>
  <si>
    <t>10X Positive cells mix</t>
  </si>
  <si>
    <t>500-1712</t>
  </si>
  <si>
    <t>NORO</t>
  </si>
  <si>
    <t>HIV QA</t>
  </si>
  <si>
    <t>HIV QA XC</t>
  </si>
  <si>
    <t>P/N 500-1712 Lysis Reagent, Xpert Virus (exp 2 mån) 500-1712 LYSIS, REAGENT, XPERT,VIRUS</t>
  </si>
  <si>
    <t>500-1724</t>
  </si>
  <si>
    <t>FLU,A,H1N1,HIGH</t>
  </si>
  <si>
    <t>500-1725</t>
  </si>
  <si>
    <t>FLU,B, HIGH</t>
  </si>
  <si>
    <t>500-1739</t>
  </si>
  <si>
    <t>FLU,A,H1N1,LOW</t>
  </si>
  <si>
    <t>500-1740</t>
  </si>
  <si>
    <t>FLU,B, LOW</t>
  </si>
  <si>
    <t>500-1747</t>
  </si>
  <si>
    <t>vanA/vanB cells</t>
  </si>
  <si>
    <t>500-1879</t>
  </si>
  <si>
    <t>Positive control HIGH</t>
  </si>
  <si>
    <t>500-1880</t>
  </si>
  <si>
    <t>Positive control (PC) LOW</t>
  </si>
  <si>
    <t>500-1882</t>
  </si>
  <si>
    <t>Negative control (NTC) Rota virus</t>
  </si>
  <si>
    <t>500-1917</t>
  </si>
  <si>
    <t>MMQCI E.coli HPV POS</t>
  </si>
  <si>
    <t>500-1918</t>
  </si>
  <si>
    <t>MMQCI E.coli HPV NEG</t>
  </si>
  <si>
    <t>500-2288</t>
  </si>
  <si>
    <t>MRSA</t>
  </si>
  <si>
    <t>MRSA NXG</t>
  </si>
  <si>
    <t>P/N 500-2288 GX Lysis buffer (exp 3 mån) 500-2288, GX Lysis buffer</t>
  </si>
  <si>
    <t>500-2608</t>
  </si>
  <si>
    <t>P/N 500-2608 MTB SR (exp 4 mån) 500-2608, IPT BULK REAGENT, SAMPLE TREATMENT, MTB</t>
  </si>
  <si>
    <t>500-2616</t>
  </si>
  <si>
    <t>Human cells HPV NEG</t>
  </si>
  <si>
    <t>525-00017</t>
  </si>
  <si>
    <t>HIV VL</t>
  </si>
  <si>
    <t>HIV LOW positive control</t>
  </si>
  <si>
    <t>525-00018</t>
  </si>
  <si>
    <t>HIV HIGH positive control</t>
  </si>
  <si>
    <t>525-00021</t>
  </si>
  <si>
    <t>HIV Qual Low</t>
  </si>
  <si>
    <t>HIV Qual High</t>
  </si>
  <si>
    <t>525-00033</t>
  </si>
  <si>
    <t>HCV VL</t>
  </si>
  <si>
    <t>HIV VL XC</t>
  </si>
  <si>
    <t>HIV/HCV negative control</t>
  </si>
  <si>
    <t>525-00035</t>
  </si>
  <si>
    <t>525-00036</t>
  </si>
  <si>
    <t>HCV Quant high</t>
  </si>
  <si>
    <t>525-00038</t>
  </si>
  <si>
    <t>EBOLA</t>
  </si>
  <si>
    <t>GBS</t>
  </si>
  <si>
    <t>525-00065</t>
  </si>
  <si>
    <t>Ebola PC-Low</t>
  </si>
  <si>
    <t>525-00066</t>
  </si>
  <si>
    <t>Ebola PC-High</t>
  </si>
  <si>
    <t>525-00071</t>
  </si>
  <si>
    <t>HBV</t>
  </si>
  <si>
    <t>HBV PC High</t>
  </si>
  <si>
    <t>525-00072</t>
  </si>
  <si>
    <t>HBV PC Low</t>
  </si>
  <si>
    <t>525-00079</t>
  </si>
  <si>
    <t>ALQT,NATTROL,MRSA,HIGH</t>
  </si>
  <si>
    <t>525-00080</t>
  </si>
  <si>
    <t>ALQT,NATTROL,MRSA, LOW</t>
  </si>
  <si>
    <t>525-00081</t>
  </si>
  <si>
    <t>ALQT,NATTROL,MSSE</t>
  </si>
  <si>
    <t>525-00088</t>
  </si>
  <si>
    <t>STREPA</t>
  </si>
  <si>
    <t>ALQT, NATTROL, STREP A HIGH</t>
  </si>
  <si>
    <t>525-00089</t>
  </si>
  <si>
    <t>ALQT, NATTROL, STREP A LOW</t>
  </si>
  <si>
    <t>525-00090</t>
  </si>
  <si>
    <t>ALQT, NATTROL, NEG, STREP A</t>
  </si>
  <si>
    <t>525-00096</t>
  </si>
  <si>
    <t>FluA High control ALQT</t>
  </si>
  <si>
    <t>525-00097</t>
  </si>
  <si>
    <t>FluA Low control ALQT</t>
  </si>
  <si>
    <t>525-00098</t>
  </si>
  <si>
    <t>FluB High control ALQT</t>
  </si>
  <si>
    <t>525-00099</t>
  </si>
  <si>
    <t>FluB Low control ALQT</t>
  </si>
  <si>
    <t>525-00101</t>
  </si>
  <si>
    <t>RSVB High control ALQT</t>
  </si>
  <si>
    <t>525-00102</t>
  </si>
  <si>
    <t>RSVB Low control ALQT</t>
  </si>
  <si>
    <t>525-00103</t>
  </si>
  <si>
    <t>HCV FS</t>
  </si>
  <si>
    <t>FS HCV Low</t>
  </si>
  <si>
    <t>525-00104</t>
  </si>
  <si>
    <t>FS HCV High</t>
  </si>
  <si>
    <t>525-00113</t>
  </si>
  <si>
    <t>EDTA Human Whole Blood</t>
  </si>
  <si>
    <t>525-00114</t>
  </si>
  <si>
    <t>Serum “HBV NTC”</t>
  </si>
  <si>
    <t>525-00120</t>
  </si>
  <si>
    <t>HIV VL XC  LOW</t>
  </si>
  <si>
    <t>525-00131</t>
  </si>
  <si>
    <t>HIV VL XC HIGH</t>
  </si>
  <si>
    <t>525-00136</t>
  </si>
  <si>
    <t>GBS NAT-LAC</t>
  </si>
  <si>
    <t>525-00137</t>
  </si>
  <si>
    <t>GBS NATtrol LOW</t>
  </si>
  <si>
    <t>525-00145</t>
  </si>
  <si>
    <t>HIV QA XC PC LOW</t>
  </si>
  <si>
    <t>525-00163</t>
  </si>
  <si>
    <t>SARS-CoV Positive Control</t>
  </si>
  <si>
    <t>525-00169</t>
  </si>
  <si>
    <t>ALQT SARS-COV-2, NATTROL POSTIVE CTRL</t>
  </si>
  <si>
    <t>325-00056</t>
  </si>
  <si>
    <t>MTB/XDR WT Cells</t>
  </si>
  <si>
    <t>325-00057</t>
  </si>
  <si>
    <t>MTB/XDR Mutant Cells</t>
  </si>
  <si>
    <t>FLUVID plus</t>
  </si>
  <si>
    <t>Respiratory Panel</t>
  </si>
  <si>
    <t>FLU</t>
  </si>
  <si>
    <t>525-00193</t>
  </si>
  <si>
    <t>Respiratory Panel, Sample Mix 1</t>
  </si>
  <si>
    <t>525-00194</t>
  </si>
  <si>
    <t>Respiratory Panel, Sample Mix 2</t>
  </si>
  <si>
    <t>525-00195</t>
  </si>
  <si>
    <t>Respiratory Panel, Sample Mix 3</t>
  </si>
  <si>
    <t>525-00196</t>
  </si>
  <si>
    <t>Respiratory Panel, Sample Mix 4</t>
  </si>
  <si>
    <r>
      <t xml:space="preserve">CARBA </t>
    </r>
    <r>
      <rPr>
        <b/>
        <u/>
        <sz val="12"/>
        <color theme="1"/>
        <rFont val="Calibri"/>
        <family val="2"/>
        <scheme val="minor"/>
      </rPr>
      <t>700-6822</t>
    </r>
  </si>
  <si>
    <r>
      <t xml:space="preserve">MRSA NxG </t>
    </r>
    <r>
      <rPr>
        <b/>
        <u/>
        <sz val="12"/>
        <color theme="1"/>
        <rFont val="Calibri"/>
        <family val="2"/>
        <scheme val="minor"/>
      </rPr>
      <t>700-5280</t>
    </r>
  </si>
  <si>
    <r>
      <t xml:space="preserve">MRSA SA COMP </t>
    </r>
    <r>
      <rPr>
        <b/>
        <u/>
        <sz val="12"/>
        <color theme="1"/>
        <rFont val="Calibri"/>
        <family val="2"/>
        <scheme val="minor"/>
      </rPr>
      <t>700-5197</t>
    </r>
  </si>
  <si>
    <r>
      <t xml:space="preserve">MRSA SA </t>
    </r>
    <r>
      <rPr>
        <b/>
        <u/>
        <sz val="12"/>
        <color theme="1"/>
        <rFont val="Calibri"/>
        <family val="2"/>
        <scheme val="minor"/>
      </rPr>
      <t>700-5194</t>
    </r>
  </si>
  <si>
    <r>
      <t xml:space="preserve">NORO </t>
    </r>
    <r>
      <rPr>
        <b/>
        <u/>
        <sz val="12"/>
        <color theme="0"/>
        <rFont val="Calibri"/>
        <family val="2"/>
        <scheme val="minor"/>
      </rPr>
      <t>700-5666</t>
    </r>
  </si>
  <si>
    <r>
      <t xml:space="preserve">VAN A/B </t>
    </r>
    <r>
      <rPr>
        <b/>
        <u/>
        <sz val="12"/>
        <color theme="1"/>
        <rFont val="Calibri"/>
        <family val="2"/>
        <scheme val="minor"/>
      </rPr>
      <t>700-5662</t>
    </r>
  </si>
  <si>
    <t>Lot #</t>
  </si>
  <si>
    <t>EA</t>
  </si>
  <si>
    <r>
      <t xml:space="preserve">MRSA SA COMP </t>
    </r>
    <r>
      <rPr>
        <b/>
        <u/>
        <sz val="12"/>
        <color theme="1"/>
        <rFont val="Calibri"/>
        <family val="2"/>
        <scheme val="minor"/>
      </rPr>
      <t>700-6787</t>
    </r>
  </si>
  <si>
    <r>
      <t xml:space="preserve">MRSA SA </t>
    </r>
    <r>
      <rPr>
        <b/>
        <u/>
        <sz val="12"/>
        <color theme="1"/>
        <rFont val="Calibri"/>
        <family val="2"/>
        <scheme val="minor"/>
      </rPr>
      <t>700-5375</t>
    </r>
  </si>
  <si>
    <r>
      <t xml:space="preserve">C.diff </t>
    </r>
    <r>
      <rPr>
        <b/>
        <u/>
        <sz val="12"/>
        <rFont val="Calibri"/>
        <family val="2"/>
        <scheme val="minor"/>
      </rPr>
      <t>700-5667</t>
    </r>
  </si>
  <si>
    <r>
      <t xml:space="preserve">C.diff </t>
    </r>
    <r>
      <rPr>
        <b/>
        <u/>
        <sz val="12"/>
        <rFont val="Calibri"/>
        <family val="2"/>
        <scheme val="minor"/>
      </rPr>
      <t>700-5196</t>
    </r>
  </si>
  <si>
    <t>BULK Sample Reagent</t>
  </si>
  <si>
    <t>P/N 500-2608 MTB SR (exp 4 mån)
500-2608, IPT BULK REAGENT, SAMPLE TREATMENT, MTB</t>
  </si>
  <si>
    <t>P/N 500-0995 MTB TET Buffer (exp 6 mån)
500-0995, BUFFER, TET, 50_0.1_0.1</t>
  </si>
  <si>
    <t>Exp</t>
  </si>
  <si>
    <t>Volym, L</t>
  </si>
  <si>
    <t>P/N 500-0952 Buffer, TET (exp 6 mån)
500-0952 Samole buffer Van A/B</t>
  </si>
  <si>
    <t>vdao</t>
  </si>
  <si>
    <t>Artikel</t>
  </si>
  <si>
    <t>Lotnummer</t>
  </si>
  <si>
    <t>MTB ULTRA</t>
  </si>
  <si>
    <t>INTROL TBWT1-04</t>
  </si>
  <si>
    <t>MTB RIF</t>
  </si>
  <si>
    <t>FLUVID / FLUVID+</t>
  </si>
  <si>
    <t>CTNG | CTNG JP</t>
  </si>
  <si>
    <t>MTB - SR | 500-2608</t>
  </si>
  <si>
    <t>MTB - TET | 500-0995</t>
  </si>
  <si>
    <t>CTNG - SR | 500-1514</t>
  </si>
  <si>
    <t>C.DIFF | C.DIFF JP</t>
  </si>
  <si>
    <t>IPT -80°C</t>
  </si>
  <si>
    <t>HBV VL</t>
  </si>
  <si>
    <t>IPT -20°C</t>
  </si>
  <si>
    <t>HCV Quant low</t>
  </si>
  <si>
    <t>HCV VL FS</t>
  </si>
  <si>
    <t>PreservCyt | 001-1689</t>
  </si>
  <si>
    <t>Lysis Reagent Xpert Virus | 500-1712</t>
  </si>
  <si>
    <t>POS IPT kylskåp</t>
  </si>
  <si>
    <t>NEG IPT kylskåp</t>
  </si>
  <si>
    <t>POS IPT -80 frys</t>
  </si>
  <si>
    <t>NEG IPT -80 frys</t>
  </si>
  <si>
    <t>POS IPT -20 frys</t>
  </si>
  <si>
    <t>POS IPT KYL</t>
  </si>
  <si>
    <t>SR / TET / MATRIX</t>
  </si>
  <si>
    <t>NEG IPT -20 frys</t>
  </si>
  <si>
    <t>MRSA NxG</t>
  </si>
  <si>
    <t>GX Lysis buffer | 500-2288</t>
  </si>
  <si>
    <t>ALQT,NATTROL,
MSSE</t>
  </si>
  <si>
    <t>ALQT,NATTROL,
MRSA, LOW</t>
  </si>
  <si>
    <t>ALQT,NATTROL,
MRSA, HIGH</t>
  </si>
  <si>
    <t>Positive control (PC) High</t>
  </si>
  <si>
    <t>VAN A/B | 500-0952</t>
  </si>
  <si>
    <t>VAN A/B</t>
  </si>
  <si>
    <t>EDTA Human Whole 
Blood (NTC)</t>
  </si>
  <si>
    <t>EDTA Human Whole  Blood (NTC)</t>
  </si>
  <si>
    <t>NAT-LAC, aliquoted</t>
  </si>
  <si>
    <t>STREP A</t>
  </si>
  <si>
    <t>CARBA R</t>
  </si>
  <si>
    <t>CTNG | 500-1514</t>
  </si>
  <si>
    <t>NORO, HIV QA | 500-1712</t>
  </si>
  <si>
    <t>C.DIFF, MRSA | 500-2288</t>
  </si>
  <si>
    <t>HPV | 001-1689</t>
  </si>
  <si>
    <t>525-00022</t>
  </si>
  <si>
    <t>MRSA SA</t>
  </si>
  <si>
    <t>Senast uppdaterad:</t>
  </si>
  <si>
    <t xml:space="preserve"> /</t>
  </si>
  <si>
    <r>
      <t xml:space="preserve">MTB SR </t>
    </r>
    <r>
      <rPr>
        <b/>
        <u/>
        <sz val="12"/>
        <color theme="1"/>
        <rFont val="Calibri"/>
        <family val="2"/>
        <scheme val="minor"/>
      </rPr>
      <t>700-6052</t>
    </r>
  </si>
  <si>
    <r>
      <t xml:space="preserve">HIV QA </t>
    </r>
    <r>
      <rPr>
        <b/>
        <u/>
        <sz val="12"/>
        <color theme="0"/>
        <rFont val="Calibri"/>
        <family val="2"/>
        <scheme val="minor"/>
      </rPr>
      <t>700-4521</t>
    </r>
  </si>
  <si>
    <r>
      <t xml:space="preserve">HIV QA </t>
    </r>
    <r>
      <rPr>
        <b/>
        <u/>
        <sz val="12"/>
        <color theme="0"/>
        <rFont val="Calibri"/>
        <family val="2"/>
        <scheme val="minor"/>
      </rPr>
      <t>700-4383</t>
    </r>
  </si>
  <si>
    <t>P/N 500-1514 Transport buffer (exp 6 mån)
500-1514, TRANSPORT BUFFER,SWAB,BULK,CT/NG</t>
  </si>
  <si>
    <t>P/N 500-1712 Lysis Reagent, Xpert Virus (exp 2 mån)
500-1712 LYSIS, REAGENT, XPERT,VIRUS</t>
  </si>
  <si>
    <t>P/N 500-2288 GX Lysis buffer (exp 3 mån)
500-2288, GX Lysis buffer</t>
  </si>
  <si>
    <t>091923VW</t>
  </si>
  <si>
    <t>071924MATE</t>
  </si>
  <si>
    <t>G12JAN24F</t>
  </si>
  <si>
    <t>Q24APR24B</t>
  </si>
  <si>
    <t>3 L</t>
  </si>
  <si>
    <t>030524VW-A</t>
  </si>
  <si>
    <t>1 låda</t>
  </si>
  <si>
    <t>2 lådor</t>
  </si>
  <si>
    <t>020625VW</t>
  </si>
  <si>
    <t>081823VW</t>
  </si>
  <si>
    <t>10 L</t>
  </si>
  <si>
    <t>11 rör</t>
  </si>
  <si>
    <t>062024MOWA</t>
  </si>
  <si>
    <t>012425ML</t>
  </si>
  <si>
    <t>021025MOWA</t>
  </si>
  <si>
    <t>021825VW</t>
  </si>
  <si>
    <t>021125ELIF</t>
  </si>
  <si>
    <t>030625TN</t>
  </si>
  <si>
    <r>
      <t xml:space="preserve">MTB XDR SR </t>
    </r>
    <r>
      <rPr>
        <b/>
        <u/>
        <sz val="12"/>
        <color theme="1"/>
        <rFont val="Calibri"/>
        <family val="2"/>
        <scheme val="minor"/>
      </rPr>
      <t>700-6609</t>
    </r>
  </si>
  <si>
    <t>D20AUG24A</t>
  </si>
  <si>
    <t>6 rör</t>
  </si>
  <si>
    <t>12 rör</t>
  </si>
  <si>
    <t>011922DL</t>
  </si>
  <si>
    <t>102424VW</t>
  </si>
  <si>
    <t>032525SAMI</t>
  </si>
  <si>
    <t>10L</t>
  </si>
  <si>
    <t>A17MAR25A</t>
  </si>
  <si>
    <t>S19AUG24A</t>
  </si>
  <si>
    <t>012825MOWA</t>
  </si>
  <si>
    <t>032125ML</t>
  </si>
  <si>
    <t>4 rör</t>
  </si>
  <si>
    <t>031225Masa</t>
  </si>
  <si>
    <t>L03OCT24B</t>
  </si>
  <si>
    <t>4141EA</t>
  </si>
  <si>
    <t>042325Masa</t>
  </si>
  <si>
    <r>
      <t xml:space="preserve">EBOLA </t>
    </r>
    <r>
      <rPr>
        <b/>
        <u/>
        <sz val="12"/>
        <color theme="1"/>
        <rFont val="Calibri"/>
        <family val="2"/>
        <scheme val="minor"/>
      </rPr>
      <t>700-6379</t>
    </r>
  </si>
  <si>
    <t>E20AUG24A</t>
  </si>
  <si>
    <t>B04OCT24A</t>
  </si>
  <si>
    <t>001-1968</t>
  </si>
  <si>
    <t>B01NOV24B</t>
  </si>
  <si>
    <t>052825MMM</t>
  </si>
  <si>
    <t>041625Masa</t>
  </si>
  <si>
    <t>INTROL TBWT-04 MTB Ultra</t>
  </si>
  <si>
    <t>INTROL TBWT-04 MTB G4</t>
  </si>
  <si>
    <t>10 rör</t>
  </si>
  <si>
    <t>060425MMM-B</t>
  </si>
  <si>
    <r>
      <t xml:space="preserve">MTB SR </t>
    </r>
    <r>
      <rPr>
        <b/>
        <u/>
        <sz val="12"/>
        <color theme="1"/>
        <rFont val="Calibri"/>
        <family val="2"/>
        <scheme val="minor"/>
      </rPr>
      <t>700-8870</t>
    </r>
  </si>
  <si>
    <t>26 rör</t>
  </si>
  <si>
    <t>2026-02</t>
  </si>
  <si>
    <t>012725VW</t>
  </si>
  <si>
    <t>6 Lådor</t>
  </si>
  <si>
    <t>16 rör</t>
  </si>
  <si>
    <t>1 rör</t>
  </si>
  <si>
    <t>3 rör</t>
  </si>
  <si>
    <t>012524ELIF</t>
  </si>
  <si>
    <t>012224ELIF</t>
  </si>
  <si>
    <t>051625MMM</t>
  </si>
  <si>
    <t>080525Masa</t>
  </si>
  <si>
    <t>081925Masa</t>
  </si>
  <si>
    <t>071625Masa</t>
  </si>
  <si>
    <t>3 lådor</t>
  </si>
  <si>
    <t>041625MATE</t>
  </si>
  <si>
    <t>9 rör</t>
  </si>
  <si>
    <t>060325Masa</t>
  </si>
  <si>
    <t>040925ELIF</t>
  </si>
  <si>
    <t>031825ELIF</t>
  </si>
  <si>
    <t>031224VW-A</t>
  </si>
  <si>
    <t>15 Vialer</t>
  </si>
  <si>
    <t>525-00327</t>
  </si>
  <si>
    <t>022025VW</t>
  </si>
  <si>
    <t>0,5 låda</t>
  </si>
  <si>
    <t>050525Masa</t>
  </si>
  <si>
    <t>0.5 låda</t>
  </si>
  <si>
    <t>ALQT,NATTROL,Sample Mix 1, Resp.Panel</t>
  </si>
  <si>
    <t>ALQT,NATTROL,Sample Mix 2, Resp.Panel</t>
  </si>
  <si>
    <t>ALQT,NATTROL,Sample Mix 3, Resp.Panel</t>
  </si>
  <si>
    <t>ALQT,NATTROL,Sample Mix 4, Resp.Panel</t>
  </si>
  <si>
    <t>7 lådor</t>
  </si>
  <si>
    <t>1.5 Låda</t>
  </si>
  <si>
    <t>1.5 låda</t>
  </si>
  <si>
    <t>073125MATE</t>
  </si>
  <si>
    <t>50L</t>
  </si>
  <si>
    <t>031025Masa</t>
  </si>
  <si>
    <t>1.5 låda NEG</t>
  </si>
  <si>
    <t>051325ELIF</t>
  </si>
  <si>
    <t>040925TN</t>
  </si>
  <si>
    <t>061325ELIF</t>
  </si>
  <si>
    <t>062525MMM</t>
  </si>
  <si>
    <t>7 Rör</t>
  </si>
  <si>
    <t>052325MATE</t>
  </si>
  <si>
    <t>061325MATE</t>
  </si>
  <si>
    <t>062425MZ</t>
  </si>
  <si>
    <t>13 rör</t>
  </si>
  <si>
    <t>11 RÖR</t>
  </si>
  <si>
    <t>3 Lådor</t>
  </si>
  <si>
    <t>070325Masa</t>
  </si>
  <si>
    <t>120524ELIF</t>
  </si>
  <si>
    <t>032725SAMI</t>
  </si>
  <si>
    <t>2 Lådor</t>
  </si>
  <si>
    <t>031825SAMI</t>
  </si>
  <si>
    <t>021725ELIF</t>
  </si>
  <si>
    <t>0.5 Låda</t>
  </si>
  <si>
    <t>40 rör</t>
  </si>
  <si>
    <t>041725MMM</t>
  </si>
  <si>
    <t>2 rör</t>
  </si>
  <si>
    <t>39 rör</t>
  </si>
  <si>
    <t>1001507955 / C254200063</t>
  </si>
  <si>
    <t>042325MMM</t>
  </si>
  <si>
    <t>25L</t>
  </si>
  <si>
    <t>040925Masa</t>
  </si>
  <si>
    <t>L03OCT24C</t>
  </si>
  <si>
    <t>5 Flaskor NEG</t>
  </si>
  <si>
    <t>4.5 Flaskor POS</t>
  </si>
  <si>
    <t>9 vialer</t>
  </si>
  <si>
    <t>11 vialer</t>
  </si>
  <si>
    <t>B27FEB25A</t>
  </si>
  <si>
    <t>5 Lådor</t>
  </si>
  <si>
    <t>011624MATE</t>
  </si>
  <si>
    <t>082025MATE</t>
  </si>
  <si>
    <t>20 rör</t>
  </si>
  <si>
    <t>4L</t>
  </si>
  <si>
    <t>6.5 Lådor</t>
  </si>
  <si>
    <t>102125MMM</t>
  </si>
  <si>
    <t>082625Masa</t>
  </si>
  <si>
    <t>31 vialer</t>
  </si>
  <si>
    <t>102924MOWA</t>
  </si>
  <si>
    <t>8 rör</t>
  </si>
  <si>
    <t>23 rör</t>
  </si>
  <si>
    <t>2,5 lådor</t>
  </si>
  <si>
    <t>033125Masa</t>
  </si>
  <si>
    <t>7 rör POS</t>
  </si>
  <si>
    <t>111524MATE</t>
  </si>
  <si>
    <t>2 lådor POS</t>
  </si>
  <si>
    <t>6 lådor</t>
  </si>
  <si>
    <t>081425ELIF</t>
  </si>
  <si>
    <t>041125VW</t>
  </si>
  <si>
    <t>5.5 lådor</t>
  </si>
  <si>
    <t>5L</t>
  </si>
  <si>
    <t xml:space="preserve"> 2025-12-03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</si>
</sst>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Arial"/>
      <family val="2"/>
    </font>
    <font>
      <b/>
      <sz val="18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D2D"/>
        <bgColor indexed="64"/>
      </patternFill>
    </fill>
    <fill>
      <patternFill patternType="solid">
        <fgColor rgb="FFFFA219"/>
        <bgColor indexed="64"/>
      </patternFill>
    </fill>
    <fill>
      <patternFill patternType="solid">
        <fgColor rgb="FFA462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C6E0B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48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3" xfId="0" applyFont="1" applyBorder="1" applyAlignment="1">
      <alignment horizont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7" xfId="0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0" fillId="0" borderId="17" xfId="0" applyBorder="1"/>
    <xf numFmtId="0" fontId="13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6" borderId="0" xfId="0" applyFill="1"/>
    <xf numFmtId="0" fontId="1" fillId="0" borderId="0" xfId="0" applyFont="1"/>
    <xf numFmtId="14" fontId="0" fillId="0" borderId="0" xfId="0" applyNumberFormat="1"/>
    <xf numFmtId="0" fontId="0" fillId="0" borderId="4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12" borderId="33" xfId="0" applyFont="1" applyFill="1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14" fontId="3" fillId="4" borderId="40" xfId="0" applyNumberFormat="1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12" borderId="5" xfId="0" applyFont="1" applyFill="1" applyBorder="1"/>
    <xf numFmtId="0" fontId="3" fillId="13" borderId="39" xfId="0" applyFont="1" applyFill="1" applyBorder="1" applyAlignment="1">
      <alignment horizontal="center" vertical="center"/>
    </xf>
    <xf numFmtId="0" fontId="3" fillId="13" borderId="40" xfId="0" applyFont="1" applyFill="1" applyBorder="1" applyAlignment="1">
      <alignment horizontal="center" vertical="center"/>
    </xf>
    <xf numFmtId="164" fontId="3" fillId="13" borderId="40" xfId="0" applyNumberFormat="1" applyFont="1" applyFill="1" applyBorder="1" applyAlignment="1">
      <alignment horizontal="center" vertical="center"/>
    </xf>
    <xf numFmtId="14" fontId="3" fillId="13" borderId="45" xfId="0" applyNumberFormat="1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4" borderId="39" xfId="0" applyFont="1" applyFill="1" applyBorder="1" applyAlignment="1">
      <alignment horizontal="center" vertical="center"/>
    </xf>
    <xf numFmtId="0" fontId="3" fillId="14" borderId="40" xfId="0" applyFont="1" applyFill="1" applyBorder="1" applyAlignment="1">
      <alignment horizontal="center" vertical="center"/>
    </xf>
    <xf numFmtId="164" fontId="3" fillId="14" borderId="40" xfId="0" applyNumberFormat="1" applyFont="1" applyFill="1" applyBorder="1" applyAlignment="1">
      <alignment horizontal="center" vertical="center"/>
    </xf>
    <xf numFmtId="14" fontId="3" fillId="14" borderId="45" xfId="0" applyNumberFormat="1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0" fontId="3" fillId="14" borderId="51" xfId="0" applyFont="1" applyFill="1" applyBorder="1" applyAlignment="1">
      <alignment horizontal="center" vertical="center"/>
    </xf>
    <xf numFmtId="0" fontId="3" fillId="14" borderId="50" xfId="0" applyFont="1" applyFill="1" applyBorder="1" applyAlignment="1">
      <alignment horizontal="center" vertical="center"/>
    </xf>
    <xf numFmtId="164" fontId="3" fillId="14" borderId="50" xfId="0" applyNumberFormat="1" applyFont="1" applyFill="1" applyBorder="1" applyAlignment="1">
      <alignment horizontal="center" vertical="center"/>
    </xf>
    <xf numFmtId="14" fontId="3" fillId="14" borderId="52" xfId="0" applyNumberFormat="1" applyFont="1" applyFill="1" applyBorder="1" applyAlignment="1">
      <alignment horizontal="center" vertical="center"/>
    </xf>
    <xf numFmtId="0" fontId="3" fillId="14" borderId="5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164" fontId="3" fillId="4" borderId="40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0" fontId="3" fillId="17" borderId="39" xfId="0" applyFont="1" applyFill="1" applyBorder="1" applyAlignment="1">
      <alignment horizontal="center" vertical="center"/>
    </xf>
    <xf numFmtId="0" fontId="3" fillId="17" borderId="40" xfId="0" applyFont="1" applyFill="1" applyBorder="1" applyAlignment="1">
      <alignment horizontal="center" vertical="center"/>
    </xf>
    <xf numFmtId="164" fontId="3" fillId="17" borderId="40" xfId="0" applyNumberFormat="1" applyFont="1" applyFill="1" applyBorder="1" applyAlignment="1">
      <alignment horizontal="center" vertical="center"/>
    </xf>
    <xf numFmtId="164" fontId="3" fillId="17" borderId="45" xfId="0" applyNumberFormat="1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 vertical="center"/>
    </xf>
    <xf numFmtId="0" fontId="3" fillId="17" borderId="51" xfId="0" applyFont="1" applyFill="1" applyBorder="1" applyAlignment="1">
      <alignment horizontal="center" vertical="center"/>
    </xf>
    <xf numFmtId="0" fontId="3" fillId="17" borderId="50" xfId="0" applyFont="1" applyFill="1" applyBorder="1" applyAlignment="1">
      <alignment horizontal="center" vertical="center"/>
    </xf>
    <xf numFmtId="164" fontId="3" fillId="17" borderId="50" xfId="0" applyNumberFormat="1" applyFont="1" applyFill="1" applyBorder="1" applyAlignment="1">
      <alignment horizontal="center" vertical="center"/>
    </xf>
    <xf numFmtId="164" fontId="3" fillId="17" borderId="52" xfId="0" applyNumberFormat="1" applyFont="1" applyFill="1" applyBorder="1" applyAlignment="1">
      <alignment horizontal="center" vertical="center"/>
    </xf>
    <xf numFmtId="0" fontId="3" fillId="17" borderId="53" xfId="0" applyFont="1" applyFill="1" applyBorder="1" applyAlignment="1">
      <alignment horizontal="center" vertical="center"/>
    </xf>
    <xf numFmtId="0" fontId="15" fillId="16" borderId="39" xfId="0" applyFont="1" applyFill="1" applyBorder="1" applyAlignment="1">
      <alignment horizontal="center" vertical="center"/>
    </xf>
    <xf numFmtId="0" fontId="15" fillId="16" borderId="40" xfId="0" applyFont="1" applyFill="1" applyBorder="1" applyAlignment="1">
      <alignment horizontal="center" vertical="center"/>
    </xf>
    <xf numFmtId="164" fontId="15" fillId="16" borderId="40" xfId="0" applyNumberFormat="1" applyFont="1" applyFill="1" applyBorder="1" applyAlignment="1">
      <alignment horizontal="center" vertical="center"/>
    </xf>
    <xf numFmtId="164" fontId="15" fillId="16" borderId="45" xfId="0" applyNumberFormat="1" applyFont="1" applyFill="1" applyBorder="1" applyAlignment="1">
      <alignment horizontal="center" vertical="center"/>
    </xf>
    <xf numFmtId="0" fontId="15" fillId="16" borderId="5" xfId="0" applyFont="1" applyFill="1" applyBorder="1" applyAlignment="1">
      <alignment horizontal="center" vertical="center"/>
    </xf>
    <xf numFmtId="0" fontId="15" fillId="16" borderId="51" xfId="0" applyFont="1" applyFill="1" applyBorder="1" applyAlignment="1">
      <alignment horizontal="center" vertical="center"/>
    </xf>
    <xf numFmtId="0" fontId="15" fillId="16" borderId="50" xfId="0" applyFont="1" applyFill="1" applyBorder="1" applyAlignment="1">
      <alignment horizontal="center" vertical="center"/>
    </xf>
    <xf numFmtId="164" fontId="15" fillId="16" borderId="50" xfId="0" applyNumberFormat="1" applyFont="1" applyFill="1" applyBorder="1" applyAlignment="1">
      <alignment horizontal="center" vertical="center"/>
    </xf>
    <xf numFmtId="164" fontId="15" fillId="16" borderId="52" xfId="0" applyNumberFormat="1" applyFont="1" applyFill="1" applyBorder="1" applyAlignment="1">
      <alignment horizontal="center" vertical="center"/>
    </xf>
    <xf numFmtId="0" fontId="15" fillId="16" borderId="5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5" fillId="18" borderId="39" xfId="0" applyFont="1" applyFill="1" applyBorder="1" applyAlignment="1">
      <alignment horizontal="center" vertical="center"/>
    </xf>
    <xf numFmtId="0" fontId="15" fillId="18" borderId="40" xfId="0" applyFont="1" applyFill="1" applyBorder="1" applyAlignment="1">
      <alignment horizontal="center" vertical="center"/>
    </xf>
    <xf numFmtId="164" fontId="15" fillId="18" borderId="40" xfId="0" applyNumberFormat="1" applyFont="1" applyFill="1" applyBorder="1" applyAlignment="1">
      <alignment horizontal="center" vertical="center"/>
    </xf>
    <xf numFmtId="164" fontId="15" fillId="18" borderId="45" xfId="0" applyNumberFormat="1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0" fontId="15" fillId="18" borderId="51" xfId="0" applyFont="1" applyFill="1" applyBorder="1" applyAlignment="1">
      <alignment horizontal="center" vertical="center"/>
    </xf>
    <xf numFmtId="0" fontId="15" fillId="18" borderId="50" xfId="0" applyFont="1" applyFill="1" applyBorder="1" applyAlignment="1">
      <alignment horizontal="center" vertical="center"/>
    </xf>
    <xf numFmtId="164" fontId="15" fillId="18" borderId="50" xfId="0" applyNumberFormat="1" applyFont="1" applyFill="1" applyBorder="1" applyAlignment="1">
      <alignment horizontal="center" vertical="center"/>
    </xf>
    <xf numFmtId="164" fontId="15" fillId="18" borderId="52" xfId="0" applyNumberFormat="1" applyFont="1" applyFill="1" applyBorder="1" applyAlignment="1">
      <alignment horizontal="center" vertical="center"/>
    </xf>
    <xf numFmtId="0" fontId="15" fillId="18" borderId="53" xfId="0" applyFont="1" applyFill="1" applyBorder="1" applyAlignment="1">
      <alignment horizontal="center" vertical="center"/>
    </xf>
    <xf numFmtId="0" fontId="13" fillId="19" borderId="39" xfId="0" applyFont="1" applyFill="1" applyBorder="1" applyAlignment="1">
      <alignment horizontal="center" vertical="center"/>
    </xf>
    <xf numFmtId="0" fontId="13" fillId="19" borderId="40" xfId="0" applyFont="1" applyFill="1" applyBorder="1" applyAlignment="1">
      <alignment horizontal="center" vertical="center"/>
    </xf>
    <xf numFmtId="164" fontId="13" fillId="19" borderId="40" xfId="0" applyNumberFormat="1" applyFont="1" applyFill="1" applyBorder="1" applyAlignment="1">
      <alignment horizontal="center" vertical="center"/>
    </xf>
    <xf numFmtId="164" fontId="13" fillId="19" borderId="45" xfId="0" applyNumberFormat="1" applyFont="1" applyFill="1" applyBorder="1" applyAlignment="1">
      <alignment horizontal="center" vertical="center"/>
    </xf>
    <xf numFmtId="0" fontId="13" fillId="19" borderId="5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0" fontId="15" fillId="20" borderId="2" xfId="0" applyFont="1" applyFill="1" applyBorder="1" applyAlignment="1">
      <alignment horizontal="center" vertical="center"/>
    </xf>
    <xf numFmtId="164" fontId="15" fillId="20" borderId="2" xfId="0" applyNumberFormat="1" applyFont="1" applyFill="1" applyBorder="1" applyAlignment="1">
      <alignment horizontal="center" vertical="center"/>
    </xf>
    <xf numFmtId="164" fontId="15" fillId="20" borderId="3" xfId="0" applyNumberFormat="1" applyFont="1" applyFill="1" applyBorder="1" applyAlignment="1">
      <alignment horizontal="center" vertical="center"/>
    </xf>
    <xf numFmtId="0" fontId="15" fillId="20" borderId="33" xfId="0" applyFont="1" applyFill="1" applyBorder="1" applyAlignment="1">
      <alignment horizontal="center" vertical="center"/>
    </xf>
    <xf numFmtId="0" fontId="15" fillId="21" borderId="39" xfId="0" applyFont="1" applyFill="1" applyBorder="1" applyAlignment="1">
      <alignment horizontal="center" vertical="center"/>
    </xf>
    <xf numFmtId="0" fontId="15" fillId="21" borderId="40" xfId="0" applyFont="1" applyFill="1" applyBorder="1" applyAlignment="1">
      <alignment horizontal="center" vertical="center"/>
    </xf>
    <xf numFmtId="164" fontId="15" fillId="21" borderId="40" xfId="0" applyNumberFormat="1" applyFont="1" applyFill="1" applyBorder="1" applyAlignment="1">
      <alignment horizontal="center" vertical="center"/>
    </xf>
    <xf numFmtId="14" fontId="15" fillId="21" borderId="4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0" fontId="15" fillId="21" borderId="51" xfId="0" applyFont="1" applyFill="1" applyBorder="1" applyAlignment="1">
      <alignment horizontal="center" vertical="center"/>
    </xf>
    <xf numFmtId="0" fontId="15" fillId="21" borderId="50" xfId="0" applyFont="1" applyFill="1" applyBorder="1" applyAlignment="1">
      <alignment horizontal="center" vertical="center"/>
    </xf>
    <xf numFmtId="164" fontId="15" fillId="21" borderId="50" xfId="0" applyNumberFormat="1" applyFont="1" applyFill="1" applyBorder="1" applyAlignment="1">
      <alignment horizontal="center" vertical="center"/>
    </xf>
    <xf numFmtId="14" fontId="15" fillId="21" borderId="52" xfId="0" applyNumberFormat="1" applyFont="1" applyFill="1" applyBorder="1" applyAlignment="1">
      <alignment horizontal="center" vertical="center"/>
    </xf>
    <xf numFmtId="0" fontId="15" fillId="21" borderId="53" xfId="0" applyFont="1" applyFill="1" applyBorder="1" applyAlignment="1">
      <alignment horizontal="center" vertical="center"/>
    </xf>
    <xf numFmtId="0" fontId="9" fillId="0" borderId="0" xfId="0" applyFont="1"/>
    <xf numFmtId="14" fontId="13" fillId="19" borderId="45" xfId="0" applyNumberFormat="1" applyFont="1" applyFill="1" applyBorder="1" applyAlignment="1">
      <alignment horizontal="center" vertical="center"/>
    </xf>
    <xf numFmtId="0" fontId="3" fillId="22" borderId="39" xfId="0" applyFont="1" applyFill="1" applyBorder="1" applyAlignment="1">
      <alignment horizontal="center" vertical="center"/>
    </xf>
    <xf numFmtId="0" fontId="3" fillId="22" borderId="40" xfId="0" applyFont="1" applyFill="1" applyBorder="1" applyAlignment="1">
      <alignment horizontal="center" vertical="center"/>
    </xf>
    <xf numFmtId="164" fontId="3" fillId="22" borderId="40" xfId="0" applyNumberFormat="1" applyFont="1" applyFill="1" applyBorder="1" applyAlignment="1">
      <alignment horizontal="center" vertical="center"/>
    </xf>
    <xf numFmtId="164" fontId="3" fillId="22" borderId="45" xfId="0" applyNumberFormat="1" applyFont="1" applyFill="1" applyBorder="1" applyAlignment="1">
      <alignment horizontal="center" vertical="center"/>
    </xf>
    <xf numFmtId="0" fontId="3" fillId="22" borderId="5" xfId="0" applyFont="1" applyFill="1" applyBorder="1" applyAlignment="1">
      <alignment horizontal="center" vertical="center"/>
    </xf>
    <xf numFmtId="0" fontId="3" fillId="22" borderId="51" xfId="0" applyFont="1" applyFill="1" applyBorder="1" applyAlignment="1">
      <alignment horizontal="center" vertical="center"/>
    </xf>
    <xf numFmtId="0" fontId="3" fillId="22" borderId="50" xfId="0" applyFont="1" applyFill="1" applyBorder="1" applyAlignment="1">
      <alignment horizontal="center" vertical="center"/>
    </xf>
    <xf numFmtId="164" fontId="3" fillId="22" borderId="50" xfId="0" applyNumberFormat="1" applyFont="1" applyFill="1" applyBorder="1" applyAlignment="1">
      <alignment horizontal="center" vertical="center"/>
    </xf>
    <xf numFmtId="164" fontId="3" fillId="22" borderId="52" xfId="0" applyNumberFormat="1" applyFont="1" applyFill="1" applyBorder="1" applyAlignment="1">
      <alignment horizontal="center" vertical="center"/>
    </xf>
    <xf numFmtId="0" fontId="3" fillId="22" borderId="53" xfId="0" applyFont="1" applyFill="1" applyBorder="1" applyAlignment="1">
      <alignment horizontal="center" vertical="center"/>
    </xf>
    <xf numFmtId="0" fontId="3" fillId="23" borderId="39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164" fontId="3" fillId="23" borderId="40" xfId="0" applyNumberFormat="1" applyFont="1" applyFill="1" applyBorder="1" applyAlignment="1">
      <alignment horizontal="center" vertical="center"/>
    </xf>
    <xf numFmtId="164" fontId="3" fillId="23" borderId="45" xfId="0" applyNumberFormat="1" applyFont="1" applyFill="1" applyBorder="1" applyAlignment="1">
      <alignment horizontal="center" vertical="center"/>
    </xf>
    <xf numFmtId="0" fontId="3" fillId="23" borderId="5" xfId="0" applyFont="1" applyFill="1" applyBorder="1" applyAlignment="1">
      <alignment horizontal="center" vertical="center"/>
    </xf>
    <xf numFmtId="0" fontId="3" fillId="23" borderId="51" xfId="0" applyFont="1" applyFill="1" applyBorder="1" applyAlignment="1">
      <alignment horizontal="center" vertical="center"/>
    </xf>
    <xf numFmtId="0" fontId="3" fillId="23" borderId="50" xfId="0" applyFont="1" applyFill="1" applyBorder="1" applyAlignment="1">
      <alignment horizontal="center" vertical="center"/>
    </xf>
    <xf numFmtId="164" fontId="3" fillId="23" borderId="50" xfId="0" applyNumberFormat="1" applyFont="1" applyFill="1" applyBorder="1" applyAlignment="1">
      <alignment horizontal="center" vertical="center"/>
    </xf>
    <xf numFmtId="164" fontId="3" fillId="23" borderId="52" xfId="0" applyNumberFormat="1" applyFont="1" applyFill="1" applyBorder="1" applyAlignment="1">
      <alignment horizontal="center" vertical="center"/>
    </xf>
    <xf numFmtId="0" fontId="3" fillId="23" borderId="53" xfId="0" applyFont="1" applyFill="1" applyBorder="1" applyAlignment="1">
      <alignment horizontal="center" vertical="center"/>
    </xf>
    <xf numFmtId="0" fontId="3" fillId="24" borderId="39" xfId="0" applyFont="1" applyFill="1" applyBorder="1" applyAlignment="1">
      <alignment horizontal="center" vertical="center"/>
    </xf>
    <xf numFmtId="0" fontId="3" fillId="24" borderId="40" xfId="0" applyFont="1" applyFill="1" applyBorder="1" applyAlignment="1">
      <alignment horizontal="center" vertical="center"/>
    </xf>
    <xf numFmtId="164" fontId="3" fillId="24" borderId="40" xfId="0" applyNumberFormat="1" applyFont="1" applyFill="1" applyBorder="1" applyAlignment="1">
      <alignment horizontal="center" vertical="center"/>
    </xf>
    <xf numFmtId="164" fontId="3" fillId="24" borderId="45" xfId="0" applyNumberFormat="1" applyFont="1" applyFill="1" applyBorder="1" applyAlignment="1">
      <alignment horizontal="center" vertical="center"/>
    </xf>
    <xf numFmtId="0" fontId="3" fillId="24" borderId="5" xfId="0" applyFont="1" applyFill="1" applyBorder="1" applyAlignment="1">
      <alignment horizontal="center" vertical="center"/>
    </xf>
    <xf numFmtId="0" fontId="3" fillId="24" borderId="51" xfId="0" applyFont="1" applyFill="1" applyBorder="1" applyAlignment="1">
      <alignment horizontal="center" vertical="center"/>
    </xf>
    <xf numFmtId="0" fontId="3" fillId="24" borderId="50" xfId="0" applyFont="1" applyFill="1" applyBorder="1" applyAlignment="1">
      <alignment horizontal="center" vertical="center"/>
    </xf>
    <xf numFmtId="164" fontId="3" fillId="24" borderId="50" xfId="0" applyNumberFormat="1" applyFont="1" applyFill="1" applyBorder="1" applyAlignment="1">
      <alignment horizontal="center" vertical="center"/>
    </xf>
    <xf numFmtId="164" fontId="3" fillId="24" borderId="52" xfId="0" applyNumberFormat="1" applyFont="1" applyFill="1" applyBorder="1" applyAlignment="1">
      <alignment horizontal="center" vertical="center"/>
    </xf>
    <xf numFmtId="0" fontId="3" fillId="24" borderId="53" xfId="0" applyFont="1" applyFill="1" applyBorder="1" applyAlignment="1">
      <alignment horizontal="center" vertical="center"/>
    </xf>
    <xf numFmtId="0" fontId="15" fillId="25" borderId="51" xfId="0" applyFont="1" applyFill="1" applyBorder="1" applyAlignment="1">
      <alignment horizontal="center" vertical="center"/>
    </xf>
    <xf numFmtId="0" fontId="15" fillId="25" borderId="50" xfId="0" applyFont="1" applyFill="1" applyBorder="1" applyAlignment="1">
      <alignment horizontal="center" vertical="center"/>
    </xf>
    <xf numFmtId="164" fontId="15" fillId="25" borderId="50" xfId="0" applyNumberFormat="1" applyFont="1" applyFill="1" applyBorder="1" applyAlignment="1">
      <alignment horizontal="center" vertical="center"/>
    </xf>
    <xf numFmtId="164" fontId="15" fillId="25" borderId="52" xfId="0" applyNumberFormat="1" applyFont="1" applyFill="1" applyBorder="1" applyAlignment="1">
      <alignment horizontal="center" vertical="center"/>
    </xf>
    <xf numFmtId="0" fontId="15" fillId="25" borderId="53" xfId="0" applyFont="1" applyFill="1" applyBorder="1" applyAlignment="1">
      <alignment horizontal="center" vertical="center"/>
    </xf>
    <xf numFmtId="0" fontId="15" fillId="25" borderId="39" xfId="0" applyFont="1" applyFill="1" applyBorder="1" applyAlignment="1">
      <alignment horizontal="center" vertical="center"/>
    </xf>
    <xf numFmtId="0" fontId="15" fillId="25" borderId="40" xfId="0" applyFont="1" applyFill="1" applyBorder="1" applyAlignment="1">
      <alignment horizontal="center" vertical="center"/>
    </xf>
    <xf numFmtId="164" fontId="15" fillId="25" borderId="40" xfId="0" applyNumberFormat="1" applyFont="1" applyFill="1" applyBorder="1" applyAlignment="1">
      <alignment horizontal="center" vertical="center"/>
    </xf>
    <xf numFmtId="164" fontId="15" fillId="25" borderId="45" xfId="0" applyNumberFormat="1" applyFont="1" applyFill="1" applyBorder="1" applyAlignment="1">
      <alignment horizontal="center" vertical="center"/>
    </xf>
    <xf numFmtId="0" fontId="15" fillId="25" borderId="5" xfId="0" applyFont="1" applyFill="1" applyBorder="1" applyAlignment="1">
      <alignment horizontal="center" vertical="center"/>
    </xf>
    <xf numFmtId="0" fontId="3" fillId="26" borderId="39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164" fontId="3" fillId="26" borderId="40" xfId="0" applyNumberFormat="1" applyFont="1" applyFill="1" applyBorder="1" applyAlignment="1">
      <alignment horizontal="center" vertical="center"/>
    </xf>
    <xf numFmtId="164" fontId="3" fillId="26" borderId="45" xfId="0" applyNumberFormat="1" applyFont="1" applyFill="1" applyBorder="1" applyAlignment="1">
      <alignment horizontal="center" vertical="center"/>
    </xf>
    <xf numFmtId="0" fontId="3" fillId="26" borderId="5" xfId="0" applyFont="1" applyFill="1" applyBorder="1" applyAlignment="1">
      <alignment horizontal="center" vertical="center"/>
    </xf>
    <xf numFmtId="0" fontId="3" fillId="26" borderId="51" xfId="0" applyFont="1" applyFill="1" applyBorder="1" applyAlignment="1">
      <alignment horizontal="center" vertical="center"/>
    </xf>
    <xf numFmtId="0" fontId="3" fillId="26" borderId="50" xfId="0" applyFont="1" applyFill="1" applyBorder="1" applyAlignment="1">
      <alignment horizontal="center" vertical="center"/>
    </xf>
    <xf numFmtId="164" fontId="3" fillId="26" borderId="50" xfId="0" applyNumberFormat="1" applyFont="1" applyFill="1" applyBorder="1" applyAlignment="1">
      <alignment horizontal="center" vertical="center"/>
    </xf>
    <xf numFmtId="164" fontId="3" fillId="26" borderId="52" xfId="0" applyNumberFormat="1" applyFont="1" applyFill="1" applyBorder="1" applyAlignment="1">
      <alignment horizontal="center" vertical="center"/>
    </xf>
    <xf numFmtId="0" fontId="3" fillId="26" borderId="53" xfId="0" applyFont="1" applyFill="1" applyBorder="1" applyAlignment="1">
      <alignment horizontal="center" vertical="center"/>
    </xf>
    <xf numFmtId="0" fontId="15" fillId="27" borderId="39" xfId="0" applyFont="1" applyFill="1" applyBorder="1" applyAlignment="1">
      <alignment horizontal="center" vertical="center"/>
    </xf>
    <xf numFmtId="0" fontId="15" fillId="27" borderId="40" xfId="0" applyFont="1" applyFill="1" applyBorder="1" applyAlignment="1">
      <alignment horizontal="center" vertical="center"/>
    </xf>
    <xf numFmtId="164" fontId="15" fillId="27" borderId="40" xfId="0" applyNumberFormat="1" applyFont="1" applyFill="1" applyBorder="1" applyAlignment="1">
      <alignment horizontal="center" vertical="center"/>
    </xf>
    <xf numFmtId="164" fontId="15" fillId="27" borderId="45" xfId="0" applyNumberFormat="1" applyFont="1" applyFill="1" applyBorder="1" applyAlignment="1">
      <alignment horizontal="center" vertical="center"/>
    </xf>
    <xf numFmtId="0" fontId="15" fillId="27" borderId="5" xfId="0" applyFont="1" applyFill="1" applyBorder="1" applyAlignment="1">
      <alignment horizontal="center" vertical="center"/>
    </xf>
    <xf numFmtId="0" fontId="15" fillId="27" borderId="51" xfId="0" applyFont="1" applyFill="1" applyBorder="1" applyAlignment="1">
      <alignment horizontal="center" vertical="center"/>
    </xf>
    <xf numFmtId="0" fontId="15" fillId="27" borderId="50" xfId="0" applyFont="1" applyFill="1" applyBorder="1" applyAlignment="1">
      <alignment horizontal="center" vertical="center"/>
    </xf>
    <xf numFmtId="164" fontId="15" fillId="27" borderId="50" xfId="0" applyNumberFormat="1" applyFont="1" applyFill="1" applyBorder="1" applyAlignment="1">
      <alignment horizontal="center" vertical="center"/>
    </xf>
    <xf numFmtId="164" fontId="15" fillId="27" borderId="52" xfId="0" applyNumberFormat="1" applyFont="1" applyFill="1" applyBorder="1" applyAlignment="1">
      <alignment horizontal="center" vertical="center"/>
    </xf>
    <xf numFmtId="0" fontId="15" fillId="27" borderId="53" xfId="0" applyFont="1" applyFill="1" applyBorder="1" applyAlignment="1">
      <alignment horizontal="center" vertical="center"/>
    </xf>
    <xf numFmtId="0" fontId="15" fillId="15" borderId="40" xfId="0" applyFont="1" applyFill="1" applyBorder="1" applyAlignment="1">
      <alignment horizontal="center" vertical="center"/>
    </xf>
    <xf numFmtId="0" fontId="15" fillId="15" borderId="39" xfId="0" applyFont="1" applyFill="1" applyBorder="1" applyAlignment="1">
      <alignment horizontal="center" vertical="center"/>
    </xf>
    <xf numFmtId="164" fontId="15" fillId="15" borderId="40" xfId="0" applyNumberFormat="1" applyFont="1" applyFill="1" applyBorder="1" applyAlignment="1">
      <alignment horizontal="center" vertical="center"/>
    </xf>
    <xf numFmtId="164" fontId="15" fillId="15" borderId="45" xfId="0" applyNumberFormat="1" applyFont="1" applyFill="1" applyBorder="1" applyAlignment="1">
      <alignment horizontal="center" vertical="center"/>
    </xf>
    <xf numFmtId="0" fontId="15" fillId="15" borderId="5" xfId="0" applyFont="1" applyFill="1" applyBorder="1" applyAlignment="1">
      <alignment horizontal="center" vertical="center"/>
    </xf>
    <xf numFmtId="0" fontId="15" fillId="15" borderId="51" xfId="0" applyFont="1" applyFill="1" applyBorder="1" applyAlignment="1">
      <alignment horizontal="center" vertical="center"/>
    </xf>
    <xf numFmtId="0" fontId="15" fillId="15" borderId="50" xfId="0" applyFont="1" applyFill="1" applyBorder="1" applyAlignment="1">
      <alignment horizontal="center" vertical="center"/>
    </xf>
    <xf numFmtId="164" fontId="15" fillId="15" borderId="50" xfId="0" applyNumberFormat="1" applyFont="1" applyFill="1" applyBorder="1" applyAlignment="1">
      <alignment horizontal="center" vertical="center"/>
    </xf>
    <xf numFmtId="164" fontId="15" fillId="15" borderId="52" xfId="0" applyNumberFormat="1" applyFont="1" applyFill="1" applyBorder="1" applyAlignment="1">
      <alignment horizontal="center" vertical="center"/>
    </xf>
    <xf numFmtId="0" fontId="15" fillId="15" borderId="53" xfId="0" applyFont="1" applyFill="1" applyBorder="1" applyAlignment="1">
      <alignment horizontal="center" vertical="center"/>
    </xf>
    <xf numFmtId="0" fontId="3" fillId="5" borderId="39" xfId="0" applyFont="1" applyFill="1" applyBorder="1" applyAlignment="1">
      <alignment horizontal="center" vertical="center"/>
    </xf>
    <xf numFmtId="0" fontId="3" fillId="5" borderId="40" xfId="0" applyFont="1" applyFill="1" applyBorder="1" applyAlignment="1">
      <alignment horizontal="center" vertical="center"/>
    </xf>
    <xf numFmtId="164" fontId="3" fillId="5" borderId="40" xfId="0" applyNumberFormat="1" applyFont="1" applyFill="1" applyBorder="1" applyAlignment="1">
      <alignment horizontal="center" vertical="center"/>
    </xf>
    <xf numFmtId="164" fontId="3" fillId="5" borderId="45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51" xfId="0" applyFont="1" applyFill="1" applyBorder="1" applyAlignment="1">
      <alignment horizontal="center" vertical="center"/>
    </xf>
    <xf numFmtId="0" fontId="3" fillId="5" borderId="50" xfId="0" applyFont="1" applyFill="1" applyBorder="1" applyAlignment="1">
      <alignment horizontal="center" vertical="center"/>
    </xf>
    <xf numFmtId="164" fontId="3" fillId="5" borderId="50" xfId="0" applyNumberFormat="1" applyFont="1" applyFill="1" applyBorder="1" applyAlignment="1">
      <alignment horizontal="center" vertical="center"/>
    </xf>
    <xf numFmtId="164" fontId="3" fillId="5" borderId="52" xfId="0" applyNumberFormat="1" applyFont="1" applyFill="1" applyBorder="1" applyAlignment="1">
      <alignment horizontal="center" vertical="center"/>
    </xf>
    <xf numFmtId="0" fontId="3" fillId="5" borderId="53" xfId="0" applyFont="1" applyFill="1" applyBorder="1" applyAlignment="1">
      <alignment horizontal="center" vertical="center"/>
    </xf>
    <xf numFmtId="0" fontId="3" fillId="28" borderId="39" xfId="0" applyFont="1" applyFill="1" applyBorder="1" applyAlignment="1">
      <alignment horizontal="center" vertical="center"/>
    </xf>
    <xf numFmtId="0" fontId="3" fillId="28" borderId="40" xfId="0" applyFont="1" applyFill="1" applyBorder="1" applyAlignment="1">
      <alignment horizontal="center" vertical="center"/>
    </xf>
    <xf numFmtId="164" fontId="3" fillId="28" borderId="40" xfId="0" applyNumberFormat="1" applyFont="1" applyFill="1" applyBorder="1" applyAlignment="1">
      <alignment horizontal="center" vertical="center"/>
    </xf>
    <xf numFmtId="164" fontId="3" fillId="28" borderId="45" xfId="0" applyNumberFormat="1" applyFont="1" applyFill="1" applyBorder="1" applyAlignment="1">
      <alignment horizontal="center" vertical="center"/>
    </xf>
    <xf numFmtId="0" fontId="3" fillId="28" borderId="5" xfId="0" applyFont="1" applyFill="1" applyBorder="1" applyAlignment="1">
      <alignment horizontal="center" vertical="center"/>
    </xf>
    <xf numFmtId="0" fontId="3" fillId="28" borderId="51" xfId="0" applyFont="1" applyFill="1" applyBorder="1" applyAlignment="1">
      <alignment horizontal="center" vertical="center"/>
    </xf>
    <xf numFmtId="0" fontId="3" fillId="28" borderId="50" xfId="0" applyFont="1" applyFill="1" applyBorder="1" applyAlignment="1">
      <alignment horizontal="center" vertical="center"/>
    </xf>
    <xf numFmtId="164" fontId="3" fillId="28" borderId="50" xfId="0" applyNumberFormat="1" applyFont="1" applyFill="1" applyBorder="1" applyAlignment="1">
      <alignment horizontal="center" vertical="center"/>
    </xf>
    <xf numFmtId="164" fontId="3" fillId="28" borderId="52" xfId="0" applyNumberFormat="1" applyFont="1" applyFill="1" applyBorder="1" applyAlignment="1">
      <alignment horizontal="center" vertical="center"/>
    </xf>
    <xf numFmtId="0" fontId="3" fillId="28" borderId="53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12" borderId="9" xfId="0" applyFont="1" applyFill="1" applyBorder="1"/>
    <xf numFmtId="0" fontId="3" fillId="29" borderId="39" xfId="0" applyFont="1" applyFill="1" applyBorder="1" applyAlignment="1">
      <alignment horizontal="center" vertical="center"/>
    </xf>
    <xf numFmtId="0" fontId="3" fillId="29" borderId="40" xfId="0" applyFont="1" applyFill="1" applyBorder="1" applyAlignment="1">
      <alignment horizontal="center" vertical="center"/>
    </xf>
    <xf numFmtId="164" fontId="3" fillId="29" borderId="40" xfId="0" applyNumberFormat="1" applyFont="1" applyFill="1" applyBorder="1" applyAlignment="1">
      <alignment horizontal="center" vertical="center"/>
    </xf>
    <xf numFmtId="164" fontId="3" fillId="29" borderId="45" xfId="0" applyNumberFormat="1" applyFont="1" applyFill="1" applyBorder="1" applyAlignment="1">
      <alignment horizontal="center" vertical="center"/>
    </xf>
    <xf numFmtId="0" fontId="3" fillId="29" borderId="5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0" fontId="3" fillId="4" borderId="40" xfId="0" applyFont="1" applyFill="1" applyBorder="1" applyAlignment="1">
      <alignment horizontal="center" vertical="center" wrapText="1"/>
    </xf>
    <xf numFmtId="0" fontId="3" fillId="30" borderId="39" xfId="0" applyFont="1" applyFill="1" applyBorder="1" applyAlignment="1">
      <alignment horizontal="center" vertical="center"/>
    </xf>
    <xf numFmtId="0" fontId="3" fillId="30" borderId="40" xfId="0" applyFont="1" applyFill="1" applyBorder="1" applyAlignment="1">
      <alignment horizontal="center" vertical="center"/>
    </xf>
    <xf numFmtId="164" fontId="3" fillId="30" borderId="40" xfId="0" applyNumberFormat="1" applyFont="1" applyFill="1" applyBorder="1" applyAlignment="1">
      <alignment horizontal="center" vertical="center"/>
    </xf>
    <xf numFmtId="164" fontId="3" fillId="30" borderId="45" xfId="0" applyNumberFormat="1" applyFont="1" applyFill="1" applyBorder="1" applyAlignment="1">
      <alignment horizontal="center" vertical="center"/>
    </xf>
    <xf numFmtId="0" fontId="3" fillId="30" borderId="5" xfId="0" applyFont="1" applyFill="1" applyBorder="1" applyAlignment="1">
      <alignment horizontal="center" vertical="center"/>
    </xf>
    <xf numFmtId="0" fontId="3" fillId="30" borderId="51" xfId="0" applyFont="1" applyFill="1" applyBorder="1" applyAlignment="1">
      <alignment horizontal="center" vertical="center"/>
    </xf>
    <xf numFmtId="0" fontId="3" fillId="30" borderId="50" xfId="0" applyFont="1" applyFill="1" applyBorder="1" applyAlignment="1">
      <alignment horizontal="center" vertical="center"/>
    </xf>
    <xf numFmtId="164" fontId="3" fillId="30" borderId="50" xfId="0" applyNumberFormat="1" applyFont="1" applyFill="1" applyBorder="1" applyAlignment="1">
      <alignment horizontal="center" vertical="center"/>
    </xf>
    <xf numFmtId="164" fontId="3" fillId="30" borderId="52" xfId="0" applyNumberFormat="1" applyFont="1" applyFill="1" applyBorder="1" applyAlignment="1">
      <alignment horizontal="center" vertical="center"/>
    </xf>
    <xf numFmtId="0" fontId="3" fillId="30" borderId="53" xfId="0" applyFont="1" applyFill="1" applyBorder="1" applyAlignment="1">
      <alignment horizontal="center" vertical="center"/>
    </xf>
    <xf numFmtId="0" fontId="15" fillId="6" borderId="39" xfId="0" applyFont="1" applyFill="1" applyBorder="1" applyAlignment="1">
      <alignment horizontal="center" vertical="center"/>
    </xf>
    <xf numFmtId="0" fontId="15" fillId="6" borderId="40" xfId="0" applyFont="1" applyFill="1" applyBorder="1" applyAlignment="1">
      <alignment horizontal="center" vertical="center"/>
    </xf>
    <xf numFmtId="164" fontId="15" fillId="6" borderId="40" xfId="0" applyNumberFormat="1" applyFont="1" applyFill="1" applyBorder="1" applyAlignment="1">
      <alignment horizontal="center" vertical="center"/>
    </xf>
    <xf numFmtId="164" fontId="15" fillId="6" borderId="45" xfId="0" applyNumberFormat="1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5" fillId="31" borderId="39" xfId="0" applyFont="1" applyFill="1" applyBorder="1" applyAlignment="1">
      <alignment horizontal="center" vertical="center"/>
    </xf>
    <xf numFmtId="0" fontId="15" fillId="31" borderId="40" xfId="0" applyFont="1" applyFill="1" applyBorder="1" applyAlignment="1">
      <alignment horizontal="center" vertical="center"/>
    </xf>
    <xf numFmtId="164" fontId="15" fillId="31" borderId="40" xfId="0" applyNumberFormat="1" applyFont="1" applyFill="1" applyBorder="1" applyAlignment="1">
      <alignment horizontal="center" vertical="center"/>
    </xf>
    <xf numFmtId="164" fontId="15" fillId="31" borderId="45" xfId="0" applyNumberFormat="1" applyFont="1" applyFill="1" applyBorder="1" applyAlignment="1">
      <alignment horizontal="center" vertical="center"/>
    </xf>
    <xf numFmtId="0" fontId="15" fillId="31" borderId="5" xfId="0" applyFont="1" applyFill="1" applyBorder="1" applyAlignment="1">
      <alignment horizontal="center" vertical="center"/>
    </xf>
    <xf numFmtId="0" fontId="15" fillId="31" borderId="51" xfId="0" applyFont="1" applyFill="1" applyBorder="1" applyAlignment="1">
      <alignment horizontal="center" vertical="center"/>
    </xf>
    <xf numFmtId="0" fontId="15" fillId="31" borderId="50" xfId="0" applyFont="1" applyFill="1" applyBorder="1" applyAlignment="1">
      <alignment horizontal="center" vertical="center"/>
    </xf>
    <xf numFmtId="164" fontId="15" fillId="31" borderId="50" xfId="0" applyNumberFormat="1" applyFont="1" applyFill="1" applyBorder="1" applyAlignment="1">
      <alignment horizontal="center" vertical="center"/>
    </xf>
    <xf numFmtId="164" fontId="15" fillId="31" borderId="52" xfId="0" applyNumberFormat="1" applyFont="1" applyFill="1" applyBorder="1" applyAlignment="1">
      <alignment horizontal="center" vertical="center"/>
    </xf>
    <xf numFmtId="0" fontId="15" fillId="31" borderId="53" xfId="0" applyFont="1" applyFill="1" applyBorder="1" applyAlignment="1">
      <alignment horizontal="center" vertical="center"/>
    </xf>
    <xf numFmtId="0" fontId="3" fillId="32" borderId="39" xfId="0" applyFont="1" applyFill="1" applyBorder="1" applyAlignment="1">
      <alignment horizontal="center" vertical="center"/>
    </xf>
    <xf numFmtId="0" fontId="3" fillId="32" borderId="40" xfId="0" applyFont="1" applyFill="1" applyBorder="1" applyAlignment="1">
      <alignment horizontal="center" vertical="center"/>
    </xf>
    <xf numFmtId="164" fontId="3" fillId="32" borderId="40" xfId="0" applyNumberFormat="1" applyFont="1" applyFill="1" applyBorder="1" applyAlignment="1">
      <alignment horizontal="center" vertical="center"/>
    </xf>
    <xf numFmtId="164" fontId="3" fillId="32" borderId="45" xfId="0" applyNumberFormat="1" applyFont="1" applyFill="1" applyBorder="1" applyAlignment="1">
      <alignment horizontal="center" vertical="center"/>
    </xf>
    <xf numFmtId="0" fontId="3" fillId="32" borderId="5" xfId="0" applyFont="1" applyFill="1" applyBorder="1" applyAlignment="1">
      <alignment horizontal="center" vertical="center"/>
    </xf>
    <xf numFmtId="0" fontId="3" fillId="32" borderId="51" xfId="0" applyFont="1" applyFill="1" applyBorder="1" applyAlignment="1">
      <alignment horizontal="center" vertical="center"/>
    </xf>
    <xf numFmtId="0" fontId="3" fillId="32" borderId="50" xfId="0" applyFont="1" applyFill="1" applyBorder="1" applyAlignment="1">
      <alignment horizontal="center" vertical="center"/>
    </xf>
    <xf numFmtId="164" fontId="3" fillId="32" borderId="50" xfId="0" applyNumberFormat="1" applyFont="1" applyFill="1" applyBorder="1" applyAlignment="1">
      <alignment horizontal="center" vertical="center"/>
    </xf>
    <xf numFmtId="164" fontId="3" fillId="32" borderId="52" xfId="0" applyNumberFormat="1" applyFont="1" applyFill="1" applyBorder="1" applyAlignment="1">
      <alignment horizontal="center" vertical="center"/>
    </xf>
    <xf numFmtId="0" fontId="3" fillId="32" borderId="5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33" borderId="0" xfId="0" applyFill="1"/>
    <xf numFmtId="0" fontId="3" fillId="3" borderId="39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64" fontId="3" fillId="3" borderId="40" xfId="0" applyNumberFormat="1" applyFont="1" applyFill="1" applyBorder="1" applyAlignment="1">
      <alignment horizontal="center" vertical="center"/>
    </xf>
    <xf numFmtId="164" fontId="3" fillId="3" borderId="4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8" fillId="21" borderId="11" xfId="0" applyFont="1" applyFill="1" applyBorder="1" applyAlignment="1">
      <alignment horizontal="left" vertical="top"/>
    </xf>
    <xf numFmtId="0" fontId="19" fillId="34" borderId="11" xfId="0" applyFont="1" applyFill="1" applyBorder="1" applyAlignment="1">
      <alignment horizontal="left" vertical="top"/>
    </xf>
    <xf numFmtId="164" fontId="19" fillId="35" borderId="11" xfId="0" applyNumberFormat="1" applyFont="1" applyFill="1" applyBorder="1" applyAlignment="1">
      <alignment horizontal="left" vertical="top"/>
    </xf>
    <xf numFmtId="0" fontId="19" fillId="21" borderId="11" xfId="0" applyFont="1" applyFill="1" applyBorder="1" applyAlignment="1">
      <alignment horizontal="left" vertical="top"/>
    </xf>
    <xf numFmtId="0" fontId="19" fillId="36" borderId="11" xfId="0" applyFont="1" applyFill="1" applyBorder="1" applyAlignment="1">
      <alignment horizontal="left" vertical="top"/>
    </xf>
    <xf numFmtId="0" fontId="19" fillId="37" borderId="11" xfId="0" applyFont="1" applyFill="1" applyBorder="1" applyAlignment="1">
      <alignment horizontal="left" vertical="top"/>
    </xf>
    <xf numFmtId="0" fontId="19" fillId="25" borderId="11" xfId="0" applyFont="1" applyFill="1" applyBorder="1" applyAlignment="1">
      <alignment horizontal="left" vertical="top"/>
    </xf>
    <xf numFmtId="0" fontId="19" fillId="6" borderId="11" xfId="0" applyFont="1" applyFill="1" applyBorder="1" applyAlignment="1">
      <alignment horizontal="left" vertical="top"/>
    </xf>
    <xf numFmtId="0" fontId="20" fillId="21" borderId="11" xfId="0" applyFont="1" applyFill="1" applyBorder="1" applyAlignment="1">
      <alignment horizontal="left" vertical="top"/>
    </xf>
    <xf numFmtId="0" fontId="20" fillId="34" borderId="11" xfId="0" applyFont="1" applyFill="1" applyBorder="1" applyAlignment="1">
      <alignment horizontal="left" vertical="top"/>
    </xf>
    <xf numFmtId="164" fontId="20" fillId="35" borderId="11" xfId="0" applyNumberFormat="1" applyFont="1" applyFill="1" applyBorder="1" applyAlignment="1">
      <alignment horizontal="left" vertical="top"/>
    </xf>
    <xf numFmtId="0" fontId="20" fillId="36" borderId="11" xfId="0" applyFont="1" applyFill="1" applyBorder="1" applyAlignment="1">
      <alignment horizontal="left" vertical="top"/>
    </xf>
    <xf numFmtId="0" fontId="20" fillId="37" borderId="11" xfId="0" applyFont="1" applyFill="1" applyBorder="1" applyAlignment="1">
      <alignment horizontal="left" vertical="top"/>
    </xf>
    <xf numFmtId="0" fontId="20" fillId="25" borderId="11" xfId="0" applyFont="1" applyFill="1" applyBorder="1" applyAlignment="1">
      <alignment horizontal="left" vertical="top"/>
    </xf>
    <xf numFmtId="0" fontId="20" fillId="6" borderId="11" xfId="0" applyFont="1" applyFill="1" applyBorder="1" applyAlignment="1">
      <alignment horizontal="left" vertical="top"/>
    </xf>
    <xf numFmtId="0" fontId="17" fillId="6" borderId="11" xfId="0" applyFont="1" applyFill="1" applyBorder="1" applyAlignment="1">
      <alignment horizontal="left" vertical="top"/>
    </xf>
    <xf numFmtId="164" fontId="20" fillId="35" borderId="11" xfId="0" quotePrefix="1" applyNumberFormat="1" applyFont="1" applyFill="1" applyBorder="1" applyAlignment="1">
      <alignment horizontal="left" vertical="top"/>
    </xf>
    <xf numFmtId="0" fontId="20" fillId="25" borderId="11" xfId="0" applyFont="1" applyFill="1" applyBorder="1" applyAlignment="1">
      <alignment horizontal="left" vertical="top" wrapText="1"/>
    </xf>
    <xf numFmtId="0" fontId="20" fillId="21" borderId="11" xfId="0" applyFont="1" applyFill="1" applyBorder="1" applyAlignment="1">
      <alignment horizontal="left" vertical="top" wrapText="1"/>
    </xf>
    <xf numFmtId="0" fontId="20" fillId="34" borderId="11" xfId="0" applyFont="1" applyFill="1" applyBorder="1" applyAlignment="1">
      <alignment horizontal="left" vertical="top" wrapText="1"/>
    </xf>
    <xf numFmtId="164" fontId="20" fillId="35" borderId="11" xfId="0" applyNumberFormat="1" applyFont="1" applyFill="1" applyBorder="1" applyAlignment="1">
      <alignment horizontal="left" vertical="top" wrapText="1"/>
    </xf>
    <xf numFmtId="0" fontId="20" fillId="36" borderId="11" xfId="0" applyFont="1" applyFill="1" applyBorder="1" applyAlignment="1">
      <alignment horizontal="left" vertical="top" wrapText="1"/>
    </xf>
    <xf numFmtId="0" fontId="20" fillId="37" borderId="11" xfId="0" applyFont="1" applyFill="1" applyBorder="1" applyAlignment="1">
      <alignment horizontal="left" vertical="top" wrapText="1"/>
    </xf>
    <xf numFmtId="164" fontId="20" fillId="35" borderId="11" xfId="1" applyNumberFormat="1" applyFont="1" applyFill="1" applyBorder="1" applyAlignment="1">
      <alignment horizontal="left" vertical="top" wrapText="1"/>
    </xf>
    <xf numFmtId="14" fontId="20" fillId="21" borderId="11" xfId="0" applyNumberFormat="1" applyFont="1" applyFill="1" applyBorder="1" applyAlignment="1">
      <alignment horizontal="left" vertical="top" wrapText="1"/>
    </xf>
    <xf numFmtId="0" fontId="20" fillId="34" borderId="11" xfId="0" applyFont="1" applyFill="1" applyBorder="1"/>
    <xf numFmtId="0" fontId="20" fillId="21" borderId="11" xfId="0" applyFont="1" applyFill="1" applyBorder="1"/>
    <xf numFmtId="0" fontId="20" fillId="25" borderId="11" xfId="0" applyFont="1" applyFill="1" applyBorder="1"/>
    <xf numFmtId="0" fontId="20" fillId="36" borderId="11" xfId="0" applyFont="1" applyFill="1" applyBorder="1"/>
    <xf numFmtId="0" fontId="20" fillId="37" borderId="11" xfId="0" applyFont="1" applyFill="1" applyBorder="1"/>
    <xf numFmtId="0" fontId="20" fillId="6" borderId="11" xfId="0" applyFont="1" applyFill="1" applyBorder="1"/>
    <xf numFmtId="0" fontId="17" fillId="21" borderId="11" xfId="0" applyFont="1" applyFill="1" applyBorder="1"/>
    <xf numFmtId="0" fontId="17" fillId="34" borderId="11" xfId="0" applyFont="1" applyFill="1" applyBorder="1"/>
    <xf numFmtId="164" fontId="17" fillId="35" borderId="11" xfId="0" applyNumberFormat="1" applyFont="1" applyFill="1" applyBorder="1" applyAlignment="1">
      <alignment horizontal="left" vertical="top"/>
    </xf>
    <xf numFmtId="0" fontId="17" fillId="36" borderId="11" xfId="0" applyFont="1" applyFill="1" applyBorder="1"/>
    <xf numFmtId="0" fontId="17" fillId="37" borderId="11" xfId="0" applyFont="1" applyFill="1" applyBorder="1"/>
    <xf numFmtId="0" fontId="17" fillId="25" borderId="11" xfId="0" applyFont="1" applyFill="1" applyBorder="1"/>
    <xf numFmtId="0" fontId="21" fillId="6" borderId="0" xfId="0" applyFont="1" applyFill="1"/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vertical="center"/>
    </xf>
    <xf numFmtId="14" fontId="4" fillId="6" borderId="0" xfId="0" applyNumberFormat="1" applyFont="1" applyFill="1" applyAlignment="1">
      <alignment vertical="center"/>
    </xf>
    <xf numFmtId="0" fontId="3" fillId="0" borderId="51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22" borderId="2" xfId="0" applyFont="1" applyFill="1" applyBorder="1" applyAlignment="1">
      <alignment horizontal="center" vertical="center"/>
    </xf>
    <xf numFmtId="164" fontId="3" fillId="22" borderId="2" xfId="0" applyNumberFormat="1" applyFont="1" applyFill="1" applyBorder="1" applyAlignment="1">
      <alignment horizontal="center" vertical="center"/>
    </xf>
    <xf numFmtId="164" fontId="3" fillId="22" borderId="3" xfId="0" applyNumberFormat="1" applyFont="1" applyFill="1" applyBorder="1" applyAlignment="1">
      <alignment horizontal="center" vertical="center"/>
    </xf>
    <xf numFmtId="0" fontId="3" fillId="22" borderId="33" xfId="0" applyFont="1" applyFill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64" fontId="3" fillId="42" borderId="40" xfId="0" applyNumberFormat="1" applyFont="1" applyFill="1" applyBorder="1" applyAlignment="1">
      <alignment horizontal="center" vertical="center"/>
    </xf>
    <xf numFmtId="0" fontId="3" fillId="42" borderId="1" xfId="0" applyFont="1" applyFill="1" applyBorder="1" applyAlignment="1">
      <alignment horizontal="center" vertical="center"/>
    </xf>
    <xf numFmtId="0" fontId="3" fillId="42" borderId="2" xfId="0" applyFont="1" applyFill="1" applyBorder="1" applyAlignment="1">
      <alignment horizontal="center" vertical="center"/>
    </xf>
    <xf numFmtId="164" fontId="3" fillId="42" borderId="2" xfId="0" applyNumberFormat="1" applyFont="1" applyFill="1" applyBorder="1" applyAlignment="1">
      <alignment horizontal="center" vertical="center"/>
    </xf>
    <xf numFmtId="164" fontId="3" fillId="42" borderId="3" xfId="0" applyNumberFormat="1" applyFont="1" applyFill="1" applyBorder="1" applyAlignment="1">
      <alignment horizontal="center" vertical="center"/>
    </xf>
    <xf numFmtId="0" fontId="3" fillId="42" borderId="33" xfId="0" applyFont="1" applyFill="1" applyBorder="1" applyAlignment="1">
      <alignment horizontal="center" vertical="center"/>
    </xf>
    <xf numFmtId="0" fontId="15" fillId="31" borderId="1" xfId="0" applyFont="1" applyFill="1" applyBorder="1" applyAlignment="1">
      <alignment horizontal="center" vertical="center"/>
    </xf>
    <xf numFmtId="0" fontId="15" fillId="31" borderId="2" xfId="0" applyFont="1" applyFill="1" applyBorder="1" applyAlignment="1">
      <alignment horizontal="center" vertical="center"/>
    </xf>
    <xf numFmtId="164" fontId="15" fillId="31" borderId="2" xfId="0" applyNumberFormat="1" applyFont="1" applyFill="1" applyBorder="1" applyAlignment="1">
      <alignment horizontal="center" vertical="center"/>
    </xf>
    <xf numFmtId="164" fontId="15" fillId="31" borderId="3" xfId="0" applyNumberFormat="1" applyFont="1" applyFill="1" applyBorder="1" applyAlignment="1">
      <alignment horizontal="center" vertical="center"/>
    </xf>
    <xf numFmtId="0" fontId="15" fillId="31" borderId="3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3" fillId="29" borderId="51" xfId="0" applyFont="1" applyFill="1" applyBorder="1" applyAlignment="1">
      <alignment horizontal="center" vertical="center"/>
    </xf>
    <xf numFmtId="0" fontId="3" fillId="29" borderId="50" xfId="0" applyFont="1" applyFill="1" applyBorder="1" applyAlignment="1">
      <alignment horizontal="center" vertical="center"/>
    </xf>
    <xf numFmtId="164" fontId="3" fillId="29" borderId="50" xfId="0" applyNumberFormat="1" applyFont="1" applyFill="1" applyBorder="1" applyAlignment="1">
      <alignment horizontal="center" vertical="center"/>
    </xf>
    <xf numFmtId="164" fontId="3" fillId="29" borderId="52" xfId="0" applyNumberFormat="1" applyFont="1" applyFill="1" applyBorder="1" applyAlignment="1">
      <alignment horizontal="center" vertical="center"/>
    </xf>
    <xf numFmtId="0" fontId="3" fillId="29" borderId="53" xfId="0" applyFont="1" applyFill="1" applyBorder="1" applyAlignment="1">
      <alignment horizontal="center" vertical="center"/>
    </xf>
    <xf numFmtId="0" fontId="9" fillId="0" borderId="10" xfId="0" applyFont="1" applyBorder="1"/>
    <xf numFmtId="0" fontId="13" fillId="0" borderId="6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wrapText="1"/>
    </xf>
    <xf numFmtId="0" fontId="9" fillId="0" borderId="13" xfId="0" applyFont="1" applyBorder="1"/>
    <xf numFmtId="0" fontId="9" fillId="0" borderId="14" xfId="0" applyFont="1" applyBorder="1"/>
    <xf numFmtId="0" fontId="9" fillId="0" borderId="17" xfId="0" applyFont="1" applyBorder="1"/>
    <xf numFmtId="0" fontId="4" fillId="6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 wrapText="1"/>
    </xf>
    <xf numFmtId="0" fontId="3" fillId="4" borderId="40" xfId="0" applyFont="1" applyFill="1" applyBorder="1" applyAlignment="1">
      <alignment horizontal="center" vertical="center" wrapText="1"/>
    </xf>
    <xf numFmtId="0" fontId="3" fillId="4" borderId="4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4" fillId="41" borderId="34" xfId="0" applyFont="1" applyFill="1" applyBorder="1" applyAlignment="1">
      <alignment horizontal="center" vertical="center" wrapText="1"/>
    </xf>
    <xf numFmtId="0" fontId="14" fillId="41" borderId="37" xfId="0" applyFont="1" applyFill="1" applyBorder="1" applyAlignment="1">
      <alignment horizontal="center" vertical="center" wrapText="1"/>
    </xf>
    <xf numFmtId="0" fontId="14" fillId="41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4" fillId="22" borderId="34" xfId="0" applyFont="1" applyFill="1" applyBorder="1" applyAlignment="1">
      <alignment horizontal="center" vertical="center" wrapText="1"/>
    </xf>
    <xf numFmtId="0" fontId="14" fillId="22" borderId="37" xfId="0" applyFont="1" applyFill="1" applyBorder="1" applyAlignment="1">
      <alignment horizontal="center" vertical="center" wrapText="1"/>
    </xf>
    <xf numFmtId="0" fontId="14" fillId="22" borderId="35" xfId="0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/>
    </xf>
    <xf numFmtId="164" fontId="0" fillId="0" borderId="47" xfId="0" applyNumberFormat="1" applyBorder="1" applyAlignment="1">
      <alignment horizontal="center" vertical="center"/>
    </xf>
    <xf numFmtId="0" fontId="14" fillId="39" borderId="34" xfId="0" applyFont="1" applyFill="1" applyBorder="1" applyAlignment="1">
      <alignment horizontal="center" vertical="center" wrapText="1"/>
    </xf>
    <xf numFmtId="0" fontId="14" fillId="39" borderId="37" xfId="0" applyFont="1" applyFill="1" applyBorder="1" applyAlignment="1">
      <alignment horizontal="center" vertical="center" wrapText="1"/>
    </xf>
    <xf numFmtId="0" fontId="14" fillId="39" borderId="35" xfId="0" applyFont="1" applyFill="1" applyBorder="1" applyAlignment="1">
      <alignment horizontal="center" vertical="center" wrapText="1"/>
    </xf>
    <xf numFmtId="0" fontId="14" fillId="40" borderId="34" xfId="0" applyFont="1" applyFill="1" applyBorder="1" applyAlignment="1">
      <alignment horizontal="center" vertical="center" wrapText="1"/>
    </xf>
    <xf numFmtId="0" fontId="14" fillId="40" borderId="37" xfId="0" applyFont="1" applyFill="1" applyBorder="1" applyAlignment="1">
      <alignment horizontal="center" vertical="center" wrapText="1"/>
    </xf>
    <xf numFmtId="0" fontId="14" fillId="40" borderId="35" xfId="0" applyFont="1" applyFill="1" applyBorder="1" applyAlignment="1">
      <alignment horizontal="center" vertical="center" wrapText="1"/>
    </xf>
    <xf numFmtId="164" fontId="0" fillId="0" borderId="16" xfId="0" applyNumberFormat="1" applyBorder="1" applyAlignment="1">
      <alignment horizontal="center" vertical="center"/>
    </xf>
    <xf numFmtId="164" fontId="0" fillId="0" borderId="49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48" xfId="0" applyNumberFormat="1" applyBorder="1" applyAlignment="1">
      <alignment horizontal="center" vertical="center"/>
    </xf>
    <xf numFmtId="0" fontId="14" fillId="3" borderId="34" xfId="0" applyFont="1" applyFill="1" applyBorder="1" applyAlignment="1">
      <alignment horizontal="center" vertical="center" wrapText="1"/>
    </xf>
    <xf numFmtId="0" fontId="14" fillId="3" borderId="37" xfId="0" applyFont="1" applyFill="1" applyBorder="1" applyAlignment="1">
      <alignment horizontal="center" vertical="center" wrapText="1"/>
    </xf>
    <xf numFmtId="0" fontId="14" fillId="3" borderId="35" xfId="0" applyFont="1" applyFill="1" applyBorder="1" applyAlignment="1">
      <alignment horizontal="center" vertical="center" wrapText="1"/>
    </xf>
    <xf numFmtId="0" fontId="14" fillId="38" borderId="34" xfId="0" applyFont="1" applyFill="1" applyBorder="1" applyAlignment="1">
      <alignment horizontal="center" vertical="center" wrapText="1"/>
    </xf>
    <xf numFmtId="0" fontId="14" fillId="38" borderId="37" xfId="0" applyFont="1" applyFill="1" applyBorder="1" applyAlignment="1">
      <alignment horizontal="center" vertical="center" wrapText="1"/>
    </xf>
    <xf numFmtId="0" fontId="14" fillId="38" borderId="35" xfId="0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7" fillId="9" borderId="3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3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5" fillId="7" borderId="39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33" xfId="0" applyFont="1" applyFill="1" applyBorder="1" applyAlignment="1">
      <alignment horizontal="center" vertical="center" wrapText="1"/>
    </xf>
    <xf numFmtId="0" fontId="5" fillId="8" borderId="34" xfId="0" applyFont="1" applyFill="1" applyBorder="1" applyAlignment="1">
      <alignment horizontal="center" vertical="center" wrapText="1"/>
    </xf>
    <xf numFmtId="0" fontId="5" fillId="8" borderId="35" xfId="0" applyFont="1" applyFill="1" applyBorder="1" applyAlignment="1">
      <alignment horizontal="center" vertical="center" wrapText="1"/>
    </xf>
    <xf numFmtId="0" fontId="5" fillId="4" borderId="33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/>
    </xf>
    <xf numFmtId="0" fontId="12" fillId="11" borderId="33" xfId="0" applyFont="1" applyFill="1" applyBorder="1" applyAlignment="1">
      <alignment horizontal="center" vertical="center"/>
    </xf>
    <xf numFmtId="0" fontId="10" fillId="11" borderId="34" xfId="0" applyFont="1" applyFill="1" applyBorder="1" applyAlignment="1">
      <alignment horizontal="center" vertical="center" wrapText="1"/>
    </xf>
    <xf numFmtId="0" fontId="10" fillId="11" borderId="3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14" fillId="13" borderId="34" xfId="0" applyFont="1" applyFill="1" applyBorder="1" applyAlignment="1">
      <alignment horizontal="center" vertical="center" wrapText="1"/>
    </xf>
    <xf numFmtId="0" fontId="14" fillId="13" borderId="37" xfId="0" applyFont="1" applyFill="1" applyBorder="1" applyAlignment="1">
      <alignment horizontal="center" vertical="center" wrapText="1"/>
    </xf>
    <xf numFmtId="0" fontId="14" fillId="13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4" fillId="14" borderId="34" xfId="0" applyFont="1" applyFill="1" applyBorder="1" applyAlignment="1">
      <alignment horizontal="center" vertical="center" wrapText="1"/>
    </xf>
    <xf numFmtId="0" fontId="14" fillId="14" borderId="37" xfId="0" applyFont="1" applyFill="1" applyBorder="1" applyAlignment="1">
      <alignment horizontal="center" vertical="center" wrapText="1"/>
    </xf>
    <xf numFmtId="0" fontId="14" fillId="14" borderId="35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 wrapText="1"/>
    </xf>
    <xf numFmtId="0" fontId="3" fillId="4" borderId="37" xfId="0" applyFont="1" applyFill="1" applyBorder="1" applyAlignment="1">
      <alignment horizontal="center" vertical="center" wrapText="1"/>
    </xf>
    <xf numFmtId="0" fontId="3" fillId="4" borderId="46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4" fillId="4" borderId="37" xfId="0" applyFont="1" applyFill="1" applyBorder="1" applyAlignment="1">
      <alignment horizontal="center" vertical="center"/>
    </xf>
    <xf numFmtId="0" fontId="14" fillId="4" borderId="35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4" fillId="17" borderId="34" xfId="0" applyFont="1" applyFill="1" applyBorder="1" applyAlignment="1">
      <alignment horizontal="center" vertical="center" wrapText="1"/>
    </xf>
    <xf numFmtId="0" fontId="14" fillId="17" borderId="37" xfId="0" applyFont="1" applyFill="1" applyBorder="1" applyAlignment="1">
      <alignment horizontal="center" vertical="center" wrapText="1"/>
    </xf>
    <xf numFmtId="0" fontId="14" fillId="17" borderId="35" xfId="0" applyFont="1" applyFill="1" applyBorder="1" applyAlignment="1">
      <alignment horizontal="center" vertical="center" wrapText="1"/>
    </xf>
    <xf numFmtId="0" fontId="4" fillId="16" borderId="34" xfId="0" applyFont="1" applyFill="1" applyBorder="1" applyAlignment="1">
      <alignment horizontal="center" vertical="center" wrapText="1"/>
    </xf>
    <xf numFmtId="0" fontId="4" fillId="16" borderId="37" xfId="0" applyFont="1" applyFill="1" applyBorder="1" applyAlignment="1">
      <alignment horizontal="center" vertical="center" wrapText="1"/>
    </xf>
    <xf numFmtId="0" fontId="4" fillId="16" borderId="35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4" fillId="4" borderId="36" xfId="0" applyFont="1" applyFill="1" applyBorder="1" applyAlignment="1">
      <alignment horizontal="center" vertical="center" wrapText="1"/>
    </xf>
    <xf numFmtId="0" fontId="14" fillId="4" borderId="38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14" fillId="4" borderId="41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4" fillId="4" borderId="42" xfId="0" applyFont="1" applyFill="1" applyBorder="1" applyAlignment="1">
      <alignment horizontal="center" vertical="center" wrapText="1"/>
    </xf>
    <xf numFmtId="0" fontId="14" fillId="4" borderId="43" xfId="0" applyFont="1" applyFill="1" applyBorder="1" applyAlignment="1">
      <alignment horizontal="center" vertical="center" wrapText="1"/>
    </xf>
    <xf numFmtId="0" fontId="14" fillId="4" borderId="23" xfId="0" applyFont="1" applyFill="1" applyBorder="1" applyAlignment="1">
      <alignment horizontal="center" vertical="center" wrapText="1"/>
    </xf>
    <xf numFmtId="0" fontId="14" fillId="4" borderId="24" xfId="0" applyFont="1" applyFill="1" applyBorder="1" applyAlignment="1">
      <alignment horizontal="center" vertical="center" wrapText="1"/>
    </xf>
    <xf numFmtId="0" fontId="4" fillId="18" borderId="34" xfId="0" applyFont="1" applyFill="1" applyBorder="1" applyAlignment="1">
      <alignment horizontal="center" vertical="center" wrapText="1"/>
    </xf>
    <xf numFmtId="0" fontId="4" fillId="18" borderId="37" xfId="0" applyFont="1" applyFill="1" applyBorder="1" applyAlignment="1">
      <alignment horizontal="center" vertical="center" wrapText="1"/>
    </xf>
    <xf numFmtId="0" fontId="4" fillId="18" borderId="35" xfId="0" applyFont="1" applyFill="1" applyBorder="1" applyAlignment="1">
      <alignment horizontal="center" vertical="center" wrapText="1"/>
    </xf>
    <xf numFmtId="0" fontId="4" fillId="20" borderId="34" xfId="0" applyFont="1" applyFill="1" applyBorder="1" applyAlignment="1">
      <alignment horizontal="center" vertical="center" wrapText="1"/>
    </xf>
    <xf numFmtId="0" fontId="4" fillId="20" borderId="37" xfId="0" applyFont="1" applyFill="1" applyBorder="1" applyAlignment="1">
      <alignment horizontal="center" vertical="center" wrapText="1"/>
    </xf>
    <xf numFmtId="0" fontId="4" fillId="20" borderId="35" xfId="0" applyFont="1" applyFill="1" applyBorder="1" applyAlignment="1">
      <alignment horizontal="center" vertical="center" wrapText="1"/>
    </xf>
    <xf numFmtId="0" fontId="14" fillId="29" borderId="34" xfId="0" applyFont="1" applyFill="1" applyBorder="1" applyAlignment="1">
      <alignment horizontal="center" vertical="center" wrapText="1"/>
    </xf>
    <xf numFmtId="0" fontId="14" fillId="29" borderId="37" xfId="0" applyFont="1" applyFill="1" applyBorder="1" applyAlignment="1">
      <alignment horizontal="center" vertical="center" wrapText="1"/>
    </xf>
    <xf numFmtId="0" fontId="14" fillId="29" borderId="35" xfId="0" applyFont="1" applyFill="1" applyBorder="1" applyAlignment="1">
      <alignment horizontal="center" vertical="center" wrapText="1"/>
    </xf>
    <xf numFmtId="0" fontId="4" fillId="21" borderId="34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35" xfId="0" applyFont="1" applyFill="1" applyBorder="1" applyAlignment="1">
      <alignment horizontal="center" vertical="center" wrapText="1"/>
    </xf>
    <xf numFmtId="0" fontId="3" fillId="4" borderId="36" xfId="0" applyFont="1" applyFill="1" applyBorder="1" applyAlignment="1">
      <alignment horizontal="center" vertical="center" wrapText="1"/>
    </xf>
    <xf numFmtId="0" fontId="3" fillId="4" borderId="38" xfId="0" applyFont="1" applyFill="1" applyBorder="1" applyAlignment="1">
      <alignment horizontal="center" vertical="center" wrapText="1"/>
    </xf>
    <xf numFmtId="0" fontId="3" fillId="4" borderId="54" xfId="0" applyFont="1" applyFill="1" applyBorder="1" applyAlignment="1">
      <alignment horizontal="center" vertical="center" wrapText="1"/>
    </xf>
    <xf numFmtId="0" fontId="3" fillId="4" borderId="45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16" fillId="19" borderId="34" xfId="0" applyFont="1" applyFill="1" applyBorder="1" applyAlignment="1">
      <alignment horizontal="center" vertical="center" wrapText="1"/>
    </xf>
    <xf numFmtId="0" fontId="16" fillId="19" borderId="37" xfId="0" applyFont="1" applyFill="1" applyBorder="1" applyAlignment="1">
      <alignment horizontal="center" vertical="center" wrapText="1"/>
    </xf>
    <xf numFmtId="0" fontId="16" fillId="19" borderId="35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/>
    </xf>
    <xf numFmtId="0" fontId="14" fillId="28" borderId="34" xfId="0" applyFont="1" applyFill="1" applyBorder="1" applyAlignment="1">
      <alignment horizontal="center" vertical="center" wrapText="1"/>
    </xf>
    <xf numFmtId="0" fontId="14" fillId="28" borderId="37" xfId="0" applyFont="1" applyFill="1" applyBorder="1" applyAlignment="1">
      <alignment horizontal="center" vertical="center" wrapText="1"/>
    </xf>
    <xf numFmtId="0" fontId="14" fillId="28" borderId="35" xfId="0" applyFont="1" applyFill="1" applyBorder="1" applyAlignment="1">
      <alignment horizontal="center" vertical="center" wrapText="1"/>
    </xf>
    <xf numFmtId="0" fontId="14" fillId="23" borderId="34" xfId="0" applyFont="1" applyFill="1" applyBorder="1" applyAlignment="1">
      <alignment horizontal="center" vertical="center" wrapText="1"/>
    </xf>
    <xf numFmtId="0" fontId="14" fillId="23" borderId="37" xfId="0" applyFont="1" applyFill="1" applyBorder="1" applyAlignment="1">
      <alignment horizontal="center" vertical="center" wrapText="1"/>
    </xf>
    <xf numFmtId="0" fontId="14" fillId="23" borderId="35" xfId="0" applyFont="1" applyFill="1" applyBorder="1" applyAlignment="1">
      <alignment horizontal="center" vertical="center" wrapText="1"/>
    </xf>
    <xf numFmtId="0" fontId="14" fillId="24" borderId="34" xfId="0" applyFont="1" applyFill="1" applyBorder="1" applyAlignment="1">
      <alignment horizontal="center" vertical="center" wrapText="1"/>
    </xf>
    <xf numFmtId="0" fontId="14" fillId="24" borderId="37" xfId="0" applyFont="1" applyFill="1" applyBorder="1" applyAlignment="1">
      <alignment horizontal="center" vertical="center" wrapText="1"/>
    </xf>
    <xf numFmtId="0" fontId="14" fillId="24" borderId="35" xfId="0" applyFont="1" applyFill="1" applyBorder="1" applyAlignment="1">
      <alignment horizontal="center" vertical="center" wrapText="1"/>
    </xf>
    <xf numFmtId="0" fontId="4" fillId="25" borderId="34" xfId="0" applyFont="1" applyFill="1" applyBorder="1" applyAlignment="1">
      <alignment horizontal="center" vertical="center" wrapText="1"/>
    </xf>
    <xf numFmtId="0" fontId="4" fillId="25" borderId="37" xfId="0" applyFont="1" applyFill="1" applyBorder="1" applyAlignment="1">
      <alignment horizontal="center" vertical="center" wrapText="1"/>
    </xf>
    <xf numFmtId="0" fontId="4" fillId="25" borderId="35" xfId="0" applyFont="1" applyFill="1" applyBorder="1" applyAlignment="1">
      <alignment horizontal="center" vertical="center" wrapText="1"/>
    </xf>
    <xf numFmtId="0" fontId="14" fillId="26" borderId="34" xfId="0" applyFont="1" applyFill="1" applyBorder="1" applyAlignment="1">
      <alignment horizontal="center" vertical="center" wrapText="1"/>
    </xf>
    <xf numFmtId="0" fontId="14" fillId="26" borderId="37" xfId="0" applyFont="1" applyFill="1" applyBorder="1" applyAlignment="1">
      <alignment horizontal="center" vertical="center" wrapText="1"/>
    </xf>
    <xf numFmtId="0" fontId="14" fillId="26" borderId="35" xfId="0" applyFont="1" applyFill="1" applyBorder="1" applyAlignment="1">
      <alignment horizontal="center" vertical="center" wrapText="1"/>
    </xf>
    <xf numFmtId="0" fontId="4" fillId="27" borderId="34" xfId="0" applyFont="1" applyFill="1" applyBorder="1" applyAlignment="1">
      <alignment horizontal="center" vertical="center" wrapText="1"/>
    </xf>
    <xf numFmtId="0" fontId="4" fillId="27" borderId="37" xfId="0" applyFont="1" applyFill="1" applyBorder="1" applyAlignment="1">
      <alignment horizontal="center" vertical="center" wrapText="1"/>
    </xf>
    <xf numFmtId="0" fontId="4" fillId="27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4" fillId="15" borderId="34" xfId="0" applyFont="1" applyFill="1" applyBorder="1" applyAlignment="1">
      <alignment horizontal="center" vertical="center" wrapText="1"/>
    </xf>
    <xf numFmtId="0" fontId="4" fillId="15" borderId="37" xfId="0" applyFont="1" applyFill="1" applyBorder="1" applyAlignment="1">
      <alignment horizontal="center" vertical="center" wrapText="1"/>
    </xf>
    <xf numFmtId="0" fontId="4" fillId="15" borderId="35" xfId="0" applyFont="1" applyFill="1" applyBorder="1" applyAlignment="1">
      <alignment horizontal="center" vertical="center" wrapText="1"/>
    </xf>
    <xf numFmtId="0" fontId="14" fillId="5" borderId="34" xfId="0" applyFont="1" applyFill="1" applyBorder="1" applyAlignment="1">
      <alignment horizontal="center" vertical="center" wrapText="1"/>
    </xf>
    <xf numFmtId="0" fontId="14" fillId="5" borderId="37" xfId="0" applyFont="1" applyFill="1" applyBorder="1" applyAlignment="1">
      <alignment horizontal="center" vertical="center" wrapText="1"/>
    </xf>
    <xf numFmtId="0" fontId="14" fillId="5" borderId="35" xfId="0" applyFont="1" applyFill="1" applyBorder="1" applyAlignment="1">
      <alignment horizontal="center" vertical="center" wrapText="1"/>
    </xf>
    <xf numFmtId="0" fontId="14" fillId="30" borderId="34" xfId="0" applyFont="1" applyFill="1" applyBorder="1" applyAlignment="1">
      <alignment horizontal="center" vertical="center" wrapText="1"/>
    </xf>
    <xf numFmtId="0" fontId="14" fillId="30" borderId="37" xfId="0" applyFont="1" applyFill="1" applyBorder="1" applyAlignment="1">
      <alignment horizontal="center" vertical="center" wrapText="1"/>
    </xf>
    <xf numFmtId="0" fontId="14" fillId="30" borderId="35" xfId="0" applyFont="1" applyFill="1" applyBorder="1" applyAlignment="1">
      <alignment horizontal="center" vertical="center" wrapText="1"/>
    </xf>
    <xf numFmtId="0" fontId="4" fillId="6" borderId="34" xfId="0" applyFont="1" applyFill="1" applyBorder="1" applyAlignment="1">
      <alignment horizontal="center" vertical="center" wrapText="1"/>
    </xf>
    <xf numFmtId="0" fontId="4" fillId="6" borderId="37" xfId="0" applyFont="1" applyFill="1" applyBorder="1" applyAlignment="1">
      <alignment horizontal="center" vertical="center" wrapText="1"/>
    </xf>
    <xf numFmtId="0" fontId="4" fillId="6" borderId="35" xfId="0" applyFont="1" applyFill="1" applyBorder="1" applyAlignment="1">
      <alignment horizontal="center" vertical="center" wrapText="1"/>
    </xf>
    <xf numFmtId="0" fontId="4" fillId="31" borderId="34" xfId="0" applyFont="1" applyFill="1" applyBorder="1" applyAlignment="1">
      <alignment horizontal="center" vertical="center" wrapText="1"/>
    </xf>
    <xf numFmtId="0" fontId="4" fillId="31" borderId="37" xfId="0" applyFont="1" applyFill="1" applyBorder="1" applyAlignment="1">
      <alignment horizontal="center" vertical="center" wrapText="1"/>
    </xf>
    <xf numFmtId="0" fontId="4" fillId="31" borderId="35" xfId="0" applyFont="1" applyFill="1" applyBorder="1" applyAlignment="1">
      <alignment horizontal="center" vertical="center" wrapText="1"/>
    </xf>
    <xf numFmtId="0" fontId="14" fillId="32" borderId="34" xfId="0" applyFont="1" applyFill="1" applyBorder="1" applyAlignment="1">
      <alignment horizontal="center" vertical="center" wrapText="1"/>
    </xf>
    <xf numFmtId="0" fontId="14" fillId="32" borderId="37" xfId="0" applyFont="1" applyFill="1" applyBorder="1" applyAlignment="1">
      <alignment horizontal="center" vertical="center" wrapText="1"/>
    </xf>
    <xf numFmtId="0" fontId="14" fillId="32" borderId="35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66FF33"/>
      <color rgb="FF00B050"/>
      <color rgb="FFC6E0B4"/>
      <color rgb="FFA46200"/>
      <color rgb="FFFF8989"/>
      <color rgb="FF00FFFF"/>
      <color rgb="FFFF66CC"/>
      <color rgb="FFFF99FF"/>
      <color rgb="FFFF66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219075</xdr:colOff>
      <xdr:row>19</xdr:row>
      <xdr:rowOff>177805</xdr:rowOff>
    </xdr:from>
    <xdr:to>
      <xdr:col>23</xdr:col>
      <xdr:colOff>47625</xdr:colOff>
      <xdr:row>25</xdr:row>
      <xdr:rowOff>9767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3E80A5-7250-8601-ABD5-510533C46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825" y="5054605"/>
          <a:ext cx="5857875" cy="15274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28575</xdr:colOff>
      <xdr:row>1</xdr:row>
      <xdr:rowOff>9525</xdr:rowOff>
    </xdr:from>
    <xdr:to>
      <xdr:col>29</xdr:col>
      <xdr:colOff>104295</xdr:colOff>
      <xdr:row>34</xdr:row>
      <xdr:rowOff>46815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596FDC-54D1-5396-85A1-3B5661150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11175" y="276225"/>
          <a:ext cx="3838095" cy="64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09"/>
  <sheetViews>
    <sheetView zoomScale="70" zoomScaleNormal="70" workbookViewId="0"/>
  </sheetViews>
  <sheetFormatPr defaultRowHeight="15" x14ac:dyDescent="0.25"/>
  <cols>
    <col min="1" max="1" width="15.85546875" customWidth="1"/>
    <col min="2" max="2" width="16.7109375" customWidth="1"/>
    <col min="3" max="3" width="18.140625" bestFit="1" customWidth="1"/>
    <col min="4" max="4" width="24.5703125" bestFit="1" customWidth="1"/>
    <col min="5" max="5" width="23.42578125" bestFit="1" customWidth="1"/>
    <col min="6" max="6" width="7.42578125" bestFit="1" customWidth="1"/>
    <col min="7" max="7" width="18.140625" bestFit="1" customWidth="1"/>
    <col min="8" max="8" width="12.85546875" bestFit="1" customWidth="1"/>
    <col min="9" max="9" width="12.140625" bestFit="1" customWidth="1"/>
    <col min="10" max="10" width="11.42578125" bestFit="1" customWidth="1"/>
    <col min="11" max="11" width="10.5703125" bestFit="1" customWidth="1"/>
    <col min="12" max="12" width="18.140625" bestFit="1" customWidth="1"/>
    <col min="13" max="13" width="10.5703125" bestFit="1" customWidth="1"/>
    <col min="14" max="14" width="96.140625" bestFit="1" customWidth="1"/>
    <col min="15" max="15" width="39.7109375" style="129" customWidth="1"/>
    <col min="16" max="16" width="7.28515625" style="228" bestFit="1" customWidth="1"/>
  </cols>
  <sheetData>
    <row r="1" spans="1:16" ht="23.25" x14ac:dyDescent="0.25">
      <c r="A1" s="274" t="s">
        <v>0</v>
      </c>
      <c r="B1" s="275" t="s">
        <v>1</v>
      </c>
      <c r="C1" s="276" t="s">
        <v>2</v>
      </c>
      <c r="D1" s="277" t="s">
        <v>3</v>
      </c>
      <c r="E1" s="276" t="s">
        <v>4</v>
      </c>
      <c r="F1" s="278" t="s">
        <v>5</v>
      </c>
      <c r="G1" s="279" t="s">
        <v>6</v>
      </c>
      <c r="H1" s="279" t="s">
        <v>6</v>
      </c>
      <c r="I1" s="279" t="s">
        <v>6</v>
      </c>
      <c r="J1" s="279" t="s">
        <v>6</v>
      </c>
      <c r="K1" s="279" t="s">
        <v>6</v>
      </c>
      <c r="L1" s="279" t="s">
        <v>6</v>
      </c>
      <c r="M1" s="279" t="s">
        <v>6</v>
      </c>
      <c r="N1" s="280" t="s">
        <v>7</v>
      </c>
      <c r="O1" s="281" t="s">
        <v>8</v>
      </c>
      <c r="P1" s="281" t="s">
        <v>37</v>
      </c>
    </row>
    <row r="2" spans="1:16" x14ac:dyDescent="0.25">
      <c r="A2" s="282" t="s">
        <v>9</v>
      </c>
      <c r="B2" s="283">
        <v>334159</v>
      </c>
      <c r="C2" s="284">
        <v>46023</v>
      </c>
      <c r="D2" s="282" t="s">
        <v>372</v>
      </c>
      <c r="E2" s="284">
        <v>45988</v>
      </c>
      <c r="F2" s="285" t="s">
        <v>10</v>
      </c>
      <c r="G2" s="286" t="s">
        <v>11</v>
      </c>
      <c r="H2" s="286" t="s">
        <v>178</v>
      </c>
      <c r="I2" s="286" t="s">
        <v>12</v>
      </c>
      <c r="J2" s="286" t="s">
        <v>13</v>
      </c>
      <c r="K2" s="286" t="s">
        <v>14</v>
      </c>
      <c r="L2" s="286" t="s">
        <v>179</v>
      </c>
      <c r="M2" s="286" t="s">
        <v>180</v>
      </c>
      <c r="N2" s="287" t="s">
        <v>15</v>
      </c>
      <c r="O2" s="288" t="s">
        <v>232</v>
      </c>
      <c r="P2" s="289">
        <v>2</v>
      </c>
    </row>
    <row r="3" spans="1:16" x14ac:dyDescent="0.25">
      <c r="A3" s="282" t="s">
        <v>9</v>
      </c>
      <c r="B3" s="283">
        <v>334159</v>
      </c>
      <c r="C3" s="284">
        <v>46023</v>
      </c>
      <c r="D3" s="282" t="s">
        <v>373</v>
      </c>
      <c r="E3" s="284">
        <v>45985</v>
      </c>
      <c r="F3" s="285" t="s">
        <v>23</v>
      </c>
      <c r="G3" s="286" t="s">
        <v>11</v>
      </c>
      <c r="H3" s="286" t="s">
        <v>178</v>
      </c>
      <c r="I3" s="286" t="s">
        <v>12</v>
      </c>
      <c r="J3" s="286" t="s">
        <v>13</v>
      </c>
      <c r="K3" s="286" t="s">
        <v>14</v>
      </c>
      <c r="L3" s="286" t="s">
        <v>179</v>
      </c>
      <c r="M3" s="286" t="s">
        <v>180</v>
      </c>
      <c r="N3" s="287" t="s">
        <v>15</v>
      </c>
      <c r="O3" s="288" t="s">
        <v>232</v>
      </c>
      <c r="P3" s="289">
        <v>2</v>
      </c>
    </row>
    <row r="4" spans="1:16" x14ac:dyDescent="0.25">
      <c r="A4" s="282" t="s">
        <v>9</v>
      </c>
      <c r="B4" s="283" t="s">
        <v>17</v>
      </c>
      <c r="C4" s="284" t="s">
        <v>17</v>
      </c>
      <c r="D4" s="282" t="s">
        <v>17</v>
      </c>
      <c r="E4" s="284" t="s">
        <v>17</v>
      </c>
      <c r="F4" s="285" t="s">
        <v>17</v>
      </c>
      <c r="G4" s="286" t="s">
        <v>11</v>
      </c>
      <c r="H4" s="286" t="s">
        <v>178</v>
      </c>
      <c r="I4" s="286" t="s">
        <v>12</v>
      </c>
      <c r="J4" s="286" t="s">
        <v>13</v>
      </c>
      <c r="K4" s="286" t="s">
        <v>14</v>
      </c>
      <c r="L4" s="286" t="s">
        <v>179</v>
      </c>
      <c r="M4" s="286" t="s">
        <v>180</v>
      </c>
      <c r="N4" s="287" t="s">
        <v>15</v>
      </c>
      <c r="O4" s="288" t="s">
        <v>232</v>
      </c>
      <c r="P4" s="289">
        <v>2</v>
      </c>
    </row>
    <row r="5" spans="1:16" x14ac:dyDescent="0.25">
      <c r="A5" s="282" t="s">
        <v>9</v>
      </c>
      <c r="B5" s="283" t="s">
        <v>17</v>
      </c>
      <c r="C5" s="284" t="s">
        <v>17</v>
      </c>
      <c r="D5" s="282" t="s">
        <v>17</v>
      </c>
      <c r="E5" s="284" t="s">
        <v>17</v>
      </c>
      <c r="F5" s="285" t="s">
        <v>17</v>
      </c>
      <c r="G5" s="286" t="s">
        <v>11</v>
      </c>
      <c r="H5" s="286" t="s">
        <v>178</v>
      </c>
      <c r="I5" s="286" t="s">
        <v>12</v>
      </c>
      <c r="J5" s="286" t="s">
        <v>13</v>
      </c>
      <c r="K5" s="286" t="s">
        <v>14</v>
      </c>
      <c r="L5" s="286" t="s">
        <v>179</v>
      </c>
      <c r="M5" s="286" t="s">
        <v>180</v>
      </c>
      <c r="N5" s="287" t="s">
        <v>15</v>
      </c>
      <c r="O5" s="288" t="s">
        <v>232</v>
      </c>
      <c r="P5" s="289">
        <v>2</v>
      </c>
    </row>
    <row r="6" spans="1:16" x14ac:dyDescent="0.25">
      <c r="A6" s="282" t="s">
        <v>18</v>
      </c>
      <c r="B6" s="283" t="s">
        <v>287</v>
      </c>
      <c r="C6" s="284">
        <v>46477</v>
      </c>
      <c r="D6" s="282" t="s">
        <v>374</v>
      </c>
      <c r="E6" s="284">
        <v>45985</v>
      </c>
      <c r="F6" s="285" t="s">
        <v>23</v>
      </c>
      <c r="G6" s="286" t="s">
        <v>19</v>
      </c>
      <c r="H6" s="286"/>
      <c r="I6" s="286"/>
      <c r="J6" s="286"/>
      <c r="K6" s="286"/>
      <c r="L6" s="286"/>
      <c r="M6" s="286"/>
      <c r="N6" s="287" t="s">
        <v>20</v>
      </c>
      <c r="O6" s="288" t="s">
        <v>226</v>
      </c>
      <c r="P6" s="289">
        <v>1</v>
      </c>
    </row>
    <row r="7" spans="1:16" x14ac:dyDescent="0.25">
      <c r="A7" s="282" t="s">
        <v>18</v>
      </c>
      <c r="B7" s="283" t="s">
        <v>17</v>
      </c>
      <c r="C7" s="284" t="s">
        <v>17</v>
      </c>
      <c r="D7" s="282" t="s">
        <v>17</v>
      </c>
      <c r="E7" s="284" t="s">
        <v>17</v>
      </c>
      <c r="F7" s="285" t="s">
        <v>17</v>
      </c>
      <c r="G7" s="286" t="s">
        <v>19</v>
      </c>
      <c r="H7" s="286"/>
      <c r="I7" s="286"/>
      <c r="J7" s="286"/>
      <c r="K7" s="286"/>
      <c r="L7" s="286"/>
      <c r="M7" s="286"/>
      <c r="N7" s="287" t="s">
        <v>20</v>
      </c>
      <c r="O7" s="288" t="s">
        <v>226</v>
      </c>
      <c r="P7" s="289">
        <v>1</v>
      </c>
    </row>
    <row r="8" spans="1:16" x14ac:dyDescent="0.25">
      <c r="A8" s="282" t="s">
        <v>18</v>
      </c>
      <c r="B8" s="283" t="s">
        <v>17</v>
      </c>
      <c r="C8" s="284" t="s">
        <v>17</v>
      </c>
      <c r="D8" s="282" t="s">
        <v>17</v>
      </c>
      <c r="E8" s="284" t="s">
        <v>17</v>
      </c>
      <c r="F8" s="285" t="s">
        <v>17</v>
      </c>
      <c r="G8" s="286" t="s">
        <v>19</v>
      </c>
      <c r="H8" s="286"/>
      <c r="I8" s="286"/>
      <c r="J8" s="286"/>
      <c r="K8" s="286"/>
      <c r="L8" s="286"/>
      <c r="M8" s="286"/>
      <c r="N8" s="287" t="s">
        <v>20</v>
      </c>
      <c r="O8" s="288" t="s">
        <v>226</v>
      </c>
      <c r="P8" s="289">
        <v>1</v>
      </c>
    </row>
    <row r="9" spans="1:16" x14ac:dyDescent="0.25">
      <c r="A9" s="282" t="s">
        <v>18</v>
      </c>
      <c r="B9" s="283" t="s">
        <v>17</v>
      </c>
      <c r="C9" s="284" t="s">
        <v>17</v>
      </c>
      <c r="D9" s="282" t="s">
        <v>17</v>
      </c>
      <c r="E9" s="284" t="s">
        <v>17</v>
      </c>
      <c r="F9" s="285" t="s">
        <v>17</v>
      </c>
      <c r="G9" s="286" t="s">
        <v>19</v>
      </c>
      <c r="H9" s="286"/>
      <c r="I9" s="286"/>
      <c r="J9" s="286"/>
      <c r="K9" s="286"/>
      <c r="L9" s="286"/>
      <c r="M9" s="286"/>
      <c r="N9" s="287" t="s">
        <v>20</v>
      </c>
      <c r="O9" s="288" t="s">
        <v>226</v>
      </c>
      <c r="P9" s="289">
        <v>1</v>
      </c>
    </row>
    <row r="10" spans="1:16" x14ac:dyDescent="0.25">
      <c r="A10" s="282" t="s">
        <v>22</v>
      </c>
      <c r="B10" s="283" t="s">
        <v>263</v>
      </c>
      <c r="C10" s="284">
        <v>46053</v>
      </c>
      <c r="D10" s="282" t="s">
        <v>338</v>
      </c>
      <c r="E10" s="284">
        <v>45944</v>
      </c>
      <c r="F10" s="285" t="s">
        <v>207</v>
      </c>
      <c r="G10" s="286" t="s">
        <v>24</v>
      </c>
      <c r="H10" s="286" t="s">
        <v>19</v>
      </c>
      <c r="I10" s="286"/>
      <c r="J10" s="286"/>
      <c r="K10" s="286"/>
      <c r="L10" s="286"/>
      <c r="M10" s="286"/>
      <c r="N10" s="287" t="s">
        <v>26</v>
      </c>
      <c r="O10" s="288" t="s">
        <v>226</v>
      </c>
      <c r="P10" s="289">
        <v>1</v>
      </c>
    </row>
    <row r="11" spans="1:16" x14ac:dyDescent="0.25">
      <c r="A11" s="282" t="s">
        <v>22</v>
      </c>
      <c r="B11" s="283" t="s">
        <v>17</v>
      </c>
      <c r="C11" s="284" t="s">
        <v>17</v>
      </c>
      <c r="D11" s="282" t="s">
        <v>17</v>
      </c>
      <c r="E11" s="284" t="s">
        <v>17</v>
      </c>
      <c r="F11" s="285" t="s">
        <v>17</v>
      </c>
      <c r="G11" s="286" t="s">
        <v>24</v>
      </c>
      <c r="H11" s="286" t="s">
        <v>19</v>
      </c>
      <c r="I11" s="286"/>
      <c r="J11" s="286"/>
      <c r="K11" s="286"/>
      <c r="L11" s="286"/>
      <c r="M11" s="286"/>
      <c r="N11" s="287" t="s">
        <v>26</v>
      </c>
      <c r="O11" s="288" t="s">
        <v>226</v>
      </c>
      <c r="P11" s="289">
        <v>1</v>
      </c>
    </row>
    <row r="12" spans="1:16" x14ac:dyDescent="0.25">
      <c r="A12" s="282" t="s">
        <v>22</v>
      </c>
      <c r="B12" s="283" t="s">
        <v>17</v>
      </c>
      <c r="C12" s="284" t="s">
        <v>17</v>
      </c>
      <c r="D12" s="282" t="s">
        <v>17</v>
      </c>
      <c r="E12" s="284" t="s">
        <v>17</v>
      </c>
      <c r="F12" s="285" t="s">
        <v>17</v>
      </c>
      <c r="G12" s="286" t="s">
        <v>24</v>
      </c>
      <c r="H12" s="286" t="s">
        <v>19</v>
      </c>
      <c r="I12" s="286"/>
      <c r="J12" s="286"/>
      <c r="K12" s="286"/>
      <c r="L12" s="286"/>
      <c r="M12" s="286"/>
      <c r="N12" s="287" t="s">
        <v>26</v>
      </c>
      <c r="O12" s="288" t="s">
        <v>226</v>
      </c>
      <c r="P12" s="289">
        <v>1</v>
      </c>
    </row>
    <row r="13" spans="1:16" x14ac:dyDescent="0.25">
      <c r="A13" s="282" t="s">
        <v>22</v>
      </c>
      <c r="B13" s="283" t="s">
        <v>17</v>
      </c>
      <c r="C13" s="284" t="s">
        <v>17</v>
      </c>
      <c r="D13" s="292" t="s">
        <v>17</v>
      </c>
      <c r="E13" s="284" t="s">
        <v>17</v>
      </c>
      <c r="F13" s="285" t="s">
        <v>17</v>
      </c>
      <c r="G13" s="286" t="s">
        <v>24</v>
      </c>
      <c r="H13" s="286" t="s">
        <v>19</v>
      </c>
      <c r="I13" s="286"/>
      <c r="J13" s="286"/>
      <c r="K13" s="286"/>
      <c r="L13" s="286"/>
      <c r="M13" s="286"/>
      <c r="N13" s="287" t="s">
        <v>26</v>
      </c>
      <c r="O13" s="288" t="s">
        <v>226</v>
      </c>
      <c r="P13" s="289">
        <v>1</v>
      </c>
    </row>
    <row r="14" spans="1:16" x14ac:dyDescent="0.25">
      <c r="A14" s="282" t="s">
        <v>27</v>
      </c>
      <c r="B14" s="283" t="s">
        <v>297</v>
      </c>
      <c r="C14" s="284">
        <v>46081</v>
      </c>
      <c r="D14" s="282" t="s">
        <v>282</v>
      </c>
      <c r="E14" s="284">
        <v>45838</v>
      </c>
      <c r="F14" s="285" t="s">
        <v>207</v>
      </c>
      <c r="G14" s="286" t="s">
        <v>28</v>
      </c>
      <c r="H14" s="286"/>
      <c r="I14" s="286"/>
      <c r="J14" s="286"/>
      <c r="K14" s="286"/>
      <c r="L14" s="286"/>
      <c r="M14" s="286"/>
      <c r="N14" s="287" t="s">
        <v>29</v>
      </c>
      <c r="O14" s="288" t="s">
        <v>226</v>
      </c>
      <c r="P14" s="289">
        <v>1</v>
      </c>
    </row>
    <row r="15" spans="1:16" x14ac:dyDescent="0.25">
      <c r="A15" s="282" t="s">
        <v>27</v>
      </c>
      <c r="B15" s="283" t="s">
        <v>17</v>
      </c>
      <c r="C15" s="284" t="s">
        <v>17</v>
      </c>
      <c r="D15" s="282" t="s">
        <v>17</v>
      </c>
      <c r="E15" s="284" t="s">
        <v>17</v>
      </c>
      <c r="F15" s="285" t="s">
        <v>17</v>
      </c>
      <c r="G15" s="286" t="s">
        <v>28</v>
      </c>
      <c r="H15" s="286"/>
      <c r="I15" s="286"/>
      <c r="J15" s="286"/>
      <c r="K15" s="286"/>
      <c r="L15" s="286"/>
      <c r="M15" s="286"/>
      <c r="N15" s="287" t="s">
        <v>29</v>
      </c>
      <c r="O15" s="288" t="s">
        <v>226</v>
      </c>
      <c r="P15" s="289">
        <v>1</v>
      </c>
    </row>
    <row r="16" spans="1:16" x14ac:dyDescent="0.25">
      <c r="A16" s="282" t="s">
        <v>27</v>
      </c>
      <c r="B16" s="283" t="s">
        <v>17</v>
      </c>
      <c r="C16" s="284" t="s">
        <v>17</v>
      </c>
      <c r="D16" s="282" t="s">
        <v>17</v>
      </c>
      <c r="E16" s="284" t="s">
        <v>17</v>
      </c>
      <c r="F16" s="285" t="s">
        <v>17</v>
      </c>
      <c r="G16" s="286" t="s">
        <v>28</v>
      </c>
      <c r="H16" s="286"/>
      <c r="I16" s="286"/>
      <c r="J16" s="286"/>
      <c r="K16" s="286"/>
      <c r="L16" s="286"/>
      <c r="M16" s="286"/>
      <c r="N16" s="287" t="s">
        <v>29</v>
      </c>
      <c r="O16" s="288" t="s">
        <v>226</v>
      </c>
      <c r="P16" s="289">
        <v>1</v>
      </c>
    </row>
    <row r="17" spans="1:16" x14ac:dyDescent="0.25">
      <c r="A17" s="282" t="s">
        <v>27</v>
      </c>
      <c r="B17" s="283" t="s">
        <v>17</v>
      </c>
      <c r="C17" s="284" t="s">
        <v>17</v>
      </c>
      <c r="D17" s="282" t="s">
        <v>17</v>
      </c>
      <c r="E17" s="284" t="s">
        <v>17</v>
      </c>
      <c r="F17" s="285" t="s">
        <v>17</v>
      </c>
      <c r="G17" s="286" t="s">
        <v>28</v>
      </c>
      <c r="H17" s="286"/>
      <c r="I17" s="286"/>
      <c r="J17" s="286"/>
      <c r="K17" s="286"/>
      <c r="L17" s="286"/>
      <c r="M17" s="286"/>
      <c r="N17" s="287" t="s">
        <v>29</v>
      </c>
      <c r="O17" s="288" t="s">
        <v>226</v>
      </c>
      <c r="P17" s="289">
        <v>1</v>
      </c>
    </row>
    <row r="18" spans="1:16" x14ac:dyDescent="0.25">
      <c r="A18" s="282" t="s">
        <v>30</v>
      </c>
      <c r="B18" s="283" t="s">
        <v>280</v>
      </c>
      <c r="C18" s="284">
        <v>46081</v>
      </c>
      <c r="D18" s="282" t="s">
        <v>268</v>
      </c>
      <c r="E18" s="284">
        <v>45932</v>
      </c>
      <c r="F18" s="285" t="s">
        <v>207</v>
      </c>
      <c r="G18" s="286" t="s">
        <v>28</v>
      </c>
      <c r="H18" s="286"/>
      <c r="I18" s="286"/>
      <c r="J18" s="286"/>
      <c r="K18" s="286"/>
      <c r="L18" s="286"/>
      <c r="M18" s="286"/>
      <c r="N18" s="287" t="s">
        <v>31</v>
      </c>
      <c r="O18" s="288" t="s">
        <v>226</v>
      </c>
      <c r="P18" s="289">
        <v>1</v>
      </c>
    </row>
    <row r="19" spans="1:16" x14ac:dyDescent="0.25">
      <c r="A19" s="282" t="s">
        <v>30</v>
      </c>
      <c r="B19" s="283" t="s">
        <v>17</v>
      </c>
      <c r="C19" s="284" t="s">
        <v>17</v>
      </c>
      <c r="D19" s="282" t="s">
        <v>17</v>
      </c>
      <c r="E19" s="284" t="s">
        <v>17</v>
      </c>
      <c r="F19" s="285" t="s">
        <v>17</v>
      </c>
      <c r="G19" s="286" t="s">
        <v>28</v>
      </c>
      <c r="H19" s="286"/>
      <c r="I19" s="286"/>
      <c r="J19" s="286"/>
      <c r="K19" s="286"/>
      <c r="L19" s="286"/>
      <c r="M19" s="286"/>
      <c r="N19" s="287" t="s">
        <v>31</v>
      </c>
      <c r="O19" s="288" t="s">
        <v>226</v>
      </c>
      <c r="P19" s="289">
        <v>1</v>
      </c>
    </row>
    <row r="20" spans="1:16" x14ac:dyDescent="0.25">
      <c r="A20" s="282" t="s">
        <v>30</v>
      </c>
      <c r="B20" s="283" t="s">
        <v>17</v>
      </c>
      <c r="C20" s="284" t="s">
        <v>17</v>
      </c>
      <c r="D20" s="282" t="s">
        <v>17</v>
      </c>
      <c r="E20" s="284" t="s">
        <v>17</v>
      </c>
      <c r="F20" s="285" t="s">
        <v>17</v>
      </c>
      <c r="G20" s="286" t="s">
        <v>28</v>
      </c>
      <c r="H20" s="286"/>
      <c r="I20" s="286"/>
      <c r="J20" s="286"/>
      <c r="K20" s="286"/>
      <c r="L20" s="286"/>
      <c r="M20" s="286"/>
      <c r="N20" s="287" t="s">
        <v>31</v>
      </c>
      <c r="O20" s="288" t="s">
        <v>226</v>
      </c>
      <c r="P20" s="289">
        <v>1</v>
      </c>
    </row>
    <row r="21" spans="1:16" x14ac:dyDescent="0.25">
      <c r="A21" s="282" t="s">
        <v>30</v>
      </c>
      <c r="B21" s="283" t="s">
        <v>17</v>
      </c>
      <c r="C21" s="284" t="s">
        <v>17</v>
      </c>
      <c r="D21" s="282" t="s">
        <v>17</v>
      </c>
      <c r="E21" s="284" t="s">
        <v>17</v>
      </c>
      <c r="F21" s="285" t="s">
        <v>17</v>
      </c>
      <c r="G21" s="286" t="s">
        <v>28</v>
      </c>
      <c r="H21" s="286"/>
      <c r="I21" s="286"/>
      <c r="J21" s="286"/>
      <c r="K21" s="286"/>
      <c r="L21" s="286"/>
      <c r="M21" s="286"/>
      <c r="N21" s="287" t="s">
        <v>31</v>
      </c>
      <c r="O21" s="288" t="s">
        <v>226</v>
      </c>
      <c r="P21" s="289">
        <v>1</v>
      </c>
    </row>
    <row r="22" spans="1:16" x14ac:dyDescent="0.25">
      <c r="A22" s="282" t="s">
        <v>32</v>
      </c>
      <c r="B22" s="283" t="s">
        <v>288</v>
      </c>
      <c r="C22" s="284">
        <v>46081</v>
      </c>
      <c r="D22" s="282" t="s">
        <v>339</v>
      </c>
      <c r="E22" s="284">
        <v>45943</v>
      </c>
      <c r="F22" s="285" t="s">
        <v>23</v>
      </c>
      <c r="G22" s="286" t="s">
        <v>28</v>
      </c>
      <c r="H22" s="286"/>
      <c r="I22" s="286"/>
      <c r="J22" s="286"/>
      <c r="K22" s="286"/>
      <c r="L22" s="286"/>
      <c r="M22" s="286"/>
      <c r="N22" s="287" t="s">
        <v>33</v>
      </c>
      <c r="O22" s="288" t="s">
        <v>227</v>
      </c>
      <c r="P22" s="289">
        <v>0</v>
      </c>
    </row>
    <row r="23" spans="1:16" x14ac:dyDescent="0.25">
      <c r="A23" s="282" t="s">
        <v>32</v>
      </c>
      <c r="B23" s="283" t="s">
        <v>17</v>
      </c>
      <c r="C23" s="284" t="s">
        <v>17</v>
      </c>
      <c r="D23" s="282" t="s">
        <v>17</v>
      </c>
      <c r="E23" s="284" t="s">
        <v>17</v>
      </c>
      <c r="F23" s="285" t="s">
        <v>17</v>
      </c>
      <c r="G23" s="286" t="s">
        <v>28</v>
      </c>
      <c r="H23" s="286"/>
      <c r="I23" s="286"/>
      <c r="J23" s="286"/>
      <c r="K23" s="286"/>
      <c r="L23" s="286"/>
      <c r="M23" s="286"/>
      <c r="N23" s="287" t="s">
        <v>33</v>
      </c>
      <c r="O23" s="288" t="s">
        <v>227</v>
      </c>
      <c r="P23" s="289">
        <v>0</v>
      </c>
    </row>
    <row r="24" spans="1:16" x14ac:dyDescent="0.25">
      <c r="A24" s="282" t="s">
        <v>32</v>
      </c>
      <c r="B24" s="283" t="s">
        <v>17</v>
      </c>
      <c r="C24" s="284" t="s">
        <v>17</v>
      </c>
      <c r="D24" s="282" t="s">
        <v>17</v>
      </c>
      <c r="E24" s="284" t="s">
        <v>17</v>
      </c>
      <c r="F24" s="285" t="s">
        <v>17</v>
      </c>
      <c r="G24" s="286" t="s">
        <v>28</v>
      </c>
      <c r="H24" s="286"/>
      <c r="I24" s="286"/>
      <c r="J24" s="286"/>
      <c r="K24" s="286"/>
      <c r="L24" s="286"/>
      <c r="M24" s="286"/>
      <c r="N24" s="287" t="s">
        <v>33</v>
      </c>
      <c r="O24" s="288" t="s">
        <v>227</v>
      </c>
      <c r="P24" s="289">
        <v>0</v>
      </c>
    </row>
    <row r="25" spans="1:16" x14ac:dyDescent="0.25">
      <c r="A25" s="282" t="s">
        <v>32</v>
      </c>
      <c r="B25" s="283" t="s">
        <v>17</v>
      </c>
      <c r="C25" s="284" t="s">
        <v>17</v>
      </c>
      <c r="D25" s="282" t="s">
        <v>17</v>
      </c>
      <c r="E25" s="284" t="s">
        <v>17</v>
      </c>
      <c r="F25" s="285" t="s">
        <v>17</v>
      </c>
      <c r="G25" s="286" t="s">
        <v>28</v>
      </c>
      <c r="H25" s="286"/>
      <c r="I25" s="286"/>
      <c r="J25" s="286"/>
      <c r="K25" s="286"/>
      <c r="L25" s="286"/>
      <c r="M25" s="286"/>
      <c r="N25" s="287" t="s">
        <v>33</v>
      </c>
      <c r="O25" s="288" t="s">
        <v>227</v>
      </c>
      <c r="P25" s="289">
        <v>0</v>
      </c>
    </row>
    <row r="26" spans="1:16" x14ac:dyDescent="0.25">
      <c r="A26" s="282" t="s">
        <v>34</v>
      </c>
      <c r="B26" s="283" t="s">
        <v>294</v>
      </c>
      <c r="C26" s="284">
        <v>46162</v>
      </c>
      <c r="D26" s="282" t="s">
        <v>265</v>
      </c>
      <c r="E26" s="284">
        <v>45818</v>
      </c>
      <c r="F26" s="285" t="s">
        <v>10</v>
      </c>
      <c r="G26" s="286" t="s">
        <v>35</v>
      </c>
      <c r="H26" s="286"/>
      <c r="I26" s="286"/>
      <c r="J26" s="286"/>
      <c r="K26" s="286"/>
      <c r="L26" s="286"/>
      <c r="M26" s="286"/>
      <c r="N26" s="287" t="s">
        <v>36</v>
      </c>
      <c r="O26" s="288" t="s">
        <v>232</v>
      </c>
      <c r="P26" s="289">
        <v>2</v>
      </c>
    </row>
    <row r="27" spans="1:16" x14ac:dyDescent="0.25">
      <c r="A27" s="282" t="s">
        <v>34</v>
      </c>
      <c r="B27" s="283" t="s">
        <v>17</v>
      </c>
      <c r="C27" s="284" t="s">
        <v>17</v>
      </c>
      <c r="D27" s="282" t="s">
        <v>17</v>
      </c>
      <c r="E27" s="284" t="s">
        <v>17</v>
      </c>
      <c r="F27" s="285" t="s">
        <v>17</v>
      </c>
      <c r="G27" s="286" t="s">
        <v>35</v>
      </c>
      <c r="H27" s="286"/>
      <c r="I27" s="286"/>
      <c r="J27" s="286"/>
      <c r="K27" s="286"/>
      <c r="L27" s="286"/>
      <c r="M27" s="286"/>
      <c r="N27" s="287" t="s">
        <v>36</v>
      </c>
      <c r="O27" s="288" t="s">
        <v>232</v>
      </c>
      <c r="P27" s="289">
        <v>2</v>
      </c>
    </row>
    <row r="28" spans="1:16" x14ac:dyDescent="0.25">
      <c r="A28" s="282" t="s">
        <v>34</v>
      </c>
      <c r="B28" s="283" t="s">
        <v>17</v>
      </c>
      <c r="C28" s="284" t="s">
        <v>17</v>
      </c>
      <c r="D28" s="282" t="s">
        <v>17</v>
      </c>
      <c r="E28" s="284" t="s">
        <v>17</v>
      </c>
      <c r="F28" s="285" t="s">
        <v>17</v>
      </c>
      <c r="G28" s="286" t="s">
        <v>35</v>
      </c>
      <c r="H28" s="286"/>
      <c r="I28" s="286"/>
      <c r="J28" s="286"/>
      <c r="K28" s="286"/>
      <c r="L28" s="286"/>
      <c r="M28" s="286"/>
      <c r="N28" s="287" t="s">
        <v>36</v>
      </c>
      <c r="O28" s="288" t="s">
        <v>232</v>
      </c>
      <c r="P28" s="289">
        <v>2</v>
      </c>
    </row>
    <row r="29" spans="1:16" x14ac:dyDescent="0.25">
      <c r="A29" s="282" t="s">
        <v>34</v>
      </c>
      <c r="B29" s="283" t="s">
        <v>17</v>
      </c>
      <c r="C29" s="284" t="s">
        <v>17</v>
      </c>
      <c r="D29" s="282" t="s">
        <v>17</v>
      </c>
      <c r="E29" s="284" t="s">
        <v>17</v>
      </c>
      <c r="F29" s="285" t="s">
        <v>17</v>
      </c>
      <c r="G29" s="286" t="s">
        <v>35</v>
      </c>
      <c r="H29" s="286"/>
      <c r="I29" s="286"/>
      <c r="J29" s="286"/>
      <c r="K29" s="286"/>
      <c r="L29" s="286"/>
      <c r="M29" s="286"/>
      <c r="N29" s="287" t="s">
        <v>36</v>
      </c>
      <c r="O29" s="288" t="s">
        <v>232</v>
      </c>
      <c r="P29" s="289">
        <v>2</v>
      </c>
    </row>
    <row r="30" spans="1:16" x14ac:dyDescent="0.25">
      <c r="A30" s="282" t="s">
        <v>38</v>
      </c>
      <c r="B30" s="283" t="s">
        <v>264</v>
      </c>
      <c r="C30" s="284">
        <v>46115</v>
      </c>
      <c r="D30" s="282" t="s">
        <v>375</v>
      </c>
      <c r="E30" s="284">
        <v>45985</v>
      </c>
      <c r="F30" s="285" t="s">
        <v>23</v>
      </c>
      <c r="G30" s="286" t="s">
        <v>19</v>
      </c>
      <c r="H30" s="286"/>
      <c r="I30" s="286"/>
      <c r="J30" s="286"/>
      <c r="K30" s="286"/>
      <c r="L30" s="286"/>
      <c r="M30" s="286"/>
      <c r="N30" s="287" t="s">
        <v>39</v>
      </c>
      <c r="O30" s="288" t="s">
        <v>226</v>
      </c>
      <c r="P30" s="289">
        <v>1</v>
      </c>
    </row>
    <row r="31" spans="1:16" x14ac:dyDescent="0.25">
      <c r="A31" s="282" t="s">
        <v>38</v>
      </c>
      <c r="B31" s="283" t="s">
        <v>17</v>
      </c>
      <c r="C31" s="284" t="s">
        <v>17</v>
      </c>
      <c r="D31" s="282" t="s">
        <v>17</v>
      </c>
      <c r="E31" s="284" t="s">
        <v>17</v>
      </c>
      <c r="F31" s="285" t="s">
        <v>17</v>
      </c>
      <c r="G31" s="286" t="s">
        <v>19</v>
      </c>
      <c r="H31" s="286"/>
      <c r="I31" s="286"/>
      <c r="J31" s="286"/>
      <c r="K31" s="286"/>
      <c r="L31" s="286"/>
      <c r="M31" s="286"/>
      <c r="N31" s="287" t="s">
        <v>39</v>
      </c>
      <c r="O31" s="288" t="s">
        <v>226</v>
      </c>
      <c r="P31" s="289">
        <v>1</v>
      </c>
    </row>
    <row r="32" spans="1:16" x14ac:dyDescent="0.25">
      <c r="A32" s="282" t="s">
        <v>38</v>
      </c>
      <c r="B32" s="283" t="s">
        <v>17</v>
      </c>
      <c r="C32" s="284" t="s">
        <v>17</v>
      </c>
      <c r="D32" s="282" t="s">
        <v>17</v>
      </c>
      <c r="E32" s="284" t="s">
        <v>17</v>
      </c>
      <c r="F32" s="285" t="s">
        <v>17</v>
      </c>
      <c r="G32" s="286" t="s">
        <v>19</v>
      </c>
      <c r="H32" s="286"/>
      <c r="I32" s="286"/>
      <c r="J32" s="286"/>
      <c r="K32" s="286"/>
      <c r="L32" s="286"/>
      <c r="M32" s="286"/>
      <c r="N32" s="287" t="s">
        <v>39</v>
      </c>
      <c r="O32" s="288" t="s">
        <v>226</v>
      </c>
      <c r="P32" s="289">
        <v>1</v>
      </c>
    </row>
    <row r="33" spans="1:16" x14ac:dyDescent="0.25">
      <c r="A33" s="282" t="s">
        <v>38</v>
      </c>
      <c r="B33" s="283" t="s">
        <v>17</v>
      </c>
      <c r="C33" s="284" t="s">
        <v>17</v>
      </c>
      <c r="D33" s="282" t="s">
        <v>17</v>
      </c>
      <c r="E33" s="284" t="s">
        <v>17</v>
      </c>
      <c r="F33" s="285" t="s">
        <v>17</v>
      </c>
      <c r="G33" s="286" t="s">
        <v>19</v>
      </c>
      <c r="H33" s="286"/>
      <c r="I33" s="286"/>
      <c r="J33" s="286"/>
      <c r="K33" s="286"/>
      <c r="L33" s="286"/>
      <c r="M33" s="286"/>
      <c r="N33" s="287" t="s">
        <v>39</v>
      </c>
      <c r="O33" s="288" t="s">
        <v>226</v>
      </c>
      <c r="P33" s="289">
        <v>1</v>
      </c>
    </row>
    <row r="34" spans="1:16" x14ac:dyDescent="0.25">
      <c r="A34" s="282" t="s">
        <v>40</v>
      </c>
      <c r="B34" s="283" t="s">
        <v>376</v>
      </c>
      <c r="C34" s="284">
        <v>46446</v>
      </c>
      <c r="D34" s="282" t="s">
        <v>377</v>
      </c>
      <c r="E34" s="284">
        <v>45989</v>
      </c>
      <c r="F34" s="285" t="s">
        <v>10</v>
      </c>
      <c r="G34" s="286" t="s">
        <v>25</v>
      </c>
      <c r="H34" s="286"/>
      <c r="I34" s="286"/>
      <c r="J34" s="286"/>
      <c r="K34" s="286"/>
      <c r="L34" s="286"/>
      <c r="M34" s="286"/>
      <c r="N34" s="287" t="s">
        <v>41</v>
      </c>
      <c r="O34" s="288" t="s">
        <v>226</v>
      </c>
      <c r="P34" s="289">
        <v>1</v>
      </c>
    </row>
    <row r="35" spans="1:16" x14ac:dyDescent="0.25">
      <c r="A35" s="282" t="s">
        <v>40</v>
      </c>
      <c r="B35" s="283" t="s">
        <v>17</v>
      </c>
      <c r="C35" s="284" t="s">
        <v>17</v>
      </c>
      <c r="D35" s="282" t="s">
        <v>17</v>
      </c>
      <c r="E35" s="284" t="s">
        <v>17</v>
      </c>
      <c r="F35" s="285" t="s">
        <v>17</v>
      </c>
      <c r="G35" s="286" t="s">
        <v>25</v>
      </c>
      <c r="H35" s="286"/>
      <c r="I35" s="286"/>
      <c r="J35" s="286"/>
      <c r="K35" s="286"/>
      <c r="L35" s="286"/>
      <c r="M35" s="286"/>
      <c r="N35" s="287" t="s">
        <v>41</v>
      </c>
      <c r="O35" s="288" t="s">
        <v>226</v>
      </c>
      <c r="P35" s="289">
        <v>1</v>
      </c>
    </row>
    <row r="36" spans="1:16" x14ac:dyDescent="0.25">
      <c r="A36" s="282" t="s">
        <v>40</v>
      </c>
      <c r="B36" s="283" t="s">
        <v>17</v>
      </c>
      <c r="C36" s="284" t="s">
        <v>17</v>
      </c>
      <c r="D36" s="282" t="s">
        <v>17</v>
      </c>
      <c r="E36" s="284" t="s">
        <v>17</v>
      </c>
      <c r="F36" s="285" t="s">
        <v>17</v>
      </c>
      <c r="G36" s="286" t="s">
        <v>25</v>
      </c>
      <c r="H36" s="286"/>
      <c r="I36" s="286"/>
      <c r="J36" s="286"/>
      <c r="K36" s="286"/>
      <c r="L36" s="286"/>
      <c r="M36" s="286"/>
      <c r="N36" s="287" t="s">
        <v>41</v>
      </c>
      <c r="O36" s="288" t="s">
        <v>226</v>
      </c>
      <c r="P36" s="289">
        <v>1</v>
      </c>
    </row>
    <row r="37" spans="1:16" x14ac:dyDescent="0.25">
      <c r="A37" s="282" t="s">
        <v>40</v>
      </c>
      <c r="B37" s="283" t="s">
        <v>17</v>
      </c>
      <c r="C37" s="284" t="s">
        <v>17</v>
      </c>
      <c r="D37" s="282" t="s">
        <v>17</v>
      </c>
      <c r="E37" s="284" t="s">
        <v>17</v>
      </c>
      <c r="F37" s="285" t="s">
        <v>17</v>
      </c>
      <c r="G37" s="286" t="s">
        <v>25</v>
      </c>
      <c r="H37" s="286"/>
      <c r="I37" s="286"/>
      <c r="J37" s="286"/>
      <c r="K37" s="286"/>
      <c r="L37" s="286"/>
      <c r="M37" s="286"/>
      <c r="N37" s="287" t="s">
        <v>41</v>
      </c>
      <c r="O37" s="288" t="s">
        <v>226</v>
      </c>
      <c r="P37" s="289">
        <v>1</v>
      </c>
    </row>
    <row r="38" spans="1:16" x14ac:dyDescent="0.25">
      <c r="A38" s="282" t="s">
        <v>42</v>
      </c>
      <c r="B38" s="283" t="s">
        <v>352</v>
      </c>
      <c r="C38" s="284">
        <v>46928</v>
      </c>
      <c r="D38" s="282" t="s">
        <v>282</v>
      </c>
      <c r="E38" s="284">
        <v>45978</v>
      </c>
      <c r="F38" s="285" t="s">
        <v>23</v>
      </c>
      <c r="G38" s="286" t="s">
        <v>43</v>
      </c>
      <c r="H38" s="286" t="s">
        <v>44</v>
      </c>
      <c r="I38" s="286"/>
      <c r="J38" s="286"/>
      <c r="K38" s="286"/>
      <c r="L38" s="286"/>
      <c r="M38" s="286"/>
      <c r="N38" s="287" t="s">
        <v>45</v>
      </c>
      <c r="O38" s="288" t="s">
        <v>228</v>
      </c>
      <c r="P38" s="289">
        <v>1</v>
      </c>
    </row>
    <row r="39" spans="1:16" x14ac:dyDescent="0.25">
      <c r="A39" s="282" t="s">
        <v>42</v>
      </c>
      <c r="B39" s="283" t="s">
        <v>17</v>
      </c>
      <c r="C39" s="284" t="s">
        <v>17</v>
      </c>
      <c r="D39" s="282" t="s">
        <v>17</v>
      </c>
      <c r="E39" s="284" t="s">
        <v>17</v>
      </c>
      <c r="F39" s="285" t="s">
        <v>17</v>
      </c>
      <c r="G39" s="286" t="s">
        <v>43</v>
      </c>
      <c r="H39" s="286" t="s">
        <v>44</v>
      </c>
      <c r="I39" s="286"/>
      <c r="J39" s="286"/>
      <c r="K39" s="286"/>
      <c r="L39" s="286"/>
      <c r="M39" s="286"/>
      <c r="N39" s="287" t="s">
        <v>45</v>
      </c>
      <c r="O39" s="288" t="s">
        <v>228</v>
      </c>
      <c r="P39" s="289">
        <v>1</v>
      </c>
    </row>
    <row r="40" spans="1:16" x14ac:dyDescent="0.25">
      <c r="A40" s="282" t="s">
        <v>42</v>
      </c>
      <c r="B40" s="283" t="s">
        <v>17</v>
      </c>
      <c r="C40" s="284" t="s">
        <v>17</v>
      </c>
      <c r="D40" s="282" t="s">
        <v>17</v>
      </c>
      <c r="E40" s="284" t="s">
        <v>17</v>
      </c>
      <c r="F40" s="285" t="s">
        <v>17</v>
      </c>
      <c r="G40" s="286" t="s">
        <v>43</v>
      </c>
      <c r="H40" s="286" t="s">
        <v>44</v>
      </c>
      <c r="I40" s="286"/>
      <c r="J40" s="286"/>
      <c r="K40" s="286"/>
      <c r="L40" s="286"/>
      <c r="M40" s="286"/>
      <c r="N40" s="287" t="s">
        <v>45</v>
      </c>
      <c r="O40" s="288" t="s">
        <v>228</v>
      </c>
      <c r="P40" s="289">
        <v>1</v>
      </c>
    </row>
    <row r="41" spans="1:16" x14ac:dyDescent="0.25">
      <c r="A41" s="282" t="s">
        <v>42</v>
      </c>
      <c r="B41" s="283" t="s">
        <v>17</v>
      </c>
      <c r="C41" s="284" t="s">
        <v>17</v>
      </c>
      <c r="D41" s="282" t="s">
        <v>17</v>
      </c>
      <c r="E41" s="284" t="s">
        <v>17</v>
      </c>
      <c r="F41" s="285" t="s">
        <v>17</v>
      </c>
      <c r="G41" s="286" t="s">
        <v>43</v>
      </c>
      <c r="H41" s="286" t="s">
        <v>44</v>
      </c>
      <c r="I41" s="286"/>
      <c r="J41" s="286"/>
      <c r="K41" s="286"/>
      <c r="L41" s="286"/>
      <c r="M41" s="286"/>
      <c r="N41" s="287" t="s">
        <v>45</v>
      </c>
      <c r="O41" s="288" t="s">
        <v>228</v>
      </c>
      <c r="P41" s="289">
        <v>1</v>
      </c>
    </row>
    <row r="42" spans="1:16" x14ac:dyDescent="0.25">
      <c r="A42" s="282" t="s">
        <v>46</v>
      </c>
      <c r="B42" s="283">
        <v>1001496372</v>
      </c>
      <c r="C42" s="284">
        <v>46064</v>
      </c>
      <c r="D42" s="282" t="s">
        <v>271</v>
      </c>
      <c r="E42" s="284">
        <v>45950</v>
      </c>
      <c r="F42" s="285" t="s">
        <v>10</v>
      </c>
      <c r="G42" s="286" t="s">
        <v>47</v>
      </c>
      <c r="H42" s="286"/>
      <c r="I42" s="286"/>
      <c r="J42" s="286"/>
      <c r="K42" s="286"/>
      <c r="L42" s="286"/>
      <c r="M42" s="286"/>
      <c r="N42" s="287" t="s">
        <v>48</v>
      </c>
      <c r="O42" s="288" t="s">
        <v>232</v>
      </c>
      <c r="P42" s="289">
        <v>2</v>
      </c>
    </row>
    <row r="43" spans="1:16" x14ac:dyDescent="0.25">
      <c r="A43" s="282" t="s">
        <v>46</v>
      </c>
      <c r="B43" s="283" t="s">
        <v>17</v>
      </c>
      <c r="C43" s="284" t="s">
        <v>17</v>
      </c>
      <c r="D43" s="282" t="s">
        <v>17</v>
      </c>
      <c r="E43" s="284" t="s">
        <v>17</v>
      </c>
      <c r="F43" s="285" t="s">
        <v>17</v>
      </c>
      <c r="G43" s="286" t="s">
        <v>47</v>
      </c>
      <c r="H43" s="286"/>
      <c r="I43" s="286"/>
      <c r="J43" s="286"/>
      <c r="K43" s="286"/>
      <c r="L43" s="286"/>
      <c r="M43" s="286"/>
      <c r="N43" s="287" t="s">
        <v>48</v>
      </c>
      <c r="O43" s="288" t="s">
        <v>232</v>
      </c>
      <c r="P43" s="289">
        <v>2</v>
      </c>
    </row>
    <row r="44" spans="1:16" x14ac:dyDescent="0.25">
      <c r="A44" s="282" t="s">
        <v>46</v>
      </c>
      <c r="B44" s="283" t="s">
        <v>17</v>
      </c>
      <c r="C44" s="284" t="s">
        <v>17</v>
      </c>
      <c r="D44" s="282" t="s">
        <v>17</v>
      </c>
      <c r="E44" s="284" t="s">
        <v>17</v>
      </c>
      <c r="F44" s="285" t="s">
        <v>17</v>
      </c>
      <c r="G44" s="286" t="s">
        <v>47</v>
      </c>
      <c r="H44" s="286"/>
      <c r="I44" s="286"/>
      <c r="J44" s="286"/>
      <c r="K44" s="286"/>
      <c r="L44" s="286"/>
      <c r="M44" s="286"/>
      <c r="N44" s="287" t="s">
        <v>48</v>
      </c>
      <c r="O44" s="288" t="s">
        <v>232</v>
      </c>
      <c r="P44" s="289">
        <v>2</v>
      </c>
    </row>
    <row r="45" spans="1:16" x14ac:dyDescent="0.25">
      <c r="A45" s="282" t="s">
        <v>46</v>
      </c>
      <c r="B45" s="283" t="s">
        <v>17</v>
      </c>
      <c r="C45" s="284" t="s">
        <v>17</v>
      </c>
      <c r="D45" s="282" t="s">
        <v>17</v>
      </c>
      <c r="E45" s="284" t="s">
        <v>17</v>
      </c>
      <c r="F45" s="285" t="s">
        <v>17</v>
      </c>
      <c r="G45" s="286" t="s">
        <v>47</v>
      </c>
      <c r="H45" s="286"/>
      <c r="I45" s="286"/>
      <c r="J45" s="286"/>
      <c r="K45" s="286"/>
      <c r="L45" s="286"/>
      <c r="M45" s="286"/>
      <c r="N45" s="287" t="s">
        <v>48</v>
      </c>
      <c r="O45" s="288" t="s">
        <v>232</v>
      </c>
      <c r="P45" s="289">
        <v>2</v>
      </c>
    </row>
    <row r="46" spans="1:16" x14ac:dyDescent="0.25">
      <c r="A46" s="282" t="s">
        <v>49</v>
      </c>
      <c r="B46" s="283">
        <v>1001510545</v>
      </c>
      <c r="C46" s="284">
        <v>46156</v>
      </c>
      <c r="D46" s="282" t="s">
        <v>369</v>
      </c>
      <c r="E46" s="284">
        <v>45982</v>
      </c>
      <c r="F46" s="285" t="s">
        <v>23</v>
      </c>
      <c r="G46" s="286" t="s">
        <v>24</v>
      </c>
      <c r="H46" s="286" t="s">
        <v>25</v>
      </c>
      <c r="I46" s="286" t="s">
        <v>19</v>
      </c>
      <c r="J46" s="286" t="s">
        <v>50</v>
      </c>
      <c r="K46" s="286"/>
      <c r="L46" s="286"/>
      <c r="M46" s="286"/>
      <c r="N46" s="287" t="s">
        <v>51</v>
      </c>
      <c r="O46" s="288" t="s">
        <v>232</v>
      </c>
      <c r="P46" s="289">
        <v>2</v>
      </c>
    </row>
    <row r="47" spans="1:16" x14ac:dyDescent="0.25">
      <c r="A47" s="282" t="s">
        <v>49</v>
      </c>
      <c r="B47" s="283">
        <v>1001503562</v>
      </c>
      <c r="C47" s="284">
        <v>46111</v>
      </c>
      <c r="D47" s="282" t="s">
        <v>286</v>
      </c>
      <c r="E47" s="284">
        <v>45985</v>
      </c>
      <c r="F47" s="285" t="s">
        <v>207</v>
      </c>
      <c r="G47" s="286" t="s">
        <v>24</v>
      </c>
      <c r="H47" s="286" t="s">
        <v>25</v>
      </c>
      <c r="I47" s="286" t="s">
        <v>19</v>
      </c>
      <c r="J47" s="286" t="s">
        <v>50</v>
      </c>
      <c r="K47" s="286"/>
      <c r="L47" s="286"/>
      <c r="M47" s="286"/>
      <c r="N47" s="287" t="s">
        <v>51</v>
      </c>
      <c r="O47" s="288" t="s">
        <v>232</v>
      </c>
      <c r="P47" s="289">
        <v>2</v>
      </c>
    </row>
    <row r="48" spans="1:16" x14ac:dyDescent="0.25">
      <c r="A48" s="282" t="s">
        <v>49</v>
      </c>
      <c r="B48" s="283" t="s">
        <v>17</v>
      </c>
      <c r="C48" s="284" t="s">
        <v>17</v>
      </c>
      <c r="D48" s="282" t="s">
        <v>17</v>
      </c>
      <c r="E48" s="284" t="s">
        <v>17</v>
      </c>
      <c r="F48" s="285" t="s">
        <v>17</v>
      </c>
      <c r="G48" s="286" t="s">
        <v>24</v>
      </c>
      <c r="H48" s="286" t="s">
        <v>25</v>
      </c>
      <c r="I48" s="286" t="s">
        <v>19</v>
      </c>
      <c r="J48" s="286" t="s">
        <v>50</v>
      </c>
      <c r="K48" s="286"/>
      <c r="L48" s="286"/>
      <c r="M48" s="286"/>
      <c r="N48" s="287" t="s">
        <v>51</v>
      </c>
      <c r="O48" s="288" t="s">
        <v>232</v>
      </c>
      <c r="P48" s="289">
        <v>2</v>
      </c>
    </row>
    <row r="49" spans="1:16" x14ac:dyDescent="0.25">
      <c r="A49" s="282" t="s">
        <v>49</v>
      </c>
      <c r="B49" s="283" t="s">
        <v>17</v>
      </c>
      <c r="C49" s="284" t="s">
        <v>17</v>
      </c>
      <c r="D49" s="282" t="s">
        <v>17</v>
      </c>
      <c r="E49" s="284" t="s">
        <v>17</v>
      </c>
      <c r="F49" s="285" t="s">
        <v>17</v>
      </c>
      <c r="G49" s="286" t="s">
        <v>24</v>
      </c>
      <c r="H49" s="286" t="s">
        <v>25</v>
      </c>
      <c r="I49" s="286" t="s">
        <v>19</v>
      </c>
      <c r="J49" s="286" t="s">
        <v>50</v>
      </c>
      <c r="K49" s="286"/>
      <c r="L49" s="286"/>
      <c r="M49" s="286"/>
      <c r="N49" s="287" t="s">
        <v>51</v>
      </c>
      <c r="O49" s="288" t="s">
        <v>232</v>
      </c>
      <c r="P49" s="289">
        <v>2</v>
      </c>
    </row>
    <row r="50" spans="1:16" x14ac:dyDescent="0.25">
      <c r="A50" s="282" t="s">
        <v>52</v>
      </c>
      <c r="B50" s="283" t="s">
        <v>283</v>
      </c>
      <c r="C50" s="284">
        <v>46406</v>
      </c>
      <c r="D50" s="282" t="s">
        <v>353</v>
      </c>
      <c r="E50" s="284">
        <v>45947</v>
      </c>
      <c r="F50" s="285" t="s">
        <v>23</v>
      </c>
      <c r="G50" s="286" t="s">
        <v>14</v>
      </c>
      <c r="H50" s="286"/>
      <c r="I50" s="286"/>
      <c r="J50" s="286"/>
      <c r="K50" s="286"/>
      <c r="L50" s="286"/>
      <c r="M50" s="286"/>
      <c r="N50" s="287" t="s">
        <v>53</v>
      </c>
      <c r="O50" s="288" t="s">
        <v>229</v>
      </c>
      <c r="P50" s="289">
        <v>0</v>
      </c>
    </row>
    <row r="51" spans="1:16" x14ac:dyDescent="0.25">
      <c r="A51" s="282" t="s">
        <v>52</v>
      </c>
      <c r="B51" s="283" t="s">
        <v>17</v>
      </c>
      <c r="C51" s="284" t="s">
        <v>17</v>
      </c>
      <c r="D51" s="282" t="s">
        <v>17</v>
      </c>
      <c r="E51" s="284" t="s">
        <v>17</v>
      </c>
      <c r="F51" s="285" t="s">
        <v>17</v>
      </c>
      <c r="G51" s="286" t="s">
        <v>14</v>
      </c>
      <c r="H51" s="286"/>
      <c r="I51" s="286"/>
      <c r="J51" s="286"/>
      <c r="K51" s="286"/>
      <c r="L51" s="286"/>
      <c r="M51" s="286"/>
      <c r="N51" s="287" t="s">
        <v>53</v>
      </c>
      <c r="O51" s="288" t="s">
        <v>229</v>
      </c>
      <c r="P51" s="289">
        <v>0</v>
      </c>
    </row>
    <row r="52" spans="1:16" x14ac:dyDescent="0.25">
      <c r="A52" s="282" t="s">
        <v>52</v>
      </c>
      <c r="B52" s="283" t="s">
        <v>17</v>
      </c>
      <c r="C52" s="284" t="s">
        <v>17</v>
      </c>
      <c r="D52" s="282" t="s">
        <v>17</v>
      </c>
      <c r="E52" s="284" t="s">
        <v>17</v>
      </c>
      <c r="F52" s="285" t="s">
        <v>17</v>
      </c>
      <c r="G52" s="286" t="s">
        <v>14</v>
      </c>
      <c r="H52" s="286"/>
      <c r="I52" s="286"/>
      <c r="J52" s="286"/>
      <c r="K52" s="286"/>
      <c r="L52" s="286"/>
      <c r="M52" s="286"/>
      <c r="N52" s="287" t="s">
        <v>53</v>
      </c>
      <c r="O52" s="288" t="s">
        <v>229</v>
      </c>
      <c r="P52" s="289">
        <v>0</v>
      </c>
    </row>
    <row r="53" spans="1:16" x14ac:dyDescent="0.25">
      <c r="A53" s="282" t="s">
        <v>52</v>
      </c>
      <c r="B53" s="283" t="s">
        <v>17</v>
      </c>
      <c r="C53" s="284" t="s">
        <v>17</v>
      </c>
      <c r="D53" s="282" t="s">
        <v>17</v>
      </c>
      <c r="E53" s="284" t="s">
        <v>17</v>
      </c>
      <c r="F53" s="285" t="s">
        <v>17</v>
      </c>
      <c r="G53" s="286" t="s">
        <v>14</v>
      </c>
      <c r="H53" s="286"/>
      <c r="I53" s="286"/>
      <c r="J53" s="286"/>
      <c r="K53" s="286"/>
      <c r="L53" s="286"/>
      <c r="M53" s="286"/>
      <c r="N53" s="287" t="s">
        <v>53</v>
      </c>
      <c r="O53" s="288" t="s">
        <v>229</v>
      </c>
      <c r="P53" s="289">
        <v>0</v>
      </c>
    </row>
    <row r="54" spans="1:16" x14ac:dyDescent="0.25">
      <c r="A54" s="282" t="s">
        <v>54</v>
      </c>
      <c r="B54" s="283">
        <v>1001497100</v>
      </c>
      <c r="C54" s="290" t="s">
        <v>309</v>
      </c>
      <c r="D54" s="282" t="s">
        <v>286</v>
      </c>
      <c r="E54" s="284">
        <v>45890</v>
      </c>
      <c r="F54" s="285" t="s">
        <v>207</v>
      </c>
      <c r="G54" s="286" t="s">
        <v>55</v>
      </c>
      <c r="H54" s="286" t="s">
        <v>56</v>
      </c>
      <c r="I54" s="286"/>
      <c r="J54" s="286"/>
      <c r="K54" s="286"/>
      <c r="L54" s="286"/>
      <c r="M54" s="286"/>
      <c r="N54" s="287" t="s">
        <v>57</v>
      </c>
      <c r="O54" s="288" t="s">
        <v>232</v>
      </c>
      <c r="P54" s="289">
        <v>2</v>
      </c>
    </row>
    <row r="55" spans="1:16" x14ac:dyDescent="0.25">
      <c r="A55" s="282" t="s">
        <v>54</v>
      </c>
      <c r="B55" s="283" t="s">
        <v>17</v>
      </c>
      <c r="C55" s="290" t="s">
        <v>17</v>
      </c>
      <c r="D55" s="282" t="s">
        <v>17</v>
      </c>
      <c r="E55" s="284" t="s">
        <v>17</v>
      </c>
      <c r="F55" s="285" t="s">
        <v>17</v>
      </c>
      <c r="G55" s="286" t="s">
        <v>55</v>
      </c>
      <c r="H55" s="286" t="s">
        <v>56</v>
      </c>
      <c r="I55" s="286"/>
      <c r="J55" s="286"/>
      <c r="K55" s="286"/>
      <c r="L55" s="286"/>
      <c r="M55" s="286"/>
      <c r="N55" s="287" t="s">
        <v>57</v>
      </c>
      <c r="O55" s="288" t="s">
        <v>232</v>
      </c>
      <c r="P55" s="289">
        <v>2</v>
      </c>
    </row>
    <row r="56" spans="1:16" x14ac:dyDescent="0.25">
      <c r="A56" s="282" t="s">
        <v>54</v>
      </c>
      <c r="B56" s="283" t="s">
        <v>17</v>
      </c>
      <c r="C56" s="290" t="s">
        <v>17</v>
      </c>
      <c r="D56" s="282" t="s">
        <v>17</v>
      </c>
      <c r="E56" s="284" t="s">
        <v>17</v>
      </c>
      <c r="F56" s="285" t="s">
        <v>17</v>
      </c>
      <c r="G56" s="286" t="s">
        <v>55</v>
      </c>
      <c r="H56" s="286" t="s">
        <v>56</v>
      </c>
      <c r="I56" s="286"/>
      <c r="J56" s="286"/>
      <c r="K56" s="286"/>
      <c r="L56" s="286"/>
      <c r="M56" s="286"/>
      <c r="N56" s="287" t="s">
        <v>57</v>
      </c>
      <c r="O56" s="288" t="s">
        <v>232</v>
      </c>
      <c r="P56" s="289">
        <v>2</v>
      </c>
    </row>
    <row r="57" spans="1:16" x14ac:dyDescent="0.25">
      <c r="A57" s="282" t="s">
        <v>54</v>
      </c>
      <c r="B57" s="283" t="s">
        <v>17</v>
      </c>
      <c r="C57" s="290" t="s">
        <v>17</v>
      </c>
      <c r="D57" s="282" t="s">
        <v>17</v>
      </c>
      <c r="E57" s="284" t="s">
        <v>17</v>
      </c>
      <c r="F57" s="285" t="s">
        <v>17</v>
      </c>
      <c r="G57" s="286" t="s">
        <v>55</v>
      </c>
      <c r="H57" s="286" t="s">
        <v>56</v>
      </c>
      <c r="I57" s="286"/>
      <c r="J57" s="286"/>
      <c r="K57" s="286"/>
      <c r="L57" s="286"/>
      <c r="M57" s="286"/>
      <c r="N57" s="287" t="s">
        <v>57</v>
      </c>
      <c r="O57" s="288" t="s">
        <v>232</v>
      </c>
      <c r="P57" s="289">
        <v>2</v>
      </c>
    </row>
    <row r="58" spans="1:16" x14ac:dyDescent="0.25">
      <c r="A58" s="282" t="s">
        <v>58</v>
      </c>
      <c r="B58" s="283" t="s">
        <v>316</v>
      </c>
      <c r="C58" s="284">
        <v>46409</v>
      </c>
      <c r="D58" s="282" t="s">
        <v>355</v>
      </c>
      <c r="E58" s="284">
        <v>45985</v>
      </c>
      <c r="F58" s="285" t="s">
        <v>23</v>
      </c>
      <c r="G58" s="286" t="s">
        <v>55</v>
      </c>
      <c r="H58" s="286" t="s">
        <v>56</v>
      </c>
      <c r="I58" s="286"/>
      <c r="J58" s="286"/>
      <c r="K58" s="286"/>
      <c r="L58" s="286"/>
      <c r="M58" s="286"/>
      <c r="N58" s="287" t="s">
        <v>59</v>
      </c>
      <c r="O58" s="288" t="s">
        <v>227</v>
      </c>
      <c r="P58" s="289">
        <v>0</v>
      </c>
    </row>
    <row r="59" spans="1:16" x14ac:dyDescent="0.25">
      <c r="A59" s="282" t="s">
        <v>58</v>
      </c>
      <c r="B59" s="283" t="s">
        <v>17</v>
      </c>
      <c r="C59" s="284" t="s">
        <v>17</v>
      </c>
      <c r="D59" s="282" t="s">
        <v>17</v>
      </c>
      <c r="E59" s="284" t="s">
        <v>17</v>
      </c>
      <c r="F59" s="285" t="s">
        <v>17</v>
      </c>
      <c r="G59" s="286" t="s">
        <v>55</v>
      </c>
      <c r="H59" s="286" t="s">
        <v>56</v>
      </c>
      <c r="I59" s="286"/>
      <c r="J59" s="286"/>
      <c r="K59" s="286"/>
      <c r="L59" s="286"/>
      <c r="M59" s="286"/>
      <c r="N59" s="287" t="s">
        <v>59</v>
      </c>
      <c r="O59" s="288" t="s">
        <v>227</v>
      </c>
      <c r="P59" s="289">
        <v>0</v>
      </c>
    </row>
    <row r="60" spans="1:16" x14ac:dyDescent="0.25">
      <c r="A60" s="282" t="s">
        <v>58</v>
      </c>
      <c r="B60" s="283" t="s">
        <v>17</v>
      </c>
      <c r="C60" s="284" t="s">
        <v>17</v>
      </c>
      <c r="D60" s="282" t="s">
        <v>17</v>
      </c>
      <c r="E60" s="284" t="s">
        <v>17</v>
      </c>
      <c r="F60" s="285" t="s">
        <v>17</v>
      </c>
      <c r="G60" s="286" t="s">
        <v>55</v>
      </c>
      <c r="H60" s="286" t="s">
        <v>56</v>
      </c>
      <c r="I60" s="286"/>
      <c r="J60" s="286"/>
      <c r="K60" s="286"/>
      <c r="L60" s="286"/>
      <c r="M60" s="286"/>
      <c r="N60" s="287" t="s">
        <v>59</v>
      </c>
      <c r="O60" s="288" t="s">
        <v>227</v>
      </c>
      <c r="P60" s="289">
        <v>0</v>
      </c>
    </row>
    <row r="61" spans="1:16" x14ac:dyDescent="0.25">
      <c r="A61" s="282" t="s">
        <v>58</v>
      </c>
      <c r="B61" s="283" t="s">
        <v>17</v>
      </c>
      <c r="C61" s="284" t="s">
        <v>17</v>
      </c>
      <c r="D61" s="282" t="s">
        <v>17</v>
      </c>
      <c r="E61" s="284" t="s">
        <v>17</v>
      </c>
      <c r="F61" s="285" t="s">
        <v>17</v>
      </c>
      <c r="G61" s="286" t="s">
        <v>55</v>
      </c>
      <c r="H61" s="286" t="s">
        <v>56</v>
      </c>
      <c r="I61" s="286"/>
      <c r="J61" s="286"/>
      <c r="K61" s="286"/>
      <c r="L61" s="286"/>
      <c r="M61" s="286"/>
      <c r="N61" s="287" t="s">
        <v>59</v>
      </c>
      <c r="O61" s="288" t="s">
        <v>227</v>
      </c>
      <c r="P61" s="289">
        <v>0</v>
      </c>
    </row>
    <row r="62" spans="1:16" x14ac:dyDescent="0.25">
      <c r="A62" s="282" t="s">
        <v>60</v>
      </c>
      <c r="B62" s="283" t="s">
        <v>269</v>
      </c>
      <c r="C62" s="284">
        <v>46054</v>
      </c>
      <c r="D62" s="282" t="s">
        <v>339</v>
      </c>
      <c r="E62" s="284">
        <v>45978</v>
      </c>
      <c r="F62" s="285" t="s">
        <v>23</v>
      </c>
      <c r="G62" s="286" t="s">
        <v>61</v>
      </c>
      <c r="H62" s="286" t="s">
        <v>62</v>
      </c>
      <c r="I62" s="286"/>
      <c r="J62" s="286"/>
      <c r="K62" s="286"/>
      <c r="L62" s="286"/>
      <c r="M62" s="286"/>
      <c r="N62" s="287" t="s">
        <v>63</v>
      </c>
      <c r="O62" s="288" t="s">
        <v>226</v>
      </c>
      <c r="P62" s="289">
        <v>1</v>
      </c>
    </row>
    <row r="63" spans="1:16" x14ac:dyDescent="0.25">
      <c r="A63" s="282" t="s">
        <v>60</v>
      </c>
      <c r="B63" s="283" t="s">
        <v>370</v>
      </c>
      <c r="C63" s="284">
        <v>46054</v>
      </c>
      <c r="D63" s="282" t="s">
        <v>21</v>
      </c>
      <c r="E63" s="284">
        <v>45978</v>
      </c>
      <c r="F63" s="285" t="s">
        <v>23</v>
      </c>
      <c r="G63" s="286" t="s">
        <v>61</v>
      </c>
      <c r="H63" s="286" t="s">
        <v>62</v>
      </c>
      <c r="I63" s="286"/>
      <c r="J63" s="286"/>
      <c r="K63" s="286"/>
      <c r="L63" s="286"/>
      <c r="M63" s="286"/>
      <c r="N63" s="287" t="s">
        <v>63</v>
      </c>
      <c r="O63" s="288" t="s">
        <v>226</v>
      </c>
      <c r="P63" s="289">
        <v>1</v>
      </c>
    </row>
    <row r="64" spans="1:16" x14ac:dyDescent="0.25">
      <c r="A64" s="282" t="s">
        <v>60</v>
      </c>
      <c r="B64" s="283" t="s">
        <v>17</v>
      </c>
      <c r="C64" s="284" t="s">
        <v>17</v>
      </c>
      <c r="D64" s="282" t="s">
        <v>17</v>
      </c>
      <c r="E64" s="284" t="s">
        <v>17</v>
      </c>
      <c r="F64" s="285" t="s">
        <v>17</v>
      </c>
      <c r="G64" s="286" t="s">
        <v>61</v>
      </c>
      <c r="H64" s="286" t="s">
        <v>62</v>
      </c>
      <c r="I64" s="286"/>
      <c r="J64" s="286"/>
      <c r="K64" s="286"/>
      <c r="L64" s="286"/>
      <c r="M64" s="286"/>
      <c r="N64" s="287" t="s">
        <v>63</v>
      </c>
      <c r="O64" s="288" t="s">
        <v>226</v>
      </c>
      <c r="P64" s="289">
        <v>1</v>
      </c>
    </row>
    <row r="65" spans="1:16" x14ac:dyDescent="0.25">
      <c r="A65" s="282" t="s">
        <v>60</v>
      </c>
      <c r="B65" s="283" t="s">
        <v>17</v>
      </c>
      <c r="C65" s="284" t="s">
        <v>17</v>
      </c>
      <c r="D65" s="282" t="s">
        <v>17</v>
      </c>
      <c r="E65" s="284" t="s">
        <v>17</v>
      </c>
      <c r="F65" s="285" t="s">
        <v>17</v>
      </c>
      <c r="G65" s="286" t="s">
        <v>61</v>
      </c>
      <c r="H65" s="286" t="s">
        <v>62</v>
      </c>
      <c r="I65" s="286"/>
      <c r="J65" s="286"/>
      <c r="K65" s="286"/>
      <c r="L65" s="286"/>
      <c r="M65" s="286"/>
      <c r="N65" s="287" t="s">
        <v>63</v>
      </c>
      <c r="O65" s="288" t="s">
        <v>226</v>
      </c>
      <c r="P65" s="289">
        <v>1</v>
      </c>
    </row>
    <row r="66" spans="1:16" x14ac:dyDescent="0.25">
      <c r="A66" s="282" t="s">
        <v>64</v>
      </c>
      <c r="B66" s="283" t="s">
        <v>270</v>
      </c>
      <c r="C66" s="284">
        <v>46252</v>
      </c>
      <c r="D66" s="282" t="s">
        <v>333</v>
      </c>
      <c r="E66" s="284">
        <v>45985</v>
      </c>
      <c r="F66" s="285" t="s">
        <v>23</v>
      </c>
      <c r="G66" s="286" t="s">
        <v>55</v>
      </c>
      <c r="H66" s="286" t="s">
        <v>56</v>
      </c>
      <c r="I66" s="286"/>
      <c r="J66" s="286"/>
      <c r="K66" s="286"/>
      <c r="L66" s="286"/>
      <c r="M66" s="286"/>
      <c r="N66" s="287" t="s">
        <v>65</v>
      </c>
      <c r="O66" s="288" t="s">
        <v>226</v>
      </c>
      <c r="P66" s="289">
        <v>1</v>
      </c>
    </row>
    <row r="67" spans="1:16" x14ac:dyDescent="0.25">
      <c r="A67" s="282" t="s">
        <v>64</v>
      </c>
      <c r="B67" s="283" t="s">
        <v>378</v>
      </c>
      <c r="C67" s="284">
        <v>46403</v>
      </c>
      <c r="D67" s="282" t="s">
        <v>268</v>
      </c>
      <c r="E67" s="284">
        <v>45985</v>
      </c>
      <c r="F67" s="285" t="s">
        <v>23</v>
      </c>
      <c r="G67" s="286" t="s">
        <v>55</v>
      </c>
      <c r="H67" s="286" t="s">
        <v>56</v>
      </c>
      <c r="I67" s="286"/>
      <c r="J67" s="286"/>
      <c r="K67" s="286"/>
      <c r="L67" s="286"/>
      <c r="M67" s="286"/>
      <c r="N67" s="287" t="s">
        <v>65</v>
      </c>
      <c r="O67" s="288" t="s">
        <v>226</v>
      </c>
      <c r="P67" s="289">
        <v>1</v>
      </c>
    </row>
    <row r="68" spans="1:16" x14ac:dyDescent="0.25">
      <c r="A68" s="282" t="s">
        <v>64</v>
      </c>
      <c r="B68" s="283" t="s">
        <v>17</v>
      </c>
      <c r="C68" s="284" t="s">
        <v>17</v>
      </c>
      <c r="D68" s="282" t="s">
        <v>17</v>
      </c>
      <c r="E68" s="284" t="s">
        <v>17</v>
      </c>
      <c r="F68" s="285" t="s">
        <v>17</v>
      </c>
      <c r="G68" s="286" t="s">
        <v>55</v>
      </c>
      <c r="H68" s="286" t="s">
        <v>56</v>
      </c>
      <c r="I68" s="286"/>
      <c r="J68" s="286"/>
      <c r="K68" s="286"/>
      <c r="L68" s="286"/>
      <c r="M68" s="286"/>
      <c r="N68" s="287" t="s">
        <v>65</v>
      </c>
      <c r="O68" s="288" t="s">
        <v>226</v>
      </c>
      <c r="P68" s="289">
        <v>1</v>
      </c>
    </row>
    <row r="69" spans="1:16" x14ac:dyDescent="0.25">
      <c r="A69" s="282" t="s">
        <v>64</v>
      </c>
      <c r="B69" s="283" t="s">
        <v>17</v>
      </c>
      <c r="C69" s="284" t="s">
        <v>17</v>
      </c>
      <c r="D69" s="282" t="s">
        <v>17</v>
      </c>
      <c r="E69" s="284" t="s">
        <v>17</v>
      </c>
      <c r="F69" s="285" t="s">
        <v>17</v>
      </c>
      <c r="G69" s="286" t="s">
        <v>55</v>
      </c>
      <c r="H69" s="286" t="s">
        <v>56</v>
      </c>
      <c r="I69" s="286"/>
      <c r="J69" s="286"/>
      <c r="K69" s="286"/>
      <c r="L69" s="286"/>
      <c r="M69" s="286"/>
      <c r="N69" s="287" t="s">
        <v>65</v>
      </c>
      <c r="O69" s="288" t="s">
        <v>226</v>
      </c>
      <c r="P69" s="289">
        <v>1</v>
      </c>
    </row>
    <row r="70" spans="1:16" x14ac:dyDescent="0.25">
      <c r="A70" s="282" t="s">
        <v>66</v>
      </c>
      <c r="B70" s="283">
        <v>1001511780</v>
      </c>
      <c r="C70" s="284">
        <v>45681</v>
      </c>
      <c r="D70" s="282" t="s">
        <v>286</v>
      </c>
      <c r="E70" s="284">
        <v>45994</v>
      </c>
      <c r="F70" s="285" t="s">
        <v>207</v>
      </c>
      <c r="G70" s="286" t="s">
        <v>67</v>
      </c>
      <c r="H70" s="286" t="s">
        <v>68</v>
      </c>
      <c r="I70" s="286"/>
      <c r="J70" s="286"/>
      <c r="K70" s="286"/>
      <c r="L70" s="286"/>
      <c r="M70" s="286"/>
      <c r="N70" s="291" t="s">
        <v>70</v>
      </c>
      <c r="O70" s="288" t="s">
        <v>232</v>
      </c>
      <c r="P70" s="289">
        <v>2</v>
      </c>
    </row>
    <row r="71" spans="1:16" x14ac:dyDescent="0.25">
      <c r="A71" s="282" t="s">
        <v>66</v>
      </c>
      <c r="B71" s="283" t="s">
        <v>17</v>
      </c>
      <c r="C71" s="284" t="s">
        <v>17</v>
      </c>
      <c r="D71" s="282" t="s">
        <v>17</v>
      </c>
      <c r="E71" s="284" t="s">
        <v>17</v>
      </c>
      <c r="F71" s="285" t="s">
        <v>17</v>
      </c>
      <c r="G71" s="286" t="s">
        <v>67</v>
      </c>
      <c r="H71" s="286" t="s">
        <v>68</v>
      </c>
      <c r="I71" s="286"/>
      <c r="J71" s="286"/>
      <c r="K71" s="286"/>
      <c r="L71" s="286"/>
      <c r="M71" s="286"/>
      <c r="N71" s="291" t="s">
        <v>70</v>
      </c>
      <c r="O71" s="288" t="s">
        <v>232</v>
      </c>
      <c r="P71" s="289">
        <v>2</v>
      </c>
    </row>
    <row r="72" spans="1:16" x14ac:dyDescent="0.25">
      <c r="A72" s="282" t="s">
        <v>66</v>
      </c>
      <c r="B72" s="283" t="s">
        <v>17</v>
      </c>
      <c r="C72" s="284" t="s">
        <v>17</v>
      </c>
      <c r="D72" s="282" t="s">
        <v>17</v>
      </c>
      <c r="E72" s="284" t="s">
        <v>17</v>
      </c>
      <c r="F72" s="285" t="s">
        <v>17</v>
      </c>
      <c r="G72" s="286" t="s">
        <v>67</v>
      </c>
      <c r="H72" s="286" t="s">
        <v>68</v>
      </c>
      <c r="I72" s="286"/>
      <c r="J72" s="286"/>
      <c r="K72" s="286"/>
      <c r="L72" s="286"/>
      <c r="M72" s="286"/>
      <c r="N72" s="291" t="s">
        <v>70</v>
      </c>
      <c r="O72" s="288" t="s">
        <v>232</v>
      </c>
      <c r="P72" s="289">
        <v>2</v>
      </c>
    </row>
    <row r="73" spans="1:16" x14ac:dyDescent="0.25">
      <c r="A73" s="282" t="s">
        <v>66</v>
      </c>
      <c r="B73" s="283" t="s">
        <v>17</v>
      </c>
      <c r="C73" s="284" t="s">
        <v>17</v>
      </c>
      <c r="D73" s="282" t="s">
        <v>17</v>
      </c>
      <c r="E73" s="284" t="s">
        <v>17</v>
      </c>
      <c r="F73" s="285" t="s">
        <v>17</v>
      </c>
      <c r="G73" s="286" t="s">
        <v>67</v>
      </c>
      <c r="H73" s="286" t="s">
        <v>68</v>
      </c>
      <c r="I73" s="286"/>
      <c r="J73" s="286"/>
      <c r="K73" s="286"/>
      <c r="L73" s="286"/>
      <c r="M73" s="286"/>
      <c r="N73" s="291" t="s">
        <v>70</v>
      </c>
      <c r="O73" s="288" t="s">
        <v>232</v>
      </c>
      <c r="P73" s="289">
        <v>2</v>
      </c>
    </row>
    <row r="74" spans="1:16" x14ac:dyDescent="0.25">
      <c r="A74" s="292" t="s">
        <v>71</v>
      </c>
      <c r="B74" s="283" t="s">
        <v>17</v>
      </c>
      <c r="C74" s="284" t="s">
        <v>17</v>
      </c>
      <c r="D74" s="282" t="s">
        <v>17</v>
      </c>
      <c r="E74" s="284" t="s">
        <v>17</v>
      </c>
      <c r="F74" s="285" t="s">
        <v>17</v>
      </c>
      <c r="G74" s="286"/>
      <c r="H74" s="286"/>
      <c r="I74" s="286"/>
      <c r="J74" s="286"/>
      <c r="K74" s="286"/>
      <c r="L74" s="286"/>
      <c r="M74" s="286"/>
      <c r="N74" s="291" t="s">
        <v>72</v>
      </c>
      <c r="O74" s="288" t="s">
        <v>226</v>
      </c>
      <c r="P74" s="289">
        <v>1</v>
      </c>
    </row>
    <row r="75" spans="1:16" x14ac:dyDescent="0.25">
      <c r="A75" s="292" t="s">
        <v>71</v>
      </c>
      <c r="B75" s="283" t="s">
        <v>17</v>
      </c>
      <c r="C75" s="284" t="s">
        <v>17</v>
      </c>
      <c r="D75" s="282" t="s">
        <v>17</v>
      </c>
      <c r="E75" s="284" t="s">
        <v>17</v>
      </c>
      <c r="F75" s="285" t="s">
        <v>17</v>
      </c>
      <c r="G75" s="286"/>
      <c r="H75" s="286"/>
      <c r="I75" s="286"/>
      <c r="J75" s="286"/>
      <c r="K75" s="286"/>
      <c r="L75" s="286"/>
      <c r="M75" s="286"/>
      <c r="N75" s="291" t="s">
        <v>72</v>
      </c>
      <c r="O75" s="288" t="s">
        <v>226</v>
      </c>
      <c r="P75" s="289">
        <v>1</v>
      </c>
    </row>
    <row r="76" spans="1:16" x14ac:dyDescent="0.25">
      <c r="A76" s="292" t="s">
        <v>71</v>
      </c>
      <c r="B76" s="283" t="s">
        <v>17</v>
      </c>
      <c r="C76" s="284" t="s">
        <v>17</v>
      </c>
      <c r="D76" s="282" t="s">
        <v>17</v>
      </c>
      <c r="E76" s="284" t="s">
        <v>17</v>
      </c>
      <c r="F76" s="285" t="s">
        <v>17</v>
      </c>
      <c r="G76" s="286"/>
      <c r="H76" s="286"/>
      <c r="I76" s="286"/>
      <c r="J76" s="286"/>
      <c r="K76" s="286"/>
      <c r="L76" s="286"/>
      <c r="M76" s="286"/>
      <c r="N76" s="291" t="s">
        <v>72</v>
      </c>
      <c r="O76" s="288" t="s">
        <v>226</v>
      </c>
      <c r="P76" s="289">
        <v>1</v>
      </c>
    </row>
    <row r="77" spans="1:16" x14ac:dyDescent="0.25">
      <c r="A77" s="292" t="s">
        <v>71</v>
      </c>
      <c r="B77" s="283" t="s">
        <v>17</v>
      </c>
      <c r="C77" s="284" t="s">
        <v>17</v>
      </c>
      <c r="D77" s="282" t="s">
        <v>17</v>
      </c>
      <c r="E77" s="284" t="s">
        <v>17</v>
      </c>
      <c r="F77" s="285" t="s">
        <v>17</v>
      </c>
      <c r="G77" s="286"/>
      <c r="H77" s="286"/>
      <c r="I77" s="286"/>
      <c r="J77" s="286"/>
      <c r="K77" s="286"/>
      <c r="L77" s="286"/>
      <c r="M77" s="286"/>
      <c r="N77" s="291" t="s">
        <v>72</v>
      </c>
      <c r="O77" s="288" t="s">
        <v>226</v>
      </c>
      <c r="P77" s="289">
        <v>1</v>
      </c>
    </row>
    <row r="78" spans="1:16" x14ac:dyDescent="0.25">
      <c r="A78" s="292" t="s">
        <v>73</v>
      </c>
      <c r="B78" s="283" t="s">
        <v>17</v>
      </c>
      <c r="C78" s="284" t="s">
        <v>17</v>
      </c>
      <c r="D78" s="282" t="s">
        <v>17</v>
      </c>
      <c r="E78" s="284" t="s">
        <v>17</v>
      </c>
      <c r="F78" s="285" t="s">
        <v>17</v>
      </c>
      <c r="G78" s="286"/>
      <c r="H78" s="286"/>
      <c r="I78" s="286"/>
      <c r="J78" s="286"/>
      <c r="K78" s="286"/>
      <c r="L78" s="286"/>
      <c r="M78" s="286"/>
      <c r="N78" s="291" t="s">
        <v>74</v>
      </c>
      <c r="O78" s="288" t="s">
        <v>226</v>
      </c>
      <c r="P78" s="289">
        <v>1</v>
      </c>
    </row>
    <row r="79" spans="1:16" x14ac:dyDescent="0.25">
      <c r="A79" s="292" t="s">
        <v>73</v>
      </c>
      <c r="B79" s="283" t="s">
        <v>17</v>
      </c>
      <c r="C79" s="284" t="s">
        <v>17</v>
      </c>
      <c r="D79" s="282" t="s">
        <v>17</v>
      </c>
      <c r="E79" s="284" t="s">
        <v>17</v>
      </c>
      <c r="F79" s="285" t="s">
        <v>17</v>
      </c>
      <c r="G79" s="286"/>
      <c r="H79" s="286"/>
      <c r="I79" s="286"/>
      <c r="J79" s="286"/>
      <c r="K79" s="286"/>
      <c r="L79" s="286"/>
      <c r="M79" s="286"/>
      <c r="N79" s="291" t="s">
        <v>74</v>
      </c>
      <c r="O79" s="288" t="s">
        <v>226</v>
      </c>
      <c r="P79" s="289">
        <v>1</v>
      </c>
    </row>
    <row r="80" spans="1:16" x14ac:dyDescent="0.25">
      <c r="A80" s="292" t="s">
        <v>73</v>
      </c>
      <c r="B80" s="283" t="s">
        <v>17</v>
      </c>
      <c r="C80" s="284" t="s">
        <v>17</v>
      </c>
      <c r="D80" s="282" t="s">
        <v>17</v>
      </c>
      <c r="E80" s="284" t="s">
        <v>17</v>
      </c>
      <c r="F80" s="285" t="s">
        <v>17</v>
      </c>
      <c r="G80" s="286"/>
      <c r="H80" s="286"/>
      <c r="I80" s="286"/>
      <c r="J80" s="286"/>
      <c r="K80" s="286"/>
      <c r="L80" s="286"/>
      <c r="M80" s="286"/>
      <c r="N80" s="291" t="s">
        <v>74</v>
      </c>
      <c r="O80" s="288" t="s">
        <v>226</v>
      </c>
      <c r="P80" s="289">
        <v>1</v>
      </c>
    </row>
    <row r="81" spans="1:16" x14ac:dyDescent="0.25">
      <c r="A81" s="292" t="s">
        <v>73</v>
      </c>
      <c r="B81" s="283" t="s">
        <v>17</v>
      </c>
      <c r="C81" s="284" t="s">
        <v>17</v>
      </c>
      <c r="D81" s="282" t="s">
        <v>17</v>
      </c>
      <c r="E81" s="284" t="s">
        <v>17</v>
      </c>
      <c r="F81" s="285" t="s">
        <v>17</v>
      </c>
      <c r="G81" s="286"/>
      <c r="H81" s="286"/>
      <c r="I81" s="286"/>
      <c r="J81" s="286"/>
      <c r="K81" s="286"/>
      <c r="L81" s="286"/>
      <c r="M81" s="286"/>
      <c r="N81" s="291" t="s">
        <v>74</v>
      </c>
      <c r="O81" s="288" t="s">
        <v>226</v>
      </c>
      <c r="P81" s="289">
        <v>1</v>
      </c>
    </row>
    <row r="82" spans="1:16" x14ac:dyDescent="0.25">
      <c r="A82" s="292" t="s">
        <v>75</v>
      </c>
      <c r="B82" s="283" t="s">
        <v>17</v>
      </c>
      <c r="C82" s="284" t="s">
        <v>17</v>
      </c>
      <c r="D82" s="282" t="s">
        <v>17</v>
      </c>
      <c r="E82" s="284" t="s">
        <v>17</v>
      </c>
      <c r="F82" s="285" t="s">
        <v>17</v>
      </c>
      <c r="G82" s="286"/>
      <c r="H82" s="286"/>
      <c r="I82" s="286"/>
      <c r="J82" s="286"/>
      <c r="K82" s="286"/>
      <c r="L82" s="286"/>
      <c r="M82" s="286"/>
      <c r="N82" s="291" t="s">
        <v>76</v>
      </c>
      <c r="O82" s="288" t="s">
        <v>226</v>
      </c>
      <c r="P82" s="289">
        <v>1</v>
      </c>
    </row>
    <row r="83" spans="1:16" x14ac:dyDescent="0.25">
      <c r="A83" s="292" t="s">
        <v>75</v>
      </c>
      <c r="B83" s="283" t="s">
        <v>17</v>
      </c>
      <c r="C83" s="284" t="s">
        <v>17</v>
      </c>
      <c r="D83" s="282" t="s">
        <v>17</v>
      </c>
      <c r="E83" s="284" t="s">
        <v>17</v>
      </c>
      <c r="F83" s="285" t="s">
        <v>17</v>
      </c>
      <c r="G83" s="286"/>
      <c r="H83" s="286"/>
      <c r="I83" s="286"/>
      <c r="J83" s="286"/>
      <c r="K83" s="286"/>
      <c r="L83" s="286"/>
      <c r="M83" s="286"/>
      <c r="N83" s="291" t="s">
        <v>76</v>
      </c>
      <c r="O83" s="288" t="s">
        <v>226</v>
      </c>
      <c r="P83" s="289">
        <v>1</v>
      </c>
    </row>
    <row r="84" spans="1:16" x14ac:dyDescent="0.25">
      <c r="A84" s="292" t="s">
        <v>75</v>
      </c>
      <c r="B84" s="283" t="s">
        <v>17</v>
      </c>
      <c r="C84" s="284" t="s">
        <v>17</v>
      </c>
      <c r="D84" s="282" t="s">
        <v>17</v>
      </c>
      <c r="E84" s="284" t="s">
        <v>17</v>
      </c>
      <c r="F84" s="285" t="s">
        <v>17</v>
      </c>
      <c r="G84" s="286"/>
      <c r="H84" s="286"/>
      <c r="I84" s="286"/>
      <c r="J84" s="286"/>
      <c r="K84" s="286"/>
      <c r="L84" s="286"/>
      <c r="M84" s="286"/>
      <c r="N84" s="291" t="s">
        <v>76</v>
      </c>
      <c r="O84" s="288" t="s">
        <v>226</v>
      </c>
      <c r="P84" s="289">
        <v>1</v>
      </c>
    </row>
    <row r="85" spans="1:16" x14ac:dyDescent="0.25">
      <c r="A85" s="292" t="s">
        <v>75</v>
      </c>
      <c r="B85" s="283" t="s">
        <v>17</v>
      </c>
      <c r="C85" s="284" t="s">
        <v>17</v>
      </c>
      <c r="D85" s="282" t="s">
        <v>17</v>
      </c>
      <c r="E85" s="284" t="s">
        <v>17</v>
      </c>
      <c r="F85" s="285" t="s">
        <v>17</v>
      </c>
      <c r="G85" s="286"/>
      <c r="H85" s="286"/>
      <c r="I85" s="286"/>
      <c r="J85" s="286"/>
      <c r="K85" s="286"/>
      <c r="L85" s="286"/>
      <c r="M85" s="286"/>
      <c r="N85" s="291" t="s">
        <v>76</v>
      </c>
      <c r="O85" s="288" t="s">
        <v>226</v>
      </c>
      <c r="P85" s="289">
        <v>1</v>
      </c>
    </row>
    <row r="86" spans="1:16" x14ac:dyDescent="0.25">
      <c r="A86" s="292" t="s">
        <v>77</v>
      </c>
      <c r="B86" s="283" t="s">
        <v>17</v>
      </c>
      <c r="C86" s="284" t="s">
        <v>17</v>
      </c>
      <c r="D86" s="282" t="s">
        <v>17</v>
      </c>
      <c r="E86" s="284" t="s">
        <v>17</v>
      </c>
      <c r="F86" s="285" t="s">
        <v>17</v>
      </c>
      <c r="G86" s="286"/>
      <c r="H86" s="286"/>
      <c r="I86" s="286"/>
      <c r="J86" s="286"/>
      <c r="K86" s="286"/>
      <c r="L86" s="286"/>
      <c r="M86" s="286"/>
      <c r="N86" s="291" t="s">
        <v>78</v>
      </c>
      <c r="O86" s="288" t="s">
        <v>226</v>
      </c>
      <c r="P86" s="289">
        <v>1</v>
      </c>
    </row>
    <row r="87" spans="1:16" x14ac:dyDescent="0.25">
      <c r="A87" s="292" t="s">
        <v>77</v>
      </c>
      <c r="B87" s="283" t="s">
        <v>17</v>
      </c>
      <c r="C87" s="284" t="s">
        <v>17</v>
      </c>
      <c r="D87" s="282" t="s">
        <v>17</v>
      </c>
      <c r="E87" s="284" t="s">
        <v>17</v>
      </c>
      <c r="F87" s="285" t="s">
        <v>17</v>
      </c>
      <c r="G87" s="286"/>
      <c r="H87" s="286"/>
      <c r="I87" s="286"/>
      <c r="J87" s="286"/>
      <c r="K87" s="286"/>
      <c r="L87" s="286"/>
      <c r="M87" s="286"/>
      <c r="N87" s="291" t="s">
        <v>78</v>
      </c>
      <c r="O87" s="288" t="s">
        <v>226</v>
      </c>
      <c r="P87" s="289">
        <v>1</v>
      </c>
    </row>
    <row r="88" spans="1:16" x14ac:dyDescent="0.25">
      <c r="A88" s="292" t="s">
        <v>77</v>
      </c>
      <c r="B88" s="283" t="s">
        <v>17</v>
      </c>
      <c r="C88" s="284" t="s">
        <v>17</v>
      </c>
      <c r="D88" s="282" t="s">
        <v>17</v>
      </c>
      <c r="E88" s="284" t="s">
        <v>17</v>
      </c>
      <c r="F88" s="285" t="s">
        <v>17</v>
      </c>
      <c r="G88" s="286"/>
      <c r="H88" s="286"/>
      <c r="I88" s="286"/>
      <c r="J88" s="286"/>
      <c r="K88" s="286"/>
      <c r="L88" s="286"/>
      <c r="M88" s="286"/>
      <c r="N88" s="291" t="s">
        <v>78</v>
      </c>
      <c r="O88" s="288" t="s">
        <v>226</v>
      </c>
      <c r="P88" s="289">
        <v>1</v>
      </c>
    </row>
    <row r="89" spans="1:16" x14ac:dyDescent="0.25">
      <c r="A89" s="292" t="s">
        <v>77</v>
      </c>
      <c r="B89" s="283" t="s">
        <v>17</v>
      </c>
      <c r="C89" s="284" t="s">
        <v>17</v>
      </c>
      <c r="D89" s="282" t="s">
        <v>17</v>
      </c>
      <c r="E89" s="284" t="s">
        <v>17</v>
      </c>
      <c r="F89" s="285" t="s">
        <v>17</v>
      </c>
      <c r="G89" s="286"/>
      <c r="H89" s="286"/>
      <c r="I89" s="286"/>
      <c r="J89" s="286"/>
      <c r="K89" s="286"/>
      <c r="L89" s="286"/>
      <c r="M89" s="286"/>
      <c r="N89" s="291" t="s">
        <v>78</v>
      </c>
      <c r="O89" s="288" t="s">
        <v>226</v>
      </c>
      <c r="P89" s="289">
        <v>1</v>
      </c>
    </row>
    <row r="90" spans="1:16" x14ac:dyDescent="0.25">
      <c r="A90" s="282" t="s">
        <v>79</v>
      </c>
      <c r="B90" s="283" t="s">
        <v>301</v>
      </c>
      <c r="C90" s="284">
        <v>46535</v>
      </c>
      <c r="D90" s="282" t="s">
        <v>354</v>
      </c>
      <c r="E90" s="284">
        <v>45947</v>
      </c>
      <c r="F90" s="285" t="s">
        <v>23</v>
      </c>
      <c r="G90" s="286" t="s">
        <v>47</v>
      </c>
      <c r="H90" s="286"/>
      <c r="I90" s="286"/>
      <c r="J90" s="286"/>
      <c r="K90" s="286"/>
      <c r="L90" s="286"/>
      <c r="M90" s="286"/>
      <c r="N90" s="287" t="s">
        <v>80</v>
      </c>
      <c r="O90" s="288" t="s">
        <v>228</v>
      </c>
      <c r="P90" s="289">
        <v>1</v>
      </c>
    </row>
    <row r="91" spans="1:16" x14ac:dyDescent="0.25">
      <c r="A91" s="282" t="s">
        <v>79</v>
      </c>
      <c r="B91" s="283" t="s">
        <v>17</v>
      </c>
      <c r="C91" s="284" t="s">
        <v>17</v>
      </c>
      <c r="D91" s="282" t="s">
        <v>17</v>
      </c>
      <c r="E91" s="284" t="s">
        <v>17</v>
      </c>
      <c r="F91" s="285" t="s">
        <v>17</v>
      </c>
      <c r="G91" s="286" t="s">
        <v>47</v>
      </c>
      <c r="H91" s="286"/>
      <c r="I91" s="286"/>
      <c r="J91" s="286"/>
      <c r="K91" s="286"/>
      <c r="L91" s="286"/>
      <c r="M91" s="286"/>
      <c r="N91" s="287" t="s">
        <v>80</v>
      </c>
      <c r="O91" s="288" t="s">
        <v>228</v>
      </c>
      <c r="P91" s="289">
        <v>1</v>
      </c>
    </row>
    <row r="92" spans="1:16" x14ac:dyDescent="0.25">
      <c r="A92" s="282" t="s">
        <v>79</v>
      </c>
      <c r="B92" s="283" t="s">
        <v>17</v>
      </c>
      <c r="C92" s="284" t="s">
        <v>17</v>
      </c>
      <c r="D92" s="282" t="s">
        <v>17</v>
      </c>
      <c r="E92" s="284" t="s">
        <v>17</v>
      </c>
      <c r="F92" s="285" t="s">
        <v>17</v>
      </c>
      <c r="G92" s="286" t="s">
        <v>47</v>
      </c>
      <c r="H92" s="286"/>
      <c r="I92" s="286"/>
      <c r="J92" s="286"/>
      <c r="K92" s="286"/>
      <c r="L92" s="286"/>
      <c r="M92" s="286"/>
      <c r="N92" s="287" t="s">
        <v>80</v>
      </c>
      <c r="O92" s="288" t="s">
        <v>228</v>
      </c>
      <c r="P92" s="289">
        <v>1</v>
      </c>
    </row>
    <row r="93" spans="1:16" x14ac:dyDescent="0.25">
      <c r="A93" s="282" t="s">
        <v>79</v>
      </c>
      <c r="B93" s="283" t="s">
        <v>17</v>
      </c>
      <c r="C93" s="284" t="s">
        <v>17</v>
      </c>
      <c r="D93" s="282" t="s">
        <v>17</v>
      </c>
      <c r="E93" s="284" t="s">
        <v>17</v>
      </c>
      <c r="F93" s="285" t="s">
        <v>17</v>
      </c>
      <c r="G93" s="286" t="s">
        <v>47</v>
      </c>
      <c r="H93" s="286"/>
      <c r="I93" s="286"/>
      <c r="J93" s="286"/>
      <c r="K93" s="286"/>
      <c r="L93" s="286"/>
      <c r="M93" s="286"/>
      <c r="N93" s="287" t="s">
        <v>80</v>
      </c>
      <c r="O93" s="288" t="s">
        <v>228</v>
      </c>
      <c r="P93" s="289">
        <v>1</v>
      </c>
    </row>
    <row r="94" spans="1:16" x14ac:dyDescent="0.25">
      <c r="A94" s="282" t="s">
        <v>81</v>
      </c>
      <c r="B94" s="283" t="s">
        <v>17</v>
      </c>
      <c r="C94" s="284" t="s">
        <v>17</v>
      </c>
      <c r="D94" s="282" t="s">
        <v>17</v>
      </c>
      <c r="E94" s="284" t="s">
        <v>17</v>
      </c>
      <c r="F94" s="285" t="s">
        <v>17</v>
      </c>
      <c r="G94" s="286" t="s">
        <v>67</v>
      </c>
      <c r="H94" s="286"/>
      <c r="I94" s="286"/>
      <c r="J94" s="286"/>
      <c r="K94" s="286"/>
      <c r="L94" s="286"/>
      <c r="M94" s="286"/>
      <c r="N94" s="287" t="s">
        <v>82</v>
      </c>
      <c r="O94" s="288" t="s">
        <v>228</v>
      </c>
      <c r="P94" s="289">
        <v>1</v>
      </c>
    </row>
    <row r="95" spans="1:16" x14ac:dyDescent="0.25">
      <c r="A95" s="282" t="s">
        <v>81</v>
      </c>
      <c r="B95" s="283" t="s">
        <v>17</v>
      </c>
      <c r="C95" s="284" t="s">
        <v>17</v>
      </c>
      <c r="D95" s="282" t="s">
        <v>17</v>
      </c>
      <c r="E95" s="284" t="s">
        <v>17</v>
      </c>
      <c r="F95" s="285" t="s">
        <v>17</v>
      </c>
      <c r="G95" s="286" t="s">
        <v>67</v>
      </c>
      <c r="H95" s="286"/>
      <c r="I95" s="286"/>
      <c r="J95" s="286"/>
      <c r="K95" s="286"/>
      <c r="L95" s="286"/>
      <c r="M95" s="286"/>
      <c r="N95" s="287" t="s">
        <v>82</v>
      </c>
      <c r="O95" s="288" t="s">
        <v>228</v>
      </c>
      <c r="P95" s="289">
        <v>1</v>
      </c>
    </row>
    <row r="96" spans="1:16" x14ac:dyDescent="0.25">
      <c r="A96" s="282" t="s">
        <v>81</v>
      </c>
      <c r="B96" s="283" t="s">
        <v>17</v>
      </c>
      <c r="C96" s="284" t="s">
        <v>17</v>
      </c>
      <c r="D96" s="282" t="s">
        <v>17</v>
      </c>
      <c r="E96" s="284" t="s">
        <v>17</v>
      </c>
      <c r="F96" s="285" t="s">
        <v>17</v>
      </c>
      <c r="G96" s="286" t="s">
        <v>67</v>
      </c>
      <c r="H96" s="286"/>
      <c r="I96" s="286"/>
      <c r="J96" s="286"/>
      <c r="K96" s="286"/>
      <c r="L96" s="286"/>
      <c r="M96" s="286"/>
      <c r="N96" s="287" t="s">
        <v>82</v>
      </c>
      <c r="O96" s="288" t="s">
        <v>228</v>
      </c>
      <c r="P96" s="289">
        <v>1</v>
      </c>
    </row>
    <row r="97" spans="1:16" x14ac:dyDescent="0.25">
      <c r="A97" s="282" t="s">
        <v>81</v>
      </c>
      <c r="B97" s="283" t="s">
        <v>17</v>
      </c>
      <c r="C97" s="284" t="s">
        <v>17</v>
      </c>
      <c r="D97" s="282" t="s">
        <v>17</v>
      </c>
      <c r="E97" s="284" t="s">
        <v>17</v>
      </c>
      <c r="F97" s="285" t="s">
        <v>17</v>
      </c>
      <c r="G97" s="286" t="s">
        <v>67</v>
      </c>
      <c r="H97" s="286"/>
      <c r="I97" s="286"/>
      <c r="J97" s="286"/>
      <c r="K97" s="286"/>
      <c r="L97" s="286"/>
      <c r="M97" s="286"/>
      <c r="N97" s="287" t="s">
        <v>82</v>
      </c>
      <c r="O97" s="288" t="s">
        <v>228</v>
      </c>
      <c r="P97" s="289">
        <v>1</v>
      </c>
    </row>
    <row r="98" spans="1:16" x14ac:dyDescent="0.25">
      <c r="A98" s="282" t="s">
        <v>83</v>
      </c>
      <c r="B98" s="283" t="s">
        <v>379</v>
      </c>
      <c r="C98" s="284">
        <v>46254</v>
      </c>
      <c r="D98" s="282" t="s">
        <v>380</v>
      </c>
      <c r="E98" s="284">
        <v>45986</v>
      </c>
      <c r="F98" s="285" t="s">
        <v>23</v>
      </c>
      <c r="G98" s="286" t="s">
        <v>67</v>
      </c>
      <c r="H98" s="286"/>
      <c r="I98" s="286"/>
      <c r="J98" s="286"/>
      <c r="K98" s="286"/>
      <c r="L98" s="286"/>
      <c r="M98" s="286"/>
      <c r="N98" s="287" t="s">
        <v>84</v>
      </c>
      <c r="O98" s="288" t="s">
        <v>228</v>
      </c>
      <c r="P98" s="289">
        <v>1</v>
      </c>
    </row>
    <row r="99" spans="1:16" x14ac:dyDescent="0.25">
      <c r="A99" s="282" t="s">
        <v>83</v>
      </c>
      <c r="B99" s="283" t="s">
        <v>289</v>
      </c>
      <c r="C99" s="284">
        <v>46050</v>
      </c>
      <c r="D99" s="282" t="s">
        <v>312</v>
      </c>
      <c r="E99" s="284">
        <v>45986</v>
      </c>
      <c r="F99" s="285" t="s">
        <v>23</v>
      </c>
      <c r="G99" s="286" t="s">
        <v>67</v>
      </c>
      <c r="H99" s="286"/>
      <c r="I99" s="286"/>
      <c r="J99" s="286"/>
      <c r="K99" s="286"/>
      <c r="L99" s="286"/>
      <c r="M99" s="286"/>
      <c r="N99" s="287" t="s">
        <v>84</v>
      </c>
      <c r="O99" s="288" t="s">
        <v>228</v>
      </c>
      <c r="P99" s="289">
        <v>1</v>
      </c>
    </row>
    <row r="100" spans="1:16" x14ac:dyDescent="0.25">
      <c r="A100" s="282" t="s">
        <v>83</v>
      </c>
      <c r="B100" s="283" t="s">
        <v>17</v>
      </c>
      <c r="C100" s="284" t="s">
        <v>17</v>
      </c>
      <c r="D100" s="282" t="s">
        <v>17</v>
      </c>
      <c r="E100" s="284" t="s">
        <v>17</v>
      </c>
      <c r="F100" s="285" t="s">
        <v>17</v>
      </c>
      <c r="G100" s="286" t="s">
        <v>67</v>
      </c>
      <c r="H100" s="286"/>
      <c r="I100" s="286"/>
      <c r="J100" s="286"/>
      <c r="K100" s="286"/>
      <c r="L100" s="286"/>
      <c r="M100" s="286"/>
      <c r="N100" s="287" t="s">
        <v>84</v>
      </c>
      <c r="O100" s="288" t="s">
        <v>228</v>
      </c>
      <c r="P100" s="289">
        <v>1</v>
      </c>
    </row>
    <row r="101" spans="1:16" x14ac:dyDescent="0.25">
      <c r="A101" s="282" t="s">
        <v>83</v>
      </c>
      <c r="B101" s="283" t="s">
        <v>17</v>
      </c>
      <c r="C101" s="284" t="s">
        <v>17</v>
      </c>
      <c r="D101" s="282" t="s">
        <v>17</v>
      </c>
      <c r="E101" s="284" t="s">
        <v>17</v>
      </c>
      <c r="F101" s="285" t="s">
        <v>17</v>
      </c>
      <c r="G101" s="286" t="s">
        <v>67</v>
      </c>
      <c r="H101" s="286"/>
      <c r="I101" s="286"/>
      <c r="J101" s="286"/>
      <c r="K101" s="286"/>
      <c r="L101" s="286"/>
      <c r="M101" s="286"/>
      <c r="N101" s="287" t="s">
        <v>84</v>
      </c>
      <c r="O101" s="288" t="s">
        <v>228</v>
      </c>
      <c r="P101" s="289">
        <v>1</v>
      </c>
    </row>
    <row r="102" spans="1:16" x14ac:dyDescent="0.25">
      <c r="A102" s="282" t="s">
        <v>85</v>
      </c>
      <c r="B102" s="283" t="s">
        <v>310</v>
      </c>
      <c r="C102" s="284">
        <v>46049</v>
      </c>
      <c r="D102" s="282" t="s">
        <v>359</v>
      </c>
      <c r="E102" s="284">
        <v>45985</v>
      </c>
      <c r="F102" s="285" t="s">
        <v>23</v>
      </c>
      <c r="G102" s="286" t="s">
        <v>67</v>
      </c>
      <c r="H102" s="286"/>
      <c r="I102" s="286"/>
      <c r="J102" s="286"/>
      <c r="K102" s="286"/>
      <c r="L102" s="286"/>
      <c r="M102" s="286"/>
      <c r="N102" s="287" t="s">
        <v>86</v>
      </c>
      <c r="O102" s="288" t="s">
        <v>227</v>
      </c>
      <c r="P102" s="289">
        <v>0</v>
      </c>
    </row>
    <row r="103" spans="1:16" x14ac:dyDescent="0.25">
      <c r="A103" s="282" t="s">
        <v>85</v>
      </c>
      <c r="B103" s="283" t="s">
        <v>17</v>
      </c>
      <c r="C103" s="284" t="s">
        <v>17</v>
      </c>
      <c r="D103" s="282" t="s">
        <v>17</v>
      </c>
      <c r="E103" s="284" t="s">
        <v>17</v>
      </c>
      <c r="F103" s="285" t="s">
        <v>17</v>
      </c>
      <c r="G103" s="286" t="s">
        <v>67</v>
      </c>
      <c r="H103" s="286"/>
      <c r="I103" s="286"/>
      <c r="J103" s="286"/>
      <c r="K103" s="286"/>
      <c r="L103" s="286"/>
      <c r="M103" s="286"/>
      <c r="N103" s="287" t="s">
        <v>86</v>
      </c>
      <c r="O103" s="288" t="s">
        <v>227</v>
      </c>
      <c r="P103" s="289">
        <v>0</v>
      </c>
    </row>
    <row r="104" spans="1:16" x14ac:dyDescent="0.25">
      <c r="A104" s="282" t="s">
        <v>85</v>
      </c>
      <c r="B104" s="283" t="s">
        <v>17</v>
      </c>
      <c r="C104" s="284" t="s">
        <v>17</v>
      </c>
      <c r="D104" s="282" t="s">
        <v>17</v>
      </c>
      <c r="E104" s="284" t="s">
        <v>17</v>
      </c>
      <c r="F104" s="285" t="s">
        <v>17</v>
      </c>
      <c r="G104" s="286" t="s">
        <v>67</v>
      </c>
      <c r="H104" s="286"/>
      <c r="I104" s="286"/>
      <c r="J104" s="286"/>
      <c r="K104" s="286"/>
      <c r="L104" s="286"/>
      <c r="M104" s="286"/>
      <c r="N104" s="287" t="s">
        <v>86</v>
      </c>
      <c r="O104" s="288" t="s">
        <v>227</v>
      </c>
      <c r="P104" s="289">
        <v>0</v>
      </c>
    </row>
    <row r="105" spans="1:16" x14ac:dyDescent="0.25">
      <c r="A105" s="282" t="s">
        <v>85</v>
      </c>
      <c r="B105" s="283" t="s">
        <v>17</v>
      </c>
      <c r="C105" s="284" t="s">
        <v>17</v>
      </c>
      <c r="D105" s="282" t="s">
        <v>17</v>
      </c>
      <c r="E105" s="284" t="s">
        <v>17</v>
      </c>
      <c r="F105" s="285" t="s">
        <v>17</v>
      </c>
      <c r="G105" s="286" t="s">
        <v>67</v>
      </c>
      <c r="H105" s="286"/>
      <c r="I105" s="286"/>
      <c r="J105" s="286"/>
      <c r="K105" s="286"/>
      <c r="L105" s="286"/>
      <c r="M105" s="286"/>
      <c r="N105" s="287" t="s">
        <v>86</v>
      </c>
      <c r="O105" s="288" t="s">
        <v>227</v>
      </c>
      <c r="P105" s="289">
        <v>0</v>
      </c>
    </row>
    <row r="106" spans="1:16" x14ac:dyDescent="0.25">
      <c r="A106" s="282" t="s">
        <v>87</v>
      </c>
      <c r="B106" s="283" t="s">
        <v>341</v>
      </c>
      <c r="C106" s="284">
        <v>46889</v>
      </c>
      <c r="D106" s="282" t="s">
        <v>323</v>
      </c>
      <c r="E106" s="284">
        <v>45972</v>
      </c>
      <c r="F106" s="285" t="s">
        <v>10</v>
      </c>
      <c r="G106" s="286" t="s">
        <v>35</v>
      </c>
      <c r="H106" s="286"/>
      <c r="I106" s="286"/>
      <c r="J106" s="286"/>
      <c r="K106" s="286"/>
      <c r="L106" s="286"/>
      <c r="M106" s="286"/>
      <c r="N106" s="287" t="s">
        <v>88</v>
      </c>
      <c r="O106" s="288" t="s">
        <v>226</v>
      </c>
      <c r="P106" s="289">
        <v>1</v>
      </c>
    </row>
    <row r="107" spans="1:16" x14ac:dyDescent="0.25">
      <c r="A107" s="282" t="s">
        <v>87</v>
      </c>
      <c r="B107" s="283" t="s">
        <v>17</v>
      </c>
      <c r="C107" s="284" t="s">
        <v>17</v>
      </c>
      <c r="D107" s="282" t="s">
        <v>17</v>
      </c>
      <c r="E107" s="284" t="s">
        <v>17</v>
      </c>
      <c r="F107" s="285" t="s">
        <v>17</v>
      </c>
      <c r="G107" s="286" t="s">
        <v>35</v>
      </c>
      <c r="H107" s="286"/>
      <c r="I107" s="286"/>
      <c r="J107" s="286"/>
      <c r="K107" s="286"/>
      <c r="L107" s="286"/>
      <c r="M107" s="286"/>
      <c r="N107" s="287" t="s">
        <v>88</v>
      </c>
      <c r="O107" s="288" t="s">
        <v>226</v>
      </c>
      <c r="P107" s="289">
        <v>1</v>
      </c>
    </row>
    <row r="108" spans="1:16" x14ac:dyDescent="0.25">
      <c r="A108" s="282" t="s">
        <v>87</v>
      </c>
      <c r="B108" s="283" t="s">
        <v>17</v>
      </c>
      <c r="C108" s="284" t="s">
        <v>17</v>
      </c>
      <c r="D108" s="282" t="s">
        <v>17</v>
      </c>
      <c r="E108" s="284" t="s">
        <v>17</v>
      </c>
      <c r="F108" s="285" t="s">
        <v>17</v>
      </c>
      <c r="G108" s="286" t="s">
        <v>35</v>
      </c>
      <c r="H108" s="286"/>
      <c r="I108" s="286"/>
      <c r="J108" s="286"/>
      <c r="K108" s="286"/>
      <c r="L108" s="286"/>
      <c r="M108" s="286"/>
      <c r="N108" s="287" t="s">
        <v>88</v>
      </c>
      <c r="O108" s="288" t="s">
        <v>226</v>
      </c>
      <c r="P108" s="289">
        <v>1</v>
      </c>
    </row>
    <row r="109" spans="1:16" x14ac:dyDescent="0.25">
      <c r="A109" s="282" t="s">
        <v>87</v>
      </c>
      <c r="B109" s="283" t="s">
        <v>17</v>
      </c>
      <c r="C109" s="284" t="s">
        <v>17</v>
      </c>
      <c r="D109" s="282" t="s">
        <v>17</v>
      </c>
      <c r="E109" s="284" t="s">
        <v>17</v>
      </c>
      <c r="F109" s="285" t="s">
        <v>17</v>
      </c>
      <c r="G109" s="286" t="s">
        <v>35</v>
      </c>
      <c r="H109" s="286"/>
      <c r="I109" s="286"/>
      <c r="J109" s="286"/>
      <c r="K109" s="286"/>
      <c r="L109" s="286"/>
      <c r="M109" s="286"/>
      <c r="N109" s="287" t="s">
        <v>88</v>
      </c>
      <c r="O109" s="288" t="s">
        <v>226</v>
      </c>
      <c r="P109" s="289">
        <v>1</v>
      </c>
    </row>
    <row r="110" spans="1:16" x14ac:dyDescent="0.25">
      <c r="A110" s="282" t="s">
        <v>89</v>
      </c>
      <c r="B110" s="283" t="s">
        <v>285</v>
      </c>
      <c r="C110" s="284">
        <v>46761</v>
      </c>
      <c r="D110" s="282" t="s">
        <v>339</v>
      </c>
      <c r="E110" s="284">
        <v>45985</v>
      </c>
      <c r="F110" s="285" t="s">
        <v>23</v>
      </c>
      <c r="G110" s="286" t="s">
        <v>35</v>
      </c>
      <c r="H110" s="286"/>
      <c r="I110" s="286"/>
      <c r="J110" s="286"/>
      <c r="K110" s="286"/>
      <c r="L110" s="286"/>
      <c r="M110" s="286"/>
      <c r="N110" s="287" t="s">
        <v>90</v>
      </c>
      <c r="O110" s="288" t="s">
        <v>227</v>
      </c>
      <c r="P110" s="289">
        <v>0</v>
      </c>
    </row>
    <row r="111" spans="1:16" x14ac:dyDescent="0.25">
      <c r="A111" s="282" t="s">
        <v>89</v>
      </c>
      <c r="B111" s="283" t="s">
        <v>17</v>
      </c>
      <c r="C111" s="284" t="s">
        <v>17</v>
      </c>
      <c r="D111" s="282" t="s">
        <v>17</v>
      </c>
      <c r="E111" s="284" t="s">
        <v>17</v>
      </c>
      <c r="F111" s="285" t="s">
        <v>17</v>
      </c>
      <c r="G111" s="286" t="s">
        <v>35</v>
      </c>
      <c r="H111" s="286"/>
      <c r="I111" s="286"/>
      <c r="J111" s="286"/>
      <c r="K111" s="286"/>
      <c r="L111" s="286"/>
      <c r="M111" s="286"/>
      <c r="N111" s="287" t="s">
        <v>90</v>
      </c>
      <c r="O111" s="288" t="s">
        <v>227</v>
      </c>
      <c r="P111" s="289">
        <v>0</v>
      </c>
    </row>
    <row r="112" spans="1:16" x14ac:dyDescent="0.25">
      <c r="A112" s="282" t="s">
        <v>89</v>
      </c>
      <c r="B112" s="283" t="s">
        <v>17</v>
      </c>
      <c r="C112" s="284" t="s">
        <v>17</v>
      </c>
      <c r="D112" s="282" t="s">
        <v>17</v>
      </c>
      <c r="E112" s="284" t="s">
        <v>17</v>
      </c>
      <c r="F112" s="285" t="s">
        <v>17</v>
      </c>
      <c r="G112" s="286" t="s">
        <v>35</v>
      </c>
      <c r="H112" s="286"/>
      <c r="I112" s="286"/>
      <c r="J112" s="286"/>
      <c r="K112" s="286"/>
      <c r="L112" s="286"/>
      <c r="M112" s="286"/>
      <c r="N112" s="287" t="s">
        <v>90</v>
      </c>
      <c r="O112" s="288" t="s">
        <v>227</v>
      </c>
      <c r="P112" s="289">
        <v>0</v>
      </c>
    </row>
    <row r="113" spans="1:16" x14ac:dyDescent="0.25">
      <c r="A113" s="282" t="s">
        <v>89</v>
      </c>
      <c r="B113" s="283" t="s">
        <v>17</v>
      </c>
      <c r="C113" s="284" t="s">
        <v>17</v>
      </c>
      <c r="D113" s="282" t="s">
        <v>17</v>
      </c>
      <c r="E113" s="284" t="s">
        <v>17</v>
      </c>
      <c r="F113" s="285" t="s">
        <v>17</v>
      </c>
      <c r="G113" s="286" t="s">
        <v>35</v>
      </c>
      <c r="H113" s="286"/>
      <c r="I113" s="286"/>
      <c r="J113" s="286"/>
      <c r="K113" s="286"/>
      <c r="L113" s="286"/>
      <c r="M113" s="286"/>
      <c r="N113" s="287" t="s">
        <v>90</v>
      </c>
      <c r="O113" s="288" t="s">
        <v>227</v>
      </c>
      <c r="P113" s="289">
        <v>0</v>
      </c>
    </row>
    <row r="114" spans="1:16" x14ac:dyDescent="0.25">
      <c r="A114" s="282" t="s">
        <v>91</v>
      </c>
      <c r="B114" s="283">
        <v>1001512409</v>
      </c>
      <c r="C114" s="284">
        <v>46083</v>
      </c>
      <c r="D114" s="282" t="s">
        <v>398</v>
      </c>
      <c r="E114" s="284">
        <v>45994</v>
      </c>
      <c r="F114" s="285" t="s">
        <v>207</v>
      </c>
      <c r="G114" s="286" t="s">
        <v>92</v>
      </c>
      <c r="H114" s="286" t="s">
        <v>61</v>
      </c>
      <c r="I114" s="286" t="s">
        <v>93</v>
      </c>
      <c r="J114" s="286"/>
      <c r="K114" s="286"/>
      <c r="L114" s="286"/>
      <c r="M114" s="286"/>
      <c r="N114" s="287" t="s">
        <v>94</v>
      </c>
      <c r="O114" s="288" t="s">
        <v>232</v>
      </c>
      <c r="P114" s="289">
        <v>2</v>
      </c>
    </row>
    <row r="115" spans="1:16" x14ac:dyDescent="0.25">
      <c r="A115" s="282" t="s">
        <v>91</v>
      </c>
      <c r="B115" s="283">
        <v>1001506031</v>
      </c>
      <c r="C115" s="284">
        <v>46039</v>
      </c>
      <c r="D115" s="282" t="s">
        <v>381</v>
      </c>
      <c r="E115" s="284">
        <v>45986</v>
      </c>
      <c r="F115" s="285" t="s">
        <v>23</v>
      </c>
      <c r="G115" s="286" t="s">
        <v>92</v>
      </c>
      <c r="H115" s="286" t="s">
        <v>61</v>
      </c>
      <c r="I115" s="286" t="s">
        <v>93</v>
      </c>
      <c r="J115" s="286"/>
      <c r="K115" s="286"/>
      <c r="L115" s="286"/>
      <c r="M115" s="286"/>
      <c r="N115" s="287" t="s">
        <v>94</v>
      </c>
      <c r="O115" s="288" t="s">
        <v>232</v>
      </c>
      <c r="P115" s="289">
        <v>2</v>
      </c>
    </row>
    <row r="116" spans="1:16" x14ac:dyDescent="0.25">
      <c r="A116" s="282" t="s">
        <v>91</v>
      </c>
      <c r="B116" s="283" t="s">
        <v>17</v>
      </c>
      <c r="C116" s="284" t="s">
        <v>17</v>
      </c>
      <c r="D116" s="282" t="s">
        <v>17</v>
      </c>
      <c r="E116" s="284" t="s">
        <v>17</v>
      </c>
      <c r="F116" s="285" t="s">
        <v>17</v>
      </c>
      <c r="G116" s="286" t="s">
        <v>92</v>
      </c>
      <c r="H116" s="286" t="s">
        <v>61</v>
      </c>
      <c r="I116" s="286" t="s">
        <v>93</v>
      </c>
      <c r="J116" s="286"/>
      <c r="K116" s="286"/>
      <c r="L116" s="286"/>
      <c r="M116" s="286"/>
      <c r="N116" s="287" t="s">
        <v>94</v>
      </c>
      <c r="O116" s="288" t="s">
        <v>232</v>
      </c>
      <c r="P116" s="289">
        <v>2</v>
      </c>
    </row>
    <row r="117" spans="1:16" x14ac:dyDescent="0.25">
      <c r="A117" s="282" t="s">
        <v>91</v>
      </c>
      <c r="B117" s="283" t="s">
        <v>17</v>
      </c>
      <c r="C117" s="284" t="s">
        <v>17</v>
      </c>
      <c r="D117" s="282" t="s">
        <v>17</v>
      </c>
      <c r="E117" s="284" t="s">
        <v>17</v>
      </c>
      <c r="F117" s="285" t="s">
        <v>17</v>
      </c>
      <c r="G117" s="286" t="s">
        <v>92</v>
      </c>
      <c r="H117" s="286" t="s">
        <v>61</v>
      </c>
      <c r="I117" s="286" t="s">
        <v>93</v>
      </c>
      <c r="J117" s="286"/>
      <c r="K117" s="286"/>
      <c r="L117" s="286"/>
      <c r="M117" s="286"/>
      <c r="N117" s="287" t="s">
        <v>94</v>
      </c>
      <c r="O117" s="288" t="s">
        <v>232</v>
      </c>
      <c r="P117" s="289">
        <v>2</v>
      </c>
    </row>
    <row r="118" spans="1:16" x14ac:dyDescent="0.25">
      <c r="A118" s="282" t="s">
        <v>95</v>
      </c>
      <c r="B118" s="283">
        <v>1001508989</v>
      </c>
      <c r="C118" s="284">
        <v>46087</v>
      </c>
      <c r="D118" s="282" t="s">
        <v>342</v>
      </c>
      <c r="E118" s="284">
        <v>45982</v>
      </c>
      <c r="F118" s="285" t="s">
        <v>23</v>
      </c>
      <c r="G118" s="286" t="s">
        <v>24</v>
      </c>
      <c r="H118" s="286" t="s">
        <v>25</v>
      </c>
      <c r="I118" s="286" t="s">
        <v>19</v>
      </c>
      <c r="J118" s="286" t="s">
        <v>50</v>
      </c>
      <c r="K118" s="286"/>
      <c r="L118" s="286"/>
      <c r="M118" s="286"/>
      <c r="N118" s="291" t="s">
        <v>96</v>
      </c>
      <c r="O118" s="288" t="s">
        <v>232</v>
      </c>
      <c r="P118" s="289">
        <v>2</v>
      </c>
    </row>
    <row r="119" spans="1:16" x14ac:dyDescent="0.25">
      <c r="A119" s="282" t="s">
        <v>95</v>
      </c>
      <c r="B119" s="283">
        <v>1001505209</v>
      </c>
      <c r="C119" s="284">
        <v>46063</v>
      </c>
      <c r="D119" s="282">
        <v>30</v>
      </c>
      <c r="E119" s="284">
        <v>45979</v>
      </c>
      <c r="F119" s="285" t="s">
        <v>10</v>
      </c>
      <c r="G119" s="286" t="s">
        <v>24</v>
      </c>
      <c r="H119" s="286" t="s">
        <v>25</v>
      </c>
      <c r="I119" s="286" t="s">
        <v>19</v>
      </c>
      <c r="J119" s="286" t="s">
        <v>50</v>
      </c>
      <c r="K119" s="286"/>
      <c r="L119" s="286"/>
      <c r="M119" s="286"/>
      <c r="N119" s="291" t="s">
        <v>96</v>
      </c>
      <c r="O119" s="288" t="s">
        <v>232</v>
      </c>
      <c r="P119" s="289">
        <v>2</v>
      </c>
    </row>
    <row r="120" spans="1:16" x14ac:dyDescent="0.25">
      <c r="A120" s="282" t="s">
        <v>95</v>
      </c>
      <c r="B120" s="283" t="s">
        <v>17</v>
      </c>
      <c r="C120" s="284" t="s">
        <v>17</v>
      </c>
      <c r="D120" s="282" t="s">
        <v>17</v>
      </c>
      <c r="E120" s="284" t="s">
        <v>17</v>
      </c>
      <c r="F120" s="285" t="s">
        <v>17</v>
      </c>
      <c r="G120" s="286" t="s">
        <v>24</v>
      </c>
      <c r="H120" s="286" t="s">
        <v>25</v>
      </c>
      <c r="I120" s="286" t="s">
        <v>19</v>
      </c>
      <c r="J120" s="286" t="s">
        <v>50</v>
      </c>
      <c r="K120" s="286"/>
      <c r="L120" s="286"/>
      <c r="M120" s="286"/>
      <c r="N120" s="291" t="s">
        <v>96</v>
      </c>
      <c r="O120" s="288" t="s">
        <v>232</v>
      </c>
      <c r="P120" s="289">
        <v>2</v>
      </c>
    </row>
    <row r="121" spans="1:16" x14ac:dyDescent="0.25">
      <c r="A121" s="282" t="s">
        <v>95</v>
      </c>
      <c r="B121" s="283" t="s">
        <v>17</v>
      </c>
      <c r="C121" s="284" t="s">
        <v>17</v>
      </c>
      <c r="D121" s="282" t="s">
        <v>17</v>
      </c>
      <c r="E121" s="284" t="s">
        <v>17</v>
      </c>
      <c r="F121" s="285" t="s">
        <v>17</v>
      </c>
      <c r="G121" s="286" t="s">
        <v>24</v>
      </c>
      <c r="H121" s="286" t="s">
        <v>25</v>
      </c>
      <c r="I121" s="286" t="s">
        <v>19</v>
      </c>
      <c r="J121" s="286" t="s">
        <v>50</v>
      </c>
      <c r="K121" s="286"/>
      <c r="L121" s="286"/>
      <c r="M121" s="286"/>
      <c r="N121" s="291" t="s">
        <v>96</v>
      </c>
      <c r="O121" s="288" t="s">
        <v>232</v>
      </c>
      <c r="P121" s="289">
        <v>2</v>
      </c>
    </row>
    <row r="122" spans="1:16" x14ac:dyDescent="0.25">
      <c r="A122" s="282" t="s">
        <v>97</v>
      </c>
      <c r="B122" s="283" t="s">
        <v>306</v>
      </c>
      <c r="C122" s="284">
        <v>46295</v>
      </c>
      <c r="D122" s="282" t="s">
        <v>363</v>
      </c>
      <c r="E122" s="284">
        <v>45972</v>
      </c>
      <c r="F122" s="285" t="s">
        <v>10</v>
      </c>
      <c r="G122" s="286" t="s">
        <v>35</v>
      </c>
      <c r="H122" s="286"/>
      <c r="I122" s="286"/>
      <c r="J122" s="286"/>
      <c r="K122" s="286"/>
      <c r="L122" s="286"/>
      <c r="M122" s="286"/>
      <c r="N122" s="287" t="s">
        <v>98</v>
      </c>
      <c r="O122" s="288" t="s">
        <v>226</v>
      </c>
      <c r="P122" s="289">
        <v>1</v>
      </c>
    </row>
    <row r="123" spans="1:16" x14ac:dyDescent="0.25">
      <c r="A123" s="282" t="s">
        <v>97</v>
      </c>
      <c r="B123" s="283" t="s">
        <v>17</v>
      </c>
      <c r="C123" s="284" t="s">
        <v>17</v>
      </c>
      <c r="D123" s="282" t="s">
        <v>366</v>
      </c>
      <c r="E123" s="284">
        <v>45972</v>
      </c>
      <c r="F123" s="285" t="s">
        <v>23</v>
      </c>
      <c r="G123" s="286" t="s">
        <v>35</v>
      </c>
      <c r="H123" s="286"/>
      <c r="I123" s="286"/>
      <c r="J123" s="286"/>
      <c r="K123" s="286"/>
      <c r="L123" s="286"/>
      <c r="M123" s="286"/>
      <c r="N123" s="287" t="s">
        <v>98</v>
      </c>
      <c r="O123" s="288" t="s">
        <v>226</v>
      </c>
      <c r="P123" s="289">
        <v>1</v>
      </c>
    </row>
    <row r="124" spans="1:16" x14ac:dyDescent="0.25">
      <c r="A124" s="282" t="s">
        <v>97</v>
      </c>
      <c r="B124" s="283" t="s">
        <v>17</v>
      </c>
      <c r="C124" s="284" t="s">
        <v>17</v>
      </c>
      <c r="D124" s="282" t="s">
        <v>17</v>
      </c>
      <c r="E124" s="284" t="s">
        <v>17</v>
      </c>
      <c r="F124" s="285" t="s">
        <v>17</v>
      </c>
      <c r="G124" s="286" t="s">
        <v>35</v>
      </c>
      <c r="H124" s="286"/>
      <c r="I124" s="286"/>
      <c r="J124" s="286"/>
      <c r="K124" s="286"/>
      <c r="L124" s="286"/>
      <c r="M124" s="286"/>
      <c r="N124" s="287" t="s">
        <v>98</v>
      </c>
      <c r="O124" s="288" t="s">
        <v>226</v>
      </c>
      <c r="P124" s="289">
        <v>1</v>
      </c>
    </row>
    <row r="125" spans="1:16" x14ac:dyDescent="0.25">
      <c r="A125" s="282" t="s">
        <v>97</v>
      </c>
      <c r="B125" s="283" t="s">
        <v>17</v>
      </c>
      <c r="C125" s="284" t="s">
        <v>17</v>
      </c>
      <c r="D125" s="282" t="s">
        <v>17</v>
      </c>
      <c r="E125" s="284" t="s">
        <v>17</v>
      </c>
      <c r="F125" s="285" t="s">
        <v>17</v>
      </c>
      <c r="G125" s="286" t="s">
        <v>35</v>
      </c>
      <c r="H125" s="286"/>
      <c r="I125" s="286"/>
      <c r="J125" s="286"/>
      <c r="K125" s="286"/>
      <c r="L125" s="286"/>
      <c r="M125" s="286"/>
      <c r="N125" s="287" t="s">
        <v>98</v>
      </c>
      <c r="O125" s="288" t="s">
        <v>226</v>
      </c>
      <c r="P125" s="289">
        <v>1</v>
      </c>
    </row>
    <row r="126" spans="1:16" x14ac:dyDescent="0.25">
      <c r="A126" s="282" t="s">
        <v>99</v>
      </c>
      <c r="B126" s="283" t="s">
        <v>262</v>
      </c>
      <c r="C126" s="284">
        <v>46332</v>
      </c>
      <c r="D126" s="282" t="s">
        <v>382</v>
      </c>
      <c r="E126" s="284">
        <v>45986</v>
      </c>
      <c r="F126" s="285" t="s">
        <v>23</v>
      </c>
      <c r="G126" s="286" t="s">
        <v>100</v>
      </c>
      <c r="H126" s="286"/>
      <c r="I126" s="286"/>
      <c r="J126" s="286"/>
      <c r="K126" s="286"/>
      <c r="L126" s="286"/>
      <c r="M126" s="286"/>
      <c r="N126" s="287" t="s">
        <v>101</v>
      </c>
      <c r="O126" s="288" t="s">
        <v>228</v>
      </c>
      <c r="P126" s="289">
        <v>1</v>
      </c>
    </row>
    <row r="127" spans="1:16" x14ac:dyDescent="0.25">
      <c r="A127" s="282" t="s">
        <v>99</v>
      </c>
      <c r="B127" s="283" t="s">
        <v>17</v>
      </c>
      <c r="C127" s="284" t="s">
        <v>17</v>
      </c>
      <c r="D127" s="282" t="s">
        <v>311</v>
      </c>
      <c r="E127" s="284">
        <v>45895</v>
      </c>
      <c r="F127" s="285" t="s">
        <v>23</v>
      </c>
      <c r="G127" s="286" t="s">
        <v>100</v>
      </c>
      <c r="H127" s="286"/>
      <c r="I127" s="286"/>
      <c r="J127" s="286"/>
      <c r="K127" s="286"/>
      <c r="L127" s="286"/>
      <c r="M127" s="286"/>
      <c r="N127" s="287" t="s">
        <v>101</v>
      </c>
      <c r="O127" s="288" t="s">
        <v>228</v>
      </c>
      <c r="P127" s="289">
        <v>1</v>
      </c>
    </row>
    <row r="128" spans="1:16" x14ac:dyDescent="0.25">
      <c r="A128" s="282" t="s">
        <v>99</v>
      </c>
      <c r="B128" s="283" t="s">
        <v>17</v>
      </c>
      <c r="C128" s="284" t="s">
        <v>17</v>
      </c>
      <c r="D128" s="282" t="s">
        <v>17</v>
      </c>
      <c r="E128" s="284" t="s">
        <v>17</v>
      </c>
      <c r="F128" s="285" t="s">
        <v>17</v>
      </c>
      <c r="G128" s="286" t="s">
        <v>100</v>
      </c>
      <c r="H128" s="286"/>
      <c r="I128" s="286"/>
      <c r="J128" s="286"/>
      <c r="K128" s="286"/>
      <c r="L128" s="286"/>
      <c r="M128" s="286"/>
      <c r="N128" s="287" t="s">
        <v>101</v>
      </c>
      <c r="O128" s="288" t="s">
        <v>228</v>
      </c>
      <c r="P128" s="289">
        <v>1</v>
      </c>
    </row>
    <row r="129" spans="1:16" x14ac:dyDescent="0.25">
      <c r="A129" s="282" t="s">
        <v>99</v>
      </c>
      <c r="B129" s="283" t="s">
        <v>17</v>
      </c>
      <c r="C129" s="284" t="s">
        <v>17</v>
      </c>
      <c r="D129" s="282" t="s">
        <v>17</v>
      </c>
      <c r="E129" s="284" t="s">
        <v>17</v>
      </c>
      <c r="F129" s="285" t="s">
        <v>17</v>
      </c>
      <c r="G129" s="286" t="s">
        <v>100</v>
      </c>
      <c r="H129" s="286"/>
      <c r="I129" s="286"/>
      <c r="J129" s="286"/>
      <c r="K129" s="286"/>
      <c r="L129" s="286"/>
      <c r="M129" s="286"/>
      <c r="N129" s="287" t="s">
        <v>101</v>
      </c>
      <c r="O129" s="288" t="s">
        <v>228</v>
      </c>
      <c r="P129" s="289">
        <v>1</v>
      </c>
    </row>
    <row r="130" spans="1:16" x14ac:dyDescent="0.25">
      <c r="A130" s="282" t="s">
        <v>102</v>
      </c>
      <c r="B130" s="293" t="s">
        <v>383</v>
      </c>
      <c r="C130" s="294">
        <v>46791</v>
      </c>
      <c r="D130" s="292" t="s">
        <v>267</v>
      </c>
      <c r="E130" s="284">
        <v>45986</v>
      </c>
      <c r="F130" s="285" t="s">
        <v>23</v>
      </c>
      <c r="G130" s="286" t="s">
        <v>100</v>
      </c>
      <c r="H130" s="286"/>
      <c r="I130" s="286"/>
      <c r="J130" s="286"/>
      <c r="K130" s="286"/>
      <c r="L130" s="286"/>
      <c r="M130" s="286"/>
      <c r="N130" s="287" t="s">
        <v>103</v>
      </c>
      <c r="O130" s="288" t="s">
        <v>228</v>
      </c>
      <c r="P130" s="289">
        <v>1</v>
      </c>
    </row>
    <row r="131" spans="1:16" x14ac:dyDescent="0.25">
      <c r="A131" s="282" t="s">
        <v>102</v>
      </c>
      <c r="B131" s="293" t="s">
        <v>262</v>
      </c>
      <c r="C131" s="294">
        <v>46332</v>
      </c>
      <c r="D131" s="292" t="s">
        <v>362</v>
      </c>
      <c r="E131" s="284">
        <v>45964</v>
      </c>
      <c r="F131" s="285" t="s">
        <v>23</v>
      </c>
      <c r="G131" s="286" t="s">
        <v>100</v>
      </c>
      <c r="H131" s="286"/>
      <c r="I131" s="286"/>
      <c r="J131" s="286"/>
      <c r="K131" s="286"/>
      <c r="L131" s="286"/>
      <c r="M131" s="286"/>
      <c r="N131" s="287" t="s">
        <v>103</v>
      </c>
      <c r="O131" s="288" t="s">
        <v>228</v>
      </c>
      <c r="P131" s="289">
        <v>1</v>
      </c>
    </row>
    <row r="132" spans="1:16" x14ac:dyDescent="0.25">
      <c r="A132" s="282" t="s">
        <v>102</v>
      </c>
      <c r="B132" s="293" t="s">
        <v>17</v>
      </c>
      <c r="C132" s="294" t="s">
        <v>17</v>
      </c>
      <c r="D132" s="292" t="s">
        <v>17</v>
      </c>
      <c r="E132" s="284" t="s">
        <v>17</v>
      </c>
      <c r="F132" s="285" t="s">
        <v>17</v>
      </c>
      <c r="G132" s="286" t="s">
        <v>100</v>
      </c>
      <c r="H132" s="286"/>
      <c r="I132" s="286"/>
      <c r="J132" s="286"/>
      <c r="K132" s="286"/>
      <c r="L132" s="286"/>
      <c r="M132" s="286"/>
      <c r="N132" s="287" t="s">
        <v>103</v>
      </c>
      <c r="O132" s="288" t="s">
        <v>228</v>
      </c>
      <c r="P132" s="289">
        <v>1</v>
      </c>
    </row>
    <row r="133" spans="1:16" x14ac:dyDescent="0.25">
      <c r="A133" s="282" t="s">
        <v>102</v>
      </c>
      <c r="B133" s="293" t="s">
        <v>17</v>
      </c>
      <c r="C133" s="294" t="s">
        <v>17</v>
      </c>
      <c r="D133" s="292" t="s">
        <v>17</v>
      </c>
      <c r="E133" s="284" t="s">
        <v>17</v>
      </c>
      <c r="F133" s="285" t="s">
        <v>17</v>
      </c>
      <c r="G133" s="286" t="s">
        <v>100</v>
      </c>
      <c r="H133" s="286"/>
      <c r="I133" s="286"/>
      <c r="J133" s="286"/>
      <c r="K133" s="286"/>
      <c r="L133" s="286"/>
      <c r="M133" s="286"/>
      <c r="N133" s="287" t="s">
        <v>103</v>
      </c>
      <c r="O133" s="288" t="s">
        <v>228</v>
      </c>
      <c r="P133" s="289">
        <v>1</v>
      </c>
    </row>
    <row r="134" spans="1:16" x14ac:dyDescent="0.25">
      <c r="A134" s="282" t="s">
        <v>104</v>
      </c>
      <c r="B134" s="293" t="s">
        <v>17</v>
      </c>
      <c r="C134" s="294" t="s">
        <v>17</v>
      </c>
      <c r="D134" s="292" t="s">
        <v>17</v>
      </c>
      <c r="E134" s="294" t="s">
        <v>17</v>
      </c>
      <c r="F134" s="295" t="s">
        <v>17</v>
      </c>
      <c r="G134" s="296" t="s">
        <v>68</v>
      </c>
      <c r="H134" s="296"/>
      <c r="I134" s="296"/>
      <c r="J134" s="296"/>
      <c r="K134" s="296"/>
      <c r="L134" s="296"/>
      <c r="M134" s="296"/>
      <c r="N134" s="287" t="s">
        <v>105</v>
      </c>
      <c r="O134" s="288" t="s">
        <v>228</v>
      </c>
      <c r="P134" s="289">
        <v>1</v>
      </c>
    </row>
    <row r="135" spans="1:16" x14ac:dyDescent="0.25">
      <c r="A135" s="282" t="s">
        <v>104</v>
      </c>
      <c r="B135" s="293" t="s">
        <v>17</v>
      </c>
      <c r="C135" s="294" t="s">
        <v>17</v>
      </c>
      <c r="D135" s="292" t="s">
        <v>17</v>
      </c>
      <c r="E135" s="294" t="s">
        <v>17</v>
      </c>
      <c r="F135" s="295" t="s">
        <v>17</v>
      </c>
      <c r="G135" s="296" t="s">
        <v>68</v>
      </c>
      <c r="H135" s="296"/>
      <c r="I135" s="296"/>
      <c r="J135" s="296"/>
      <c r="K135" s="296"/>
      <c r="L135" s="296"/>
      <c r="M135" s="296"/>
      <c r="N135" s="287" t="s">
        <v>105</v>
      </c>
      <c r="O135" s="288" t="s">
        <v>228</v>
      </c>
      <c r="P135" s="289">
        <v>1</v>
      </c>
    </row>
    <row r="136" spans="1:16" x14ac:dyDescent="0.25">
      <c r="A136" s="282" t="s">
        <v>104</v>
      </c>
      <c r="B136" s="293" t="s">
        <v>17</v>
      </c>
      <c r="C136" s="294" t="s">
        <v>17</v>
      </c>
      <c r="D136" s="292" t="s">
        <v>17</v>
      </c>
      <c r="E136" s="294" t="s">
        <v>17</v>
      </c>
      <c r="F136" s="295" t="s">
        <v>17</v>
      </c>
      <c r="G136" s="296" t="s">
        <v>68</v>
      </c>
      <c r="H136" s="296"/>
      <c r="I136" s="296"/>
      <c r="J136" s="296"/>
      <c r="K136" s="296"/>
      <c r="L136" s="296"/>
      <c r="M136" s="296"/>
      <c r="N136" s="287" t="s">
        <v>105</v>
      </c>
      <c r="O136" s="288" t="s">
        <v>228</v>
      </c>
      <c r="P136" s="289">
        <v>1</v>
      </c>
    </row>
    <row r="137" spans="1:16" x14ac:dyDescent="0.25">
      <c r="A137" s="282" t="s">
        <v>104</v>
      </c>
      <c r="B137" s="293" t="s">
        <v>17</v>
      </c>
      <c r="C137" s="294" t="s">
        <v>17</v>
      </c>
      <c r="D137" s="292" t="s">
        <v>17</v>
      </c>
      <c r="E137" s="294" t="s">
        <v>17</v>
      </c>
      <c r="F137" s="295" t="s">
        <v>17</v>
      </c>
      <c r="G137" s="296" t="s">
        <v>68</v>
      </c>
      <c r="H137" s="296"/>
      <c r="I137" s="296"/>
      <c r="J137" s="296"/>
      <c r="K137" s="296"/>
      <c r="L137" s="296"/>
      <c r="M137" s="296"/>
      <c r="N137" s="287" t="s">
        <v>105</v>
      </c>
      <c r="O137" s="288" t="s">
        <v>228</v>
      </c>
      <c r="P137" s="289">
        <v>1</v>
      </c>
    </row>
    <row r="138" spans="1:16" x14ac:dyDescent="0.25">
      <c r="A138" s="282" t="s">
        <v>251</v>
      </c>
      <c r="B138" s="293" t="s">
        <v>261</v>
      </c>
      <c r="C138" s="294">
        <v>46009</v>
      </c>
      <c r="D138" s="292" t="s">
        <v>21</v>
      </c>
      <c r="E138" s="284">
        <v>45797</v>
      </c>
      <c r="F138" s="285" t="s">
        <v>23</v>
      </c>
      <c r="G138" s="286" t="s">
        <v>68</v>
      </c>
      <c r="H138" s="286"/>
      <c r="I138" s="286"/>
      <c r="J138" s="286"/>
      <c r="K138" s="286"/>
      <c r="L138" s="286"/>
      <c r="M138" s="286"/>
      <c r="N138" s="287" t="s">
        <v>106</v>
      </c>
      <c r="O138" s="288" t="s">
        <v>228</v>
      </c>
      <c r="P138" s="289">
        <v>1</v>
      </c>
    </row>
    <row r="139" spans="1:16" x14ac:dyDescent="0.25">
      <c r="A139" s="282" t="s">
        <v>251</v>
      </c>
      <c r="B139" s="293" t="s">
        <v>17</v>
      </c>
      <c r="C139" s="294" t="s">
        <v>17</v>
      </c>
      <c r="D139" s="292" t="s">
        <v>17</v>
      </c>
      <c r="E139" s="284" t="s">
        <v>17</v>
      </c>
      <c r="F139" s="285" t="s">
        <v>17</v>
      </c>
      <c r="G139" s="286" t="s">
        <v>68</v>
      </c>
      <c r="H139" s="286"/>
      <c r="I139" s="286"/>
      <c r="J139" s="286"/>
      <c r="K139" s="286"/>
      <c r="L139" s="286"/>
      <c r="M139" s="286"/>
      <c r="N139" s="287" t="s">
        <v>106</v>
      </c>
      <c r="O139" s="288" t="s">
        <v>228</v>
      </c>
      <c r="P139" s="289">
        <v>1</v>
      </c>
    </row>
    <row r="140" spans="1:16" x14ac:dyDescent="0.25">
      <c r="A140" s="282" t="s">
        <v>251</v>
      </c>
      <c r="B140" s="293" t="s">
        <v>17</v>
      </c>
      <c r="C140" s="294" t="s">
        <v>17</v>
      </c>
      <c r="D140" s="292" t="s">
        <v>17</v>
      </c>
      <c r="E140" s="284" t="s">
        <v>17</v>
      </c>
      <c r="F140" s="285" t="s">
        <v>17</v>
      </c>
      <c r="G140" s="286" t="s">
        <v>68</v>
      </c>
      <c r="H140" s="286"/>
      <c r="I140" s="286"/>
      <c r="J140" s="286"/>
      <c r="K140" s="286"/>
      <c r="L140" s="286"/>
      <c r="M140" s="286"/>
      <c r="N140" s="287" t="s">
        <v>106</v>
      </c>
      <c r="O140" s="288" t="s">
        <v>228</v>
      </c>
      <c r="P140" s="289">
        <v>1</v>
      </c>
    </row>
    <row r="141" spans="1:16" x14ac:dyDescent="0.25">
      <c r="A141" s="282" t="s">
        <v>251</v>
      </c>
      <c r="B141" s="293" t="s">
        <v>17</v>
      </c>
      <c r="C141" s="294" t="s">
        <v>17</v>
      </c>
      <c r="D141" s="292" t="s">
        <v>17</v>
      </c>
      <c r="E141" s="284" t="s">
        <v>17</v>
      </c>
      <c r="F141" s="285" t="s">
        <v>17</v>
      </c>
      <c r="G141" s="286" t="s">
        <v>68</v>
      </c>
      <c r="H141" s="286"/>
      <c r="I141" s="286"/>
      <c r="J141" s="286"/>
      <c r="K141" s="286"/>
      <c r="L141" s="286"/>
      <c r="M141" s="286"/>
      <c r="N141" s="287" t="s">
        <v>106</v>
      </c>
      <c r="O141" s="288" t="s">
        <v>228</v>
      </c>
      <c r="P141" s="289">
        <v>1</v>
      </c>
    </row>
    <row r="142" spans="1:16" x14ac:dyDescent="0.25">
      <c r="A142" s="282" t="s">
        <v>107</v>
      </c>
      <c r="B142" s="293" t="s">
        <v>368</v>
      </c>
      <c r="C142" s="297">
        <v>46135</v>
      </c>
      <c r="D142" s="292" t="s">
        <v>21</v>
      </c>
      <c r="E142" s="284">
        <v>45975</v>
      </c>
      <c r="F142" s="285" t="s">
        <v>23</v>
      </c>
      <c r="G142" s="286" t="s">
        <v>100</v>
      </c>
      <c r="H142" s="286" t="s">
        <v>108</v>
      </c>
      <c r="I142" s="286" t="s">
        <v>109</v>
      </c>
      <c r="J142" s="286"/>
      <c r="K142" s="286"/>
      <c r="L142" s="286"/>
      <c r="M142" s="286"/>
      <c r="N142" s="287" t="s">
        <v>110</v>
      </c>
      <c r="O142" s="288" t="s">
        <v>229</v>
      </c>
      <c r="P142" s="289">
        <v>0</v>
      </c>
    </row>
    <row r="143" spans="1:16" x14ac:dyDescent="0.25">
      <c r="A143" s="282" t="s">
        <v>107</v>
      </c>
      <c r="B143" s="293" t="s">
        <v>364</v>
      </c>
      <c r="C143" s="297">
        <v>46129</v>
      </c>
      <c r="D143" s="292" t="s">
        <v>21</v>
      </c>
      <c r="E143" s="284">
        <v>45964</v>
      </c>
      <c r="F143" s="285" t="s">
        <v>10</v>
      </c>
      <c r="G143" s="286" t="s">
        <v>100</v>
      </c>
      <c r="H143" s="286" t="s">
        <v>108</v>
      </c>
      <c r="I143" s="286" t="s">
        <v>109</v>
      </c>
      <c r="J143" s="286"/>
      <c r="K143" s="286"/>
      <c r="L143" s="286"/>
      <c r="M143" s="286"/>
      <c r="N143" s="287" t="s">
        <v>110</v>
      </c>
      <c r="O143" s="288" t="s">
        <v>229</v>
      </c>
      <c r="P143" s="289">
        <v>0</v>
      </c>
    </row>
    <row r="144" spans="1:16" x14ac:dyDescent="0.25">
      <c r="A144" s="282" t="s">
        <v>107</v>
      </c>
      <c r="B144" s="293" t="s">
        <v>325</v>
      </c>
      <c r="C144" s="297">
        <v>46121</v>
      </c>
      <c r="D144" s="292" t="s">
        <v>21</v>
      </c>
      <c r="E144" s="284">
        <v>45975</v>
      </c>
      <c r="F144" s="285" t="s">
        <v>23</v>
      </c>
      <c r="G144" s="286" t="s">
        <v>100</v>
      </c>
      <c r="H144" s="286" t="s">
        <v>108</v>
      </c>
      <c r="I144" s="286" t="s">
        <v>109</v>
      </c>
      <c r="J144" s="286"/>
      <c r="K144" s="286"/>
      <c r="L144" s="286"/>
      <c r="M144" s="286"/>
      <c r="N144" s="287" t="s">
        <v>110</v>
      </c>
      <c r="O144" s="288" t="s">
        <v>229</v>
      </c>
      <c r="P144" s="289">
        <v>0</v>
      </c>
    </row>
    <row r="145" spans="1:16" x14ac:dyDescent="0.25">
      <c r="A145" s="282" t="s">
        <v>107</v>
      </c>
      <c r="B145" s="293" t="s">
        <v>17</v>
      </c>
      <c r="C145" s="297" t="s">
        <v>17</v>
      </c>
      <c r="D145" s="292" t="s">
        <v>17</v>
      </c>
      <c r="E145" s="284" t="s">
        <v>17</v>
      </c>
      <c r="F145" s="285" t="s">
        <v>17</v>
      </c>
      <c r="G145" s="286" t="s">
        <v>100</v>
      </c>
      <c r="H145" s="286" t="s">
        <v>108</v>
      </c>
      <c r="I145" s="286" t="s">
        <v>109</v>
      </c>
      <c r="J145" s="286"/>
      <c r="K145" s="286"/>
      <c r="L145" s="286"/>
      <c r="M145" s="286"/>
      <c r="N145" s="287" t="s">
        <v>110</v>
      </c>
      <c r="O145" s="288" t="s">
        <v>229</v>
      </c>
      <c r="P145" s="289">
        <v>0</v>
      </c>
    </row>
    <row r="146" spans="1:16" x14ac:dyDescent="0.25">
      <c r="A146" s="282" t="s">
        <v>111</v>
      </c>
      <c r="B146" s="293" t="s">
        <v>384</v>
      </c>
      <c r="C146" s="284">
        <v>46746</v>
      </c>
      <c r="D146" s="292" t="s">
        <v>359</v>
      </c>
      <c r="E146" s="284">
        <v>45986</v>
      </c>
      <c r="F146" s="285" t="s">
        <v>23</v>
      </c>
      <c r="G146" s="286" t="s">
        <v>108</v>
      </c>
      <c r="H146" s="286"/>
      <c r="I146" s="286"/>
      <c r="J146" s="286"/>
      <c r="K146" s="286"/>
      <c r="L146" s="286"/>
      <c r="M146" s="286"/>
      <c r="N146" s="287" t="s">
        <v>222</v>
      </c>
      <c r="O146" s="288" t="s">
        <v>228</v>
      </c>
      <c r="P146" s="289">
        <v>1</v>
      </c>
    </row>
    <row r="147" spans="1:16" x14ac:dyDescent="0.25">
      <c r="A147" s="282" t="s">
        <v>111</v>
      </c>
      <c r="B147" s="293" t="s">
        <v>332</v>
      </c>
      <c r="C147" s="284">
        <v>46633</v>
      </c>
      <c r="D147" s="292" t="s">
        <v>355</v>
      </c>
      <c r="E147" s="284">
        <v>45947</v>
      </c>
      <c r="F147" s="285" t="s">
        <v>23</v>
      </c>
      <c r="G147" s="286" t="s">
        <v>108</v>
      </c>
      <c r="H147" s="286"/>
      <c r="I147" s="286"/>
      <c r="J147" s="286"/>
      <c r="K147" s="286"/>
      <c r="L147" s="286"/>
      <c r="M147" s="286"/>
      <c r="N147" s="287" t="s">
        <v>222</v>
      </c>
      <c r="O147" s="288" t="s">
        <v>228</v>
      </c>
      <c r="P147" s="289">
        <v>1</v>
      </c>
    </row>
    <row r="148" spans="1:16" x14ac:dyDescent="0.25">
      <c r="A148" s="282" t="s">
        <v>111</v>
      </c>
      <c r="B148" s="293" t="s">
        <v>17</v>
      </c>
      <c r="C148" s="284" t="s">
        <v>17</v>
      </c>
      <c r="D148" s="292" t="s">
        <v>17</v>
      </c>
      <c r="E148" s="284" t="s">
        <v>17</v>
      </c>
      <c r="F148" s="285" t="s">
        <v>17</v>
      </c>
      <c r="G148" s="286" t="s">
        <v>108</v>
      </c>
      <c r="H148" s="286"/>
      <c r="I148" s="286"/>
      <c r="J148" s="286"/>
      <c r="K148" s="286"/>
      <c r="L148" s="286"/>
      <c r="M148" s="286"/>
      <c r="N148" s="287" t="s">
        <v>222</v>
      </c>
      <c r="O148" s="288" t="s">
        <v>228</v>
      </c>
      <c r="P148" s="289">
        <v>1</v>
      </c>
    </row>
    <row r="149" spans="1:16" x14ac:dyDescent="0.25">
      <c r="A149" s="282" t="s">
        <v>111</v>
      </c>
      <c r="B149" s="293" t="s">
        <v>17</v>
      </c>
      <c r="C149" s="284" t="s">
        <v>17</v>
      </c>
      <c r="D149" s="292" t="s">
        <v>17</v>
      </c>
      <c r="E149" s="284" t="s">
        <v>17</v>
      </c>
      <c r="F149" s="285" t="s">
        <v>17</v>
      </c>
      <c r="G149" s="286" t="s">
        <v>108</v>
      </c>
      <c r="H149" s="286"/>
      <c r="I149" s="286"/>
      <c r="J149" s="286"/>
      <c r="K149" s="286"/>
      <c r="L149" s="286"/>
      <c r="M149" s="286"/>
      <c r="N149" s="287" t="s">
        <v>222</v>
      </c>
      <c r="O149" s="288" t="s">
        <v>228</v>
      </c>
      <c r="P149" s="289">
        <v>1</v>
      </c>
    </row>
    <row r="150" spans="1:16" x14ac:dyDescent="0.25">
      <c r="A150" s="282" t="s">
        <v>112</v>
      </c>
      <c r="B150" s="293" t="s">
        <v>302</v>
      </c>
      <c r="C150" s="294">
        <v>46766</v>
      </c>
      <c r="D150" s="292" t="s">
        <v>267</v>
      </c>
      <c r="E150" s="284">
        <v>45986</v>
      </c>
      <c r="F150" s="285" t="s">
        <v>23</v>
      </c>
      <c r="G150" s="286" t="s">
        <v>108</v>
      </c>
      <c r="H150" s="286"/>
      <c r="I150" s="286"/>
      <c r="J150" s="286"/>
      <c r="K150" s="286"/>
      <c r="L150" s="286"/>
      <c r="M150" s="286"/>
      <c r="N150" s="287" t="s">
        <v>113</v>
      </c>
      <c r="O150" s="288" t="s">
        <v>228</v>
      </c>
      <c r="P150" s="289">
        <v>1</v>
      </c>
    </row>
    <row r="151" spans="1:16" x14ac:dyDescent="0.25">
      <c r="A151" s="282" t="s">
        <v>112</v>
      </c>
      <c r="B151" s="293" t="s">
        <v>17</v>
      </c>
      <c r="C151" s="294" t="s">
        <v>17</v>
      </c>
      <c r="D151" s="292" t="s">
        <v>17</v>
      </c>
      <c r="E151" s="284" t="s">
        <v>17</v>
      </c>
      <c r="F151" s="285" t="s">
        <v>17</v>
      </c>
      <c r="G151" s="286" t="s">
        <v>108</v>
      </c>
      <c r="H151" s="286"/>
      <c r="I151" s="286"/>
      <c r="J151" s="286"/>
      <c r="K151" s="286"/>
      <c r="L151" s="286"/>
      <c r="M151" s="286"/>
      <c r="N151" s="287" t="s">
        <v>113</v>
      </c>
      <c r="O151" s="288" t="s">
        <v>228</v>
      </c>
      <c r="P151" s="289">
        <v>1</v>
      </c>
    </row>
    <row r="152" spans="1:16" x14ac:dyDescent="0.25">
      <c r="A152" s="282" t="s">
        <v>112</v>
      </c>
      <c r="B152" s="293" t="s">
        <v>17</v>
      </c>
      <c r="C152" s="294" t="s">
        <v>17</v>
      </c>
      <c r="D152" s="292" t="s">
        <v>17</v>
      </c>
      <c r="E152" s="284" t="s">
        <v>17</v>
      </c>
      <c r="F152" s="285" t="s">
        <v>17</v>
      </c>
      <c r="G152" s="286" t="s">
        <v>108</v>
      </c>
      <c r="H152" s="286"/>
      <c r="I152" s="286"/>
      <c r="J152" s="286"/>
      <c r="K152" s="286"/>
      <c r="L152" s="286"/>
      <c r="M152" s="286"/>
      <c r="N152" s="287" t="s">
        <v>113</v>
      </c>
      <c r="O152" s="288" t="s">
        <v>228</v>
      </c>
      <c r="P152" s="289">
        <v>1</v>
      </c>
    </row>
    <row r="153" spans="1:16" x14ac:dyDescent="0.25">
      <c r="A153" s="282" t="s">
        <v>112</v>
      </c>
      <c r="B153" s="293" t="s">
        <v>17</v>
      </c>
      <c r="C153" s="294" t="s">
        <v>17</v>
      </c>
      <c r="D153" s="292" t="s">
        <v>17</v>
      </c>
      <c r="E153" s="284" t="s">
        <v>17</v>
      </c>
      <c r="F153" s="285" t="s">
        <v>17</v>
      </c>
      <c r="G153" s="286" t="s">
        <v>108</v>
      </c>
      <c r="H153" s="286"/>
      <c r="I153" s="286"/>
      <c r="J153" s="286"/>
      <c r="K153" s="286"/>
      <c r="L153" s="286"/>
      <c r="M153" s="286"/>
      <c r="N153" s="287" t="s">
        <v>113</v>
      </c>
      <c r="O153" s="288" t="s">
        <v>228</v>
      </c>
      <c r="P153" s="289">
        <v>1</v>
      </c>
    </row>
    <row r="154" spans="1:16" x14ac:dyDescent="0.25">
      <c r="A154" s="282" t="s">
        <v>114</v>
      </c>
      <c r="B154" s="293" t="s">
        <v>17</v>
      </c>
      <c r="C154" s="294" t="s">
        <v>17</v>
      </c>
      <c r="D154" s="282" t="s">
        <v>17</v>
      </c>
      <c r="E154" s="284" t="s">
        <v>17</v>
      </c>
      <c r="F154" s="285" t="s">
        <v>17</v>
      </c>
      <c r="G154" s="286" t="s">
        <v>115</v>
      </c>
      <c r="H154" s="286" t="s">
        <v>116</v>
      </c>
      <c r="I154" s="286" t="s">
        <v>68</v>
      </c>
      <c r="J154" s="286"/>
      <c r="K154" s="286"/>
      <c r="L154" s="286"/>
      <c r="M154" s="286"/>
      <c r="N154" s="291" t="s">
        <v>243</v>
      </c>
      <c r="O154" s="288" t="s">
        <v>229</v>
      </c>
      <c r="P154" s="289">
        <v>0</v>
      </c>
    </row>
    <row r="155" spans="1:16" x14ac:dyDescent="0.25">
      <c r="A155" s="282" t="s">
        <v>114</v>
      </c>
      <c r="B155" s="293" t="s">
        <v>17</v>
      </c>
      <c r="C155" s="294" t="s">
        <v>17</v>
      </c>
      <c r="D155" s="282" t="s">
        <v>17</v>
      </c>
      <c r="E155" s="284" t="s">
        <v>17</v>
      </c>
      <c r="F155" s="285" t="s">
        <v>17</v>
      </c>
      <c r="G155" s="286" t="s">
        <v>115</v>
      </c>
      <c r="H155" s="286" t="s">
        <v>116</v>
      </c>
      <c r="I155" s="286" t="s">
        <v>68</v>
      </c>
      <c r="J155" s="286"/>
      <c r="K155" s="286"/>
      <c r="L155" s="286"/>
      <c r="M155" s="286"/>
      <c r="N155" s="291" t="s">
        <v>243</v>
      </c>
      <c r="O155" s="288" t="s">
        <v>229</v>
      </c>
      <c r="P155" s="289">
        <v>0</v>
      </c>
    </row>
    <row r="156" spans="1:16" x14ac:dyDescent="0.25">
      <c r="A156" s="282" t="s">
        <v>114</v>
      </c>
      <c r="B156" s="293" t="s">
        <v>17</v>
      </c>
      <c r="C156" s="294" t="s">
        <v>17</v>
      </c>
      <c r="D156" s="282" t="s">
        <v>17</v>
      </c>
      <c r="E156" s="284" t="s">
        <v>17</v>
      </c>
      <c r="F156" s="285" t="s">
        <v>17</v>
      </c>
      <c r="G156" s="286" t="s">
        <v>115</v>
      </c>
      <c r="H156" s="286" t="s">
        <v>116</v>
      </c>
      <c r="I156" s="286" t="s">
        <v>68</v>
      </c>
      <c r="J156" s="286"/>
      <c r="K156" s="286"/>
      <c r="L156" s="286"/>
      <c r="M156" s="286"/>
      <c r="N156" s="291" t="s">
        <v>243</v>
      </c>
      <c r="O156" s="288" t="s">
        <v>229</v>
      </c>
      <c r="P156" s="289">
        <v>0</v>
      </c>
    </row>
    <row r="157" spans="1:16" x14ac:dyDescent="0.25">
      <c r="A157" s="282" t="s">
        <v>114</v>
      </c>
      <c r="B157" s="293" t="s">
        <v>17</v>
      </c>
      <c r="C157" s="294" t="s">
        <v>17</v>
      </c>
      <c r="D157" s="282" t="s">
        <v>17</v>
      </c>
      <c r="E157" s="284" t="s">
        <v>17</v>
      </c>
      <c r="F157" s="285" t="s">
        <v>17</v>
      </c>
      <c r="G157" s="286" t="s">
        <v>115</v>
      </c>
      <c r="H157" s="286" t="s">
        <v>116</v>
      </c>
      <c r="I157" s="286" t="s">
        <v>68</v>
      </c>
      <c r="J157" s="286"/>
      <c r="K157" s="286"/>
      <c r="L157" s="286"/>
      <c r="M157" s="286"/>
      <c r="N157" s="291" t="s">
        <v>243</v>
      </c>
      <c r="O157" s="288" t="s">
        <v>229</v>
      </c>
      <c r="P157" s="289">
        <v>0</v>
      </c>
    </row>
    <row r="158" spans="1:16" x14ac:dyDescent="0.25">
      <c r="A158" s="282" t="s">
        <v>117</v>
      </c>
      <c r="B158" s="293" t="s">
        <v>326</v>
      </c>
      <c r="C158" s="284">
        <v>46274</v>
      </c>
      <c r="D158" s="282" t="s">
        <v>385</v>
      </c>
      <c r="E158" s="284">
        <v>45986</v>
      </c>
      <c r="F158" s="285" t="s">
        <v>23</v>
      </c>
      <c r="G158" s="286" t="s">
        <v>115</v>
      </c>
      <c r="H158" s="286"/>
      <c r="I158" s="286"/>
      <c r="J158" s="286"/>
      <c r="K158" s="286"/>
      <c r="L158" s="286"/>
      <c r="M158" s="286"/>
      <c r="N158" s="287" t="s">
        <v>118</v>
      </c>
      <c r="O158" s="288" t="s">
        <v>228</v>
      </c>
      <c r="P158" s="289">
        <v>1</v>
      </c>
    </row>
    <row r="159" spans="1:16" x14ac:dyDescent="0.25">
      <c r="A159" s="282" t="s">
        <v>117</v>
      </c>
      <c r="B159" s="293" t="s">
        <v>17</v>
      </c>
      <c r="C159" s="284" t="s">
        <v>17</v>
      </c>
      <c r="D159" s="282" t="s">
        <v>17</v>
      </c>
      <c r="E159" s="284" t="s">
        <v>17</v>
      </c>
      <c r="F159" s="285" t="s">
        <v>17</v>
      </c>
      <c r="G159" s="286" t="s">
        <v>115</v>
      </c>
      <c r="H159" s="286"/>
      <c r="I159" s="286"/>
      <c r="J159" s="286"/>
      <c r="K159" s="286"/>
      <c r="L159" s="286"/>
      <c r="M159" s="286"/>
      <c r="N159" s="287" t="s">
        <v>118</v>
      </c>
      <c r="O159" s="288" t="s">
        <v>228</v>
      </c>
      <c r="P159" s="289">
        <v>1</v>
      </c>
    </row>
    <row r="160" spans="1:16" x14ac:dyDescent="0.25">
      <c r="A160" s="282" t="s">
        <v>117</v>
      </c>
      <c r="B160" s="293" t="s">
        <v>17</v>
      </c>
      <c r="C160" s="284" t="s">
        <v>17</v>
      </c>
      <c r="D160" s="282" t="s">
        <v>17</v>
      </c>
      <c r="E160" s="284" t="s">
        <v>17</v>
      </c>
      <c r="F160" s="285" t="s">
        <v>17</v>
      </c>
      <c r="G160" s="286" t="s">
        <v>115</v>
      </c>
      <c r="H160" s="286"/>
      <c r="I160" s="286"/>
      <c r="J160" s="286"/>
      <c r="K160" s="286"/>
      <c r="L160" s="286"/>
      <c r="M160" s="286"/>
      <c r="N160" s="287" t="s">
        <v>118</v>
      </c>
      <c r="O160" s="288" t="s">
        <v>228</v>
      </c>
      <c r="P160" s="289">
        <v>1</v>
      </c>
    </row>
    <row r="161" spans="1:16" x14ac:dyDescent="0.25">
      <c r="A161" s="282" t="s">
        <v>117</v>
      </c>
      <c r="B161" s="293" t="s">
        <v>17</v>
      </c>
      <c r="C161" s="284" t="s">
        <v>17</v>
      </c>
      <c r="D161" s="282" t="s">
        <v>17</v>
      </c>
      <c r="E161" s="284" t="s">
        <v>17</v>
      </c>
      <c r="F161" s="285" t="s">
        <v>17</v>
      </c>
      <c r="G161" s="286" t="s">
        <v>115</v>
      </c>
      <c r="H161" s="286"/>
      <c r="I161" s="286"/>
      <c r="J161" s="286"/>
      <c r="K161" s="286"/>
      <c r="L161" s="286"/>
      <c r="M161" s="286"/>
      <c r="N161" s="287" t="s">
        <v>118</v>
      </c>
      <c r="O161" s="288" t="s">
        <v>228</v>
      </c>
      <c r="P161" s="289">
        <v>1</v>
      </c>
    </row>
    <row r="162" spans="1:16" x14ac:dyDescent="0.25">
      <c r="A162" s="282" t="s">
        <v>119</v>
      </c>
      <c r="B162" s="293" t="s">
        <v>327</v>
      </c>
      <c r="C162" s="284">
        <v>46203</v>
      </c>
      <c r="D162" s="282" t="s">
        <v>328</v>
      </c>
      <c r="E162" s="284">
        <v>45916</v>
      </c>
      <c r="F162" s="285" t="s">
        <v>10</v>
      </c>
      <c r="G162" s="286" t="s">
        <v>115</v>
      </c>
      <c r="H162" s="286"/>
      <c r="I162" s="286"/>
      <c r="J162" s="286"/>
      <c r="K162" s="286"/>
      <c r="L162" s="286"/>
      <c r="M162" s="286"/>
      <c r="N162" s="287" t="s">
        <v>120</v>
      </c>
      <c r="O162" s="288" t="s">
        <v>228</v>
      </c>
      <c r="P162" s="289">
        <v>1</v>
      </c>
    </row>
    <row r="163" spans="1:16" x14ac:dyDescent="0.25">
      <c r="A163" s="282" t="s">
        <v>119</v>
      </c>
      <c r="B163" s="293" t="s">
        <v>17</v>
      </c>
      <c r="C163" s="284" t="s">
        <v>17</v>
      </c>
      <c r="D163" s="282" t="s">
        <v>17</v>
      </c>
      <c r="E163" s="284" t="s">
        <v>17</v>
      </c>
      <c r="F163" s="285" t="s">
        <v>17</v>
      </c>
      <c r="G163" s="286" t="s">
        <v>115</v>
      </c>
      <c r="H163" s="286"/>
      <c r="I163" s="286"/>
      <c r="J163" s="286"/>
      <c r="K163" s="286"/>
      <c r="L163" s="286"/>
      <c r="M163" s="286"/>
      <c r="N163" s="287" t="s">
        <v>120</v>
      </c>
      <c r="O163" s="288" t="s">
        <v>228</v>
      </c>
      <c r="P163" s="289">
        <v>1</v>
      </c>
    </row>
    <row r="164" spans="1:16" x14ac:dyDescent="0.25">
      <c r="A164" s="282" t="s">
        <v>119</v>
      </c>
      <c r="B164" s="293" t="s">
        <v>17</v>
      </c>
      <c r="C164" s="284" t="s">
        <v>17</v>
      </c>
      <c r="D164" s="282" t="s">
        <v>17</v>
      </c>
      <c r="E164" s="284" t="s">
        <v>17</v>
      </c>
      <c r="F164" s="285" t="s">
        <v>17</v>
      </c>
      <c r="G164" s="286" t="s">
        <v>115</v>
      </c>
      <c r="H164" s="286"/>
      <c r="I164" s="286"/>
      <c r="J164" s="286"/>
      <c r="K164" s="286"/>
      <c r="L164" s="286"/>
      <c r="M164" s="286"/>
      <c r="N164" s="287" t="s">
        <v>120</v>
      </c>
      <c r="O164" s="288" t="s">
        <v>228</v>
      </c>
      <c r="P164" s="289">
        <v>1</v>
      </c>
    </row>
    <row r="165" spans="1:16" x14ac:dyDescent="0.25">
      <c r="A165" s="282" t="s">
        <v>119</v>
      </c>
      <c r="B165" s="293" t="s">
        <v>17</v>
      </c>
      <c r="C165" s="284" t="s">
        <v>17</v>
      </c>
      <c r="D165" s="282" t="s">
        <v>17</v>
      </c>
      <c r="E165" s="284" t="s">
        <v>17</v>
      </c>
      <c r="F165" s="285" t="s">
        <v>17</v>
      </c>
      <c r="G165" s="286" t="s">
        <v>115</v>
      </c>
      <c r="H165" s="286"/>
      <c r="I165" s="286"/>
      <c r="J165" s="286"/>
      <c r="K165" s="286"/>
      <c r="L165" s="286"/>
      <c r="M165" s="286"/>
      <c r="N165" s="287" t="s">
        <v>120</v>
      </c>
      <c r="O165" s="288" t="s">
        <v>228</v>
      </c>
      <c r="P165" s="289">
        <v>1</v>
      </c>
    </row>
    <row r="166" spans="1:16" x14ac:dyDescent="0.25">
      <c r="A166" s="282" t="s">
        <v>121</v>
      </c>
      <c r="B166" s="293" t="s">
        <v>386</v>
      </c>
      <c r="C166" s="294">
        <v>46674</v>
      </c>
      <c r="D166" s="282" t="s">
        <v>387</v>
      </c>
      <c r="E166" s="284">
        <v>45986</v>
      </c>
      <c r="F166" s="285" t="s">
        <v>23</v>
      </c>
      <c r="G166" s="286" t="s">
        <v>122</v>
      </c>
      <c r="H166" s="286"/>
      <c r="I166" s="286"/>
      <c r="J166" s="286"/>
      <c r="K166" s="286"/>
      <c r="L166" s="286"/>
      <c r="M166" s="286"/>
      <c r="N166" s="287" t="s">
        <v>123</v>
      </c>
      <c r="O166" s="288" t="s">
        <v>230</v>
      </c>
      <c r="P166" s="289">
        <v>1</v>
      </c>
    </row>
    <row r="167" spans="1:16" x14ac:dyDescent="0.25">
      <c r="A167" s="282" t="s">
        <v>121</v>
      </c>
      <c r="B167" s="293" t="s">
        <v>17</v>
      </c>
      <c r="C167" s="294" t="s">
        <v>17</v>
      </c>
      <c r="D167" s="282" t="s">
        <v>17</v>
      </c>
      <c r="E167" s="284" t="s">
        <v>17</v>
      </c>
      <c r="F167" s="285" t="s">
        <v>17</v>
      </c>
      <c r="G167" s="286" t="s">
        <v>122</v>
      </c>
      <c r="H167" s="286"/>
      <c r="I167" s="286"/>
      <c r="J167" s="286"/>
      <c r="K167" s="286"/>
      <c r="L167" s="286"/>
      <c r="M167" s="286"/>
      <c r="N167" s="287" t="s">
        <v>123</v>
      </c>
      <c r="O167" s="288" t="s">
        <v>230</v>
      </c>
      <c r="P167" s="289">
        <v>1</v>
      </c>
    </row>
    <row r="168" spans="1:16" x14ac:dyDescent="0.25">
      <c r="A168" s="282" t="s">
        <v>121</v>
      </c>
      <c r="B168" s="293" t="s">
        <v>17</v>
      </c>
      <c r="C168" s="294" t="s">
        <v>17</v>
      </c>
      <c r="D168" s="282" t="s">
        <v>17</v>
      </c>
      <c r="E168" s="284" t="s">
        <v>17</v>
      </c>
      <c r="F168" s="285" t="s">
        <v>17</v>
      </c>
      <c r="G168" s="286" t="s">
        <v>122</v>
      </c>
      <c r="H168" s="286"/>
      <c r="I168" s="286"/>
      <c r="J168" s="286"/>
      <c r="K168" s="286"/>
      <c r="L168" s="286"/>
      <c r="M168" s="286"/>
      <c r="N168" s="287" t="s">
        <v>123</v>
      </c>
      <c r="O168" s="288" t="s">
        <v>230</v>
      </c>
      <c r="P168" s="289">
        <v>1</v>
      </c>
    </row>
    <row r="169" spans="1:16" x14ac:dyDescent="0.25">
      <c r="A169" s="282" t="s">
        <v>121</v>
      </c>
      <c r="B169" s="293" t="s">
        <v>17</v>
      </c>
      <c r="C169" s="294" t="s">
        <v>17</v>
      </c>
      <c r="D169" s="282" t="s">
        <v>17</v>
      </c>
      <c r="E169" s="284" t="s">
        <v>17</v>
      </c>
      <c r="F169" s="285" t="s">
        <v>17</v>
      </c>
      <c r="G169" s="286" t="s">
        <v>122</v>
      </c>
      <c r="H169" s="286"/>
      <c r="I169" s="286"/>
      <c r="J169" s="286"/>
      <c r="K169" s="286"/>
      <c r="L169" s="286"/>
      <c r="M169" s="286"/>
      <c r="N169" s="287" t="s">
        <v>123</v>
      </c>
      <c r="O169" s="288" t="s">
        <v>230</v>
      </c>
      <c r="P169" s="289">
        <v>1</v>
      </c>
    </row>
    <row r="170" spans="1:16" x14ac:dyDescent="0.25">
      <c r="A170" s="282" t="s">
        <v>124</v>
      </c>
      <c r="B170" s="293" t="s">
        <v>273</v>
      </c>
      <c r="C170" s="294">
        <v>46130</v>
      </c>
      <c r="D170" s="292" t="s">
        <v>333</v>
      </c>
      <c r="E170" s="284">
        <v>45986</v>
      </c>
      <c r="F170" s="285" t="s">
        <v>23</v>
      </c>
      <c r="G170" s="286" t="s">
        <v>122</v>
      </c>
      <c r="H170" s="286"/>
      <c r="I170" s="286"/>
      <c r="J170" s="286"/>
      <c r="K170" s="286"/>
      <c r="L170" s="286"/>
      <c r="M170" s="286"/>
      <c r="N170" s="287" t="s">
        <v>125</v>
      </c>
      <c r="O170" s="288" t="s">
        <v>230</v>
      </c>
      <c r="P170" s="289">
        <v>1</v>
      </c>
    </row>
    <row r="171" spans="1:16" x14ac:dyDescent="0.25">
      <c r="A171" s="282" t="s">
        <v>124</v>
      </c>
      <c r="B171" s="293" t="s">
        <v>17</v>
      </c>
      <c r="C171" s="294" t="s">
        <v>17</v>
      </c>
      <c r="D171" s="292" t="s">
        <v>17</v>
      </c>
      <c r="E171" s="284" t="s">
        <v>17</v>
      </c>
      <c r="F171" s="285" t="s">
        <v>17</v>
      </c>
      <c r="G171" s="286" t="s">
        <v>122</v>
      </c>
      <c r="H171" s="286"/>
      <c r="I171" s="286"/>
      <c r="J171" s="286"/>
      <c r="K171" s="286"/>
      <c r="L171" s="286"/>
      <c r="M171" s="286"/>
      <c r="N171" s="287" t="s">
        <v>125</v>
      </c>
      <c r="O171" s="288" t="s">
        <v>230</v>
      </c>
      <c r="P171" s="289">
        <v>1</v>
      </c>
    </row>
    <row r="172" spans="1:16" x14ac:dyDescent="0.25">
      <c r="A172" s="282" t="s">
        <v>124</v>
      </c>
      <c r="B172" s="293" t="s">
        <v>17</v>
      </c>
      <c r="C172" s="294" t="s">
        <v>17</v>
      </c>
      <c r="D172" s="292" t="s">
        <v>17</v>
      </c>
      <c r="E172" s="284" t="s">
        <v>17</v>
      </c>
      <c r="F172" s="285" t="s">
        <v>17</v>
      </c>
      <c r="G172" s="286" t="s">
        <v>122</v>
      </c>
      <c r="H172" s="286"/>
      <c r="I172" s="286"/>
      <c r="J172" s="286"/>
      <c r="K172" s="286"/>
      <c r="L172" s="286"/>
      <c r="M172" s="286"/>
      <c r="N172" s="287" t="s">
        <v>125</v>
      </c>
      <c r="O172" s="288" t="s">
        <v>230</v>
      </c>
      <c r="P172" s="289">
        <v>1</v>
      </c>
    </row>
    <row r="173" spans="1:16" x14ac:dyDescent="0.25">
      <c r="A173" s="282" t="s">
        <v>124</v>
      </c>
      <c r="B173" s="293" t="s">
        <v>17</v>
      </c>
      <c r="C173" s="294" t="s">
        <v>17</v>
      </c>
      <c r="D173" s="292" t="s">
        <v>17</v>
      </c>
      <c r="E173" s="284" t="s">
        <v>17</v>
      </c>
      <c r="F173" s="285" t="s">
        <v>17</v>
      </c>
      <c r="G173" s="286" t="s">
        <v>122</v>
      </c>
      <c r="H173" s="286"/>
      <c r="I173" s="286"/>
      <c r="J173" s="286"/>
      <c r="K173" s="286"/>
      <c r="L173" s="286"/>
      <c r="M173" s="286"/>
      <c r="N173" s="287" t="s">
        <v>125</v>
      </c>
      <c r="O173" s="288" t="s">
        <v>230</v>
      </c>
      <c r="P173" s="289">
        <v>1</v>
      </c>
    </row>
    <row r="174" spans="1:16" x14ac:dyDescent="0.25">
      <c r="A174" s="282" t="s">
        <v>126</v>
      </c>
      <c r="B174" s="293" t="s">
        <v>322</v>
      </c>
      <c r="C174" s="294">
        <v>46113</v>
      </c>
      <c r="D174" s="292" t="s">
        <v>323</v>
      </c>
      <c r="E174" s="284">
        <v>45901</v>
      </c>
      <c r="F174" s="285" t="s">
        <v>23</v>
      </c>
      <c r="G174" s="286" t="s">
        <v>93</v>
      </c>
      <c r="H174" s="286"/>
      <c r="I174" s="286"/>
      <c r="J174" s="286"/>
      <c r="K174" s="286"/>
      <c r="L174" s="286"/>
      <c r="M174" s="286"/>
      <c r="N174" s="287" t="s">
        <v>127</v>
      </c>
      <c r="O174" s="288" t="s">
        <v>226</v>
      </c>
      <c r="P174" s="289">
        <v>1</v>
      </c>
    </row>
    <row r="175" spans="1:16" x14ac:dyDescent="0.25">
      <c r="A175" s="282" t="s">
        <v>126</v>
      </c>
      <c r="B175" s="293" t="s">
        <v>17</v>
      </c>
      <c r="C175" s="294" t="s">
        <v>17</v>
      </c>
      <c r="D175" s="292" t="s">
        <v>17</v>
      </c>
      <c r="E175" s="284" t="s">
        <v>17</v>
      </c>
      <c r="F175" s="285" t="s">
        <v>17</v>
      </c>
      <c r="G175" s="286" t="s">
        <v>93</v>
      </c>
      <c r="H175" s="286"/>
      <c r="I175" s="286"/>
      <c r="J175" s="286"/>
      <c r="K175" s="286"/>
      <c r="L175" s="286"/>
      <c r="M175" s="286"/>
      <c r="N175" s="287" t="s">
        <v>127</v>
      </c>
      <c r="O175" s="288" t="s">
        <v>226</v>
      </c>
      <c r="P175" s="289">
        <v>1</v>
      </c>
    </row>
    <row r="176" spans="1:16" x14ac:dyDescent="0.25">
      <c r="A176" s="282" t="s">
        <v>126</v>
      </c>
      <c r="B176" s="293" t="s">
        <v>17</v>
      </c>
      <c r="C176" s="294" t="s">
        <v>17</v>
      </c>
      <c r="D176" s="292" t="s">
        <v>17</v>
      </c>
      <c r="E176" s="284" t="s">
        <v>17</v>
      </c>
      <c r="F176" s="285" t="s">
        <v>17</v>
      </c>
      <c r="G176" s="286" t="s">
        <v>93</v>
      </c>
      <c r="H176" s="286"/>
      <c r="I176" s="286"/>
      <c r="J176" s="286"/>
      <c r="K176" s="286"/>
      <c r="L176" s="286"/>
      <c r="M176" s="286"/>
      <c r="N176" s="287" t="s">
        <v>127</v>
      </c>
      <c r="O176" s="288" t="s">
        <v>226</v>
      </c>
      <c r="P176" s="289">
        <v>1</v>
      </c>
    </row>
    <row r="177" spans="1:16" x14ac:dyDescent="0.25">
      <c r="A177" s="282" t="s">
        <v>126</v>
      </c>
      <c r="B177" s="293" t="s">
        <v>17</v>
      </c>
      <c r="C177" s="294" t="s">
        <v>17</v>
      </c>
      <c r="D177" s="292" t="s">
        <v>17</v>
      </c>
      <c r="E177" s="284" t="s">
        <v>17</v>
      </c>
      <c r="F177" s="285" t="s">
        <v>17</v>
      </c>
      <c r="G177" s="286" t="s">
        <v>93</v>
      </c>
      <c r="H177" s="286"/>
      <c r="I177" s="286"/>
      <c r="J177" s="286"/>
      <c r="K177" s="286"/>
      <c r="L177" s="286"/>
      <c r="M177" s="286"/>
      <c r="N177" s="287" t="s">
        <v>127</v>
      </c>
      <c r="O177" s="288" t="s">
        <v>226</v>
      </c>
      <c r="P177" s="289">
        <v>1</v>
      </c>
    </row>
    <row r="178" spans="1:16" x14ac:dyDescent="0.25">
      <c r="A178" s="282" t="s">
        <v>128</v>
      </c>
      <c r="B178" s="293" t="s">
        <v>317</v>
      </c>
      <c r="C178" s="294">
        <v>46113</v>
      </c>
      <c r="D178" s="292" t="s">
        <v>340</v>
      </c>
      <c r="E178" s="284">
        <v>45944</v>
      </c>
      <c r="F178" s="285" t="s">
        <v>207</v>
      </c>
      <c r="G178" s="286" t="s">
        <v>93</v>
      </c>
      <c r="H178" s="286"/>
      <c r="I178" s="286"/>
      <c r="J178" s="286"/>
      <c r="K178" s="286"/>
      <c r="L178" s="286"/>
      <c r="M178" s="286"/>
      <c r="N178" s="287" t="s">
        <v>129</v>
      </c>
      <c r="O178" s="288" t="s">
        <v>226</v>
      </c>
      <c r="P178" s="289">
        <v>1</v>
      </c>
    </row>
    <row r="179" spans="1:16" x14ac:dyDescent="0.25">
      <c r="A179" s="282" t="s">
        <v>128</v>
      </c>
      <c r="B179" s="293" t="s">
        <v>17</v>
      </c>
      <c r="C179" s="294" t="s">
        <v>17</v>
      </c>
      <c r="D179" s="292" t="s">
        <v>17</v>
      </c>
      <c r="E179" s="284" t="s">
        <v>17</v>
      </c>
      <c r="F179" s="285" t="s">
        <v>17</v>
      </c>
      <c r="G179" s="286" t="s">
        <v>93</v>
      </c>
      <c r="H179" s="286"/>
      <c r="I179" s="286"/>
      <c r="J179" s="286"/>
      <c r="K179" s="286"/>
      <c r="L179" s="286"/>
      <c r="M179" s="286"/>
      <c r="N179" s="287" t="s">
        <v>129</v>
      </c>
      <c r="O179" s="288" t="s">
        <v>226</v>
      </c>
      <c r="P179" s="289">
        <v>1</v>
      </c>
    </row>
    <row r="180" spans="1:16" x14ac:dyDescent="0.25">
      <c r="A180" s="282" t="s">
        <v>128</v>
      </c>
      <c r="B180" s="293" t="s">
        <v>17</v>
      </c>
      <c r="C180" s="294" t="s">
        <v>17</v>
      </c>
      <c r="D180" s="292" t="s">
        <v>17</v>
      </c>
      <c r="E180" s="284" t="s">
        <v>17</v>
      </c>
      <c r="F180" s="285" t="s">
        <v>17</v>
      </c>
      <c r="G180" s="286" t="s">
        <v>93</v>
      </c>
      <c r="H180" s="286"/>
      <c r="I180" s="286"/>
      <c r="J180" s="286"/>
      <c r="K180" s="286"/>
      <c r="L180" s="286"/>
      <c r="M180" s="286"/>
      <c r="N180" s="287" t="s">
        <v>129</v>
      </c>
      <c r="O180" s="288" t="s">
        <v>226</v>
      </c>
      <c r="P180" s="289">
        <v>1</v>
      </c>
    </row>
    <row r="181" spans="1:16" x14ac:dyDescent="0.25">
      <c r="A181" s="282" t="s">
        <v>128</v>
      </c>
      <c r="B181" s="293" t="s">
        <v>17</v>
      </c>
      <c r="C181" s="294" t="s">
        <v>17</v>
      </c>
      <c r="D181" s="292" t="s">
        <v>17</v>
      </c>
      <c r="E181" s="284" t="s">
        <v>17</v>
      </c>
      <c r="F181" s="285" t="s">
        <v>17</v>
      </c>
      <c r="G181" s="286" t="s">
        <v>93</v>
      </c>
      <c r="H181" s="286"/>
      <c r="I181" s="286"/>
      <c r="J181" s="286"/>
      <c r="K181" s="286"/>
      <c r="L181" s="286"/>
      <c r="M181" s="286"/>
      <c r="N181" s="287" t="s">
        <v>129</v>
      </c>
      <c r="O181" s="288" t="s">
        <v>226</v>
      </c>
      <c r="P181" s="289">
        <v>1</v>
      </c>
    </row>
    <row r="182" spans="1:16" x14ac:dyDescent="0.25">
      <c r="A182" s="282" t="s">
        <v>130</v>
      </c>
      <c r="B182" s="293" t="s">
        <v>318</v>
      </c>
      <c r="C182" s="294">
        <v>46113</v>
      </c>
      <c r="D182" s="292" t="s">
        <v>21</v>
      </c>
      <c r="E182" s="284">
        <v>45985</v>
      </c>
      <c r="F182" s="285" t="s">
        <v>23</v>
      </c>
      <c r="G182" s="286" t="s">
        <v>93</v>
      </c>
      <c r="H182" s="286"/>
      <c r="I182" s="286"/>
      <c r="J182" s="286"/>
      <c r="K182" s="286"/>
      <c r="L182" s="286"/>
      <c r="M182" s="286"/>
      <c r="N182" s="291" t="s">
        <v>131</v>
      </c>
      <c r="O182" s="288" t="s">
        <v>227</v>
      </c>
      <c r="P182" s="289">
        <v>0</v>
      </c>
    </row>
    <row r="183" spans="1:16" x14ac:dyDescent="0.25">
      <c r="A183" s="282" t="s">
        <v>130</v>
      </c>
      <c r="B183" s="293" t="s">
        <v>17</v>
      </c>
      <c r="C183" s="294" t="s">
        <v>17</v>
      </c>
      <c r="D183" s="292" t="s">
        <v>17</v>
      </c>
      <c r="E183" s="284" t="s">
        <v>17</v>
      </c>
      <c r="F183" s="285" t="s">
        <v>17</v>
      </c>
      <c r="G183" s="286" t="s">
        <v>93</v>
      </c>
      <c r="H183" s="286"/>
      <c r="I183" s="286"/>
      <c r="J183" s="286"/>
      <c r="K183" s="286"/>
      <c r="L183" s="286"/>
      <c r="M183" s="286"/>
      <c r="N183" s="291" t="s">
        <v>131</v>
      </c>
      <c r="O183" s="288" t="s">
        <v>227</v>
      </c>
      <c r="P183" s="289">
        <v>0</v>
      </c>
    </row>
    <row r="184" spans="1:16" x14ac:dyDescent="0.25">
      <c r="A184" s="282" t="s">
        <v>130</v>
      </c>
      <c r="B184" s="293" t="s">
        <v>17</v>
      </c>
      <c r="C184" s="294" t="s">
        <v>17</v>
      </c>
      <c r="D184" s="292" t="s">
        <v>17</v>
      </c>
      <c r="E184" s="284" t="s">
        <v>17</v>
      </c>
      <c r="F184" s="285" t="s">
        <v>17</v>
      </c>
      <c r="G184" s="286" t="s">
        <v>93</v>
      </c>
      <c r="H184" s="286"/>
      <c r="I184" s="286"/>
      <c r="J184" s="286"/>
      <c r="K184" s="286"/>
      <c r="L184" s="286"/>
      <c r="M184" s="286"/>
      <c r="N184" s="291" t="s">
        <v>131</v>
      </c>
      <c r="O184" s="288" t="s">
        <v>227</v>
      </c>
      <c r="P184" s="289">
        <v>0</v>
      </c>
    </row>
    <row r="185" spans="1:16" x14ac:dyDescent="0.25">
      <c r="A185" s="282" t="s">
        <v>130</v>
      </c>
      <c r="B185" s="293" t="s">
        <v>17</v>
      </c>
      <c r="C185" s="294" t="s">
        <v>17</v>
      </c>
      <c r="D185" s="292" t="s">
        <v>17</v>
      </c>
      <c r="E185" s="284" t="s">
        <v>17</v>
      </c>
      <c r="F185" s="285" t="s">
        <v>17</v>
      </c>
      <c r="G185" s="286" t="s">
        <v>93</v>
      </c>
      <c r="H185" s="286"/>
      <c r="I185" s="286"/>
      <c r="J185" s="286"/>
      <c r="K185" s="286"/>
      <c r="L185" s="286"/>
      <c r="M185" s="286"/>
      <c r="N185" s="291" t="s">
        <v>131</v>
      </c>
      <c r="O185" s="288" t="s">
        <v>227</v>
      </c>
      <c r="P185" s="289">
        <v>0</v>
      </c>
    </row>
    <row r="186" spans="1:16" x14ac:dyDescent="0.25">
      <c r="A186" s="282" t="s">
        <v>132</v>
      </c>
      <c r="B186" s="293" t="s">
        <v>319</v>
      </c>
      <c r="C186" s="294">
        <v>46174</v>
      </c>
      <c r="D186" s="282" t="s">
        <v>281</v>
      </c>
      <c r="E186" s="284">
        <v>45985</v>
      </c>
      <c r="F186" s="285" t="s">
        <v>23</v>
      </c>
      <c r="G186" s="286" t="s">
        <v>133</v>
      </c>
      <c r="H186" s="286"/>
      <c r="I186" s="286"/>
      <c r="J186" s="286"/>
      <c r="K186" s="286"/>
      <c r="L186" s="286"/>
      <c r="M186" s="286"/>
      <c r="N186" s="287" t="s">
        <v>134</v>
      </c>
      <c r="O186" s="288" t="s">
        <v>226</v>
      </c>
      <c r="P186" s="289">
        <v>1</v>
      </c>
    </row>
    <row r="187" spans="1:16" x14ac:dyDescent="0.25">
      <c r="A187" s="282" t="s">
        <v>132</v>
      </c>
      <c r="B187" s="293" t="s">
        <v>17</v>
      </c>
      <c r="C187" s="294" t="s">
        <v>17</v>
      </c>
      <c r="D187" s="282" t="s">
        <v>17</v>
      </c>
      <c r="E187" s="284" t="s">
        <v>17</v>
      </c>
      <c r="F187" s="285" t="s">
        <v>17</v>
      </c>
      <c r="G187" s="286" t="s">
        <v>133</v>
      </c>
      <c r="H187" s="286"/>
      <c r="I187" s="286"/>
      <c r="J187" s="286"/>
      <c r="K187" s="286"/>
      <c r="L187" s="286"/>
      <c r="M187" s="286"/>
      <c r="N187" s="287" t="s">
        <v>134</v>
      </c>
      <c r="O187" s="288" t="s">
        <v>226</v>
      </c>
      <c r="P187" s="289">
        <v>1</v>
      </c>
    </row>
    <row r="188" spans="1:16" x14ac:dyDescent="0.25">
      <c r="A188" s="282" t="s">
        <v>132</v>
      </c>
      <c r="B188" s="293" t="s">
        <v>17</v>
      </c>
      <c r="C188" s="294" t="s">
        <v>17</v>
      </c>
      <c r="D188" s="282" t="s">
        <v>17</v>
      </c>
      <c r="E188" s="284" t="s">
        <v>17</v>
      </c>
      <c r="F188" s="285" t="s">
        <v>17</v>
      </c>
      <c r="G188" s="286" t="s">
        <v>133</v>
      </c>
      <c r="H188" s="286"/>
      <c r="I188" s="286"/>
      <c r="J188" s="286"/>
      <c r="K188" s="286"/>
      <c r="L188" s="286"/>
      <c r="M188" s="286"/>
      <c r="N188" s="287" t="s">
        <v>134</v>
      </c>
      <c r="O188" s="288" t="s">
        <v>226</v>
      </c>
      <c r="P188" s="289">
        <v>1</v>
      </c>
    </row>
    <row r="189" spans="1:16" x14ac:dyDescent="0.25">
      <c r="A189" s="282" t="s">
        <v>132</v>
      </c>
      <c r="B189" s="293" t="s">
        <v>17</v>
      </c>
      <c r="C189" s="294" t="s">
        <v>17</v>
      </c>
      <c r="D189" s="282" t="s">
        <v>17</v>
      </c>
      <c r="E189" s="284" t="s">
        <v>17</v>
      </c>
      <c r="F189" s="285" t="s">
        <v>17</v>
      </c>
      <c r="G189" s="286" t="s">
        <v>133</v>
      </c>
      <c r="H189" s="286"/>
      <c r="I189" s="286"/>
      <c r="J189" s="286"/>
      <c r="K189" s="286"/>
      <c r="L189" s="286"/>
      <c r="M189" s="286"/>
      <c r="N189" s="287" t="s">
        <v>134</v>
      </c>
      <c r="O189" s="288" t="s">
        <v>226</v>
      </c>
      <c r="P189" s="289">
        <v>1</v>
      </c>
    </row>
    <row r="190" spans="1:16" x14ac:dyDescent="0.25">
      <c r="A190" s="282" t="s">
        <v>135</v>
      </c>
      <c r="B190" s="283" t="s">
        <v>319</v>
      </c>
      <c r="C190" s="284">
        <v>46174</v>
      </c>
      <c r="D190" s="282" t="s">
        <v>388</v>
      </c>
      <c r="E190" s="284">
        <v>45985</v>
      </c>
      <c r="F190" s="285" t="s">
        <v>23</v>
      </c>
      <c r="G190" s="286" t="s">
        <v>133</v>
      </c>
      <c r="H190" s="286"/>
      <c r="I190" s="286"/>
      <c r="J190" s="286"/>
      <c r="K190" s="286"/>
      <c r="L190" s="286"/>
      <c r="M190" s="286"/>
      <c r="N190" s="287" t="s">
        <v>136</v>
      </c>
      <c r="O190" s="288" t="s">
        <v>226</v>
      </c>
      <c r="P190" s="289">
        <v>1</v>
      </c>
    </row>
    <row r="191" spans="1:16" x14ac:dyDescent="0.25">
      <c r="A191" s="282" t="s">
        <v>135</v>
      </c>
      <c r="B191" s="283" t="s">
        <v>17</v>
      </c>
      <c r="C191" s="284" t="s">
        <v>17</v>
      </c>
      <c r="D191" s="282" t="s">
        <v>17</v>
      </c>
      <c r="E191" s="284" t="s">
        <v>17</v>
      </c>
      <c r="F191" s="285" t="s">
        <v>17</v>
      </c>
      <c r="G191" s="286" t="s">
        <v>133</v>
      </c>
      <c r="H191" s="286"/>
      <c r="I191" s="286"/>
      <c r="J191" s="286"/>
      <c r="K191" s="286"/>
      <c r="L191" s="286"/>
      <c r="M191" s="286"/>
      <c r="N191" s="287" t="s">
        <v>136</v>
      </c>
      <c r="O191" s="288" t="s">
        <v>226</v>
      </c>
      <c r="P191" s="289">
        <v>1</v>
      </c>
    </row>
    <row r="192" spans="1:16" x14ac:dyDescent="0.25">
      <c r="A192" s="282" t="s">
        <v>135</v>
      </c>
      <c r="B192" s="283" t="s">
        <v>17</v>
      </c>
      <c r="C192" s="284" t="s">
        <v>17</v>
      </c>
      <c r="D192" s="282" t="s">
        <v>17</v>
      </c>
      <c r="E192" s="284" t="s">
        <v>17</v>
      </c>
      <c r="F192" s="285" t="s">
        <v>17</v>
      </c>
      <c r="G192" s="286" t="s">
        <v>133</v>
      </c>
      <c r="H192" s="286"/>
      <c r="I192" s="286"/>
      <c r="J192" s="286"/>
      <c r="K192" s="286"/>
      <c r="L192" s="286"/>
      <c r="M192" s="286"/>
      <c r="N192" s="287" t="s">
        <v>136</v>
      </c>
      <c r="O192" s="288" t="s">
        <v>226</v>
      </c>
      <c r="P192" s="289">
        <v>1</v>
      </c>
    </row>
    <row r="193" spans="1:16" x14ac:dyDescent="0.25">
      <c r="A193" s="282" t="s">
        <v>135</v>
      </c>
      <c r="B193" s="283" t="s">
        <v>17</v>
      </c>
      <c r="C193" s="284" t="s">
        <v>17</v>
      </c>
      <c r="D193" s="282" t="s">
        <v>17</v>
      </c>
      <c r="E193" s="284" t="s">
        <v>17</v>
      </c>
      <c r="F193" s="285" t="s">
        <v>17</v>
      </c>
      <c r="G193" s="286" t="s">
        <v>133</v>
      </c>
      <c r="H193" s="286"/>
      <c r="I193" s="286"/>
      <c r="J193" s="286"/>
      <c r="K193" s="286"/>
      <c r="L193" s="286"/>
      <c r="M193" s="286"/>
      <c r="N193" s="287" t="s">
        <v>136</v>
      </c>
      <c r="O193" s="288" t="s">
        <v>226</v>
      </c>
      <c r="P193" s="289">
        <v>1</v>
      </c>
    </row>
    <row r="194" spans="1:16" x14ac:dyDescent="0.25">
      <c r="A194" s="282" t="s">
        <v>137</v>
      </c>
      <c r="B194" s="283" t="s">
        <v>320</v>
      </c>
      <c r="C194" s="284">
        <v>46174</v>
      </c>
      <c r="D194" s="282" t="s">
        <v>312</v>
      </c>
      <c r="E194" s="284">
        <v>45943</v>
      </c>
      <c r="F194" s="285" t="s">
        <v>23</v>
      </c>
      <c r="G194" s="286" t="s">
        <v>133</v>
      </c>
      <c r="H194" s="286"/>
      <c r="I194" s="286"/>
      <c r="J194" s="286"/>
      <c r="K194" s="286"/>
      <c r="L194" s="286"/>
      <c r="M194" s="286"/>
      <c r="N194" s="287" t="s">
        <v>138</v>
      </c>
      <c r="O194" s="288" t="s">
        <v>227</v>
      </c>
      <c r="P194" s="289">
        <v>0</v>
      </c>
    </row>
    <row r="195" spans="1:16" x14ac:dyDescent="0.25">
      <c r="A195" s="282" t="s">
        <v>137</v>
      </c>
      <c r="B195" s="283" t="s">
        <v>17</v>
      </c>
      <c r="C195" s="284" t="s">
        <v>17</v>
      </c>
      <c r="D195" s="282" t="s">
        <v>17</v>
      </c>
      <c r="E195" s="284" t="s">
        <v>17</v>
      </c>
      <c r="F195" s="285" t="s">
        <v>17</v>
      </c>
      <c r="G195" s="286" t="s">
        <v>133</v>
      </c>
      <c r="H195" s="286"/>
      <c r="I195" s="286"/>
      <c r="J195" s="286"/>
      <c r="K195" s="286"/>
      <c r="L195" s="286"/>
      <c r="M195" s="286"/>
      <c r="N195" s="287" t="s">
        <v>138</v>
      </c>
      <c r="O195" s="288" t="s">
        <v>227</v>
      </c>
      <c r="P195" s="289">
        <v>0</v>
      </c>
    </row>
    <row r="196" spans="1:16" x14ac:dyDescent="0.25">
      <c r="A196" s="282" t="s">
        <v>137</v>
      </c>
      <c r="B196" s="283" t="s">
        <v>17</v>
      </c>
      <c r="C196" s="284" t="s">
        <v>17</v>
      </c>
      <c r="D196" s="282" t="s">
        <v>17</v>
      </c>
      <c r="E196" s="284" t="s">
        <v>17</v>
      </c>
      <c r="F196" s="285" t="s">
        <v>17</v>
      </c>
      <c r="G196" s="286" t="s">
        <v>133</v>
      </c>
      <c r="H196" s="286"/>
      <c r="I196" s="286"/>
      <c r="J196" s="286"/>
      <c r="K196" s="286"/>
      <c r="L196" s="286"/>
      <c r="M196" s="286"/>
      <c r="N196" s="287" t="s">
        <v>138</v>
      </c>
      <c r="O196" s="288" t="s">
        <v>227</v>
      </c>
      <c r="P196" s="289">
        <v>0</v>
      </c>
    </row>
    <row r="197" spans="1:16" x14ac:dyDescent="0.25">
      <c r="A197" s="282" t="s">
        <v>137</v>
      </c>
      <c r="B197" s="283" t="s">
        <v>17</v>
      </c>
      <c r="C197" s="284" t="s">
        <v>17</v>
      </c>
      <c r="D197" s="282" t="s">
        <v>17</v>
      </c>
      <c r="E197" s="284" t="s">
        <v>17</v>
      </c>
      <c r="F197" s="285" t="s">
        <v>17</v>
      </c>
      <c r="G197" s="286" t="s">
        <v>133</v>
      </c>
      <c r="H197" s="286"/>
      <c r="I197" s="286"/>
      <c r="J197" s="286"/>
      <c r="K197" s="286"/>
      <c r="L197" s="286"/>
      <c r="M197" s="286"/>
      <c r="N197" s="287" t="s">
        <v>138</v>
      </c>
      <c r="O197" s="288" t="s">
        <v>227</v>
      </c>
      <c r="P197" s="289">
        <v>0</v>
      </c>
    </row>
    <row r="198" spans="1:16" x14ac:dyDescent="0.25">
      <c r="A198" s="282" t="s">
        <v>139</v>
      </c>
      <c r="B198" s="293" t="s">
        <v>274</v>
      </c>
      <c r="C198" s="294">
        <v>46054</v>
      </c>
      <c r="D198" s="292" t="s">
        <v>313</v>
      </c>
      <c r="E198" s="284">
        <v>45895</v>
      </c>
      <c r="F198" s="285" t="s">
        <v>23</v>
      </c>
      <c r="G198" s="286" t="s">
        <v>14</v>
      </c>
      <c r="H198" s="286"/>
      <c r="I198" s="286"/>
      <c r="J198" s="286"/>
      <c r="K198" s="286"/>
      <c r="L198" s="286"/>
      <c r="M198" s="286"/>
      <c r="N198" s="287" t="s">
        <v>140</v>
      </c>
      <c r="O198" s="288" t="s">
        <v>226</v>
      </c>
      <c r="P198" s="289">
        <v>1</v>
      </c>
    </row>
    <row r="199" spans="1:16" x14ac:dyDescent="0.25">
      <c r="A199" s="282" t="s">
        <v>139</v>
      </c>
      <c r="B199" s="293" t="s">
        <v>275</v>
      </c>
      <c r="C199" s="294">
        <v>46054</v>
      </c>
      <c r="D199" s="292">
        <v>4</v>
      </c>
      <c r="E199" s="284">
        <v>45985</v>
      </c>
      <c r="F199" s="285" t="s">
        <v>10</v>
      </c>
      <c r="G199" s="286" t="s">
        <v>14</v>
      </c>
      <c r="H199" s="286"/>
      <c r="I199" s="286"/>
      <c r="J199" s="286"/>
      <c r="K199" s="286"/>
      <c r="L199" s="286"/>
      <c r="M199" s="286"/>
      <c r="N199" s="287" t="s">
        <v>140</v>
      </c>
      <c r="O199" s="288" t="s">
        <v>226</v>
      </c>
      <c r="P199" s="289">
        <v>1</v>
      </c>
    </row>
    <row r="200" spans="1:16" x14ac:dyDescent="0.25">
      <c r="A200" s="282" t="s">
        <v>139</v>
      </c>
      <c r="B200" s="293" t="s">
        <v>17</v>
      </c>
      <c r="C200" s="294" t="s">
        <v>17</v>
      </c>
      <c r="D200" s="292" t="s">
        <v>17</v>
      </c>
      <c r="E200" s="284" t="s">
        <v>17</v>
      </c>
      <c r="F200" s="285" t="s">
        <v>17</v>
      </c>
      <c r="G200" s="286" t="s">
        <v>14</v>
      </c>
      <c r="H200" s="286"/>
      <c r="I200" s="286"/>
      <c r="J200" s="286"/>
      <c r="K200" s="286"/>
      <c r="L200" s="286"/>
      <c r="M200" s="286"/>
      <c r="N200" s="287" t="s">
        <v>140</v>
      </c>
      <c r="O200" s="288" t="s">
        <v>226</v>
      </c>
      <c r="P200" s="289">
        <v>1</v>
      </c>
    </row>
    <row r="201" spans="1:16" x14ac:dyDescent="0.25">
      <c r="A201" s="282" t="s">
        <v>139</v>
      </c>
      <c r="B201" s="293" t="s">
        <v>17</v>
      </c>
      <c r="C201" s="294" t="s">
        <v>17</v>
      </c>
      <c r="D201" s="292" t="s">
        <v>17</v>
      </c>
      <c r="E201" s="284" t="s">
        <v>17</v>
      </c>
      <c r="F201" s="285" t="s">
        <v>17</v>
      </c>
      <c r="G201" s="286" t="s">
        <v>14</v>
      </c>
      <c r="H201" s="286"/>
      <c r="I201" s="286"/>
      <c r="J201" s="286"/>
      <c r="K201" s="286"/>
      <c r="L201" s="286"/>
      <c r="M201" s="286"/>
      <c r="N201" s="287" t="s">
        <v>140</v>
      </c>
      <c r="O201" s="288" t="s">
        <v>226</v>
      </c>
      <c r="P201" s="289">
        <v>1</v>
      </c>
    </row>
    <row r="202" spans="1:16" x14ac:dyDescent="0.25">
      <c r="A202" s="282" t="s">
        <v>141</v>
      </c>
      <c r="B202" s="293" t="s">
        <v>343</v>
      </c>
      <c r="C202" s="294">
        <v>46054</v>
      </c>
      <c r="D202" s="282" t="s">
        <v>389</v>
      </c>
      <c r="E202" s="284">
        <v>45985</v>
      </c>
      <c r="F202" s="285" t="s">
        <v>23</v>
      </c>
      <c r="G202" s="286" t="s">
        <v>11</v>
      </c>
      <c r="H202" s="286" t="s">
        <v>14</v>
      </c>
      <c r="I202" s="286"/>
      <c r="J202" s="286"/>
      <c r="K202" s="286"/>
      <c r="L202" s="286"/>
      <c r="M202" s="286"/>
      <c r="N202" s="287" t="s">
        <v>142</v>
      </c>
      <c r="O202" s="288" t="s">
        <v>226</v>
      </c>
      <c r="P202" s="289">
        <v>1</v>
      </c>
    </row>
    <row r="203" spans="1:16" x14ac:dyDescent="0.25">
      <c r="A203" s="282" t="s">
        <v>141</v>
      </c>
      <c r="B203" s="293" t="s">
        <v>17</v>
      </c>
      <c r="C203" s="294" t="s">
        <v>17</v>
      </c>
      <c r="D203" s="282" t="s">
        <v>17</v>
      </c>
      <c r="E203" s="284" t="s">
        <v>17</v>
      </c>
      <c r="F203" s="285" t="s">
        <v>17</v>
      </c>
      <c r="G203" s="286" t="s">
        <v>11</v>
      </c>
      <c r="H203" s="286" t="s">
        <v>14</v>
      </c>
      <c r="I203" s="286"/>
      <c r="J203" s="286"/>
      <c r="K203" s="286"/>
      <c r="L203" s="286"/>
      <c r="M203" s="286"/>
      <c r="N203" s="287" t="s">
        <v>142</v>
      </c>
      <c r="O203" s="288" t="s">
        <v>226</v>
      </c>
      <c r="P203" s="289">
        <v>1</v>
      </c>
    </row>
    <row r="204" spans="1:16" x14ac:dyDescent="0.25">
      <c r="A204" s="282" t="s">
        <v>141</v>
      </c>
      <c r="B204" s="293" t="s">
        <v>17</v>
      </c>
      <c r="C204" s="294" t="s">
        <v>17</v>
      </c>
      <c r="D204" s="282" t="s">
        <v>17</v>
      </c>
      <c r="E204" s="284" t="s">
        <v>17</v>
      </c>
      <c r="F204" s="285" t="s">
        <v>17</v>
      </c>
      <c r="G204" s="286" t="s">
        <v>11</v>
      </c>
      <c r="H204" s="286" t="s">
        <v>14</v>
      </c>
      <c r="I204" s="286"/>
      <c r="J204" s="286"/>
      <c r="K204" s="286"/>
      <c r="L204" s="286"/>
      <c r="M204" s="286"/>
      <c r="N204" s="287" t="s">
        <v>142</v>
      </c>
      <c r="O204" s="288" t="s">
        <v>226</v>
      </c>
      <c r="P204" s="289">
        <v>1</v>
      </c>
    </row>
    <row r="205" spans="1:16" x14ac:dyDescent="0.25">
      <c r="A205" s="282" t="s">
        <v>141</v>
      </c>
      <c r="B205" s="293" t="s">
        <v>17</v>
      </c>
      <c r="C205" s="294" t="s">
        <v>17</v>
      </c>
      <c r="D205" s="282" t="s">
        <v>17</v>
      </c>
      <c r="E205" s="284" t="s">
        <v>17</v>
      </c>
      <c r="F205" s="285" t="s">
        <v>17</v>
      </c>
      <c r="G205" s="286" t="s">
        <v>11</v>
      </c>
      <c r="H205" s="286" t="s">
        <v>14</v>
      </c>
      <c r="I205" s="286"/>
      <c r="J205" s="286"/>
      <c r="K205" s="286"/>
      <c r="L205" s="286"/>
      <c r="M205" s="286"/>
      <c r="N205" s="287" t="s">
        <v>142</v>
      </c>
      <c r="O205" s="288" t="s">
        <v>226</v>
      </c>
      <c r="P205" s="289">
        <v>1</v>
      </c>
    </row>
    <row r="206" spans="1:16" x14ac:dyDescent="0.25">
      <c r="A206" s="282" t="s">
        <v>143</v>
      </c>
      <c r="B206" s="293" t="s">
        <v>276</v>
      </c>
      <c r="C206" s="294">
        <v>46054</v>
      </c>
      <c r="D206" s="292" t="s">
        <v>291</v>
      </c>
      <c r="E206" s="284">
        <v>45895</v>
      </c>
      <c r="F206" s="285" t="s">
        <v>23</v>
      </c>
      <c r="G206" s="286" t="s">
        <v>14</v>
      </c>
      <c r="H206" s="286"/>
      <c r="I206" s="286"/>
      <c r="J206" s="286"/>
      <c r="K206" s="286"/>
      <c r="L206" s="286"/>
      <c r="M206" s="286"/>
      <c r="N206" s="287" t="s">
        <v>144</v>
      </c>
      <c r="O206" s="288" t="s">
        <v>226</v>
      </c>
      <c r="P206" s="289">
        <v>1</v>
      </c>
    </row>
    <row r="207" spans="1:16" x14ac:dyDescent="0.25">
      <c r="A207" s="282" t="s">
        <v>143</v>
      </c>
      <c r="B207" s="293" t="s">
        <v>290</v>
      </c>
      <c r="C207" s="294">
        <v>46054</v>
      </c>
      <c r="D207" s="292" t="s">
        <v>291</v>
      </c>
      <c r="E207" s="284">
        <v>45796</v>
      </c>
      <c r="F207" s="285" t="s">
        <v>23</v>
      </c>
      <c r="G207" s="286" t="s">
        <v>14</v>
      </c>
      <c r="H207" s="286"/>
      <c r="I207" s="286"/>
      <c r="J207" s="286"/>
      <c r="K207" s="286"/>
      <c r="L207" s="286"/>
      <c r="M207" s="286"/>
      <c r="N207" s="287" t="s">
        <v>144</v>
      </c>
      <c r="O207" s="288" t="s">
        <v>226</v>
      </c>
      <c r="P207" s="289">
        <v>1</v>
      </c>
    </row>
    <row r="208" spans="1:16" x14ac:dyDescent="0.25">
      <c r="A208" s="282" t="s">
        <v>143</v>
      </c>
      <c r="B208" s="293" t="s">
        <v>17</v>
      </c>
      <c r="C208" s="294" t="s">
        <v>17</v>
      </c>
      <c r="D208" s="292" t="s">
        <v>314</v>
      </c>
      <c r="E208" s="284">
        <v>45904</v>
      </c>
      <c r="F208" s="285" t="s">
        <v>23</v>
      </c>
      <c r="G208" s="286" t="s">
        <v>14</v>
      </c>
      <c r="H208" s="286"/>
      <c r="I208" s="286"/>
      <c r="J208" s="286"/>
      <c r="K208" s="286"/>
      <c r="L208" s="286"/>
      <c r="M208" s="286"/>
      <c r="N208" s="287" t="s">
        <v>144</v>
      </c>
      <c r="O208" s="288" t="s">
        <v>226</v>
      </c>
      <c r="P208" s="289">
        <v>1</v>
      </c>
    </row>
    <row r="209" spans="1:16" x14ac:dyDescent="0.25">
      <c r="A209" s="282" t="s">
        <v>143</v>
      </c>
      <c r="B209" s="293" t="s">
        <v>17</v>
      </c>
      <c r="C209" s="294" t="s">
        <v>17</v>
      </c>
      <c r="D209" s="292" t="s">
        <v>17</v>
      </c>
      <c r="E209" s="284" t="s">
        <v>17</v>
      </c>
      <c r="F209" s="285" t="s">
        <v>17</v>
      </c>
      <c r="G209" s="286" t="s">
        <v>14</v>
      </c>
      <c r="H209" s="286"/>
      <c r="I209" s="286"/>
      <c r="J209" s="286"/>
      <c r="K209" s="286"/>
      <c r="L209" s="286"/>
      <c r="M209" s="286"/>
      <c r="N209" s="287" t="s">
        <v>144</v>
      </c>
      <c r="O209" s="288" t="s">
        <v>226</v>
      </c>
      <c r="P209" s="289">
        <v>1</v>
      </c>
    </row>
    <row r="210" spans="1:16" x14ac:dyDescent="0.25">
      <c r="A210" s="282" t="s">
        <v>145</v>
      </c>
      <c r="B210" s="293" t="s">
        <v>276</v>
      </c>
      <c r="C210" s="294">
        <v>46054</v>
      </c>
      <c r="D210" s="282" t="s">
        <v>305</v>
      </c>
      <c r="E210" s="284">
        <v>45985</v>
      </c>
      <c r="F210" s="285" t="s">
        <v>23</v>
      </c>
      <c r="G210" s="286" t="s">
        <v>11</v>
      </c>
      <c r="H210" s="286" t="s">
        <v>14</v>
      </c>
      <c r="I210" s="286"/>
      <c r="J210" s="286"/>
      <c r="K210" s="286"/>
      <c r="L210" s="286"/>
      <c r="M210" s="286"/>
      <c r="N210" s="287" t="s">
        <v>146</v>
      </c>
      <c r="O210" s="288" t="s">
        <v>226</v>
      </c>
      <c r="P210" s="289">
        <v>1</v>
      </c>
    </row>
    <row r="211" spans="1:16" x14ac:dyDescent="0.25">
      <c r="A211" s="282" t="s">
        <v>145</v>
      </c>
      <c r="B211" s="293" t="s">
        <v>290</v>
      </c>
      <c r="C211" s="294">
        <v>46054</v>
      </c>
      <c r="D211" s="282" t="s">
        <v>340</v>
      </c>
      <c r="E211" s="284">
        <v>45985</v>
      </c>
      <c r="F211" s="285" t="s">
        <v>23</v>
      </c>
      <c r="G211" s="286" t="s">
        <v>11</v>
      </c>
      <c r="H211" s="286" t="s">
        <v>14</v>
      </c>
      <c r="I211" s="286"/>
      <c r="J211" s="286"/>
      <c r="K211" s="286"/>
      <c r="L211" s="286"/>
      <c r="M211" s="286"/>
      <c r="N211" s="287" t="s">
        <v>146</v>
      </c>
      <c r="O211" s="288" t="s">
        <v>226</v>
      </c>
      <c r="P211" s="289">
        <v>1</v>
      </c>
    </row>
    <row r="212" spans="1:16" x14ac:dyDescent="0.25">
      <c r="A212" s="282" t="s">
        <v>145</v>
      </c>
      <c r="B212" s="293" t="s">
        <v>17</v>
      </c>
      <c r="C212" s="294" t="s">
        <v>17</v>
      </c>
      <c r="D212" s="282" t="s">
        <v>17</v>
      </c>
      <c r="E212" s="284" t="s">
        <v>17</v>
      </c>
      <c r="F212" s="285" t="s">
        <v>17</v>
      </c>
      <c r="G212" s="286" t="s">
        <v>11</v>
      </c>
      <c r="H212" s="286" t="s">
        <v>14</v>
      </c>
      <c r="I212" s="286"/>
      <c r="J212" s="286"/>
      <c r="K212" s="286"/>
      <c r="L212" s="286"/>
      <c r="M212" s="286"/>
      <c r="N212" s="287" t="s">
        <v>146</v>
      </c>
      <c r="O212" s="288" t="s">
        <v>226</v>
      </c>
      <c r="P212" s="289">
        <v>1</v>
      </c>
    </row>
    <row r="213" spans="1:16" x14ac:dyDescent="0.25">
      <c r="A213" s="282" t="s">
        <v>145</v>
      </c>
      <c r="B213" s="293" t="s">
        <v>17</v>
      </c>
      <c r="C213" s="294" t="s">
        <v>17</v>
      </c>
      <c r="D213" s="282" t="s">
        <v>17</v>
      </c>
      <c r="E213" s="284" t="s">
        <v>17</v>
      </c>
      <c r="F213" s="285" t="s">
        <v>17</v>
      </c>
      <c r="G213" s="286" t="s">
        <v>11</v>
      </c>
      <c r="H213" s="286" t="s">
        <v>14</v>
      </c>
      <c r="I213" s="286"/>
      <c r="J213" s="286"/>
      <c r="K213" s="286"/>
      <c r="L213" s="286"/>
      <c r="M213" s="286"/>
      <c r="N213" s="287" t="s">
        <v>146</v>
      </c>
      <c r="O213" s="288" t="s">
        <v>226</v>
      </c>
      <c r="P213" s="289">
        <v>1</v>
      </c>
    </row>
    <row r="214" spans="1:16" x14ac:dyDescent="0.25">
      <c r="A214" s="282" t="s">
        <v>147</v>
      </c>
      <c r="B214" s="283" t="s">
        <v>277</v>
      </c>
      <c r="C214" s="284">
        <v>46054</v>
      </c>
      <c r="D214" s="282" t="s">
        <v>291</v>
      </c>
      <c r="E214" s="284">
        <v>45985</v>
      </c>
      <c r="F214" s="285" t="s">
        <v>23</v>
      </c>
      <c r="G214" s="286" t="s">
        <v>14</v>
      </c>
      <c r="H214" s="286"/>
      <c r="I214" s="286"/>
      <c r="J214" s="286"/>
      <c r="K214" s="286"/>
      <c r="L214" s="286"/>
      <c r="M214" s="286"/>
      <c r="N214" s="287" t="s">
        <v>148</v>
      </c>
      <c r="O214" s="288" t="s">
        <v>226</v>
      </c>
      <c r="P214" s="289">
        <v>1</v>
      </c>
    </row>
    <row r="215" spans="1:16" x14ac:dyDescent="0.25">
      <c r="A215" s="282" t="s">
        <v>147</v>
      </c>
      <c r="B215" s="283" t="s">
        <v>17</v>
      </c>
      <c r="C215" s="284" t="s">
        <v>17</v>
      </c>
      <c r="D215" s="282" t="s">
        <v>17</v>
      </c>
      <c r="E215" s="284" t="s">
        <v>17</v>
      </c>
      <c r="F215" s="285" t="s">
        <v>17</v>
      </c>
      <c r="G215" s="286" t="s">
        <v>14</v>
      </c>
      <c r="H215" s="286"/>
      <c r="I215" s="286"/>
      <c r="J215" s="286"/>
      <c r="K215" s="286"/>
      <c r="L215" s="286"/>
      <c r="M215" s="286"/>
      <c r="N215" s="287" t="s">
        <v>148</v>
      </c>
      <c r="O215" s="288" t="s">
        <v>226</v>
      </c>
      <c r="P215" s="289">
        <v>1</v>
      </c>
    </row>
    <row r="216" spans="1:16" x14ac:dyDescent="0.25">
      <c r="A216" s="282" t="s">
        <v>147</v>
      </c>
      <c r="B216" s="283" t="s">
        <v>17</v>
      </c>
      <c r="C216" s="284" t="s">
        <v>17</v>
      </c>
      <c r="D216" s="282" t="s">
        <v>17</v>
      </c>
      <c r="E216" s="284" t="s">
        <v>17</v>
      </c>
      <c r="F216" s="285" t="s">
        <v>17</v>
      </c>
      <c r="G216" s="286" t="s">
        <v>14</v>
      </c>
      <c r="H216" s="286"/>
      <c r="I216" s="286"/>
      <c r="J216" s="286"/>
      <c r="K216" s="286"/>
      <c r="L216" s="286"/>
      <c r="M216" s="286"/>
      <c r="N216" s="287" t="s">
        <v>148</v>
      </c>
      <c r="O216" s="288" t="s">
        <v>226</v>
      </c>
      <c r="P216" s="289">
        <v>1</v>
      </c>
    </row>
    <row r="217" spans="1:16" x14ac:dyDescent="0.25">
      <c r="A217" s="282" t="s">
        <v>147</v>
      </c>
      <c r="B217" s="283" t="s">
        <v>17</v>
      </c>
      <c r="C217" s="284" t="s">
        <v>17</v>
      </c>
      <c r="D217" s="282" t="s">
        <v>17</v>
      </c>
      <c r="E217" s="284" t="s">
        <v>17</v>
      </c>
      <c r="F217" s="285" t="s">
        <v>17</v>
      </c>
      <c r="G217" s="286" t="s">
        <v>14</v>
      </c>
      <c r="H217" s="286"/>
      <c r="I217" s="286"/>
      <c r="J217" s="286"/>
      <c r="K217" s="286"/>
      <c r="L217" s="286"/>
      <c r="M217" s="286"/>
      <c r="N217" s="287" t="s">
        <v>148</v>
      </c>
      <c r="O217" s="288" t="s">
        <v>226</v>
      </c>
      <c r="P217" s="289">
        <v>1</v>
      </c>
    </row>
    <row r="218" spans="1:16" x14ac:dyDescent="0.25">
      <c r="A218" s="282" t="s">
        <v>149</v>
      </c>
      <c r="B218" s="293" t="s">
        <v>277</v>
      </c>
      <c r="C218" s="294">
        <v>46054</v>
      </c>
      <c r="D218" s="292" t="s">
        <v>333</v>
      </c>
      <c r="E218" s="284">
        <v>45985</v>
      </c>
      <c r="F218" s="285" t="s">
        <v>23</v>
      </c>
      <c r="G218" s="286" t="s">
        <v>11</v>
      </c>
      <c r="H218" s="286" t="s">
        <v>14</v>
      </c>
      <c r="I218" s="286"/>
      <c r="J218" s="286"/>
      <c r="K218" s="286"/>
      <c r="L218" s="286"/>
      <c r="M218" s="286"/>
      <c r="N218" s="287" t="s">
        <v>150</v>
      </c>
      <c r="O218" s="288" t="s">
        <v>226</v>
      </c>
      <c r="P218" s="289">
        <v>1</v>
      </c>
    </row>
    <row r="219" spans="1:16" x14ac:dyDescent="0.25">
      <c r="A219" s="282" t="s">
        <v>149</v>
      </c>
      <c r="B219" s="293" t="s">
        <v>390</v>
      </c>
      <c r="C219" s="294">
        <v>46054</v>
      </c>
      <c r="D219" s="292" t="s">
        <v>333</v>
      </c>
      <c r="E219" s="284">
        <v>45985</v>
      </c>
      <c r="F219" s="285" t="s">
        <v>23</v>
      </c>
      <c r="G219" s="286" t="s">
        <v>11</v>
      </c>
      <c r="H219" s="286" t="s">
        <v>14</v>
      </c>
      <c r="I219" s="286"/>
      <c r="J219" s="286"/>
      <c r="K219" s="286"/>
      <c r="L219" s="286"/>
      <c r="M219" s="286"/>
      <c r="N219" s="287" t="s">
        <v>150</v>
      </c>
      <c r="O219" s="288" t="s">
        <v>226</v>
      </c>
      <c r="P219" s="289">
        <v>1</v>
      </c>
    </row>
    <row r="220" spans="1:16" x14ac:dyDescent="0.25">
      <c r="A220" s="282" t="s">
        <v>149</v>
      </c>
      <c r="B220" s="293" t="s">
        <v>17</v>
      </c>
      <c r="C220" s="294" t="s">
        <v>17</v>
      </c>
      <c r="D220" s="292" t="s">
        <v>17</v>
      </c>
      <c r="E220" s="284" t="s">
        <v>17</v>
      </c>
      <c r="F220" s="285" t="s">
        <v>17</v>
      </c>
      <c r="G220" s="286" t="s">
        <v>11</v>
      </c>
      <c r="H220" s="286" t="s">
        <v>14</v>
      </c>
      <c r="I220" s="286"/>
      <c r="J220" s="286"/>
      <c r="K220" s="286"/>
      <c r="L220" s="286"/>
      <c r="M220" s="286"/>
      <c r="N220" s="287" t="s">
        <v>150</v>
      </c>
      <c r="O220" s="288" t="s">
        <v>226</v>
      </c>
      <c r="P220" s="289">
        <v>1</v>
      </c>
    </row>
    <row r="221" spans="1:16" x14ac:dyDescent="0.25">
      <c r="A221" s="282" t="s">
        <v>149</v>
      </c>
      <c r="B221" s="293" t="s">
        <v>17</v>
      </c>
      <c r="C221" s="294" t="s">
        <v>17</v>
      </c>
      <c r="D221" s="292" t="s">
        <v>17</v>
      </c>
      <c r="E221" s="284" t="s">
        <v>17</v>
      </c>
      <c r="F221" s="285" t="s">
        <v>17</v>
      </c>
      <c r="G221" s="286" t="s">
        <v>11</v>
      </c>
      <c r="H221" s="286" t="s">
        <v>14</v>
      </c>
      <c r="I221" s="286"/>
      <c r="J221" s="286"/>
      <c r="K221" s="286"/>
      <c r="L221" s="286"/>
      <c r="M221" s="286"/>
      <c r="N221" s="287" t="s">
        <v>150</v>
      </c>
      <c r="O221" s="288" t="s">
        <v>226</v>
      </c>
      <c r="P221" s="289">
        <v>1</v>
      </c>
    </row>
    <row r="222" spans="1:16" x14ac:dyDescent="0.25">
      <c r="A222" s="282" t="s">
        <v>151</v>
      </c>
      <c r="B222" s="283" t="s">
        <v>292</v>
      </c>
      <c r="C222" s="284">
        <v>46568</v>
      </c>
      <c r="D222" s="282" t="s">
        <v>308</v>
      </c>
      <c r="E222" s="284">
        <v>45884</v>
      </c>
      <c r="F222" s="285" t="s">
        <v>23</v>
      </c>
      <c r="G222" s="286" t="s">
        <v>152</v>
      </c>
      <c r="H222" s="286"/>
      <c r="I222" s="286"/>
      <c r="J222" s="286"/>
      <c r="K222" s="286"/>
      <c r="L222" s="286"/>
      <c r="M222" s="286"/>
      <c r="N222" s="287" t="s">
        <v>153</v>
      </c>
      <c r="O222" s="288" t="s">
        <v>228</v>
      </c>
      <c r="P222" s="289">
        <v>1</v>
      </c>
    </row>
    <row r="223" spans="1:16" x14ac:dyDescent="0.25">
      <c r="A223" s="282" t="s">
        <v>151</v>
      </c>
      <c r="B223" s="283" t="s">
        <v>356</v>
      </c>
      <c r="C223" s="284">
        <v>46681</v>
      </c>
      <c r="D223" s="282" t="s">
        <v>282</v>
      </c>
      <c r="E223" s="284">
        <v>45947</v>
      </c>
      <c r="F223" s="285" t="s">
        <v>23</v>
      </c>
      <c r="G223" s="286" t="s">
        <v>152</v>
      </c>
      <c r="H223" s="286"/>
      <c r="I223" s="286"/>
      <c r="J223" s="286"/>
      <c r="K223" s="286"/>
      <c r="L223" s="286"/>
      <c r="M223" s="286"/>
      <c r="N223" s="287" t="s">
        <v>153</v>
      </c>
      <c r="O223" s="288" t="s">
        <v>228</v>
      </c>
      <c r="P223" s="289">
        <v>1</v>
      </c>
    </row>
    <row r="224" spans="1:16" x14ac:dyDescent="0.25">
      <c r="A224" s="282" t="s">
        <v>151</v>
      </c>
      <c r="B224" s="283" t="s">
        <v>17</v>
      </c>
      <c r="C224" s="284" t="s">
        <v>17</v>
      </c>
      <c r="D224" s="282" t="s">
        <v>17</v>
      </c>
      <c r="E224" s="284" t="s">
        <v>17</v>
      </c>
      <c r="F224" s="285" t="s">
        <v>17</v>
      </c>
      <c r="G224" s="286" t="s">
        <v>152</v>
      </c>
      <c r="H224" s="286"/>
      <c r="I224" s="286"/>
      <c r="J224" s="286"/>
      <c r="K224" s="286"/>
      <c r="L224" s="286"/>
      <c r="M224" s="286"/>
      <c r="N224" s="287" t="s">
        <v>153</v>
      </c>
      <c r="O224" s="288" t="s">
        <v>228</v>
      </c>
      <c r="P224" s="289">
        <v>1</v>
      </c>
    </row>
    <row r="225" spans="1:16" x14ac:dyDescent="0.25">
      <c r="A225" s="282" t="s">
        <v>151</v>
      </c>
      <c r="B225" s="283" t="s">
        <v>17</v>
      </c>
      <c r="C225" s="284" t="s">
        <v>17</v>
      </c>
      <c r="D225" s="282" t="s">
        <v>17</v>
      </c>
      <c r="E225" s="284" t="s">
        <v>17</v>
      </c>
      <c r="F225" s="285" t="s">
        <v>17</v>
      </c>
      <c r="G225" s="286" t="s">
        <v>152</v>
      </c>
      <c r="H225" s="286"/>
      <c r="I225" s="286"/>
      <c r="J225" s="286"/>
      <c r="K225" s="286"/>
      <c r="L225" s="286"/>
      <c r="M225" s="286"/>
      <c r="N225" s="287" t="s">
        <v>153</v>
      </c>
      <c r="O225" s="288" t="s">
        <v>228</v>
      </c>
      <c r="P225" s="289">
        <v>1</v>
      </c>
    </row>
    <row r="226" spans="1:16" x14ac:dyDescent="0.25">
      <c r="A226" s="282" t="s">
        <v>154</v>
      </c>
      <c r="B226" s="283" t="s">
        <v>266</v>
      </c>
      <c r="C226" s="284">
        <v>46196</v>
      </c>
      <c r="D226" s="282" t="s">
        <v>305</v>
      </c>
      <c r="E226" s="284">
        <v>45884</v>
      </c>
      <c r="F226" s="285" t="s">
        <v>23</v>
      </c>
      <c r="G226" s="286" t="s">
        <v>152</v>
      </c>
      <c r="H226" s="286"/>
      <c r="I226" s="286"/>
      <c r="J226" s="286"/>
      <c r="K226" s="286"/>
      <c r="L226" s="286"/>
      <c r="M226" s="286"/>
      <c r="N226" s="287" t="s">
        <v>155</v>
      </c>
      <c r="O226" s="288" t="s">
        <v>228</v>
      </c>
      <c r="P226" s="289">
        <v>1</v>
      </c>
    </row>
    <row r="227" spans="1:16" x14ac:dyDescent="0.25">
      <c r="A227" s="282" t="s">
        <v>154</v>
      </c>
      <c r="B227" s="283" t="s">
        <v>17</v>
      </c>
      <c r="C227" s="284" t="s">
        <v>17</v>
      </c>
      <c r="D227" s="282" t="s">
        <v>17</v>
      </c>
      <c r="E227" s="284" t="s">
        <v>17</v>
      </c>
      <c r="F227" s="285" t="s">
        <v>17</v>
      </c>
      <c r="G227" s="286" t="s">
        <v>152</v>
      </c>
      <c r="H227" s="286"/>
      <c r="I227" s="286"/>
      <c r="J227" s="286"/>
      <c r="K227" s="286"/>
      <c r="L227" s="286"/>
      <c r="M227" s="286"/>
      <c r="N227" s="287" t="s">
        <v>155</v>
      </c>
      <c r="O227" s="288" t="s">
        <v>228</v>
      </c>
      <c r="P227" s="289">
        <v>1</v>
      </c>
    </row>
    <row r="228" spans="1:16" x14ac:dyDescent="0.25">
      <c r="A228" s="282" t="s">
        <v>154</v>
      </c>
      <c r="B228" s="283" t="s">
        <v>17</v>
      </c>
      <c r="C228" s="284" t="s">
        <v>17</v>
      </c>
      <c r="D228" s="282" t="s">
        <v>17</v>
      </c>
      <c r="E228" s="284" t="s">
        <v>17</v>
      </c>
      <c r="F228" s="285" t="s">
        <v>17</v>
      </c>
      <c r="G228" s="286" t="s">
        <v>152</v>
      </c>
      <c r="H228" s="286"/>
      <c r="I228" s="286"/>
      <c r="J228" s="286"/>
      <c r="K228" s="286"/>
      <c r="L228" s="286"/>
      <c r="M228" s="286"/>
      <c r="N228" s="287" t="s">
        <v>155</v>
      </c>
      <c r="O228" s="288" t="s">
        <v>228</v>
      </c>
      <c r="P228" s="289">
        <v>1</v>
      </c>
    </row>
    <row r="229" spans="1:16" x14ac:dyDescent="0.25">
      <c r="A229" s="282" t="s">
        <v>154</v>
      </c>
      <c r="B229" s="283" t="s">
        <v>17</v>
      </c>
      <c r="C229" s="284" t="s">
        <v>17</v>
      </c>
      <c r="D229" s="282" t="s">
        <v>17</v>
      </c>
      <c r="E229" s="284" t="s">
        <v>17</v>
      </c>
      <c r="F229" s="285" t="s">
        <v>17</v>
      </c>
      <c r="G229" s="286" t="s">
        <v>152</v>
      </c>
      <c r="H229" s="286"/>
      <c r="I229" s="286"/>
      <c r="J229" s="286"/>
      <c r="K229" s="286"/>
      <c r="L229" s="286"/>
      <c r="M229" s="286"/>
      <c r="N229" s="287" t="s">
        <v>155</v>
      </c>
      <c r="O229" s="288" t="s">
        <v>228</v>
      </c>
      <c r="P229" s="289">
        <v>1</v>
      </c>
    </row>
    <row r="230" spans="1:16" x14ac:dyDescent="0.25">
      <c r="A230" s="282" t="s">
        <v>156</v>
      </c>
      <c r="B230" s="293" t="s">
        <v>357</v>
      </c>
      <c r="C230" s="294">
        <v>45996</v>
      </c>
      <c r="D230" s="292" t="s">
        <v>333</v>
      </c>
      <c r="E230" s="284">
        <v>45993</v>
      </c>
      <c r="F230" s="285" t="s">
        <v>23</v>
      </c>
      <c r="G230" s="286" t="s">
        <v>152</v>
      </c>
      <c r="H230" s="286" t="s">
        <v>69</v>
      </c>
      <c r="I230" s="286"/>
      <c r="J230" s="286"/>
      <c r="K230" s="286"/>
      <c r="L230" s="286"/>
      <c r="M230" s="286"/>
      <c r="N230" s="287" t="s">
        <v>157</v>
      </c>
      <c r="O230" s="288" t="s">
        <v>227</v>
      </c>
      <c r="P230" s="289">
        <v>0</v>
      </c>
    </row>
    <row r="231" spans="1:16" x14ac:dyDescent="0.25">
      <c r="A231" s="282" t="s">
        <v>156</v>
      </c>
      <c r="B231" s="293" t="s">
        <v>17</v>
      </c>
      <c r="C231" s="294" t="s">
        <v>17</v>
      </c>
      <c r="D231" s="292" t="s">
        <v>17</v>
      </c>
      <c r="E231" s="284" t="s">
        <v>17</v>
      </c>
      <c r="F231" s="285" t="s">
        <v>17</v>
      </c>
      <c r="G231" s="286" t="s">
        <v>152</v>
      </c>
      <c r="H231" s="286" t="s">
        <v>69</v>
      </c>
      <c r="I231" s="286"/>
      <c r="J231" s="286"/>
      <c r="K231" s="286"/>
      <c r="L231" s="286"/>
      <c r="M231" s="286"/>
      <c r="N231" s="287" t="s">
        <v>157</v>
      </c>
      <c r="O231" s="288" t="s">
        <v>227</v>
      </c>
      <c r="P231" s="289">
        <v>0</v>
      </c>
    </row>
    <row r="232" spans="1:16" x14ac:dyDescent="0.25">
      <c r="A232" s="282" t="s">
        <v>156</v>
      </c>
      <c r="B232" s="293" t="s">
        <v>17</v>
      </c>
      <c r="C232" s="294" t="s">
        <v>17</v>
      </c>
      <c r="D232" s="292" t="s">
        <v>17</v>
      </c>
      <c r="E232" s="284" t="s">
        <v>17</v>
      </c>
      <c r="F232" s="285" t="s">
        <v>17</v>
      </c>
      <c r="G232" s="286" t="s">
        <v>152</v>
      </c>
      <c r="H232" s="286" t="s">
        <v>69</v>
      </c>
      <c r="I232" s="286"/>
      <c r="J232" s="286"/>
      <c r="K232" s="286"/>
      <c r="L232" s="286"/>
      <c r="M232" s="286"/>
      <c r="N232" s="287" t="s">
        <v>157</v>
      </c>
      <c r="O232" s="288" t="s">
        <v>227</v>
      </c>
      <c r="P232" s="289">
        <v>0</v>
      </c>
    </row>
    <row r="233" spans="1:16" x14ac:dyDescent="0.25">
      <c r="A233" s="282" t="s">
        <v>156</v>
      </c>
      <c r="B233" s="293" t="s">
        <v>17</v>
      </c>
      <c r="C233" s="294" t="s">
        <v>17</v>
      </c>
      <c r="D233" s="292" t="s">
        <v>17</v>
      </c>
      <c r="E233" s="284" t="s">
        <v>17</v>
      </c>
      <c r="F233" s="285" t="s">
        <v>17</v>
      </c>
      <c r="G233" s="286" t="s">
        <v>152</v>
      </c>
      <c r="H233" s="286" t="s">
        <v>69</v>
      </c>
      <c r="I233" s="286"/>
      <c r="J233" s="286"/>
      <c r="K233" s="286"/>
      <c r="L233" s="286"/>
      <c r="M233" s="286"/>
      <c r="N233" s="287" t="s">
        <v>157</v>
      </c>
      <c r="O233" s="288" t="s">
        <v>227</v>
      </c>
      <c r="P233" s="289">
        <v>0</v>
      </c>
    </row>
    <row r="234" spans="1:16" x14ac:dyDescent="0.25">
      <c r="A234" s="282" t="s">
        <v>158</v>
      </c>
      <c r="B234" s="293" t="s">
        <v>315</v>
      </c>
      <c r="C234" s="294">
        <v>46412</v>
      </c>
      <c r="D234" s="298" t="s">
        <v>313</v>
      </c>
      <c r="E234" s="284">
        <v>45895</v>
      </c>
      <c r="F234" s="285" t="s">
        <v>23</v>
      </c>
      <c r="G234" s="286" t="s">
        <v>122</v>
      </c>
      <c r="H234" s="286"/>
      <c r="I234" s="286"/>
      <c r="J234" s="286"/>
      <c r="K234" s="286"/>
      <c r="L234" s="286"/>
      <c r="M234" s="286"/>
      <c r="N234" s="287" t="s">
        <v>159</v>
      </c>
      <c r="O234" s="288" t="s">
        <v>230</v>
      </c>
      <c r="P234" s="289">
        <v>2</v>
      </c>
    </row>
    <row r="235" spans="1:16" x14ac:dyDescent="0.25">
      <c r="A235" s="282" t="s">
        <v>158</v>
      </c>
      <c r="B235" s="293" t="s">
        <v>284</v>
      </c>
      <c r="C235" s="294">
        <v>46684</v>
      </c>
      <c r="D235" s="292" t="s">
        <v>344</v>
      </c>
      <c r="E235" s="284">
        <v>45943</v>
      </c>
      <c r="F235" s="285" t="s">
        <v>23</v>
      </c>
      <c r="G235" s="286" t="s">
        <v>122</v>
      </c>
      <c r="H235" s="286"/>
      <c r="I235" s="286"/>
      <c r="J235" s="286"/>
      <c r="K235" s="286"/>
      <c r="L235" s="286"/>
      <c r="M235" s="286"/>
      <c r="N235" s="287" t="s">
        <v>159</v>
      </c>
      <c r="O235" s="288" t="s">
        <v>230</v>
      </c>
      <c r="P235" s="289">
        <v>2</v>
      </c>
    </row>
    <row r="236" spans="1:16" x14ac:dyDescent="0.25">
      <c r="A236" s="282" t="s">
        <v>158</v>
      </c>
      <c r="B236" s="293" t="s">
        <v>284</v>
      </c>
      <c r="C236" s="294">
        <v>46684</v>
      </c>
      <c r="D236" s="292" t="s">
        <v>391</v>
      </c>
      <c r="E236" s="284">
        <v>45986</v>
      </c>
      <c r="F236" s="285" t="s">
        <v>23</v>
      </c>
      <c r="G236" s="286" t="s">
        <v>122</v>
      </c>
      <c r="H236" s="286"/>
      <c r="I236" s="286"/>
      <c r="J236" s="286"/>
      <c r="K236" s="286"/>
      <c r="L236" s="286"/>
      <c r="M236" s="286"/>
      <c r="N236" s="287" t="s">
        <v>159</v>
      </c>
      <c r="O236" s="288" t="s">
        <v>233</v>
      </c>
      <c r="P236" s="289">
        <v>2</v>
      </c>
    </row>
    <row r="237" spans="1:16" x14ac:dyDescent="0.25">
      <c r="A237" s="282" t="s">
        <v>158</v>
      </c>
      <c r="B237" s="293" t="s">
        <v>392</v>
      </c>
      <c r="C237" s="294">
        <v>46706</v>
      </c>
      <c r="D237" s="292" t="s">
        <v>393</v>
      </c>
      <c r="E237" s="284">
        <v>45986</v>
      </c>
      <c r="F237" s="285" t="s">
        <v>23</v>
      </c>
      <c r="G237" s="286" t="s">
        <v>122</v>
      </c>
      <c r="H237" s="286"/>
      <c r="I237" s="286"/>
      <c r="J237" s="286"/>
      <c r="K237" s="286"/>
      <c r="L237" s="286"/>
      <c r="M237" s="286"/>
      <c r="N237" s="287" t="s">
        <v>159</v>
      </c>
      <c r="O237" s="288" t="s">
        <v>233</v>
      </c>
      <c r="P237" s="289">
        <v>2</v>
      </c>
    </row>
    <row r="238" spans="1:16" x14ac:dyDescent="0.25">
      <c r="A238" s="282" t="s">
        <v>160</v>
      </c>
      <c r="B238" s="283" t="s">
        <v>358</v>
      </c>
      <c r="C238" s="284">
        <v>46108</v>
      </c>
      <c r="D238" s="292" t="s">
        <v>394</v>
      </c>
      <c r="E238" s="284">
        <v>45986</v>
      </c>
      <c r="F238" s="285" t="s">
        <v>23</v>
      </c>
      <c r="G238" s="286" t="s">
        <v>109</v>
      </c>
      <c r="H238" s="286"/>
      <c r="I238" s="286"/>
      <c r="J238" s="286"/>
      <c r="K238" s="286"/>
      <c r="L238" s="286"/>
      <c r="M238" s="286"/>
      <c r="N238" s="287" t="s">
        <v>161</v>
      </c>
      <c r="O238" s="288" t="s">
        <v>228</v>
      </c>
      <c r="P238" s="289">
        <v>1</v>
      </c>
    </row>
    <row r="239" spans="1:16" x14ac:dyDescent="0.25">
      <c r="A239" s="282" t="s">
        <v>160</v>
      </c>
      <c r="B239" s="283" t="s">
        <v>17</v>
      </c>
      <c r="C239" s="284" t="s">
        <v>17</v>
      </c>
      <c r="D239" s="292" t="s">
        <v>17</v>
      </c>
      <c r="E239" s="284" t="s">
        <v>17</v>
      </c>
      <c r="F239" s="285" t="s">
        <v>17</v>
      </c>
      <c r="G239" s="286" t="s">
        <v>109</v>
      </c>
      <c r="H239" s="286"/>
      <c r="I239" s="286"/>
      <c r="J239" s="286"/>
      <c r="K239" s="286"/>
      <c r="L239" s="286"/>
      <c r="M239" s="286"/>
      <c r="N239" s="287" t="s">
        <v>161</v>
      </c>
      <c r="O239" s="288" t="s">
        <v>228</v>
      </c>
      <c r="P239" s="289">
        <v>1</v>
      </c>
    </row>
    <row r="240" spans="1:16" x14ac:dyDescent="0.25">
      <c r="A240" s="282" t="s">
        <v>160</v>
      </c>
      <c r="B240" s="283" t="s">
        <v>17</v>
      </c>
      <c r="C240" s="284" t="s">
        <v>17</v>
      </c>
      <c r="D240" s="292" t="s">
        <v>17</v>
      </c>
      <c r="E240" s="284" t="s">
        <v>17</v>
      </c>
      <c r="F240" s="285" t="s">
        <v>17</v>
      </c>
      <c r="G240" s="286" t="s">
        <v>109</v>
      </c>
      <c r="H240" s="286"/>
      <c r="I240" s="286"/>
      <c r="J240" s="286"/>
      <c r="K240" s="286"/>
      <c r="L240" s="286"/>
      <c r="M240" s="286"/>
      <c r="N240" s="287" t="s">
        <v>161</v>
      </c>
      <c r="O240" s="288" t="s">
        <v>228</v>
      </c>
      <c r="P240" s="289">
        <v>1</v>
      </c>
    </row>
    <row r="241" spans="1:16" x14ac:dyDescent="0.25">
      <c r="A241" s="282" t="s">
        <v>160</v>
      </c>
      <c r="B241" s="283" t="s">
        <v>17</v>
      </c>
      <c r="C241" s="284" t="s">
        <v>17</v>
      </c>
      <c r="D241" s="292" t="s">
        <v>17</v>
      </c>
      <c r="E241" s="284" t="s">
        <v>17</v>
      </c>
      <c r="F241" s="285" t="s">
        <v>17</v>
      </c>
      <c r="G241" s="286" t="s">
        <v>109</v>
      </c>
      <c r="H241" s="286"/>
      <c r="I241" s="286"/>
      <c r="J241" s="286"/>
      <c r="K241" s="286"/>
      <c r="L241" s="286"/>
      <c r="M241" s="286"/>
      <c r="N241" s="287" t="s">
        <v>161</v>
      </c>
      <c r="O241" s="288" t="s">
        <v>228</v>
      </c>
      <c r="P241" s="289">
        <v>1</v>
      </c>
    </row>
    <row r="242" spans="1:16" x14ac:dyDescent="0.25">
      <c r="A242" s="282" t="s">
        <v>162</v>
      </c>
      <c r="B242" s="293" t="s">
        <v>358</v>
      </c>
      <c r="C242" s="294">
        <v>46108</v>
      </c>
      <c r="D242" s="282" t="s">
        <v>359</v>
      </c>
      <c r="E242" s="284">
        <v>45947</v>
      </c>
      <c r="F242" s="285" t="s">
        <v>23</v>
      </c>
      <c r="G242" s="286" t="s">
        <v>109</v>
      </c>
      <c r="H242" s="286"/>
      <c r="I242" s="286"/>
      <c r="J242" s="286"/>
      <c r="K242" s="286"/>
      <c r="L242" s="286"/>
      <c r="M242" s="286"/>
      <c r="N242" s="287" t="s">
        <v>163</v>
      </c>
      <c r="O242" s="288" t="s">
        <v>228</v>
      </c>
      <c r="P242" s="289">
        <v>1</v>
      </c>
    </row>
    <row r="243" spans="1:16" x14ac:dyDescent="0.25">
      <c r="A243" s="282" t="s">
        <v>162</v>
      </c>
      <c r="B243" s="293" t="s">
        <v>395</v>
      </c>
      <c r="C243" s="294">
        <v>46248</v>
      </c>
      <c r="D243" s="282" t="s">
        <v>267</v>
      </c>
      <c r="E243" s="284">
        <v>45986</v>
      </c>
      <c r="F243" s="285" t="s">
        <v>23</v>
      </c>
      <c r="G243" s="286" t="s">
        <v>109</v>
      </c>
      <c r="H243" s="286"/>
      <c r="I243" s="286"/>
      <c r="J243" s="286"/>
      <c r="K243" s="286"/>
      <c r="L243" s="286"/>
      <c r="M243" s="286"/>
      <c r="N243" s="287" t="s">
        <v>163</v>
      </c>
      <c r="O243" s="288" t="s">
        <v>228</v>
      </c>
      <c r="P243" s="289">
        <v>1</v>
      </c>
    </row>
    <row r="244" spans="1:16" x14ac:dyDescent="0.25">
      <c r="A244" s="282" t="s">
        <v>162</v>
      </c>
      <c r="B244" s="293" t="s">
        <v>17</v>
      </c>
      <c r="C244" s="294" t="s">
        <v>17</v>
      </c>
      <c r="D244" s="282" t="s">
        <v>17</v>
      </c>
      <c r="E244" s="284" t="s">
        <v>17</v>
      </c>
      <c r="F244" s="285" t="s">
        <v>17</v>
      </c>
      <c r="G244" s="286" t="s">
        <v>109</v>
      </c>
      <c r="H244" s="286"/>
      <c r="I244" s="286"/>
      <c r="J244" s="286"/>
      <c r="K244" s="286"/>
      <c r="L244" s="286"/>
      <c r="M244" s="286"/>
      <c r="N244" s="287" t="s">
        <v>163</v>
      </c>
      <c r="O244" s="288" t="s">
        <v>228</v>
      </c>
      <c r="P244" s="289">
        <v>1</v>
      </c>
    </row>
    <row r="245" spans="1:16" x14ac:dyDescent="0.25">
      <c r="A245" s="282" t="s">
        <v>162</v>
      </c>
      <c r="B245" s="293" t="s">
        <v>17</v>
      </c>
      <c r="C245" s="294" t="s">
        <v>17</v>
      </c>
      <c r="D245" s="282" t="s">
        <v>17</v>
      </c>
      <c r="E245" s="284" t="s">
        <v>17</v>
      </c>
      <c r="F245" s="285" t="s">
        <v>17</v>
      </c>
      <c r="G245" s="286" t="s">
        <v>109</v>
      </c>
      <c r="H245" s="286"/>
      <c r="I245" s="286"/>
      <c r="J245" s="286"/>
      <c r="K245" s="286"/>
      <c r="L245" s="286"/>
      <c r="M245" s="286"/>
      <c r="N245" s="287" t="s">
        <v>163</v>
      </c>
      <c r="O245" s="288" t="s">
        <v>228</v>
      </c>
      <c r="P245" s="289">
        <v>1</v>
      </c>
    </row>
    <row r="246" spans="1:16" x14ac:dyDescent="0.25">
      <c r="A246" s="282" t="s">
        <v>164</v>
      </c>
      <c r="B246" s="293" t="s">
        <v>324</v>
      </c>
      <c r="C246" s="294">
        <v>46006</v>
      </c>
      <c r="D246" s="292" t="s">
        <v>272</v>
      </c>
      <c r="E246" s="284">
        <v>45985</v>
      </c>
      <c r="F246" s="285" t="s">
        <v>23</v>
      </c>
      <c r="G246" s="286" t="s">
        <v>116</v>
      </c>
      <c r="H246" s="286"/>
      <c r="I246" s="286"/>
      <c r="J246" s="286"/>
      <c r="K246" s="286"/>
      <c r="L246" s="286"/>
      <c r="M246" s="286"/>
      <c r="N246" s="287" t="s">
        <v>165</v>
      </c>
      <c r="O246" s="288" t="s">
        <v>227</v>
      </c>
      <c r="P246" s="289">
        <v>0</v>
      </c>
    </row>
    <row r="247" spans="1:16" x14ac:dyDescent="0.25">
      <c r="A247" s="282" t="s">
        <v>164</v>
      </c>
      <c r="B247" s="293" t="s">
        <v>17</v>
      </c>
      <c r="C247" s="294" t="s">
        <v>17</v>
      </c>
      <c r="D247" s="292" t="s">
        <v>17</v>
      </c>
      <c r="E247" s="284" t="s">
        <v>17</v>
      </c>
      <c r="F247" s="285" t="s">
        <v>17</v>
      </c>
      <c r="G247" s="286" t="s">
        <v>116</v>
      </c>
      <c r="H247" s="286"/>
      <c r="I247" s="286"/>
      <c r="J247" s="286"/>
      <c r="K247" s="286"/>
      <c r="L247" s="286"/>
      <c r="M247" s="286"/>
      <c r="N247" s="287" t="s">
        <v>165</v>
      </c>
      <c r="O247" s="288" t="s">
        <v>227</v>
      </c>
      <c r="P247" s="289">
        <v>0</v>
      </c>
    </row>
    <row r="248" spans="1:16" x14ac:dyDescent="0.25">
      <c r="A248" s="282" t="s">
        <v>164</v>
      </c>
      <c r="B248" s="293" t="s">
        <v>17</v>
      </c>
      <c r="C248" s="294" t="s">
        <v>17</v>
      </c>
      <c r="D248" s="292" t="s">
        <v>17</v>
      </c>
      <c r="E248" s="284" t="s">
        <v>17</v>
      </c>
      <c r="F248" s="285" t="s">
        <v>17</v>
      </c>
      <c r="G248" s="286" t="s">
        <v>116</v>
      </c>
      <c r="H248" s="286"/>
      <c r="I248" s="286"/>
      <c r="J248" s="286"/>
      <c r="K248" s="286"/>
      <c r="L248" s="286"/>
      <c r="M248" s="286"/>
      <c r="N248" s="287" t="s">
        <v>165</v>
      </c>
      <c r="O248" s="288" t="s">
        <v>227</v>
      </c>
      <c r="P248" s="289">
        <v>0</v>
      </c>
    </row>
    <row r="249" spans="1:16" x14ac:dyDescent="0.25">
      <c r="A249" s="282" t="s">
        <v>164</v>
      </c>
      <c r="B249" s="293" t="s">
        <v>17</v>
      </c>
      <c r="C249" s="294" t="s">
        <v>17</v>
      </c>
      <c r="D249" s="292" t="s">
        <v>17</v>
      </c>
      <c r="E249" s="284" t="s">
        <v>17</v>
      </c>
      <c r="F249" s="285" t="s">
        <v>17</v>
      </c>
      <c r="G249" s="286" t="s">
        <v>116</v>
      </c>
      <c r="H249" s="286"/>
      <c r="I249" s="286"/>
      <c r="J249" s="286"/>
      <c r="K249" s="286"/>
      <c r="L249" s="286"/>
      <c r="M249" s="286"/>
      <c r="N249" s="287" t="s">
        <v>165</v>
      </c>
      <c r="O249" s="288" t="s">
        <v>227</v>
      </c>
      <c r="P249" s="289">
        <v>0</v>
      </c>
    </row>
    <row r="250" spans="1:16" x14ac:dyDescent="0.25">
      <c r="A250" s="282" t="s">
        <v>166</v>
      </c>
      <c r="B250" s="293" t="s">
        <v>295</v>
      </c>
      <c r="C250" s="294">
        <v>46023</v>
      </c>
      <c r="D250" s="292" t="s">
        <v>331</v>
      </c>
      <c r="E250" s="284">
        <v>45985</v>
      </c>
      <c r="F250" s="285" t="s">
        <v>23</v>
      </c>
      <c r="G250" s="286" t="s">
        <v>116</v>
      </c>
      <c r="H250" s="286"/>
      <c r="I250" s="286"/>
      <c r="J250" s="286"/>
      <c r="K250" s="286"/>
      <c r="L250" s="286"/>
      <c r="M250" s="286"/>
      <c r="N250" s="287" t="s">
        <v>167</v>
      </c>
      <c r="O250" s="288" t="s">
        <v>226</v>
      </c>
      <c r="P250" s="289">
        <v>1</v>
      </c>
    </row>
    <row r="251" spans="1:16" x14ac:dyDescent="0.25">
      <c r="A251" s="282" t="s">
        <v>166</v>
      </c>
      <c r="B251" s="293" t="s">
        <v>345</v>
      </c>
      <c r="C251" s="294">
        <v>46023</v>
      </c>
      <c r="D251" s="292" t="s">
        <v>333</v>
      </c>
      <c r="E251" s="284">
        <v>45944</v>
      </c>
      <c r="F251" s="285" t="s">
        <v>207</v>
      </c>
      <c r="G251" s="286" t="s">
        <v>116</v>
      </c>
      <c r="H251" s="286"/>
      <c r="I251" s="286"/>
      <c r="J251" s="286"/>
      <c r="K251" s="286"/>
      <c r="L251" s="286"/>
      <c r="M251" s="286"/>
      <c r="N251" s="287" t="s">
        <v>167</v>
      </c>
      <c r="O251" s="288" t="s">
        <v>226</v>
      </c>
      <c r="P251" s="289">
        <v>1</v>
      </c>
    </row>
    <row r="252" spans="1:16" x14ac:dyDescent="0.25">
      <c r="A252" s="282" t="s">
        <v>166</v>
      </c>
      <c r="B252" s="293" t="s">
        <v>17</v>
      </c>
      <c r="C252" s="294" t="s">
        <v>17</v>
      </c>
      <c r="D252" s="292" t="s">
        <v>17</v>
      </c>
      <c r="E252" s="284" t="s">
        <v>17</v>
      </c>
      <c r="F252" s="285" t="s">
        <v>17</v>
      </c>
      <c r="G252" s="286" t="s">
        <v>116</v>
      </c>
      <c r="H252" s="286"/>
      <c r="I252" s="286"/>
      <c r="J252" s="286"/>
      <c r="K252" s="286"/>
      <c r="L252" s="286"/>
      <c r="M252" s="286"/>
      <c r="N252" s="287" t="s">
        <v>167</v>
      </c>
      <c r="O252" s="288" t="s">
        <v>226</v>
      </c>
      <c r="P252" s="289">
        <v>1</v>
      </c>
    </row>
    <row r="253" spans="1:16" x14ac:dyDescent="0.25">
      <c r="A253" s="282" t="s">
        <v>166</v>
      </c>
      <c r="B253" s="283" t="s">
        <v>17</v>
      </c>
      <c r="C253" s="284" t="s">
        <v>17</v>
      </c>
      <c r="D253" s="282" t="s">
        <v>17</v>
      </c>
      <c r="E253" s="284" t="s">
        <v>17</v>
      </c>
      <c r="F253" s="285" t="s">
        <v>17</v>
      </c>
      <c r="G253" s="286" t="s">
        <v>116</v>
      </c>
      <c r="H253" s="286"/>
      <c r="I253" s="286"/>
      <c r="J253" s="286"/>
      <c r="K253" s="286"/>
      <c r="L253" s="286"/>
      <c r="M253" s="286"/>
      <c r="N253" s="287" t="s">
        <v>167</v>
      </c>
      <c r="O253" s="288" t="s">
        <v>226</v>
      </c>
      <c r="P253" s="289">
        <v>1</v>
      </c>
    </row>
    <row r="254" spans="1:16" x14ac:dyDescent="0.25">
      <c r="A254" s="282" t="s">
        <v>168</v>
      </c>
      <c r="B254" s="293" t="s">
        <v>360</v>
      </c>
      <c r="C254" s="294">
        <v>46099</v>
      </c>
      <c r="D254" s="292" t="s">
        <v>21</v>
      </c>
      <c r="E254" s="284">
        <v>45995</v>
      </c>
      <c r="F254" s="285" t="s">
        <v>23</v>
      </c>
      <c r="G254" s="286" t="s">
        <v>69</v>
      </c>
      <c r="H254" s="286"/>
      <c r="I254" s="286"/>
      <c r="J254" s="286"/>
      <c r="K254" s="286"/>
      <c r="L254" s="286"/>
      <c r="M254" s="286"/>
      <c r="N254" s="287" t="s">
        <v>169</v>
      </c>
      <c r="O254" s="288" t="s">
        <v>228</v>
      </c>
      <c r="P254" s="289">
        <v>1</v>
      </c>
    </row>
    <row r="255" spans="1:16" x14ac:dyDescent="0.25">
      <c r="A255" s="282" t="s">
        <v>168</v>
      </c>
      <c r="B255" s="293" t="s">
        <v>17</v>
      </c>
      <c r="C255" s="294" t="s">
        <v>17</v>
      </c>
      <c r="D255" s="292" t="s">
        <v>17</v>
      </c>
      <c r="E255" s="284" t="s">
        <v>17</v>
      </c>
      <c r="F255" s="285" t="s">
        <v>17</v>
      </c>
      <c r="G255" s="286" t="s">
        <v>69</v>
      </c>
      <c r="H255" s="286"/>
      <c r="I255" s="286"/>
      <c r="J255" s="286"/>
      <c r="K255" s="286"/>
      <c r="L255" s="286"/>
      <c r="M255" s="286"/>
      <c r="N255" s="287" t="s">
        <v>169</v>
      </c>
      <c r="O255" s="288" t="s">
        <v>228</v>
      </c>
      <c r="P255" s="289">
        <v>1</v>
      </c>
    </row>
    <row r="256" spans="1:16" x14ac:dyDescent="0.25">
      <c r="A256" s="282" t="s">
        <v>168</v>
      </c>
      <c r="B256" s="293" t="s">
        <v>17</v>
      </c>
      <c r="C256" s="294" t="s">
        <v>17</v>
      </c>
      <c r="D256" s="292" t="s">
        <v>17</v>
      </c>
      <c r="E256" s="284" t="s">
        <v>17</v>
      </c>
      <c r="F256" s="285" t="s">
        <v>17</v>
      </c>
      <c r="G256" s="286" t="s">
        <v>69</v>
      </c>
      <c r="H256" s="286"/>
      <c r="I256" s="286"/>
      <c r="J256" s="286"/>
      <c r="K256" s="286"/>
      <c r="L256" s="286"/>
      <c r="M256" s="286"/>
      <c r="N256" s="287" t="s">
        <v>169</v>
      </c>
      <c r="O256" s="288" t="s">
        <v>228</v>
      </c>
      <c r="P256" s="289">
        <v>1</v>
      </c>
    </row>
    <row r="257" spans="1:16" x14ac:dyDescent="0.25">
      <c r="A257" s="282" t="s">
        <v>168</v>
      </c>
      <c r="B257" s="293" t="s">
        <v>17</v>
      </c>
      <c r="C257" s="294" t="s">
        <v>17</v>
      </c>
      <c r="D257" s="292" t="s">
        <v>17</v>
      </c>
      <c r="E257" s="284" t="s">
        <v>17</v>
      </c>
      <c r="F257" s="285" t="s">
        <v>17</v>
      </c>
      <c r="G257" s="286" t="s">
        <v>69</v>
      </c>
      <c r="H257" s="286"/>
      <c r="I257" s="286"/>
      <c r="J257" s="286"/>
      <c r="K257" s="286"/>
      <c r="L257" s="286"/>
      <c r="M257" s="286"/>
      <c r="N257" s="287" t="s">
        <v>169</v>
      </c>
      <c r="O257" s="288" t="s">
        <v>228</v>
      </c>
      <c r="P257" s="289">
        <v>1</v>
      </c>
    </row>
    <row r="258" spans="1:16" x14ac:dyDescent="0.25">
      <c r="A258" s="282" t="s">
        <v>170</v>
      </c>
      <c r="B258" s="293" t="s">
        <v>396</v>
      </c>
      <c r="C258" s="294">
        <v>46123</v>
      </c>
      <c r="D258" s="292" t="s">
        <v>305</v>
      </c>
      <c r="E258" s="284">
        <v>45987</v>
      </c>
      <c r="F258" s="285" t="s">
        <v>207</v>
      </c>
      <c r="G258" s="286" t="s">
        <v>12</v>
      </c>
      <c r="H258" s="286"/>
      <c r="I258" s="286"/>
      <c r="J258" s="286"/>
      <c r="K258" s="286"/>
      <c r="L258" s="286"/>
      <c r="M258" s="286"/>
      <c r="N258" s="287" t="s">
        <v>171</v>
      </c>
      <c r="O258" s="288" t="s">
        <v>226</v>
      </c>
      <c r="P258" s="289">
        <v>1</v>
      </c>
    </row>
    <row r="259" spans="1:16" x14ac:dyDescent="0.25">
      <c r="A259" s="282" t="s">
        <v>170</v>
      </c>
      <c r="B259" s="293" t="s">
        <v>17</v>
      </c>
      <c r="C259" s="294" t="s">
        <v>17</v>
      </c>
      <c r="D259" s="292" t="s">
        <v>17</v>
      </c>
      <c r="E259" s="284" t="s">
        <v>17</v>
      </c>
      <c r="F259" s="285" t="s">
        <v>17</v>
      </c>
      <c r="G259" s="286" t="s">
        <v>12</v>
      </c>
      <c r="H259" s="286"/>
      <c r="I259" s="286"/>
      <c r="J259" s="286"/>
      <c r="K259" s="286"/>
      <c r="L259" s="286"/>
      <c r="M259" s="286"/>
      <c r="N259" s="287" t="s">
        <v>171</v>
      </c>
      <c r="O259" s="288" t="s">
        <v>226</v>
      </c>
      <c r="P259" s="289">
        <v>1</v>
      </c>
    </row>
    <row r="260" spans="1:16" x14ac:dyDescent="0.25">
      <c r="A260" s="282" t="s">
        <v>170</v>
      </c>
      <c r="B260" s="293" t="s">
        <v>17</v>
      </c>
      <c r="C260" s="294" t="s">
        <v>17</v>
      </c>
      <c r="D260" s="292" t="s">
        <v>17</v>
      </c>
      <c r="E260" s="284" t="s">
        <v>17</v>
      </c>
      <c r="F260" s="285" t="s">
        <v>17</v>
      </c>
      <c r="G260" s="286" t="s">
        <v>12</v>
      </c>
      <c r="H260" s="286"/>
      <c r="I260" s="286"/>
      <c r="J260" s="286"/>
      <c r="K260" s="286"/>
      <c r="L260" s="286"/>
      <c r="M260" s="286"/>
      <c r="N260" s="287" t="s">
        <v>171</v>
      </c>
      <c r="O260" s="288" t="s">
        <v>226</v>
      </c>
      <c r="P260" s="289">
        <v>1</v>
      </c>
    </row>
    <row r="261" spans="1:16" x14ac:dyDescent="0.25">
      <c r="A261" s="282" t="s">
        <v>170</v>
      </c>
      <c r="B261" s="293" t="s">
        <v>17</v>
      </c>
      <c r="C261" s="294" t="s">
        <v>17</v>
      </c>
      <c r="D261" s="292" t="s">
        <v>17</v>
      </c>
      <c r="E261" s="284" t="s">
        <v>17</v>
      </c>
      <c r="F261" s="285" t="s">
        <v>17</v>
      </c>
      <c r="G261" s="286" t="s">
        <v>12</v>
      </c>
      <c r="H261" s="286"/>
      <c r="I261" s="286"/>
      <c r="J261" s="286"/>
      <c r="K261" s="286"/>
      <c r="L261" s="286"/>
      <c r="M261" s="286"/>
      <c r="N261" s="287" t="s">
        <v>171</v>
      </c>
      <c r="O261" s="288" t="s">
        <v>226</v>
      </c>
      <c r="P261" s="289">
        <v>1</v>
      </c>
    </row>
    <row r="262" spans="1:16" x14ac:dyDescent="0.25">
      <c r="A262" s="282" t="s">
        <v>172</v>
      </c>
      <c r="B262" s="283" t="s">
        <v>346</v>
      </c>
      <c r="C262" s="284">
        <v>46049</v>
      </c>
      <c r="D262" s="282" t="s">
        <v>333</v>
      </c>
      <c r="E262" s="284">
        <v>45985</v>
      </c>
      <c r="F262" s="285" t="s">
        <v>23</v>
      </c>
      <c r="G262" s="286" t="s">
        <v>11</v>
      </c>
      <c r="H262" s="286" t="s">
        <v>178</v>
      </c>
      <c r="I262" s="286" t="s">
        <v>13</v>
      </c>
      <c r="J262" s="286"/>
      <c r="K262" s="286"/>
      <c r="L262" s="286"/>
      <c r="M262" s="286"/>
      <c r="N262" s="287" t="s">
        <v>173</v>
      </c>
      <c r="O262" s="288" t="s">
        <v>226</v>
      </c>
      <c r="P262" s="289">
        <v>1</v>
      </c>
    </row>
    <row r="263" spans="1:16" x14ac:dyDescent="0.25">
      <c r="A263" s="282" t="s">
        <v>172</v>
      </c>
      <c r="B263" s="283" t="s">
        <v>278</v>
      </c>
      <c r="C263" s="284">
        <v>46049</v>
      </c>
      <c r="D263" s="282" t="s">
        <v>333</v>
      </c>
      <c r="E263" s="284">
        <v>45985</v>
      </c>
      <c r="F263" s="285" t="s">
        <v>23</v>
      </c>
      <c r="G263" s="286" t="s">
        <v>11</v>
      </c>
      <c r="H263" s="286" t="s">
        <v>178</v>
      </c>
      <c r="I263" s="286" t="s">
        <v>13</v>
      </c>
      <c r="J263" s="286"/>
      <c r="K263" s="286"/>
      <c r="L263" s="286"/>
      <c r="M263" s="286"/>
      <c r="N263" s="287" t="s">
        <v>173</v>
      </c>
      <c r="O263" s="288" t="s">
        <v>226</v>
      </c>
      <c r="P263" s="289">
        <v>1</v>
      </c>
    </row>
    <row r="264" spans="1:16" x14ac:dyDescent="0.25">
      <c r="A264" s="282" t="s">
        <v>172</v>
      </c>
      <c r="B264" s="293" t="s">
        <v>17</v>
      </c>
      <c r="C264" s="294" t="s">
        <v>17</v>
      </c>
      <c r="D264" s="292" t="s">
        <v>17</v>
      </c>
      <c r="E264" s="284" t="s">
        <v>17</v>
      </c>
      <c r="F264" s="285" t="s">
        <v>17</v>
      </c>
      <c r="G264" s="286" t="s">
        <v>11</v>
      </c>
      <c r="H264" s="286" t="s">
        <v>178</v>
      </c>
      <c r="I264" s="286" t="s">
        <v>13</v>
      </c>
      <c r="J264" s="286"/>
      <c r="K264" s="286"/>
      <c r="L264" s="286"/>
      <c r="M264" s="286"/>
      <c r="N264" s="287" t="s">
        <v>173</v>
      </c>
      <c r="O264" s="288" t="s">
        <v>226</v>
      </c>
      <c r="P264" s="289">
        <v>1</v>
      </c>
    </row>
    <row r="265" spans="1:16" x14ac:dyDescent="0.25">
      <c r="A265" s="282" t="s">
        <v>172</v>
      </c>
      <c r="B265" s="293" t="s">
        <v>17</v>
      </c>
      <c r="C265" s="294" t="s">
        <v>17</v>
      </c>
      <c r="D265" s="292" t="s">
        <v>17</v>
      </c>
      <c r="E265" s="284" t="s">
        <v>17</v>
      </c>
      <c r="F265" s="285" t="s">
        <v>17</v>
      </c>
      <c r="G265" s="286" t="s">
        <v>11</v>
      </c>
      <c r="H265" s="286" t="s">
        <v>178</v>
      </c>
      <c r="I265" s="286" t="s">
        <v>13</v>
      </c>
      <c r="J265" s="286"/>
      <c r="K265" s="286"/>
      <c r="L265" s="286"/>
      <c r="M265" s="286"/>
      <c r="N265" s="287" t="s">
        <v>173</v>
      </c>
      <c r="O265" s="288" t="s">
        <v>226</v>
      </c>
      <c r="P265" s="289">
        <v>1</v>
      </c>
    </row>
    <row r="266" spans="1:16" x14ac:dyDescent="0.25">
      <c r="A266" s="282" t="s">
        <v>174</v>
      </c>
      <c r="B266" s="299" t="s">
        <v>371</v>
      </c>
      <c r="C266" s="284">
        <v>46142</v>
      </c>
      <c r="D266" s="300" t="s">
        <v>267</v>
      </c>
      <c r="E266" s="284">
        <v>45978</v>
      </c>
      <c r="F266" s="285" t="s">
        <v>23</v>
      </c>
      <c r="G266" s="286" t="s">
        <v>50</v>
      </c>
      <c r="H266" s="286"/>
      <c r="I266" s="286"/>
      <c r="J266" s="286"/>
      <c r="K266" s="286"/>
      <c r="L266" s="286"/>
      <c r="M266" s="286"/>
      <c r="N266" s="287" t="s">
        <v>175</v>
      </c>
      <c r="O266" s="288" t="s">
        <v>226</v>
      </c>
      <c r="P266" s="289">
        <v>1</v>
      </c>
    </row>
    <row r="267" spans="1:16" x14ac:dyDescent="0.25">
      <c r="A267" s="282" t="s">
        <v>174</v>
      </c>
      <c r="B267" s="299" t="s">
        <v>293</v>
      </c>
      <c r="C267" s="284">
        <v>46142</v>
      </c>
      <c r="D267" s="300" t="s">
        <v>321</v>
      </c>
      <c r="E267" s="284">
        <v>45944</v>
      </c>
      <c r="F267" s="285" t="s">
        <v>207</v>
      </c>
      <c r="G267" s="286" t="s">
        <v>50</v>
      </c>
      <c r="H267" s="286"/>
      <c r="I267" s="286"/>
      <c r="J267" s="286"/>
      <c r="K267" s="286"/>
      <c r="L267" s="286"/>
      <c r="M267" s="286"/>
      <c r="N267" s="287" t="s">
        <v>175</v>
      </c>
      <c r="O267" s="288" t="s">
        <v>226</v>
      </c>
      <c r="P267" s="289">
        <v>1</v>
      </c>
    </row>
    <row r="268" spans="1:16" x14ac:dyDescent="0.25">
      <c r="A268" s="282" t="s">
        <v>174</v>
      </c>
      <c r="B268" s="299" t="s">
        <v>17</v>
      </c>
      <c r="C268" s="284" t="s">
        <v>17</v>
      </c>
      <c r="D268" s="300" t="s">
        <v>17</v>
      </c>
      <c r="E268" s="284" t="s">
        <v>17</v>
      </c>
      <c r="F268" s="285" t="s">
        <v>17</v>
      </c>
      <c r="G268" s="286" t="s">
        <v>50</v>
      </c>
      <c r="H268" s="286"/>
      <c r="I268" s="286"/>
      <c r="J268" s="286"/>
      <c r="K268" s="286"/>
      <c r="L268" s="286"/>
      <c r="M268" s="286"/>
      <c r="N268" s="287" t="s">
        <v>175</v>
      </c>
      <c r="O268" s="288" t="s">
        <v>226</v>
      </c>
      <c r="P268" s="289">
        <v>1</v>
      </c>
    </row>
    <row r="269" spans="1:16" x14ac:dyDescent="0.25">
      <c r="A269" s="282" t="s">
        <v>174</v>
      </c>
      <c r="B269" s="299" t="s">
        <v>17</v>
      </c>
      <c r="C269" s="284" t="s">
        <v>17</v>
      </c>
      <c r="D269" s="300" t="s">
        <v>17</v>
      </c>
      <c r="E269" s="284" t="s">
        <v>17</v>
      </c>
      <c r="F269" s="285" t="s">
        <v>17</v>
      </c>
      <c r="G269" s="286" t="s">
        <v>50</v>
      </c>
      <c r="H269" s="286"/>
      <c r="I269" s="286"/>
      <c r="J269" s="286"/>
      <c r="K269" s="286"/>
      <c r="L269" s="286"/>
      <c r="M269" s="286"/>
      <c r="N269" s="301" t="s">
        <v>175</v>
      </c>
      <c r="O269" s="288" t="s">
        <v>226</v>
      </c>
      <c r="P269" s="289">
        <v>1</v>
      </c>
    </row>
    <row r="270" spans="1:16" x14ac:dyDescent="0.25">
      <c r="A270" s="282" t="s">
        <v>176</v>
      </c>
      <c r="B270" s="299" t="s">
        <v>298</v>
      </c>
      <c r="C270" s="284">
        <v>46142</v>
      </c>
      <c r="D270" s="300" t="s">
        <v>365</v>
      </c>
      <c r="E270" s="284">
        <v>45972</v>
      </c>
      <c r="F270" s="285" t="s">
        <v>10</v>
      </c>
      <c r="G270" s="286" t="s">
        <v>50</v>
      </c>
      <c r="H270" s="286"/>
      <c r="I270" s="286"/>
      <c r="J270" s="286"/>
      <c r="K270" s="286"/>
      <c r="L270" s="286"/>
      <c r="M270" s="286"/>
      <c r="N270" s="287" t="s">
        <v>177</v>
      </c>
      <c r="O270" s="288" t="s">
        <v>226</v>
      </c>
      <c r="P270" s="289">
        <v>1</v>
      </c>
    </row>
    <row r="271" spans="1:16" x14ac:dyDescent="0.25">
      <c r="A271" s="282" t="s">
        <v>176</v>
      </c>
      <c r="B271" s="299" t="s">
        <v>17</v>
      </c>
      <c r="C271" s="284" t="s">
        <v>17</v>
      </c>
      <c r="D271" s="300" t="s">
        <v>17</v>
      </c>
      <c r="E271" s="284" t="s">
        <v>17</v>
      </c>
      <c r="F271" s="285" t="s">
        <v>17</v>
      </c>
      <c r="G271" s="286" t="s">
        <v>50</v>
      </c>
      <c r="H271" s="286"/>
      <c r="I271" s="286"/>
      <c r="J271" s="286"/>
      <c r="K271" s="286"/>
      <c r="L271" s="286"/>
      <c r="M271" s="286"/>
      <c r="N271" s="287" t="s">
        <v>177</v>
      </c>
      <c r="O271" s="288" t="s">
        <v>226</v>
      </c>
      <c r="P271" s="289">
        <v>1</v>
      </c>
    </row>
    <row r="272" spans="1:16" x14ac:dyDescent="0.25">
      <c r="A272" s="282" t="s">
        <v>176</v>
      </c>
      <c r="B272" s="299" t="s">
        <v>17</v>
      </c>
      <c r="C272" s="284" t="s">
        <v>17</v>
      </c>
      <c r="D272" s="300" t="s">
        <v>17</v>
      </c>
      <c r="E272" s="284" t="s">
        <v>17</v>
      </c>
      <c r="F272" s="285" t="s">
        <v>17</v>
      </c>
      <c r="G272" s="286" t="s">
        <v>50</v>
      </c>
      <c r="H272" s="286"/>
      <c r="I272" s="286"/>
      <c r="J272" s="286"/>
      <c r="K272" s="286"/>
      <c r="L272" s="286"/>
      <c r="M272" s="286"/>
      <c r="N272" s="301" t="s">
        <v>177</v>
      </c>
      <c r="O272" s="288" t="s">
        <v>226</v>
      </c>
      <c r="P272" s="289">
        <v>1</v>
      </c>
    </row>
    <row r="273" spans="1:16" x14ac:dyDescent="0.25">
      <c r="A273" s="282" t="s">
        <v>176</v>
      </c>
      <c r="B273" s="299" t="s">
        <v>17</v>
      </c>
      <c r="C273" s="284" t="s">
        <v>17</v>
      </c>
      <c r="D273" s="300" t="s">
        <v>17</v>
      </c>
      <c r="E273" s="284" t="s">
        <v>17</v>
      </c>
      <c r="F273" s="285" t="s">
        <v>17</v>
      </c>
      <c r="G273" s="286" t="s">
        <v>50</v>
      </c>
      <c r="H273" s="286"/>
      <c r="I273" s="286"/>
      <c r="J273" s="286"/>
      <c r="K273" s="286"/>
      <c r="L273" s="286"/>
      <c r="M273" s="286"/>
      <c r="N273" s="301" t="s">
        <v>177</v>
      </c>
      <c r="O273" s="288" t="s">
        <v>226</v>
      </c>
      <c r="P273" s="289">
        <v>1</v>
      </c>
    </row>
    <row r="274" spans="1:16" s="32" customFormat="1" ht="14.25" x14ac:dyDescent="0.2">
      <c r="A274" s="300" t="s">
        <v>181</v>
      </c>
      <c r="B274" s="299" t="s">
        <v>347</v>
      </c>
      <c r="C274" s="284">
        <v>46091</v>
      </c>
      <c r="D274" s="300" t="s">
        <v>267</v>
      </c>
      <c r="E274" s="284">
        <v>45957</v>
      </c>
      <c r="F274" s="302" t="s">
        <v>23</v>
      </c>
      <c r="G274" s="303" t="s">
        <v>179</v>
      </c>
      <c r="H274" s="303"/>
      <c r="I274" s="303"/>
      <c r="J274" s="303"/>
      <c r="K274" s="303"/>
      <c r="L274" s="303"/>
      <c r="M274" s="303"/>
      <c r="N274" s="301" t="s">
        <v>182</v>
      </c>
      <c r="O274" s="304" t="s">
        <v>226</v>
      </c>
      <c r="P274" s="288">
        <v>1</v>
      </c>
    </row>
    <row r="275" spans="1:16" s="32" customFormat="1" ht="14.25" x14ac:dyDescent="0.2">
      <c r="A275" s="300" t="s">
        <v>181</v>
      </c>
      <c r="B275" s="299" t="s">
        <v>17</v>
      </c>
      <c r="C275" s="284" t="s">
        <v>17</v>
      </c>
      <c r="D275" s="300" t="s">
        <v>17</v>
      </c>
      <c r="E275" s="284" t="s">
        <v>17</v>
      </c>
      <c r="F275" s="302" t="s">
        <v>17</v>
      </c>
      <c r="G275" s="303" t="s">
        <v>179</v>
      </c>
      <c r="H275" s="303"/>
      <c r="I275" s="303"/>
      <c r="J275" s="303"/>
      <c r="K275" s="303"/>
      <c r="L275" s="303"/>
      <c r="M275" s="303"/>
      <c r="N275" s="301" t="s">
        <v>182</v>
      </c>
      <c r="O275" s="304" t="s">
        <v>226</v>
      </c>
      <c r="P275" s="288">
        <v>1</v>
      </c>
    </row>
    <row r="276" spans="1:16" s="32" customFormat="1" ht="14.25" x14ac:dyDescent="0.2">
      <c r="A276" s="300" t="s">
        <v>181</v>
      </c>
      <c r="B276" s="299" t="s">
        <v>17</v>
      </c>
      <c r="C276" s="284" t="s">
        <v>17</v>
      </c>
      <c r="D276" s="300" t="s">
        <v>17</v>
      </c>
      <c r="E276" s="284" t="s">
        <v>17</v>
      </c>
      <c r="F276" s="302" t="s">
        <v>17</v>
      </c>
      <c r="G276" s="303" t="s">
        <v>179</v>
      </c>
      <c r="H276" s="303"/>
      <c r="I276" s="303"/>
      <c r="J276" s="303"/>
      <c r="K276" s="303"/>
      <c r="L276" s="303"/>
      <c r="M276" s="303"/>
      <c r="N276" s="301" t="s">
        <v>182</v>
      </c>
      <c r="O276" s="304" t="s">
        <v>226</v>
      </c>
      <c r="P276" s="288">
        <v>1</v>
      </c>
    </row>
    <row r="277" spans="1:16" s="32" customFormat="1" ht="14.25" x14ac:dyDescent="0.2">
      <c r="A277" s="300" t="s">
        <v>181</v>
      </c>
      <c r="B277" s="299" t="s">
        <v>17</v>
      </c>
      <c r="C277" s="284" t="s">
        <v>17</v>
      </c>
      <c r="D277" s="300" t="s">
        <v>17</v>
      </c>
      <c r="E277" s="284" t="s">
        <v>17</v>
      </c>
      <c r="F277" s="302" t="s">
        <v>17</v>
      </c>
      <c r="G277" s="303" t="s">
        <v>179</v>
      </c>
      <c r="H277" s="303"/>
      <c r="I277" s="303"/>
      <c r="J277" s="303"/>
      <c r="K277" s="303"/>
      <c r="L277" s="303"/>
      <c r="M277" s="303"/>
      <c r="N277" s="301" t="s">
        <v>182</v>
      </c>
      <c r="O277" s="304" t="s">
        <v>226</v>
      </c>
      <c r="P277" s="288">
        <v>1</v>
      </c>
    </row>
    <row r="278" spans="1:16" s="32" customFormat="1" ht="14.25" x14ac:dyDescent="0.2">
      <c r="A278" s="300" t="s">
        <v>183</v>
      </c>
      <c r="B278" s="299" t="s">
        <v>348</v>
      </c>
      <c r="C278" s="284">
        <v>46103</v>
      </c>
      <c r="D278" s="300" t="s">
        <v>349</v>
      </c>
      <c r="E278" s="284">
        <v>45939</v>
      </c>
      <c r="F278" s="302" t="s">
        <v>10</v>
      </c>
      <c r="G278" s="303" t="s">
        <v>179</v>
      </c>
      <c r="H278" s="303"/>
      <c r="I278" s="303"/>
      <c r="J278" s="303"/>
      <c r="K278" s="303"/>
      <c r="L278" s="303"/>
      <c r="M278" s="303"/>
      <c r="N278" s="301" t="s">
        <v>184</v>
      </c>
      <c r="O278" s="304" t="s">
        <v>226</v>
      </c>
      <c r="P278" s="288">
        <v>1</v>
      </c>
    </row>
    <row r="279" spans="1:16" s="32" customFormat="1" ht="14.25" x14ac:dyDescent="0.2">
      <c r="A279" s="300" t="s">
        <v>183</v>
      </c>
      <c r="B279" s="299" t="s">
        <v>17</v>
      </c>
      <c r="C279" s="284" t="s">
        <v>17</v>
      </c>
      <c r="D279" s="300" t="s">
        <v>17</v>
      </c>
      <c r="E279" s="284" t="s">
        <v>17</v>
      </c>
      <c r="F279" s="302" t="s">
        <v>17</v>
      </c>
      <c r="G279" s="303" t="s">
        <v>179</v>
      </c>
      <c r="H279" s="303"/>
      <c r="I279" s="303"/>
      <c r="J279" s="303"/>
      <c r="K279" s="303"/>
      <c r="L279" s="303"/>
      <c r="M279" s="303"/>
      <c r="N279" s="301" t="s">
        <v>184</v>
      </c>
      <c r="O279" s="304" t="s">
        <v>226</v>
      </c>
      <c r="P279" s="288">
        <v>1</v>
      </c>
    </row>
    <row r="280" spans="1:16" s="32" customFormat="1" ht="14.25" x14ac:dyDescent="0.2">
      <c r="A280" s="300" t="s">
        <v>183</v>
      </c>
      <c r="B280" s="299" t="s">
        <v>17</v>
      </c>
      <c r="C280" s="284" t="s">
        <v>17</v>
      </c>
      <c r="D280" s="300" t="s">
        <v>17</v>
      </c>
      <c r="E280" s="284" t="s">
        <v>17</v>
      </c>
      <c r="F280" s="302" t="s">
        <v>17</v>
      </c>
      <c r="G280" s="303" t="s">
        <v>179</v>
      </c>
      <c r="H280" s="303"/>
      <c r="I280" s="303"/>
      <c r="J280" s="303"/>
      <c r="K280" s="303"/>
      <c r="L280" s="303"/>
      <c r="M280" s="303"/>
      <c r="N280" s="301" t="s">
        <v>184</v>
      </c>
      <c r="O280" s="304" t="s">
        <v>226</v>
      </c>
      <c r="P280" s="288">
        <v>1</v>
      </c>
    </row>
    <row r="281" spans="1:16" s="32" customFormat="1" ht="14.25" x14ac:dyDescent="0.2">
      <c r="A281" s="300" t="s">
        <v>183</v>
      </c>
      <c r="B281" s="299" t="s">
        <v>17</v>
      </c>
      <c r="C281" s="284" t="s">
        <v>17</v>
      </c>
      <c r="D281" s="300" t="s">
        <v>17</v>
      </c>
      <c r="E281" s="284" t="s">
        <v>17</v>
      </c>
      <c r="F281" s="302" t="s">
        <v>17</v>
      </c>
      <c r="G281" s="303" t="s">
        <v>179</v>
      </c>
      <c r="H281" s="303"/>
      <c r="I281" s="303"/>
      <c r="J281" s="303"/>
      <c r="K281" s="303"/>
      <c r="L281" s="303"/>
      <c r="M281" s="303"/>
      <c r="N281" s="301" t="s">
        <v>184</v>
      </c>
      <c r="O281" s="304" t="s">
        <v>226</v>
      </c>
      <c r="P281" s="288">
        <v>1</v>
      </c>
    </row>
    <row r="282" spans="1:16" s="32" customFormat="1" ht="14.25" x14ac:dyDescent="0.2">
      <c r="A282" s="300" t="s">
        <v>185</v>
      </c>
      <c r="B282" s="299" t="s">
        <v>350</v>
      </c>
      <c r="C282" s="284">
        <v>46070</v>
      </c>
      <c r="D282" s="300" t="s">
        <v>349</v>
      </c>
      <c r="E282" s="284">
        <v>45939</v>
      </c>
      <c r="F282" s="302" t="s">
        <v>10</v>
      </c>
      <c r="G282" s="303" t="s">
        <v>179</v>
      </c>
      <c r="H282" s="303"/>
      <c r="I282" s="303"/>
      <c r="J282" s="303"/>
      <c r="K282" s="303"/>
      <c r="L282" s="303"/>
      <c r="M282" s="303"/>
      <c r="N282" s="301" t="s">
        <v>186</v>
      </c>
      <c r="O282" s="304" t="s">
        <v>226</v>
      </c>
      <c r="P282" s="288">
        <v>1</v>
      </c>
    </row>
    <row r="283" spans="1:16" s="32" customFormat="1" ht="14.25" x14ac:dyDescent="0.2">
      <c r="A283" s="300" t="s">
        <v>185</v>
      </c>
      <c r="B283" s="299" t="s">
        <v>17</v>
      </c>
      <c r="C283" s="284" t="s">
        <v>17</v>
      </c>
      <c r="D283" s="300" t="s">
        <v>17</v>
      </c>
      <c r="E283" s="284" t="s">
        <v>17</v>
      </c>
      <c r="F283" s="302" t="s">
        <v>17</v>
      </c>
      <c r="G283" s="303" t="s">
        <v>179</v>
      </c>
      <c r="H283" s="303"/>
      <c r="I283" s="303"/>
      <c r="J283" s="303"/>
      <c r="K283" s="303"/>
      <c r="L283" s="303"/>
      <c r="M283" s="303"/>
      <c r="N283" s="301" t="s">
        <v>186</v>
      </c>
      <c r="O283" s="304" t="s">
        <v>226</v>
      </c>
      <c r="P283" s="288">
        <v>1</v>
      </c>
    </row>
    <row r="284" spans="1:16" s="32" customFormat="1" ht="14.25" x14ac:dyDescent="0.2">
      <c r="A284" s="300" t="s">
        <v>185</v>
      </c>
      <c r="B284" s="299" t="s">
        <v>17</v>
      </c>
      <c r="C284" s="284" t="s">
        <v>17</v>
      </c>
      <c r="D284" s="300" t="s">
        <v>17</v>
      </c>
      <c r="E284" s="284" t="s">
        <v>17</v>
      </c>
      <c r="F284" s="302" t="s">
        <v>17</v>
      </c>
      <c r="G284" s="303" t="s">
        <v>179</v>
      </c>
      <c r="H284" s="303"/>
      <c r="I284" s="303"/>
      <c r="J284" s="303"/>
      <c r="K284" s="303"/>
      <c r="L284" s="303"/>
      <c r="M284" s="303"/>
      <c r="N284" s="301" t="s">
        <v>186</v>
      </c>
      <c r="O284" s="304" t="s">
        <v>226</v>
      </c>
      <c r="P284" s="288">
        <v>1</v>
      </c>
    </row>
    <row r="285" spans="1:16" s="32" customFormat="1" ht="14.25" x14ac:dyDescent="0.2">
      <c r="A285" s="300" t="s">
        <v>185</v>
      </c>
      <c r="B285" s="299" t="s">
        <v>17</v>
      </c>
      <c r="C285" s="284" t="s">
        <v>17</v>
      </c>
      <c r="D285" s="300" t="s">
        <v>17</v>
      </c>
      <c r="E285" s="284" t="s">
        <v>17</v>
      </c>
      <c r="F285" s="302" t="s">
        <v>17</v>
      </c>
      <c r="G285" s="303" t="s">
        <v>179</v>
      </c>
      <c r="H285" s="303"/>
      <c r="I285" s="303"/>
      <c r="J285" s="303"/>
      <c r="K285" s="303"/>
      <c r="L285" s="303"/>
      <c r="M285" s="303"/>
      <c r="N285" s="301" t="s">
        <v>186</v>
      </c>
      <c r="O285" s="304" t="s">
        <v>226</v>
      </c>
      <c r="P285" s="288">
        <v>1</v>
      </c>
    </row>
    <row r="286" spans="1:16" s="32" customFormat="1" ht="14.25" x14ac:dyDescent="0.2">
      <c r="A286" s="300" t="s">
        <v>187</v>
      </c>
      <c r="B286" s="299" t="s">
        <v>351</v>
      </c>
      <c r="C286" s="284">
        <v>46091</v>
      </c>
      <c r="D286" s="300" t="s">
        <v>349</v>
      </c>
      <c r="E286" s="284">
        <v>45939</v>
      </c>
      <c r="F286" s="302" t="s">
        <v>10</v>
      </c>
      <c r="G286" s="303" t="s">
        <v>179</v>
      </c>
      <c r="H286" s="303"/>
      <c r="I286" s="303"/>
      <c r="J286" s="303"/>
      <c r="K286" s="303"/>
      <c r="L286" s="303"/>
      <c r="M286" s="303"/>
      <c r="N286" s="301" t="s">
        <v>188</v>
      </c>
      <c r="O286" s="304" t="s">
        <v>226</v>
      </c>
      <c r="P286" s="288">
        <v>1</v>
      </c>
    </row>
    <row r="287" spans="1:16" s="32" customFormat="1" ht="14.25" x14ac:dyDescent="0.2">
      <c r="A287" s="300" t="s">
        <v>187</v>
      </c>
      <c r="B287" s="299" t="s">
        <v>17</v>
      </c>
      <c r="C287" s="284" t="s">
        <v>17</v>
      </c>
      <c r="D287" s="300" t="s">
        <v>17</v>
      </c>
      <c r="E287" s="284" t="s">
        <v>17</v>
      </c>
      <c r="F287" s="302" t="s">
        <v>17</v>
      </c>
      <c r="G287" s="303" t="s">
        <v>179</v>
      </c>
      <c r="H287" s="303"/>
      <c r="I287" s="303"/>
      <c r="J287" s="303"/>
      <c r="K287" s="303"/>
      <c r="L287" s="303"/>
      <c r="M287" s="303"/>
      <c r="N287" s="301" t="s">
        <v>188</v>
      </c>
      <c r="O287" s="304" t="s">
        <v>226</v>
      </c>
      <c r="P287" s="288">
        <v>1</v>
      </c>
    </row>
    <row r="288" spans="1:16" s="32" customFormat="1" ht="14.25" x14ac:dyDescent="0.2">
      <c r="A288" s="300" t="s">
        <v>187</v>
      </c>
      <c r="B288" s="299" t="s">
        <v>17</v>
      </c>
      <c r="C288" s="284" t="s">
        <v>17</v>
      </c>
      <c r="D288" s="300" t="s">
        <v>17</v>
      </c>
      <c r="E288" s="284" t="s">
        <v>17</v>
      </c>
      <c r="F288" s="302" t="s">
        <v>17</v>
      </c>
      <c r="G288" s="303" t="s">
        <v>179</v>
      </c>
      <c r="H288" s="303"/>
      <c r="I288" s="303"/>
      <c r="J288" s="303"/>
      <c r="K288" s="303"/>
      <c r="L288" s="303"/>
      <c r="M288" s="303"/>
      <c r="N288" s="301" t="s">
        <v>188</v>
      </c>
      <c r="O288" s="304" t="s">
        <v>226</v>
      </c>
      <c r="P288" s="288">
        <v>1</v>
      </c>
    </row>
    <row r="289" spans="1:16" s="32" customFormat="1" ht="14.25" x14ac:dyDescent="0.2">
      <c r="A289" s="300" t="s">
        <v>187</v>
      </c>
      <c r="B289" s="299" t="s">
        <v>17</v>
      </c>
      <c r="C289" s="284" t="s">
        <v>17</v>
      </c>
      <c r="D289" s="300" t="s">
        <v>17</v>
      </c>
      <c r="E289" s="284" t="s">
        <v>17</v>
      </c>
      <c r="F289" s="302" t="s">
        <v>17</v>
      </c>
      <c r="G289" s="303" t="s">
        <v>179</v>
      </c>
      <c r="H289" s="303"/>
      <c r="I289" s="303"/>
      <c r="J289" s="303"/>
      <c r="K289" s="303"/>
      <c r="L289" s="303"/>
      <c r="M289" s="303"/>
      <c r="N289" s="301" t="s">
        <v>188</v>
      </c>
      <c r="O289" s="304" t="s">
        <v>226</v>
      </c>
      <c r="P289" s="288">
        <v>1</v>
      </c>
    </row>
    <row r="290" spans="1:16" x14ac:dyDescent="0.25">
      <c r="A290" s="300" t="s">
        <v>299</v>
      </c>
      <c r="B290" s="299" t="s">
        <v>300</v>
      </c>
      <c r="C290" s="284">
        <v>46356</v>
      </c>
      <c r="D290" s="300" t="s">
        <v>397</v>
      </c>
      <c r="E290" s="284">
        <v>45985</v>
      </c>
      <c r="F290" s="302" t="s">
        <v>23</v>
      </c>
      <c r="G290" s="286" t="s">
        <v>25</v>
      </c>
      <c r="H290" s="286"/>
      <c r="I290" s="286"/>
      <c r="J290" s="286"/>
      <c r="K290" s="286"/>
      <c r="L290" s="286"/>
      <c r="M290" s="286"/>
      <c r="N290" s="287" t="s">
        <v>304</v>
      </c>
      <c r="O290" s="304" t="s">
        <v>226</v>
      </c>
      <c r="P290" s="288">
        <v>1</v>
      </c>
    </row>
    <row r="291" spans="1:16" x14ac:dyDescent="0.25">
      <c r="A291" s="300" t="s">
        <v>299</v>
      </c>
      <c r="B291" s="299" t="s">
        <v>17</v>
      </c>
      <c r="C291" s="284" t="s">
        <v>17</v>
      </c>
      <c r="D291" s="300" t="s">
        <v>17</v>
      </c>
      <c r="E291" s="284" t="s">
        <v>17</v>
      </c>
      <c r="F291" s="302" t="s">
        <v>17</v>
      </c>
      <c r="G291" s="286" t="s">
        <v>25</v>
      </c>
      <c r="H291" s="286"/>
      <c r="I291" s="286"/>
      <c r="J291" s="286"/>
      <c r="K291" s="286"/>
      <c r="L291" s="286"/>
      <c r="M291" s="286"/>
      <c r="N291" s="287" t="s">
        <v>304</v>
      </c>
      <c r="O291" s="304" t="s">
        <v>226</v>
      </c>
      <c r="P291" s="288">
        <v>1</v>
      </c>
    </row>
    <row r="292" spans="1:16" x14ac:dyDescent="0.25">
      <c r="A292" s="300" t="s">
        <v>299</v>
      </c>
      <c r="B292" s="299" t="s">
        <v>17</v>
      </c>
      <c r="C292" s="284" t="s">
        <v>17</v>
      </c>
      <c r="D292" s="300" t="s">
        <v>17</v>
      </c>
      <c r="E292" s="284" t="s">
        <v>17</v>
      </c>
      <c r="F292" s="302" t="s">
        <v>17</v>
      </c>
      <c r="G292" s="286" t="s">
        <v>25</v>
      </c>
      <c r="H292" s="286"/>
      <c r="I292" s="286"/>
      <c r="J292" s="286"/>
      <c r="K292" s="286"/>
      <c r="L292" s="286"/>
      <c r="M292" s="286"/>
      <c r="N292" s="287" t="s">
        <v>304</v>
      </c>
      <c r="O292" s="304" t="s">
        <v>226</v>
      </c>
      <c r="P292" s="288">
        <v>1</v>
      </c>
    </row>
    <row r="293" spans="1:16" x14ac:dyDescent="0.25">
      <c r="A293" s="300" t="s">
        <v>299</v>
      </c>
      <c r="B293" s="299" t="s">
        <v>17</v>
      </c>
      <c r="C293" s="284" t="s">
        <v>17</v>
      </c>
      <c r="D293" s="300" t="s">
        <v>17</v>
      </c>
      <c r="E293" s="284" t="s">
        <v>17</v>
      </c>
      <c r="F293" s="302" t="s">
        <v>17</v>
      </c>
      <c r="G293" s="286" t="s">
        <v>25</v>
      </c>
      <c r="H293" s="286"/>
      <c r="I293" s="286"/>
      <c r="J293" s="286"/>
      <c r="K293" s="286"/>
      <c r="L293" s="286"/>
      <c r="M293" s="286"/>
      <c r="N293" s="287" t="s">
        <v>304</v>
      </c>
      <c r="O293" s="304" t="s">
        <v>226</v>
      </c>
      <c r="P293" s="288">
        <v>1</v>
      </c>
    </row>
    <row r="294" spans="1:16" x14ac:dyDescent="0.25">
      <c r="A294" s="300" t="s">
        <v>329</v>
      </c>
      <c r="B294" s="299" t="s">
        <v>330</v>
      </c>
      <c r="C294" s="284">
        <v>46073</v>
      </c>
      <c r="D294" s="300" t="s">
        <v>333</v>
      </c>
      <c r="E294" s="284">
        <v>45986</v>
      </c>
      <c r="F294" s="302" t="s">
        <v>23</v>
      </c>
      <c r="G294" s="286" t="s">
        <v>115</v>
      </c>
      <c r="H294" s="286" t="s">
        <v>116</v>
      </c>
      <c r="I294" s="286" t="s">
        <v>68</v>
      </c>
      <c r="J294" s="286"/>
      <c r="K294" s="286"/>
      <c r="L294" s="286"/>
      <c r="M294" s="286"/>
      <c r="N294" s="291" t="s">
        <v>243</v>
      </c>
      <c r="O294" s="288" t="s">
        <v>229</v>
      </c>
      <c r="P294" s="289">
        <v>0</v>
      </c>
    </row>
    <row r="295" spans="1:16" x14ac:dyDescent="0.25">
      <c r="A295" s="300" t="s">
        <v>329</v>
      </c>
      <c r="B295" s="299" t="s">
        <v>361</v>
      </c>
      <c r="C295" s="284">
        <v>46070</v>
      </c>
      <c r="D295" s="300">
        <v>0.5</v>
      </c>
      <c r="E295" s="284">
        <v>45986</v>
      </c>
      <c r="F295" s="302" t="s">
        <v>23</v>
      </c>
      <c r="G295" s="286" t="s">
        <v>115</v>
      </c>
      <c r="H295" s="286" t="s">
        <v>116</v>
      </c>
      <c r="I295" s="286" t="s">
        <v>68</v>
      </c>
      <c r="J295" s="286"/>
      <c r="K295" s="286"/>
      <c r="L295" s="286"/>
      <c r="M295" s="286"/>
      <c r="N295" s="291" t="s">
        <v>243</v>
      </c>
      <c r="O295" s="288" t="s">
        <v>229</v>
      </c>
      <c r="P295" s="289">
        <v>0</v>
      </c>
    </row>
    <row r="296" spans="1:16" x14ac:dyDescent="0.25">
      <c r="A296" s="300" t="s">
        <v>329</v>
      </c>
      <c r="B296" s="299" t="s">
        <v>17</v>
      </c>
      <c r="C296" s="284" t="s">
        <v>17</v>
      </c>
      <c r="D296" s="300" t="s">
        <v>17</v>
      </c>
      <c r="E296" s="284" t="s">
        <v>17</v>
      </c>
      <c r="F296" s="302" t="s">
        <v>17</v>
      </c>
      <c r="G296" s="286" t="s">
        <v>115</v>
      </c>
      <c r="H296" s="286" t="s">
        <v>116</v>
      </c>
      <c r="I296" s="286" t="s">
        <v>68</v>
      </c>
      <c r="J296" s="286"/>
      <c r="K296" s="286"/>
      <c r="L296" s="286"/>
      <c r="M296" s="286"/>
      <c r="N296" s="291" t="s">
        <v>243</v>
      </c>
      <c r="O296" s="288" t="s">
        <v>229</v>
      </c>
      <c r="P296" s="289">
        <v>0</v>
      </c>
    </row>
    <row r="297" spans="1:16" x14ac:dyDescent="0.25">
      <c r="A297" s="300" t="s">
        <v>329</v>
      </c>
      <c r="B297" s="299" t="s">
        <v>17</v>
      </c>
      <c r="C297" s="284" t="s">
        <v>17</v>
      </c>
      <c r="D297" s="300" t="s">
        <v>17</v>
      </c>
      <c r="E297" s="284" t="s">
        <v>17</v>
      </c>
      <c r="F297" s="302" t="s">
        <v>17</v>
      </c>
      <c r="G297" s="286" t="s">
        <v>115</v>
      </c>
      <c r="H297" s="286" t="s">
        <v>116</v>
      </c>
      <c r="I297" s="286" t="s">
        <v>68</v>
      </c>
      <c r="J297" s="286"/>
      <c r="K297" s="286"/>
      <c r="L297" s="286"/>
      <c r="M297" s="286"/>
      <c r="N297" s="291" t="s">
        <v>243</v>
      </c>
      <c r="O297" s="288" t="s">
        <v>229</v>
      </c>
      <c r="P297" s="289">
        <v>0</v>
      </c>
    </row>
    <row r="298" spans="1:16" x14ac:dyDescent="0.25">
      <c r="A298" s="305"/>
      <c r="B298" s="306"/>
      <c r="C298" s="307"/>
      <c r="D298" s="305"/>
      <c r="E298" s="307"/>
      <c r="F298" s="308"/>
      <c r="G298" s="309"/>
      <c r="H298" s="309"/>
      <c r="I298" s="309"/>
      <c r="J298" s="309"/>
      <c r="K298" s="309"/>
      <c r="L298" s="309"/>
      <c r="M298" s="309"/>
      <c r="N298" s="310"/>
      <c r="O298" s="304"/>
      <c r="P298" s="288"/>
    </row>
    <row r="299" spans="1:16" x14ac:dyDescent="0.25">
      <c r="A299" s="305"/>
      <c r="B299" s="306"/>
      <c r="C299" s="307"/>
      <c r="D299" s="305"/>
      <c r="E299" s="307"/>
      <c r="F299" s="308"/>
      <c r="G299" s="309"/>
      <c r="H299" s="309"/>
      <c r="I299" s="309"/>
      <c r="J299" s="309"/>
      <c r="K299" s="309"/>
      <c r="L299" s="309"/>
      <c r="M299" s="309"/>
      <c r="N299" s="310"/>
      <c r="O299" s="304"/>
      <c r="P299" s="288"/>
    </row>
    <row r="300" spans="1:16" x14ac:dyDescent="0.25">
      <c r="A300" s="305"/>
      <c r="B300" s="306"/>
      <c r="C300" s="307"/>
      <c r="D300" s="305"/>
      <c r="E300" s="307"/>
      <c r="F300" s="308"/>
      <c r="G300" s="309"/>
      <c r="H300" s="309"/>
      <c r="I300" s="309"/>
      <c r="J300" s="309"/>
      <c r="K300" s="309"/>
      <c r="L300" s="309"/>
      <c r="M300" s="309"/>
      <c r="N300" s="310"/>
      <c r="O300" s="304"/>
      <c r="P300" s="288"/>
    </row>
    <row r="301" spans="1:16" x14ac:dyDescent="0.25">
      <c r="A301" s="305"/>
      <c r="B301" s="306"/>
      <c r="C301" s="307"/>
      <c r="D301" s="305"/>
      <c r="E301" s="307"/>
      <c r="F301" s="308"/>
      <c r="G301" s="309"/>
      <c r="H301" s="309"/>
      <c r="I301" s="309"/>
      <c r="J301" s="309"/>
      <c r="K301" s="309"/>
      <c r="L301" s="309"/>
      <c r="M301" s="309"/>
      <c r="N301" s="310"/>
      <c r="O301" s="304"/>
      <c r="P301" s="288"/>
    </row>
    <row r="302" spans="1:16" x14ac:dyDescent="0.25">
      <c r="A302" s="305"/>
      <c r="B302" s="306"/>
      <c r="C302" s="307"/>
      <c r="D302" s="305"/>
      <c r="E302" s="307"/>
      <c r="F302" s="308"/>
      <c r="G302" s="309"/>
      <c r="H302" s="309"/>
      <c r="I302" s="309"/>
      <c r="J302" s="309"/>
      <c r="K302" s="309"/>
      <c r="L302" s="309"/>
      <c r="M302" s="309"/>
      <c r="N302" s="310"/>
      <c r="O302" s="304"/>
      <c r="P302" s="288"/>
    </row>
    <row r="303" spans="1:16" x14ac:dyDescent="0.25">
      <c r="A303" s="305"/>
      <c r="B303" s="306"/>
      <c r="C303" s="307"/>
      <c r="D303" s="305"/>
      <c r="E303" s="307"/>
      <c r="F303" s="308"/>
      <c r="G303" s="309"/>
      <c r="H303" s="309"/>
      <c r="I303" s="309"/>
      <c r="J303" s="309"/>
      <c r="K303" s="309"/>
      <c r="L303" s="309"/>
      <c r="M303" s="309"/>
      <c r="N303" s="310"/>
      <c r="O303" s="304"/>
      <c r="P303" s="288"/>
    </row>
    <row r="304" spans="1:16" x14ac:dyDescent="0.25">
      <c r="A304" s="305"/>
      <c r="B304" s="306"/>
      <c r="C304" s="307"/>
      <c r="D304" s="305"/>
      <c r="E304" s="307"/>
      <c r="F304" s="308"/>
      <c r="G304" s="309"/>
      <c r="H304" s="309"/>
      <c r="I304" s="309"/>
      <c r="J304" s="309"/>
      <c r="K304" s="309"/>
      <c r="L304" s="309"/>
      <c r="M304" s="309"/>
      <c r="N304" s="310"/>
      <c r="O304" s="304"/>
      <c r="P304" s="288"/>
    </row>
    <row r="305" spans="1:16" x14ac:dyDescent="0.25">
      <c r="A305" s="305"/>
      <c r="B305" s="306"/>
      <c r="C305" s="307"/>
      <c r="D305" s="305"/>
      <c r="E305" s="307"/>
      <c r="F305" s="308"/>
      <c r="G305" s="309"/>
      <c r="H305" s="309"/>
      <c r="I305" s="309"/>
      <c r="J305" s="309"/>
      <c r="K305" s="309"/>
      <c r="L305" s="309"/>
      <c r="M305" s="309"/>
      <c r="N305" s="310"/>
      <c r="O305" s="304"/>
      <c r="P305" s="288"/>
    </row>
    <row r="306" spans="1:16" x14ac:dyDescent="0.25">
      <c r="A306" s="305"/>
      <c r="B306" s="306"/>
      <c r="C306" s="307"/>
      <c r="D306" s="305"/>
      <c r="E306" s="307"/>
      <c r="F306" s="308"/>
      <c r="G306" s="309"/>
      <c r="H306" s="309"/>
      <c r="I306" s="309"/>
      <c r="J306" s="309"/>
      <c r="K306" s="309"/>
      <c r="L306" s="309"/>
      <c r="M306" s="309"/>
      <c r="N306" s="310"/>
      <c r="O306" s="304"/>
      <c r="P306" s="288"/>
    </row>
    <row r="307" spans="1:16" x14ac:dyDescent="0.25">
      <c r="A307" s="305"/>
      <c r="B307" s="306"/>
      <c r="C307" s="307"/>
      <c r="D307" s="305"/>
      <c r="E307" s="307"/>
      <c r="F307" s="308"/>
      <c r="G307" s="309"/>
      <c r="H307" s="309"/>
      <c r="I307" s="309"/>
      <c r="J307" s="309"/>
      <c r="K307" s="309"/>
      <c r="L307" s="309"/>
      <c r="M307" s="309"/>
      <c r="N307" s="310"/>
      <c r="O307" s="304"/>
      <c r="P307" s="288"/>
    </row>
    <row r="308" spans="1:16" x14ac:dyDescent="0.25">
      <c r="A308" s="305"/>
      <c r="B308" s="306"/>
      <c r="C308" s="307"/>
      <c r="D308" s="305"/>
      <c r="E308" s="307"/>
      <c r="F308" s="308"/>
      <c r="G308" s="309"/>
      <c r="H308" s="309"/>
      <c r="I308" s="309"/>
      <c r="J308" s="309"/>
      <c r="K308" s="309"/>
      <c r="L308" s="309"/>
      <c r="M308" s="309"/>
      <c r="N308" s="310"/>
      <c r="O308" s="304"/>
      <c r="P308" s="288"/>
    </row>
    <row r="309" spans="1:16" x14ac:dyDescent="0.25">
      <c r="A309" s="305"/>
      <c r="B309" s="306"/>
      <c r="C309" s="307"/>
      <c r="D309" s="305"/>
      <c r="E309" s="307"/>
      <c r="F309" s="308"/>
      <c r="G309" s="309"/>
      <c r="H309" s="309"/>
      <c r="I309" s="309"/>
      <c r="J309" s="309"/>
      <c r="K309" s="309"/>
      <c r="L309" s="309"/>
      <c r="M309" s="309"/>
      <c r="N309" s="310"/>
      <c r="O309" s="304"/>
      <c r="P309" s="288"/>
    </row>
  </sheetData>
  <sheetProtection algorithmName="SHA-512" hashValue="wqXU2R5qrtg+Pi7CRrrBiRzOPk+Tz26s9T4YoXKlgeijoFMhcVQc8OtU6ev7vYhZwe0pJWGGQGKO+Suk2KXzbg==" saltValue="7BuZZmnY1S930e/cO1Te0w==" spinCount="100000" sheet="1" objects="1" scenarios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D8AD5-917C-4081-91AB-231DFC2ED92D}">
  <sheetPr codeName="Sheet2"/>
  <dimension ref="A1:AD28"/>
  <sheetViews>
    <sheetView tabSelected="1" zoomScale="85" zoomScaleNormal="85" workbookViewId="0"/>
  </sheetViews>
  <sheetFormatPr defaultColWidth="11.85546875" defaultRowHeight="15" x14ac:dyDescent="0.25"/>
  <cols>
    <col min="1" max="1" width="5.5703125" customWidth="1"/>
    <col min="2" max="2" width="4.140625" customWidth="1"/>
    <col min="3" max="3" width="5" customWidth="1"/>
    <col min="4" max="4" width="6.5703125" customWidth="1"/>
    <col min="5" max="5" width="3.42578125" customWidth="1"/>
    <col min="6" max="6" width="5.28515625" customWidth="1"/>
    <col min="7" max="7" width="5.85546875" customWidth="1"/>
    <col min="8" max="8" width="11.7109375" customWidth="1"/>
    <col min="9" max="9" width="13.5703125" customWidth="1"/>
    <col min="10" max="10" width="8" customWidth="1"/>
    <col min="11" max="11" width="5" customWidth="1"/>
    <col min="12" max="12" width="4.42578125" customWidth="1"/>
    <col min="13" max="13" width="4.85546875" customWidth="1"/>
    <col min="14" max="14" width="7.7109375" customWidth="1"/>
    <col min="15" max="15" width="7.140625" style="33" customWidth="1"/>
    <col min="16" max="16" width="7.28515625" style="33" customWidth="1"/>
    <col min="17" max="17" width="16" bestFit="1" customWidth="1"/>
    <col min="18" max="18" width="14.28515625" customWidth="1"/>
    <col min="19" max="19" width="12.7109375" customWidth="1"/>
    <col min="20" max="20" width="5.28515625" customWidth="1"/>
    <col min="21" max="21" width="4" customWidth="1"/>
    <col min="22" max="22" width="6" customWidth="1"/>
    <col min="23" max="23" width="5.140625" customWidth="1"/>
    <col min="24" max="24" width="6.7109375" customWidth="1"/>
    <col min="25" max="25" width="3.85546875" customWidth="1"/>
    <col min="26" max="26" width="13.5703125" customWidth="1"/>
    <col min="27" max="27" width="17.85546875" bestFit="1" customWidth="1"/>
    <col min="28" max="28" width="8.7109375" customWidth="1"/>
    <col min="29" max="29" width="3.42578125" customWidth="1"/>
    <col min="30" max="30" width="4.7109375" customWidth="1"/>
  </cols>
  <sheetData>
    <row r="1" spans="1:30" ht="7.5" customHeight="1" x14ac:dyDescent="0.25"/>
    <row r="2" spans="1:30" ht="25.15" customHeight="1" x14ac:dyDescent="0.25">
      <c r="A2" s="268"/>
      <c r="B2" s="268"/>
      <c r="C2" s="358" t="s">
        <v>201</v>
      </c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268"/>
    </row>
    <row r="3" spans="1:30" ht="15.75" thickBot="1" x14ac:dyDescent="0.3">
      <c r="A3" s="268"/>
      <c r="AD3" s="268"/>
    </row>
    <row r="4" spans="1:30" ht="24" thickBot="1" x14ac:dyDescent="0.3">
      <c r="A4" s="268"/>
      <c r="C4" s="395" t="s">
        <v>215</v>
      </c>
      <c r="D4" s="396"/>
      <c r="E4" s="396"/>
      <c r="F4" s="396"/>
      <c r="G4" s="396"/>
      <c r="H4" s="396"/>
      <c r="I4" s="396"/>
      <c r="J4" s="397"/>
      <c r="L4" s="395" t="s">
        <v>216</v>
      </c>
      <c r="M4" s="396"/>
      <c r="N4" s="396"/>
      <c r="O4" s="396"/>
      <c r="P4" s="396"/>
      <c r="Q4" s="396"/>
      <c r="R4" s="396"/>
      <c r="S4" s="397"/>
      <c r="U4" s="398" t="s">
        <v>247</v>
      </c>
      <c r="V4" s="399"/>
      <c r="W4" s="399"/>
      <c r="X4" s="399"/>
      <c r="Y4" s="399"/>
      <c r="Z4" s="399"/>
      <c r="AA4" s="399"/>
      <c r="AB4" s="400"/>
      <c r="AD4" s="268"/>
    </row>
    <row r="5" spans="1:30" ht="38.25" customHeight="1" thickBot="1" x14ac:dyDescent="0.3">
      <c r="A5" s="268"/>
      <c r="C5" s="377" t="s">
        <v>202</v>
      </c>
      <c r="D5" s="378"/>
      <c r="E5" s="378"/>
      <c r="F5" s="378"/>
      <c r="G5" s="378"/>
      <c r="H5" s="378"/>
      <c r="I5" s="378"/>
      <c r="J5" s="379"/>
      <c r="L5" s="377" t="s">
        <v>203</v>
      </c>
      <c r="M5" s="378"/>
      <c r="N5" s="378"/>
      <c r="O5" s="378"/>
      <c r="P5" s="378"/>
      <c r="Q5" s="378"/>
      <c r="R5" s="378"/>
      <c r="S5" s="379"/>
      <c r="U5" s="377" t="s">
        <v>258</v>
      </c>
      <c r="V5" s="378"/>
      <c r="W5" s="378"/>
      <c r="X5" s="378"/>
      <c r="Y5" s="378"/>
      <c r="Z5" s="378"/>
      <c r="AA5" s="378"/>
      <c r="AB5" s="379"/>
      <c r="AD5" s="268"/>
    </row>
    <row r="6" spans="1:30" ht="28.5" customHeight="1" thickBot="1" x14ac:dyDescent="0.3">
      <c r="A6" s="268"/>
      <c r="C6" s="362" t="s">
        <v>195</v>
      </c>
      <c r="D6" s="363"/>
      <c r="E6" s="363"/>
      <c r="F6" s="364" t="s">
        <v>204</v>
      </c>
      <c r="G6" s="364"/>
      <c r="H6" s="57" t="s">
        <v>205</v>
      </c>
      <c r="I6" s="229" t="s">
        <v>4</v>
      </c>
      <c r="J6" s="265" t="s">
        <v>5</v>
      </c>
      <c r="K6" s="35"/>
      <c r="L6" s="362" t="s">
        <v>195</v>
      </c>
      <c r="M6" s="363"/>
      <c r="N6" s="363"/>
      <c r="O6" s="364" t="s">
        <v>204</v>
      </c>
      <c r="P6" s="364"/>
      <c r="Q6" s="57" t="s">
        <v>205</v>
      </c>
      <c r="R6" s="229" t="s">
        <v>4</v>
      </c>
      <c r="S6" s="265" t="s">
        <v>5</v>
      </c>
      <c r="T6" s="35"/>
      <c r="U6" s="362" t="s">
        <v>195</v>
      </c>
      <c r="V6" s="363"/>
      <c r="W6" s="363"/>
      <c r="X6" s="364" t="s">
        <v>204</v>
      </c>
      <c r="Y6" s="364"/>
      <c r="Z6" s="56" t="s">
        <v>205</v>
      </c>
      <c r="AA6" s="229" t="s">
        <v>4</v>
      </c>
      <c r="AB6" s="265" t="s">
        <v>5</v>
      </c>
      <c r="AD6" s="268"/>
    </row>
    <row r="7" spans="1:30" x14ac:dyDescent="0.25">
      <c r="A7" s="268"/>
      <c r="C7" s="365">
        <f>raw_data!B118</f>
        <v>1001508989</v>
      </c>
      <c r="D7" s="366"/>
      <c r="E7" s="366"/>
      <c r="F7" s="367">
        <f>raw_data!C118</f>
        <v>46087</v>
      </c>
      <c r="G7" s="367"/>
      <c r="H7" s="49" t="str">
        <f>raw_data!D118</f>
        <v>50L</v>
      </c>
      <c r="I7" s="50">
        <f>raw_data!E118</f>
        <v>45982</v>
      </c>
      <c r="J7" s="52" t="str">
        <f>raw_data!F118</f>
        <v>ELS</v>
      </c>
      <c r="L7" s="365">
        <f>raw_data!B46</f>
        <v>1001510545</v>
      </c>
      <c r="M7" s="366"/>
      <c r="N7" s="366"/>
      <c r="O7" s="393">
        <f>raw_data!C46</f>
        <v>46156</v>
      </c>
      <c r="P7" s="394"/>
      <c r="Q7" s="49" t="str">
        <f>raw_data!D46</f>
        <v>25L</v>
      </c>
      <c r="R7" s="50">
        <f>raw_data!E46</f>
        <v>45982</v>
      </c>
      <c r="S7" s="52" t="str">
        <f>raw_data!F46</f>
        <v>ELS</v>
      </c>
      <c r="U7" s="365">
        <f>raw_data!B54</f>
        <v>1001497100</v>
      </c>
      <c r="V7" s="366"/>
      <c r="W7" s="366"/>
      <c r="X7" s="367" t="str">
        <f>raw_data!C54</f>
        <v>2026-02</v>
      </c>
      <c r="Y7" s="367"/>
      <c r="Z7" s="50" t="str">
        <f>raw_data!D54</f>
        <v>10L</v>
      </c>
      <c r="AA7" s="50">
        <f>raw_data!E54</f>
        <v>45890</v>
      </c>
      <c r="AB7" s="52" t="str">
        <f>raw_data!F54</f>
        <v>vdao</v>
      </c>
      <c r="AD7" s="268"/>
    </row>
    <row r="8" spans="1:30" x14ac:dyDescent="0.25">
      <c r="A8" s="268"/>
      <c r="C8" s="368">
        <f>raw_data!B119</f>
        <v>1001505209</v>
      </c>
      <c r="D8" s="369"/>
      <c r="E8" s="369"/>
      <c r="F8" s="370">
        <f>raw_data!C119</f>
        <v>46063</v>
      </c>
      <c r="G8" s="370"/>
      <c r="H8" s="39">
        <f>raw_data!D119</f>
        <v>30</v>
      </c>
      <c r="I8" s="40">
        <f>raw_data!E119</f>
        <v>45979</v>
      </c>
      <c r="J8" s="26" t="str">
        <f>raw_data!F119</f>
        <v>JESP</v>
      </c>
      <c r="L8" s="368">
        <f>raw_data!B47</f>
        <v>1001503562</v>
      </c>
      <c r="M8" s="369"/>
      <c r="N8" s="369"/>
      <c r="O8" s="383">
        <f>raw_data!C47</f>
        <v>46111</v>
      </c>
      <c r="P8" s="384"/>
      <c r="Q8" s="39" t="str">
        <f>raw_data!D47</f>
        <v>10L</v>
      </c>
      <c r="R8" s="40">
        <f>raw_data!E47</f>
        <v>45985</v>
      </c>
      <c r="S8" s="26" t="str">
        <f>raw_data!F47</f>
        <v>vdao</v>
      </c>
      <c r="U8" s="368" t="str">
        <f>raw_data!B55</f>
        <v>N/A</v>
      </c>
      <c r="V8" s="369"/>
      <c r="W8" s="369"/>
      <c r="X8" s="370" t="str">
        <f>raw_data!C55</f>
        <v>N/A</v>
      </c>
      <c r="Y8" s="370"/>
      <c r="Z8" s="40" t="str">
        <f>raw_data!D55</f>
        <v>N/A</v>
      </c>
      <c r="AA8" s="40" t="str">
        <f>raw_data!E55</f>
        <v>N/A</v>
      </c>
      <c r="AB8" s="26" t="str">
        <f>raw_data!F55</f>
        <v>N/A</v>
      </c>
      <c r="AD8" s="268"/>
    </row>
    <row r="9" spans="1:30" x14ac:dyDescent="0.25">
      <c r="A9" s="268"/>
      <c r="C9" s="368" t="str">
        <f>raw_data!B120</f>
        <v>N/A</v>
      </c>
      <c r="D9" s="369"/>
      <c r="E9" s="369"/>
      <c r="F9" s="370" t="str">
        <f>raw_data!C120</f>
        <v>N/A</v>
      </c>
      <c r="G9" s="370"/>
      <c r="H9" s="39" t="str">
        <f>raw_data!D120</f>
        <v>N/A</v>
      </c>
      <c r="I9" s="40" t="str">
        <f>raw_data!E120</f>
        <v>N/A</v>
      </c>
      <c r="J9" s="26" t="str">
        <f>raw_data!F120</f>
        <v>N/A</v>
      </c>
      <c r="L9" s="368" t="str">
        <f>raw_data!B48</f>
        <v>N/A</v>
      </c>
      <c r="M9" s="369"/>
      <c r="N9" s="369"/>
      <c r="O9" s="383" t="str">
        <f>raw_data!C48</f>
        <v>N/A</v>
      </c>
      <c r="P9" s="384"/>
      <c r="Q9" s="39" t="str">
        <f>raw_data!D48</f>
        <v>N/A</v>
      </c>
      <c r="R9" s="40" t="str">
        <f>raw_data!E48</f>
        <v>N/A</v>
      </c>
      <c r="S9" s="26" t="str">
        <f>raw_data!F48</f>
        <v>N/A</v>
      </c>
      <c r="U9" s="368" t="str">
        <f>raw_data!B56</f>
        <v>N/A</v>
      </c>
      <c r="V9" s="369"/>
      <c r="W9" s="369"/>
      <c r="X9" s="370" t="str">
        <f>raw_data!C56</f>
        <v>N/A</v>
      </c>
      <c r="Y9" s="370"/>
      <c r="Z9" s="40" t="str">
        <f>raw_data!D56</f>
        <v>N/A</v>
      </c>
      <c r="AA9" s="40" t="str">
        <f>raw_data!E56</f>
        <v>N/A</v>
      </c>
      <c r="AB9" s="26" t="str">
        <f>raw_data!F56</f>
        <v>N/A</v>
      </c>
      <c r="AD9" s="268"/>
    </row>
    <row r="10" spans="1:30" ht="15.75" thickBot="1" x14ac:dyDescent="0.3">
      <c r="A10" s="268"/>
      <c r="C10" s="359" t="str">
        <f>raw_data!B121</f>
        <v>N/A</v>
      </c>
      <c r="D10" s="360"/>
      <c r="E10" s="360"/>
      <c r="F10" s="361" t="str">
        <f>raw_data!C121</f>
        <v>N/A</v>
      </c>
      <c r="G10" s="361"/>
      <c r="H10" s="41" t="str">
        <f>raw_data!D121</f>
        <v>N/A</v>
      </c>
      <c r="I10" s="42" t="str">
        <f>raw_data!E121</f>
        <v>N/A</v>
      </c>
      <c r="J10" s="30" t="str">
        <f>raw_data!F121</f>
        <v>N/A</v>
      </c>
      <c r="L10" s="359" t="str">
        <f>raw_data!B49</f>
        <v>N/A</v>
      </c>
      <c r="M10" s="360"/>
      <c r="N10" s="360"/>
      <c r="O10" s="391" t="str">
        <f>raw_data!C49</f>
        <v>N/A</v>
      </c>
      <c r="P10" s="392"/>
      <c r="Q10" s="41" t="str">
        <f>raw_data!D49</f>
        <v>N/A</v>
      </c>
      <c r="R10" s="42" t="str">
        <f>raw_data!E49</f>
        <v>N/A</v>
      </c>
      <c r="S10" s="30" t="str">
        <f>raw_data!F49</f>
        <v>N/A</v>
      </c>
      <c r="U10" s="359" t="str">
        <f>raw_data!B57</f>
        <v>N/A</v>
      </c>
      <c r="V10" s="360"/>
      <c r="W10" s="360"/>
      <c r="X10" s="361" t="str">
        <f>raw_data!C57</f>
        <v>N/A</v>
      </c>
      <c r="Y10" s="361"/>
      <c r="Z10" s="42" t="str">
        <f>raw_data!D57</f>
        <v>N/A</v>
      </c>
      <c r="AA10" s="42" t="str">
        <f>raw_data!E57</f>
        <v>N/A</v>
      </c>
      <c r="AB10" s="30" t="str">
        <f>raw_data!F57</f>
        <v>N/A</v>
      </c>
      <c r="AD10" s="268"/>
    </row>
    <row r="11" spans="1:30" ht="15.75" thickBot="1" x14ac:dyDescent="0.3">
      <c r="A11" s="268"/>
      <c r="AD11" s="268"/>
    </row>
    <row r="12" spans="1:30" ht="24" thickBot="1" x14ac:dyDescent="0.3">
      <c r="A12" s="268"/>
      <c r="C12" s="380" t="s">
        <v>240</v>
      </c>
      <c r="D12" s="381"/>
      <c r="E12" s="381"/>
      <c r="F12" s="381"/>
      <c r="G12" s="381"/>
      <c r="H12" s="381"/>
      <c r="I12" s="381"/>
      <c r="J12" s="382"/>
      <c r="L12" s="385" t="s">
        <v>248</v>
      </c>
      <c r="M12" s="386"/>
      <c r="N12" s="386"/>
      <c r="O12" s="386"/>
      <c r="P12" s="386"/>
      <c r="Q12" s="386"/>
      <c r="R12" s="386"/>
      <c r="S12" s="387"/>
      <c r="U12" s="388" t="s">
        <v>249</v>
      </c>
      <c r="V12" s="389"/>
      <c r="W12" s="389"/>
      <c r="X12" s="389"/>
      <c r="Y12" s="389"/>
      <c r="Z12" s="389"/>
      <c r="AA12" s="389"/>
      <c r="AB12" s="390"/>
      <c r="AD12" s="268"/>
    </row>
    <row r="13" spans="1:30" ht="37.5" customHeight="1" thickBot="1" x14ac:dyDescent="0.3">
      <c r="A13" s="268"/>
      <c r="C13" s="377" t="s">
        <v>206</v>
      </c>
      <c r="D13" s="378"/>
      <c r="E13" s="378"/>
      <c r="F13" s="378"/>
      <c r="G13" s="378"/>
      <c r="H13" s="378"/>
      <c r="I13" s="378"/>
      <c r="J13" s="379"/>
      <c r="L13" s="377" t="s">
        <v>259</v>
      </c>
      <c r="M13" s="378"/>
      <c r="N13" s="378"/>
      <c r="O13" s="378"/>
      <c r="P13" s="378"/>
      <c r="Q13" s="378"/>
      <c r="R13" s="378"/>
      <c r="S13" s="379"/>
      <c r="U13" s="377" t="s">
        <v>260</v>
      </c>
      <c r="V13" s="378"/>
      <c r="W13" s="378"/>
      <c r="X13" s="378"/>
      <c r="Y13" s="378"/>
      <c r="Z13" s="378"/>
      <c r="AA13" s="378"/>
      <c r="AB13" s="379"/>
      <c r="AD13" s="268"/>
    </row>
    <row r="14" spans="1:30" ht="30.75" thickBot="1" x14ac:dyDescent="0.3">
      <c r="A14" s="268"/>
      <c r="C14" s="362" t="s">
        <v>195</v>
      </c>
      <c r="D14" s="363"/>
      <c r="E14" s="363"/>
      <c r="F14" s="364" t="s">
        <v>204</v>
      </c>
      <c r="G14" s="364"/>
      <c r="H14" s="57" t="s">
        <v>205</v>
      </c>
      <c r="I14" s="229" t="s">
        <v>4</v>
      </c>
      <c r="J14" s="265" t="s">
        <v>5</v>
      </c>
      <c r="L14" s="362" t="s">
        <v>195</v>
      </c>
      <c r="M14" s="363"/>
      <c r="N14" s="363"/>
      <c r="O14" s="364" t="s">
        <v>204</v>
      </c>
      <c r="P14" s="364"/>
      <c r="Q14" s="57" t="s">
        <v>205</v>
      </c>
      <c r="R14" s="229" t="s">
        <v>4</v>
      </c>
      <c r="S14" s="265" t="s">
        <v>5</v>
      </c>
      <c r="U14" s="362" t="s">
        <v>195</v>
      </c>
      <c r="V14" s="363"/>
      <c r="W14" s="363"/>
      <c r="X14" s="364" t="s">
        <v>204</v>
      </c>
      <c r="Y14" s="364"/>
      <c r="Z14" s="56" t="s">
        <v>205</v>
      </c>
      <c r="AA14" s="229" t="s">
        <v>4</v>
      </c>
      <c r="AB14" s="265" t="s">
        <v>5</v>
      </c>
      <c r="AD14" s="268"/>
    </row>
    <row r="15" spans="1:30" x14ac:dyDescent="0.25">
      <c r="A15" s="268"/>
      <c r="C15" s="365">
        <f>raw_data!B42</f>
        <v>1001496372</v>
      </c>
      <c r="D15" s="366"/>
      <c r="E15" s="366"/>
      <c r="F15" s="367">
        <f>raw_data!C42</f>
        <v>46064</v>
      </c>
      <c r="G15" s="367"/>
      <c r="H15" s="49" t="str">
        <f>raw_data!D42</f>
        <v>10 L</v>
      </c>
      <c r="I15" s="50">
        <f>raw_data!E42</f>
        <v>45950</v>
      </c>
      <c r="J15" s="52" t="str">
        <f>raw_data!F42</f>
        <v>JESP</v>
      </c>
      <c r="L15" s="365">
        <f>raw_data!B70</f>
        <v>1001511780</v>
      </c>
      <c r="M15" s="366"/>
      <c r="N15" s="366"/>
      <c r="O15" s="367">
        <f>raw_data!C70</f>
        <v>45681</v>
      </c>
      <c r="P15" s="367"/>
      <c r="Q15" s="49" t="str">
        <f>raw_data!D70</f>
        <v>10L</v>
      </c>
      <c r="R15" s="50">
        <f>raw_data!E70</f>
        <v>45994</v>
      </c>
      <c r="S15" s="52" t="str">
        <f>raw_data!F70</f>
        <v>vdao</v>
      </c>
      <c r="U15" s="365">
        <f>raw_data!B114</f>
        <v>1001512409</v>
      </c>
      <c r="V15" s="366"/>
      <c r="W15" s="366"/>
      <c r="X15" s="367">
        <f>raw_data!C114</f>
        <v>46083</v>
      </c>
      <c r="Y15" s="367"/>
      <c r="Z15" s="49" t="str">
        <f>raw_data!D114</f>
        <v>5L</v>
      </c>
      <c r="AA15" s="50">
        <f>raw_data!E114</f>
        <v>45994</v>
      </c>
      <c r="AB15" s="52" t="str">
        <f>raw_data!F114</f>
        <v>vdao</v>
      </c>
      <c r="AD15" s="268"/>
    </row>
    <row r="16" spans="1:30" x14ac:dyDescent="0.25">
      <c r="A16" s="268"/>
      <c r="C16" s="368" t="str">
        <f>raw_data!B43</f>
        <v>N/A</v>
      </c>
      <c r="D16" s="369"/>
      <c r="E16" s="369"/>
      <c r="F16" s="370" t="str">
        <f>raw_data!C43</f>
        <v>N/A</v>
      </c>
      <c r="G16" s="370"/>
      <c r="H16" s="39" t="str">
        <f>raw_data!D43</f>
        <v>N/A</v>
      </c>
      <c r="I16" s="40" t="str">
        <f>raw_data!E43</f>
        <v>N/A</v>
      </c>
      <c r="J16" s="26" t="str">
        <f>raw_data!F43</f>
        <v>N/A</v>
      </c>
      <c r="L16" s="368" t="str">
        <f>raw_data!B71</f>
        <v>N/A</v>
      </c>
      <c r="M16" s="369"/>
      <c r="N16" s="369"/>
      <c r="O16" s="370" t="str">
        <f>raw_data!C71</f>
        <v>N/A</v>
      </c>
      <c r="P16" s="370"/>
      <c r="Q16" s="39" t="str">
        <f>raw_data!D71</f>
        <v>N/A</v>
      </c>
      <c r="R16" s="40" t="str">
        <f>raw_data!E71</f>
        <v>N/A</v>
      </c>
      <c r="S16" s="26" t="str">
        <f>raw_data!F71</f>
        <v>N/A</v>
      </c>
      <c r="U16" s="368">
        <f>raw_data!B115</f>
        <v>1001506031</v>
      </c>
      <c r="V16" s="369"/>
      <c r="W16" s="369"/>
      <c r="X16" s="370">
        <f>raw_data!C115</f>
        <v>46039</v>
      </c>
      <c r="Y16" s="370"/>
      <c r="Z16" s="39" t="str">
        <f>raw_data!D115</f>
        <v>4L</v>
      </c>
      <c r="AA16" s="40">
        <f>raw_data!E115</f>
        <v>45986</v>
      </c>
      <c r="AB16" s="26" t="str">
        <f>raw_data!F115</f>
        <v>ELS</v>
      </c>
      <c r="AD16" s="268"/>
    </row>
    <row r="17" spans="1:30" x14ac:dyDescent="0.25">
      <c r="A17" s="268"/>
      <c r="C17" s="368" t="str">
        <f>raw_data!B44</f>
        <v>N/A</v>
      </c>
      <c r="D17" s="369"/>
      <c r="E17" s="369"/>
      <c r="F17" s="370" t="str">
        <f>raw_data!C44</f>
        <v>N/A</v>
      </c>
      <c r="G17" s="370"/>
      <c r="H17" s="39" t="str">
        <f>raw_data!D44</f>
        <v>N/A</v>
      </c>
      <c r="I17" s="40" t="str">
        <f>raw_data!E44</f>
        <v>N/A</v>
      </c>
      <c r="J17" s="26" t="str">
        <f>raw_data!F44</f>
        <v>N/A</v>
      </c>
      <c r="L17" s="368" t="str">
        <f>raw_data!B72</f>
        <v>N/A</v>
      </c>
      <c r="M17" s="369"/>
      <c r="N17" s="369"/>
      <c r="O17" s="370" t="str">
        <f>raw_data!C72</f>
        <v>N/A</v>
      </c>
      <c r="P17" s="370"/>
      <c r="Q17" s="39" t="str">
        <f>raw_data!D72</f>
        <v>N/A</v>
      </c>
      <c r="R17" s="40" t="str">
        <f>raw_data!E72</f>
        <v>N/A</v>
      </c>
      <c r="S17" s="26" t="str">
        <f>raw_data!F72</f>
        <v>N/A</v>
      </c>
      <c r="U17" s="368" t="str">
        <f>raw_data!B116</f>
        <v>N/A</v>
      </c>
      <c r="V17" s="369"/>
      <c r="W17" s="369"/>
      <c r="X17" s="370" t="str">
        <f>raw_data!C116</f>
        <v>N/A</v>
      </c>
      <c r="Y17" s="370"/>
      <c r="Z17" s="39" t="str">
        <f>raw_data!D116</f>
        <v>N/A</v>
      </c>
      <c r="AA17" s="40" t="str">
        <f>raw_data!E116</f>
        <v>N/A</v>
      </c>
      <c r="AB17" s="26" t="str">
        <f>raw_data!F116</f>
        <v>N/A</v>
      </c>
      <c r="AD17" s="268"/>
    </row>
    <row r="18" spans="1:30" ht="15.75" thickBot="1" x14ac:dyDescent="0.3">
      <c r="A18" s="268"/>
      <c r="C18" s="359" t="str">
        <f>raw_data!B45</f>
        <v>N/A</v>
      </c>
      <c r="D18" s="360"/>
      <c r="E18" s="360"/>
      <c r="F18" s="361" t="str">
        <f>raw_data!C45</f>
        <v>N/A</v>
      </c>
      <c r="G18" s="361"/>
      <c r="H18" s="41" t="str">
        <f>raw_data!D45</f>
        <v>N/A</v>
      </c>
      <c r="I18" s="42" t="str">
        <f>raw_data!E45</f>
        <v>N/A</v>
      </c>
      <c r="J18" s="30" t="str">
        <f>raw_data!F45</f>
        <v>N/A</v>
      </c>
      <c r="L18" s="359" t="str">
        <f>raw_data!B73</f>
        <v>N/A</v>
      </c>
      <c r="M18" s="360"/>
      <c r="N18" s="360"/>
      <c r="O18" s="361" t="str">
        <f>raw_data!C73</f>
        <v>N/A</v>
      </c>
      <c r="P18" s="361"/>
      <c r="Q18" s="41" t="str">
        <f>raw_data!D73</f>
        <v>N/A</v>
      </c>
      <c r="R18" s="42" t="str">
        <f>raw_data!E73</f>
        <v>N/A</v>
      </c>
      <c r="S18" s="30" t="str">
        <f>raw_data!F73</f>
        <v>N/A</v>
      </c>
      <c r="U18" s="359" t="str">
        <f>raw_data!B117</f>
        <v>N/A</v>
      </c>
      <c r="V18" s="360"/>
      <c r="W18" s="360"/>
      <c r="X18" s="361" t="str">
        <f>raw_data!C117</f>
        <v>N/A</v>
      </c>
      <c r="Y18" s="361"/>
      <c r="Z18" s="41" t="str">
        <f>raw_data!D117</f>
        <v>N/A</v>
      </c>
      <c r="AA18" s="42" t="str">
        <f>raw_data!E117</f>
        <v>N/A</v>
      </c>
      <c r="AB18" s="30" t="str">
        <f>raw_data!F117</f>
        <v>N/A</v>
      </c>
      <c r="AD18" s="268"/>
    </row>
    <row r="19" spans="1:30" ht="15.75" thickBot="1" x14ac:dyDescent="0.3">
      <c r="A19" s="268"/>
      <c r="AD19" s="268"/>
    </row>
    <row r="20" spans="1:30" ht="24" thickBot="1" x14ac:dyDescent="0.3">
      <c r="A20" s="268"/>
      <c r="C20" s="374" t="s">
        <v>250</v>
      </c>
      <c r="D20" s="375"/>
      <c r="E20" s="375"/>
      <c r="F20" s="375"/>
      <c r="G20" s="375"/>
      <c r="H20" s="375"/>
      <c r="I20" s="375"/>
      <c r="J20" s="376"/>
      <c r="L20" s="365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71"/>
      <c r="AD20" s="268"/>
    </row>
    <row r="21" spans="1:30" ht="33.75" customHeight="1" thickBot="1" x14ac:dyDescent="0.3">
      <c r="A21" s="268"/>
      <c r="C21" s="377" t="s">
        <v>36</v>
      </c>
      <c r="D21" s="378"/>
      <c r="E21" s="378"/>
      <c r="F21" s="378"/>
      <c r="G21" s="378"/>
      <c r="H21" s="378"/>
      <c r="I21" s="378"/>
      <c r="J21" s="379"/>
      <c r="L21" s="368"/>
      <c r="M21" s="369"/>
      <c r="N21" s="369"/>
      <c r="O21" s="369"/>
      <c r="P21" s="369"/>
      <c r="Q21" s="369"/>
      <c r="R21" s="369"/>
      <c r="S21" s="369"/>
      <c r="T21" s="369"/>
      <c r="U21" s="369"/>
      <c r="V21" s="369"/>
      <c r="W21" s="369"/>
      <c r="X21" s="369"/>
      <c r="Y21" s="369"/>
      <c r="Z21" s="369"/>
      <c r="AA21" s="369"/>
      <c r="AB21" s="372"/>
      <c r="AD21" s="268"/>
    </row>
    <row r="22" spans="1:30" ht="30.75" thickBot="1" x14ac:dyDescent="0.3">
      <c r="A22" s="268"/>
      <c r="C22" s="362" t="s">
        <v>195</v>
      </c>
      <c r="D22" s="363"/>
      <c r="E22" s="363"/>
      <c r="F22" s="364" t="s">
        <v>204</v>
      </c>
      <c r="G22" s="364"/>
      <c r="H22" s="57" t="s">
        <v>205</v>
      </c>
      <c r="I22" s="229" t="s">
        <v>4</v>
      </c>
      <c r="J22" s="265" t="s">
        <v>5</v>
      </c>
      <c r="L22" s="368"/>
      <c r="M22" s="369"/>
      <c r="N22" s="369"/>
      <c r="O22" s="369"/>
      <c r="P22" s="369"/>
      <c r="Q22" s="369"/>
      <c r="R22" s="369"/>
      <c r="S22" s="369"/>
      <c r="T22" s="369"/>
      <c r="U22" s="369"/>
      <c r="V22" s="369"/>
      <c r="W22" s="369"/>
      <c r="X22" s="369"/>
      <c r="Y22" s="369"/>
      <c r="Z22" s="369"/>
      <c r="AA22" s="369"/>
      <c r="AB22" s="372"/>
      <c r="AD22" s="268"/>
    </row>
    <row r="23" spans="1:30" x14ac:dyDescent="0.25">
      <c r="A23" s="268"/>
      <c r="C23" s="365" t="str">
        <f>raw_data!B26</f>
        <v>4141EA</v>
      </c>
      <c r="D23" s="366"/>
      <c r="E23" s="366"/>
      <c r="F23" s="367">
        <f>raw_data!C26</f>
        <v>46162</v>
      </c>
      <c r="G23" s="367"/>
      <c r="H23" s="49" t="str">
        <f>raw_data!D26</f>
        <v>3 L</v>
      </c>
      <c r="I23" s="50">
        <f>raw_data!E26</f>
        <v>45818</v>
      </c>
      <c r="J23" s="52" t="str">
        <f>raw_data!F26</f>
        <v>JESP</v>
      </c>
      <c r="L23" s="368"/>
      <c r="M23" s="369"/>
      <c r="N23" s="369"/>
      <c r="O23" s="369"/>
      <c r="P23" s="369"/>
      <c r="Q23" s="369"/>
      <c r="R23" s="369"/>
      <c r="S23" s="369"/>
      <c r="T23" s="369"/>
      <c r="U23" s="369"/>
      <c r="V23" s="369"/>
      <c r="W23" s="369"/>
      <c r="X23" s="369"/>
      <c r="Y23" s="369"/>
      <c r="Z23" s="369"/>
      <c r="AA23" s="369"/>
      <c r="AB23" s="372"/>
      <c r="AD23" s="268"/>
    </row>
    <row r="24" spans="1:30" x14ac:dyDescent="0.25">
      <c r="A24" s="268"/>
      <c r="C24" s="368" t="str">
        <f>raw_data!B27</f>
        <v>N/A</v>
      </c>
      <c r="D24" s="369"/>
      <c r="E24" s="369"/>
      <c r="F24" s="370" t="str">
        <f>raw_data!C27</f>
        <v>N/A</v>
      </c>
      <c r="G24" s="370"/>
      <c r="H24" s="39" t="str">
        <f>raw_data!D27</f>
        <v>N/A</v>
      </c>
      <c r="I24" s="40" t="str">
        <f>raw_data!E27</f>
        <v>N/A</v>
      </c>
      <c r="J24" s="26" t="str">
        <f>raw_data!F27</f>
        <v>N/A</v>
      </c>
      <c r="L24" s="368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72"/>
      <c r="AD24" s="268"/>
    </row>
    <row r="25" spans="1:30" x14ac:dyDescent="0.25">
      <c r="A25" s="268"/>
      <c r="C25" s="368" t="str">
        <f>raw_data!B28</f>
        <v>N/A</v>
      </c>
      <c r="D25" s="369"/>
      <c r="E25" s="369"/>
      <c r="F25" s="370" t="str">
        <f>raw_data!C28</f>
        <v>N/A</v>
      </c>
      <c r="G25" s="370"/>
      <c r="H25" s="39" t="str">
        <f>raw_data!D28</f>
        <v>N/A</v>
      </c>
      <c r="I25" s="40" t="str">
        <f>raw_data!E28</f>
        <v>N/A</v>
      </c>
      <c r="J25" s="26" t="str">
        <f>raw_data!F28</f>
        <v>N/A</v>
      </c>
      <c r="L25" s="368"/>
      <c r="M25" s="369"/>
      <c r="N25" s="369"/>
      <c r="O25" s="369"/>
      <c r="P25" s="369"/>
      <c r="Q25" s="369"/>
      <c r="R25" s="369"/>
      <c r="S25" s="369"/>
      <c r="T25" s="369"/>
      <c r="U25" s="369"/>
      <c r="V25" s="369"/>
      <c r="W25" s="369"/>
      <c r="X25" s="369"/>
      <c r="Y25" s="369"/>
      <c r="Z25" s="369"/>
      <c r="AA25" s="369"/>
      <c r="AB25" s="372"/>
      <c r="AD25" s="268"/>
    </row>
    <row r="26" spans="1:30" ht="15.75" thickBot="1" x14ac:dyDescent="0.3">
      <c r="A26" s="268"/>
      <c r="C26" s="359" t="str">
        <f>raw_data!B29</f>
        <v>N/A</v>
      </c>
      <c r="D26" s="360"/>
      <c r="E26" s="360"/>
      <c r="F26" s="361" t="str">
        <f>raw_data!C29</f>
        <v>N/A</v>
      </c>
      <c r="G26" s="361"/>
      <c r="H26" s="41" t="str">
        <f>raw_data!D29</f>
        <v>N/A</v>
      </c>
      <c r="I26" s="42" t="str">
        <f>raw_data!E29</f>
        <v>N/A</v>
      </c>
      <c r="J26" s="30" t="str">
        <f>raw_data!F29</f>
        <v>N/A</v>
      </c>
      <c r="L26" s="359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73"/>
      <c r="AD26" s="268"/>
    </row>
    <row r="27" spans="1:30" x14ac:dyDescent="0.25">
      <c r="A27" s="268"/>
      <c r="AD27" s="268"/>
    </row>
    <row r="28" spans="1:30" ht="23.25" x14ac:dyDescent="0.25">
      <c r="A28" s="268"/>
      <c r="B28" s="268"/>
      <c r="C28" s="358"/>
      <c r="D28" s="358"/>
      <c r="E28" s="358"/>
      <c r="F28" s="358"/>
      <c r="G28" s="358"/>
      <c r="H28" s="358"/>
      <c r="I28" s="358"/>
      <c r="J28" s="358"/>
      <c r="K28" s="358"/>
      <c r="L28" s="358"/>
      <c r="M28" s="358"/>
      <c r="N28" s="358"/>
      <c r="O28" s="358"/>
      <c r="P28" s="358"/>
      <c r="Q28" s="358"/>
      <c r="R28" s="358"/>
      <c r="S28" s="358"/>
      <c r="T28" s="358"/>
      <c r="U28" s="358"/>
      <c r="V28" s="358"/>
      <c r="W28" s="358"/>
      <c r="X28" s="358"/>
      <c r="Y28" s="358"/>
      <c r="Z28" s="358"/>
      <c r="AA28" s="358"/>
      <c r="AB28" s="358"/>
      <c r="AC28" s="358"/>
      <c r="AD28" s="268"/>
    </row>
  </sheetData>
  <sheetProtection algorithmName="SHA-512" hashValue="F2eFbnGDmpAoEhSzJnnp50ZZdsSGpTkuSPvn9mJq+Bx3EdF/gOst3lHIkJMw1Sy1t0Uqy/JYIvpg4hh4eGp6YA==" saltValue="WVqw84T5IbzIt+uPLDM2JA==" spinCount="100000" sheet="1" formatCells="0" formatColumns="0" formatRows="0" insertColumns="0" insertRows="0" insertHyperlinks="0" deleteColumns="0" deleteRows="0" sort="0" autoFilter="0" pivotTables="0"/>
  <mergeCells count="87">
    <mergeCell ref="C7:E7"/>
    <mergeCell ref="F7:G7"/>
    <mergeCell ref="L4:S4"/>
    <mergeCell ref="L5:S5"/>
    <mergeCell ref="L6:N6"/>
    <mergeCell ref="C2:AC2"/>
    <mergeCell ref="C4:J4"/>
    <mergeCell ref="C5:J5"/>
    <mergeCell ref="C6:E6"/>
    <mergeCell ref="F6:G6"/>
    <mergeCell ref="U4:AB4"/>
    <mergeCell ref="U5:AB5"/>
    <mergeCell ref="C8:E8"/>
    <mergeCell ref="F8:G8"/>
    <mergeCell ref="C9:E9"/>
    <mergeCell ref="F9:G9"/>
    <mergeCell ref="C10:E10"/>
    <mergeCell ref="F10:G10"/>
    <mergeCell ref="U8:W8"/>
    <mergeCell ref="X8:Y8"/>
    <mergeCell ref="O6:P6"/>
    <mergeCell ref="L7:N7"/>
    <mergeCell ref="O7:P7"/>
    <mergeCell ref="L8:N8"/>
    <mergeCell ref="O8:P8"/>
    <mergeCell ref="U6:W6"/>
    <mergeCell ref="X6:Y6"/>
    <mergeCell ref="U7:W7"/>
    <mergeCell ref="X7:Y7"/>
    <mergeCell ref="L15:N15"/>
    <mergeCell ref="O15:P15"/>
    <mergeCell ref="C14:E14"/>
    <mergeCell ref="F14:G14"/>
    <mergeCell ref="U14:W14"/>
    <mergeCell ref="U15:W15"/>
    <mergeCell ref="C13:J13"/>
    <mergeCell ref="U13:AB13"/>
    <mergeCell ref="L13:S13"/>
    <mergeCell ref="L14:N14"/>
    <mergeCell ref="O14:P14"/>
    <mergeCell ref="X14:Y14"/>
    <mergeCell ref="C12:J12"/>
    <mergeCell ref="L9:N9"/>
    <mergeCell ref="O9:P9"/>
    <mergeCell ref="L12:S12"/>
    <mergeCell ref="U12:AB12"/>
    <mergeCell ref="L10:N10"/>
    <mergeCell ref="O10:P10"/>
    <mergeCell ref="U9:W9"/>
    <mergeCell ref="X9:Y9"/>
    <mergeCell ref="U10:W10"/>
    <mergeCell ref="X10:Y10"/>
    <mergeCell ref="C17:E17"/>
    <mergeCell ref="F17:G17"/>
    <mergeCell ref="C18:E18"/>
    <mergeCell ref="C15:E15"/>
    <mergeCell ref="F15:G15"/>
    <mergeCell ref="C16:E16"/>
    <mergeCell ref="F16:G16"/>
    <mergeCell ref="L16:N16"/>
    <mergeCell ref="O16:P16"/>
    <mergeCell ref="L17:N17"/>
    <mergeCell ref="O17:P17"/>
    <mergeCell ref="L18:N18"/>
    <mergeCell ref="O18:P18"/>
    <mergeCell ref="X15:Y15"/>
    <mergeCell ref="U16:W16"/>
    <mergeCell ref="X16:Y16"/>
    <mergeCell ref="U17:W17"/>
    <mergeCell ref="X17:Y17"/>
    <mergeCell ref="U18:W18"/>
    <mergeCell ref="X18:Y18"/>
    <mergeCell ref="C20:J20"/>
    <mergeCell ref="F18:G18"/>
    <mergeCell ref="C25:E25"/>
    <mergeCell ref="F25:G25"/>
    <mergeCell ref="C21:J21"/>
    <mergeCell ref="C28:AC28"/>
    <mergeCell ref="C26:E26"/>
    <mergeCell ref="F26:G26"/>
    <mergeCell ref="C22:E22"/>
    <mergeCell ref="F22:G22"/>
    <mergeCell ref="C23:E23"/>
    <mergeCell ref="F23:G23"/>
    <mergeCell ref="C24:E24"/>
    <mergeCell ref="F24:G24"/>
    <mergeCell ref="L20:AB26"/>
  </mergeCells>
  <pageMargins left="0.7" right="0.7" top="0.75" bottom="0.75" header="0.3" footer="0.3"/>
  <pageSetup paperSize="9" scale="3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AD36"/>
  <sheetViews>
    <sheetView zoomScaleNormal="100" workbookViewId="0">
      <selection activeCell="J10" sqref="J10"/>
    </sheetView>
  </sheetViews>
  <sheetFormatPr defaultRowHeight="15" x14ac:dyDescent="0.25"/>
  <cols>
    <col min="1" max="1" width="1.7109375" customWidth="1"/>
    <col min="2" max="2" width="2.5703125" customWidth="1"/>
    <col min="3" max="3" width="1.85546875" customWidth="1"/>
    <col min="4" max="4" width="23.28515625" bestFit="1" customWidth="1"/>
    <col min="5" max="5" width="11.85546875" customWidth="1"/>
    <col min="6" max="6" width="2.5703125" customWidth="1"/>
    <col min="7" max="7" width="11.7109375" customWidth="1"/>
    <col min="8" max="8" width="12.28515625" customWidth="1"/>
    <col min="9" max="9" width="2.5703125" customWidth="1"/>
    <col min="10" max="10" width="11" bestFit="1" customWidth="1"/>
    <col min="11" max="11" width="17.140625" customWidth="1"/>
    <col min="12" max="12" width="2.28515625" customWidth="1"/>
    <col min="13" max="13" width="12.5703125" customWidth="1"/>
    <col min="14" max="14" width="15.7109375" customWidth="1"/>
    <col min="15" max="15" width="2.140625" customWidth="1"/>
    <col min="16" max="16" width="11" bestFit="1" customWidth="1"/>
    <col min="17" max="17" width="8.5703125" customWidth="1"/>
    <col min="18" max="18" width="2.140625" customWidth="1"/>
    <col min="19" max="19" width="13.140625" customWidth="1"/>
    <col min="21" max="21" width="2.28515625" customWidth="1"/>
    <col min="22" max="22" width="11" bestFit="1" customWidth="1"/>
    <col min="29" max="29" width="10.7109375" customWidth="1"/>
    <col min="30" max="30" width="4.5703125" customWidth="1"/>
  </cols>
  <sheetData>
    <row r="1" spans="2:30" ht="21" customHeight="1" x14ac:dyDescent="0.25">
      <c r="B1" s="31"/>
      <c r="C1" s="31"/>
      <c r="D1" s="31"/>
      <c r="E1" s="31"/>
      <c r="F1" s="31"/>
      <c r="G1" s="31"/>
      <c r="H1" s="31"/>
      <c r="I1" s="31"/>
      <c r="J1" s="31"/>
      <c r="K1" s="313"/>
      <c r="L1" s="313" t="s">
        <v>253</v>
      </c>
      <c r="M1" s="313"/>
      <c r="N1" s="313"/>
      <c r="O1" s="313"/>
      <c r="P1" s="314" t="s">
        <v>399</v>
      </c>
      <c r="Q1" s="313"/>
      <c r="R1" s="312" t="s">
        <v>254</v>
      </c>
      <c r="S1" s="313" t="s">
        <v>207</v>
      </c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"/>
    </row>
    <row r="2" spans="2:30" ht="15.75" thickBot="1" x14ac:dyDescent="0.3">
      <c r="B2" s="31"/>
      <c r="AD2" s="31"/>
    </row>
    <row r="3" spans="2:30" ht="16.5" thickBot="1" x14ac:dyDescent="0.3">
      <c r="B3" s="31"/>
      <c r="D3" s="405" t="s">
        <v>255</v>
      </c>
      <c r="E3" s="406"/>
      <c r="G3" s="407" t="s">
        <v>189</v>
      </c>
      <c r="H3" s="408"/>
      <c r="J3" s="409" t="s">
        <v>190</v>
      </c>
      <c r="K3" s="410"/>
      <c r="L3" s="1"/>
      <c r="M3" s="411" t="s">
        <v>191</v>
      </c>
      <c r="N3" s="412"/>
      <c r="O3" s="2"/>
      <c r="P3" s="411" t="s">
        <v>192</v>
      </c>
      <c r="Q3" s="412"/>
      <c r="S3" s="401" t="s">
        <v>193</v>
      </c>
      <c r="T3" s="402"/>
      <c r="V3" s="403" t="s">
        <v>194</v>
      </c>
      <c r="W3" s="404"/>
      <c r="AD3" s="31"/>
    </row>
    <row r="4" spans="2:30" x14ac:dyDescent="0.25">
      <c r="B4" s="31"/>
      <c r="D4" s="315" t="s">
        <v>195</v>
      </c>
      <c r="E4" s="316" t="s">
        <v>196</v>
      </c>
      <c r="G4" s="317" t="s">
        <v>195</v>
      </c>
      <c r="H4" s="318" t="s">
        <v>196</v>
      </c>
      <c r="J4" s="351" t="s">
        <v>195</v>
      </c>
      <c r="K4" s="352" t="s">
        <v>196</v>
      </c>
      <c r="L4" s="7"/>
      <c r="M4" s="23" t="s">
        <v>195</v>
      </c>
      <c r="N4" s="353" t="s">
        <v>196</v>
      </c>
      <c r="O4" s="7"/>
      <c r="P4" s="3" t="s">
        <v>195</v>
      </c>
      <c r="Q4" s="4" t="s">
        <v>196</v>
      </c>
      <c r="S4" s="3" t="s">
        <v>195</v>
      </c>
      <c r="T4" s="4" t="s">
        <v>196</v>
      </c>
      <c r="V4" s="23" t="s">
        <v>195</v>
      </c>
      <c r="W4" s="353" t="s">
        <v>196</v>
      </c>
      <c r="AD4" s="31"/>
    </row>
    <row r="5" spans="2:30" ht="15" customHeight="1" x14ac:dyDescent="0.25">
      <c r="B5" s="31"/>
      <c r="D5" s="25" t="s">
        <v>367</v>
      </c>
      <c r="E5" s="13">
        <v>2</v>
      </c>
      <c r="G5" s="319">
        <v>1001494520</v>
      </c>
      <c r="H5" s="13">
        <v>40</v>
      </c>
      <c r="J5" s="10">
        <v>1001505178</v>
      </c>
      <c r="K5" s="11">
        <v>20</v>
      </c>
      <c r="L5" s="12"/>
      <c r="M5" s="10">
        <v>1001506424</v>
      </c>
      <c r="N5" s="11">
        <v>20</v>
      </c>
      <c r="O5" s="12"/>
      <c r="P5" s="10">
        <v>1001496389</v>
      </c>
      <c r="Q5" s="11">
        <v>10</v>
      </c>
      <c r="S5" s="10">
        <v>1001491397</v>
      </c>
      <c r="T5" s="11">
        <v>20</v>
      </c>
      <c r="V5" s="10">
        <v>1001499077</v>
      </c>
      <c r="W5" s="11">
        <v>20</v>
      </c>
      <c r="AD5" s="31"/>
    </row>
    <row r="6" spans="2:30" ht="15" customHeight="1" x14ac:dyDescent="0.25">
      <c r="B6" s="31"/>
      <c r="D6" s="25"/>
      <c r="E6" s="13"/>
      <c r="G6" s="319">
        <v>1001497130</v>
      </c>
      <c r="H6" s="13">
        <v>40</v>
      </c>
      <c r="J6" s="350">
        <v>1001507381</v>
      </c>
      <c r="K6" s="11">
        <v>20</v>
      </c>
      <c r="L6" s="12"/>
      <c r="M6" s="10">
        <v>1001507431</v>
      </c>
      <c r="N6" s="11">
        <v>20</v>
      </c>
      <c r="O6" s="12"/>
      <c r="P6" s="344"/>
      <c r="Q6" s="11"/>
      <c r="S6" s="8">
        <v>1001496921</v>
      </c>
      <c r="T6" s="26">
        <v>20</v>
      </c>
      <c r="V6" s="10"/>
      <c r="W6" s="11"/>
      <c r="AD6" s="31"/>
    </row>
    <row r="7" spans="2:30" ht="15" customHeight="1" x14ac:dyDescent="0.25">
      <c r="B7" s="31"/>
      <c r="D7" s="10"/>
      <c r="E7" s="13"/>
      <c r="G7" s="319">
        <v>1001501583</v>
      </c>
      <c r="H7" s="13">
        <v>20</v>
      </c>
      <c r="J7" s="10">
        <v>1001507553</v>
      </c>
      <c r="K7" s="11">
        <v>20</v>
      </c>
      <c r="L7" s="12"/>
      <c r="M7" s="10">
        <v>1001507435</v>
      </c>
      <c r="N7" s="11">
        <v>20</v>
      </c>
      <c r="O7" s="12"/>
      <c r="P7" s="344"/>
      <c r="Q7" s="11"/>
      <c r="S7" s="10"/>
      <c r="T7" s="11"/>
      <c r="V7" s="10"/>
      <c r="W7" s="11"/>
      <c r="AD7" s="31"/>
    </row>
    <row r="8" spans="2:30" ht="15" customHeight="1" x14ac:dyDescent="0.25">
      <c r="B8" s="31"/>
      <c r="D8" s="322"/>
      <c r="E8" s="9"/>
      <c r="G8" s="319">
        <v>1001503467</v>
      </c>
      <c r="H8" s="13">
        <v>20</v>
      </c>
      <c r="J8" s="10">
        <v>1001510962</v>
      </c>
      <c r="K8" s="11">
        <v>20</v>
      </c>
      <c r="L8" s="12"/>
      <c r="M8" s="10">
        <v>1001508831</v>
      </c>
      <c r="N8" s="11">
        <v>20</v>
      </c>
      <c r="O8" s="12"/>
      <c r="P8" s="343"/>
      <c r="Q8" s="11"/>
      <c r="S8" s="10"/>
      <c r="T8" s="11"/>
      <c r="V8" s="10"/>
      <c r="W8" s="11"/>
      <c r="AD8" s="31"/>
    </row>
    <row r="9" spans="2:30" x14ac:dyDescent="0.25">
      <c r="B9" s="31"/>
      <c r="D9" s="323"/>
      <c r="E9" s="9"/>
      <c r="G9" s="319">
        <v>1001505756</v>
      </c>
      <c r="H9" s="13">
        <v>40</v>
      </c>
      <c r="J9" s="10">
        <v>1001511352</v>
      </c>
      <c r="K9" s="11">
        <v>20</v>
      </c>
      <c r="L9" s="12"/>
      <c r="M9" s="10"/>
      <c r="N9" s="11"/>
      <c r="O9" s="12"/>
      <c r="P9" s="10"/>
      <c r="Q9" s="11"/>
      <c r="S9" s="10"/>
      <c r="T9" s="11"/>
      <c r="V9" s="10"/>
      <c r="W9" s="11"/>
      <c r="AD9" s="31"/>
    </row>
    <row r="10" spans="2:30" x14ac:dyDescent="0.25">
      <c r="B10" s="31"/>
      <c r="D10" s="8"/>
      <c r="E10" s="9"/>
      <c r="G10" s="319">
        <v>1001507945</v>
      </c>
      <c r="H10" s="13">
        <v>40</v>
      </c>
      <c r="J10" s="350"/>
      <c r="K10" s="11"/>
      <c r="L10" s="12"/>
      <c r="M10" s="10"/>
      <c r="N10" s="11"/>
      <c r="O10" s="12"/>
      <c r="P10" s="10"/>
      <c r="Q10" s="11"/>
      <c r="S10" s="10"/>
      <c r="T10" s="11"/>
      <c r="V10" s="10"/>
      <c r="W10" s="11"/>
      <c r="AD10" s="31"/>
    </row>
    <row r="11" spans="2:30" x14ac:dyDescent="0.25">
      <c r="B11" s="31"/>
      <c r="D11" s="8"/>
      <c r="E11" s="9"/>
      <c r="G11" s="319">
        <v>1001507946</v>
      </c>
      <c r="H11" s="13">
        <v>40</v>
      </c>
      <c r="J11" s="10"/>
      <c r="K11" s="11"/>
      <c r="L11" s="12"/>
      <c r="M11" s="10"/>
      <c r="N11" s="11"/>
      <c r="O11" s="12"/>
      <c r="P11" s="10"/>
      <c r="Q11" s="11"/>
      <c r="S11" s="10"/>
      <c r="T11" s="11"/>
      <c r="V11" s="10"/>
      <c r="W11" s="11"/>
      <c r="AD11" s="31"/>
    </row>
    <row r="12" spans="2:30" x14ac:dyDescent="0.25">
      <c r="B12" s="31"/>
      <c r="D12" s="10"/>
      <c r="E12" s="13"/>
      <c r="G12" s="319">
        <v>1001509162</v>
      </c>
      <c r="H12" s="13">
        <v>40</v>
      </c>
      <c r="J12" s="350"/>
      <c r="K12" s="11"/>
      <c r="L12" s="12"/>
      <c r="M12" s="10"/>
      <c r="N12" s="11"/>
      <c r="O12" s="12"/>
      <c r="P12" s="10"/>
      <c r="Q12" s="11"/>
      <c r="S12" s="10"/>
      <c r="T12" s="11"/>
      <c r="V12" s="10"/>
      <c r="W12" s="11"/>
      <c r="AD12" s="31"/>
    </row>
    <row r="13" spans="2:30" x14ac:dyDescent="0.25">
      <c r="B13" s="31"/>
      <c r="D13" s="10"/>
      <c r="E13" s="13"/>
      <c r="G13" s="319">
        <v>1001509404</v>
      </c>
      <c r="H13" s="13">
        <v>40</v>
      </c>
      <c r="J13" s="10"/>
      <c r="K13" s="11"/>
      <c r="L13" s="12"/>
      <c r="M13" s="10"/>
      <c r="N13" s="11"/>
      <c r="O13" s="12"/>
      <c r="P13" s="10"/>
      <c r="Q13" s="11"/>
      <c r="S13" s="10"/>
      <c r="T13" s="11"/>
      <c r="V13" s="10"/>
      <c r="W13" s="11"/>
      <c r="AD13" s="31"/>
    </row>
    <row r="14" spans="2:30" ht="15.75" thickBot="1" x14ac:dyDescent="0.3">
      <c r="B14" s="31"/>
      <c r="D14" s="10"/>
      <c r="E14" s="13"/>
      <c r="G14" s="319">
        <v>1001509163</v>
      </c>
      <c r="H14" s="13">
        <v>40</v>
      </c>
      <c r="J14" s="10"/>
      <c r="K14" s="11"/>
      <c r="L14" s="12"/>
      <c r="M14" s="10"/>
      <c r="N14" s="11"/>
      <c r="O14" s="12"/>
      <c r="P14" s="10"/>
      <c r="Q14" s="11"/>
      <c r="S14" s="10"/>
      <c r="T14" s="11"/>
      <c r="V14" s="14"/>
      <c r="W14" s="15"/>
      <c r="AD14" s="31"/>
    </row>
    <row r="15" spans="2:30" ht="16.5" customHeight="1" thickBot="1" x14ac:dyDescent="0.3">
      <c r="B15" s="31"/>
      <c r="D15" s="8"/>
      <c r="E15" s="9"/>
      <c r="G15" s="319">
        <v>1001512564</v>
      </c>
      <c r="H15" s="13">
        <v>40</v>
      </c>
      <c r="J15" s="344"/>
      <c r="K15" s="11"/>
      <c r="L15" s="12"/>
      <c r="M15" s="10"/>
      <c r="N15" s="11"/>
      <c r="O15" s="2"/>
      <c r="P15" s="413" t="s">
        <v>198</v>
      </c>
      <c r="Q15" s="414"/>
      <c r="S15" s="10"/>
      <c r="T15" s="11"/>
      <c r="V15" s="403" t="s">
        <v>296</v>
      </c>
      <c r="W15" s="415"/>
      <c r="AD15" s="31"/>
    </row>
    <row r="16" spans="2:30" ht="16.5" thickBot="1" x14ac:dyDescent="0.3">
      <c r="B16" s="31"/>
      <c r="D16" s="8"/>
      <c r="E16" s="9"/>
      <c r="G16" s="319"/>
      <c r="H16" s="13"/>
      <c r="J16" s="344"/>
      <c r="K16" s="11"/>
      <c r="L16" s="12"/>
      <c r="M16" s="413" t="s">
        <v>197</v>
      </c>
      <c r="N16" s="414"/>
      <c r="O16" s="7"/>
      <c r="P16" s="5" t="s">
        <v>195</v>
      </c>
      <c r="Q16" s="6" t="s">
        <v>196</v>
      </c>
      <c r="S16" s="10"/>
      <c r="T16" s="11"/>
      <c r="V16" s="3" t="s">
        <v>195</v>
      </c>
      <c r="W16" s="4" t="s">
        <v>196</v>
      </c>
      <c r="AD16" s="31"/>
    </row>
    <row r="17" spans="2:30" x14ac:dyDescent="0.25">
      <c r="B17" s="31"/>
      <c r="D17" s="8"/>
      <c r="E17" s="9"/>
      <c r="G17" s="319"/>
      <c r="H17" s="13"/>
      <c r="J17" s="344"/>
      <c r="K17" s="11"/>
      <c r="L17" s="12"/>
      <c r="M17" s="5" t="s">
        <v>195</v>
      </c>
      <c r="N17" s="6" t="s">
        <v>196</v>
      </c>
      <c r="O17" s="12"/>
      <c r="P17" s="16"/>
      <c r="Q17" s="17"/>
      <c r="S17" s="10"/>
      <c r="T17" s="11"/>
      <c r="V17" s="10">
        <v>1001502221</v>
      </c>
      <c r="W17" s="11">
        <v>20</v>
      </c>
      <c r="AD17" s="31"/>
    </row>
    <row r="18" spans="2:30" ht="15.75" thickBot="1" x14ac:dyDescent="0.3">
      <c r="B18" s="31"/>
      <c r="D18" s="8"/>
      <c r="E18" s="13"/>
      <c r="G18" s="320"/>
      <c r="H18" s="13"/>
      <c r="J18" s="10"/>
      <c r="K18" s="11"/>
      <c r="L18" s="12"/>
      <c r="M18" s="10"/>
      <c r="N18" s="11"/>
      <c r="O18" s="12"/>
      <c r="P18" s="16"/>
      <c r="Q18" s="17"/>
      <c r="S18" s="10"/>
      <c r="T18" s="11"/>
      <c r="V18" s="10">
        <v>1001506968</v>
      </c>
      <c r="W18" s="11">
        <v>20</v>
      </c>
      <c r="AD18" s="31"/>
    </row>
    <row r="19" spans="2:30" ht="16.5" thickBot="1" x14ac:dyDescent="0.3">
      <c r="B19" s="31"/>
      <c r="D19" s="405" t="s">
        <v>279</v>
      </c>
      <c r="E19" s="406"/>
      <c r="G19" s="405" t="s">
        <v>307</v>
      </c>
      <c r="H19" s="406"/>
      <c r="J19" s="10"/>
      <c r="K19" s="11"/>
      <c r="L19" s="12"/>
      <c r="M19" s="10"/>
      <c r="N19" s="11"/>
      <c r="O19" s="12"/>
      <c r="P19" s="16"/>
      <c r="Q19" s="17"/>
      <c r="S19" s="10"/>
      <c r="T19" s="11"/>
      <c r="V19" s="10"/>
      <c r="W19" s="11"/>
      <c r="AD19" s="31"/>
    </row>
    <row r="20" spans="2:30" x14ac:dyDescent="0.25">
      <c r="B20" s="31"/>
      <c r="D20" s="315" t="s">
        <v>195</v>
      </c>
      <c r="E20" s="316" t="s">
        <v>196</v>
      </c>
      <c r="G20" s="315" t="s">
        <v>195</v>
      </c>
      <c r="H20" s="316" t="s">
        <v>196</v>
      </c>
      <c r="J20" s="10"/>
      <c r="K20" s="11"/>
      <c r="L20" s="12"/>
      <c r="M20" s="10"/>
      <c r="N20" s="11"/>
      <c r="O20" s="12"/>
      <c r="P20" s="16"/>
      <c r="Q20" s="17"/>
      <c r="S20" s="10"/>
      <c r="T20" s="11"/>
      <c r="V20" s="10"/>
      <c r="W20" s="11"/>
      <c r="AD20" s="31"/>
    </row>
    <row r="21" spans="2:30" x14ac:dyDescent="0.25">
      <c r="B21" s="31"/>
      <c r="D21" s="8">
        <v>1001500046</v>
      </c>
      <c r="E21" s="9">
        <v>3</v>
      </c>
      <c r="G21" s="354"/>
      <c r="H21" s="13"/>
      <c r="J21" s="10"/>
      <c r="K21" s="11"/>
      <c r="L21" s="12"/>
      <c r="M21" s="10"/>
      <c r="N21" s="11"/>
      <c r="O21" s="12"/>
      <c r="P21" s="16"/>
      <c r="Q21" s="17"/>
      <c r="S21" s="10"/>
      <c r="T21" s="11"/>
      <c r="V21" s="10"/>
      <c r="W21" s="11"/>
      <c r="AD21" s="31"/>
    </row>
    <row r="22" spans="2:30" ht="15.75" thickBot="1" x14ac:dyDescent="0.3">
      <c r="B22" s="31"/>
      <c r="D22" s="321"/>
      <c r="E22" s="9"/>
      <c r="G22" s="10"/>
      <c r="H22" s="13"/>
      <c r="J22" s="10"/>
      <c r="K22" s="11"/>
      <c r="L22" s="12"/>
      <c r="M22" s="20"/>
      <c r="N22" s="21"/>
      <c r="O22" s="12"/>
      <c r="P22" s="18"/>
      <c r="Q22" s="22"/>
      <c r="S22" s="20"/>
      <c r="T22" s="21"/>
      <c r="V22" s="20"/>
      <c r="W22" s="21"/>
      <c r="AD22" s="31"/>
    </row>
    <row r="23" spans="2:30" ht="15.75" thickBot="1" x14ac:dyDescent="0.3">
      <c r="B23" s="31"/>
      <c r="D23" s="321"/>
      <c r="E23" s="9"/>
      <c r="G23" s="10"/>
      <c r="H23" s="13"/>
      <c r="J23" s="16"/>
      <c r="K23" s="17"/>
      <c r="AD23" s="31"/>
    </row>
    <row r="24" spans="2:30" ht="16.5" thickBot="1" x14ac:dyDescent="0.3">
      <c r="B24" s="31"/>
      <c r="D24" s="16"/>
      <c r="E24" s="9"/>
      <c r="G24" s="25"/>
      <c r="H24" s="13"/>
      <c r="J24" s="16"/>
      <c r="K24" s="17"/>
      <c r="M24" s="416" t="s">
        <v>256</v>
      </c>
      <c r="N24" s="417"/>
      <c r="P24" s="416" t="s">
        <v>257</v>
      </c>
      <c r="Q24" s="417"/>
      <c r="S24" s="418" t="s">
        <v>199</v>
      </c>
      <c r="T24" s="419"/>
      <c r="V24" s="420" t="s">
        <v>200</v>
      </c>
      <c r="W24" s="421"/>
      <c r="AD24" s="31"/>
    </row>
    <row r="25" spans="2:30" x14ac:dyDescent="0.25">
      <c r="B25" s="31"/>
      <c r="D25" s="16"/>
      <c r="E25" s="9"/>
      <c r="G25" s="354"/>
      <c r="H25" s="13"/>
      <c r="J25" s="16"/>
      <c r="K25" s="17"/>
      <c r="M25" s="5" t="s">
        <v>195</v>
      </c>
      <c r="N25" s="6" t="s">
        <v>196</v>
      </c>
      <c r="P25" s="5" t="s">
        <v>195</v>
      </c>
      <c r="Q25" s="6" t="s">
        <v>196</v>
      </c>
      <c r="S25" s="23" t="s">
        <v>195</v>
      </c>
      <c r="T25" s="24" t="s">
        <v>196</v>
      </c>
      <c r="V25" s="23" t="s">
        <v>195</v>
      </c>
      <c r="W25" s="24" t="s">
        <v>196</v>
      </c>
      <c r="AD25" s="31"/>
    </row>
    <row r="26" spans="2:30" x14ac:dyDescent="0.25">
      <c r="B26" s="31"/>
      <c r="D26" s="16"/>
      <c r="E26" s="9"/>
      <c r="G26" s="10"/>
      <c r="H26" s="13"/>
      <c r="J26" s="16"/>
      <c r="K26" s="17"/>
      <c r="M26" s="25"/>
      <c r="N26" s="11"/>
      <c r="P26" s="10"/>
      <c r="Q26" s="11"/>
      <c r="S26" s="10"/>
      <c r="T26" s="26"/>
      <c r="V26" s="10">
        <v>1001505552</v>
      </c>
      <c r="W26" s="11">
        <v>4</v>
      </c>
      <c r="AD26" s="31"/>
    </row>
    <row r="27" spans="2:30" x14ac:dyDescent="0.25">
      <c r="B27" s="31"/>
      <c r="D27" s="16"/>
      <c r="E27" s="9"/>
      <c r="G27" s="10"/>
      <c r="H27" s="13"/>
      <c r="J27" s="16"/>
      <c r="K27" s="17"/>
      <c r="M27" s="10"/>
      <c r="N27" s="11"/>
      <c r="P27" s="25"/>
      <c r="Q27" s="11"/>
      <c r="S27" s="27"/>
      <c r="T27" s="28"/>
      <c r="V27" s="10">
        <v>1001510398</v>
      </c>
      <c r="W27" s="11">
        <v>20</v>
      </c>
      <c r="AD27" s="31"/>
    </row>
    <row r="28" spans="2:30" x14ac:dyDescent="0.25">
      <c r="B28" s="31"/>
      <c r="D28" s="16"/>
      <c r="E28" s="9"/>
      <c r="G28" s="10"/>
      <c r="H28" s="13"/>
      <c r="J28" s="16"/>
      <c r="K28" s="17"/>
      <c r="M28" s="16"/>
      <c r="N28" s="17"/>
      <c r="P28" s="25"/>
      <c r="Q28" s="11"/>
      <c r="S28" s="8"/>
      <c r="T28" s="26"/>
      <c r="V28" s="10"/>
      <c r="W28" s="11"/>
      <c r="AD28" s="31"/>
    </row>
    <row r="29" spans="2:30" x14ac:dyDescent="0.25">
      <c r="B29" s="31"/>
      <c r="D29" s="16"/>
      <c r="E29" s="9"/>
      <c r="G29" s="350"/>
      <c r="H29" s="355"/>
      <c r="J29" s="16"/>
      <c r="K29" s="17"/>
      <c r="M29" s="16"/>
      <c r="N29" s="17"/>
      <c r="P29" s="10"/>
      <c r="Q29" s="11"/>
      <c r="S29" s="8"/>
      <c r="T29" s="26"/>
      <c r="V29" s="10"/>
      <c r="W29" s="11"/>
      <c r="AD29" s="31"/>
    </row>
    <row r="30" spans="2:30" x14ac:dyDescent="0.25">
      <c r="B30" s="31"/>
      <c r="D30" s="16"/>
      <c r="E30" s="9"/>
      <c r="G30" s="350"/>
      <c r="H30" s="355"/>
      <c r="J30" s="16"/>
      <c r="K30" s="17"/>
      <c r="M30" s="10"/>
      <c r="N30" s="11"/>
      <c r="P30" s="10"/>
      <c r="Q30" s="11"/>
      <c r="S30" s="8"/>
      <c r="T30" s="26"/>
      <c r="V30" s="10"/>
      <c r="W30" s="11"/>
      <c r="AD30" s="31"/>
    </row>
    <row r="31" spans="2:30" x14ac:dyDescent="0.25">
      <c r="B31" s="31"/>
      <c r="D31" s="16"/>
      <c r="E31" s="9"/>
      <c r="G31" s="350"/>
      <c r="H31" s="355"/>
      <c r="J31" s="16"/>
      <c r="K31" s="17"/>
      <c r="M31" s="10"/>
      <c r="N31" s="11"/>
      <c r="P31" s="10"/>
      <c r="Q31" s="11"/>
      <c r="S31" s="8"/>
      <c r="T31" s="26"/>
      <c r="V31" s="10"/>
      <c r="W31" s="11"/>
      <c r="AD31" s="31"/>
    </row>
    <row r="32" spans="2:30" x14ac:dyDescent="0.25">
      <c r="B32" s="31"/>
      <c r="D32" s="16"/>
      <c r="E32" s="9"/>
      <c r="G32" s="350"/>
      <c r="H32" s="355"/>
      <c r="J32" s="16"/>
      <c r="K32" s="17"/>
      <c r="M32" s="10"/>
      <c r="N32" s="11"/>
      <c r="P32" s="10"/>
      <c r="Q32" s="11"/>
      <c r="S32" s="8"/>
      <c r="T32" s="26"/>
      <c r="V32" s="10"/>
      <c r="W32" s="11"/>
      <c r="AD32" s="31"/>
    </row>
    <row r="33" spans="2:30" ht="15.75" thickBot="1" x14ac:dyDescent="0.3">
      <c r="B33" s="31"/>
      <c r="D33" s="18"/>
      <c r="E33" s="19"/>
      <c r="G33" s="356"/>
      <c r="H33" s="357"/>
      <c r="J33" s="18"/>
      <c r="K33" s="22"/>
      <c r="M33" s="20"/>
      <c r="N33" s="21"/>
      <c r="P33" s="20"/>
      <c r="Q33" s="21"/>
      <c r="S33" s="29"/>
      <c r="T33" s="30"/>
      <c r="V33" s="20"/>
      <c r="W33" s="21"/>
      <c r="AD33" s="31"/>
    </row>
    <row r="34" spans="2:30" x14ac:dyDescent="0.25">
      <c r="B34" s="31"/>
      <c r="AD34" s="31"/>
    </row>
    <row r="35" spans="2:30" x14ac:dyDescent="0.25">
      <c r="B35" s="31"/>
      <c r="C35" s="31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</row>
    <row r="36" spans="2:30" ht="7.5" customHeight="1" x14ac:dyDescent="0.25">
      <c r="B36" s="31"/>
      <c r="C36" s="31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</row>
  </sheetData>
  <sortState xmlns:xlrd2="http://schemas.microsoft.com/office/spreadsheetml/2017/richdata2" ref="M5:N8">
    <sortCondition ref="M5:M8"/>
  </sortState>
  <mergeCells count="16">
    <mergeCell ref="D19:E19"/>
    <mergeCell ref="P15:Q15"/>
    <mergeCell ref="V15:W15"/>
    <mergeCell ref="M24:N24"/>
    <mergeCell ref="P24:Q24"/>
    <mergeCell ref="S24:T24"/>
    <mergeCell ref="V24:W24"/>
    <mergeCell ref="M16:N16"/>
    <mergeCell ref="G19:H19"/>
    <mergeCell ref="S3:T3"/>
    <mergeCell ref="V3:W3"/>
    <mergeCell ref="D3:E3"/>
    <mergeCell ref="G3:H3"/>
    <mergeCell ref="J3:K3"/>
    <mergeCell ref="M3:N3"/>
    <mergeCell ref="P3:Q3"/>
  </mergeCells>
  <pageMargins left="0.7" right="0.7" top="0.75" bottom="0.75" header="0.3" footer="0.3"/>
  <pageSetup paperSize="9" scale="6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D2D"/>
  </sheetPr>
  <dimension ref="A1:O24"/>
  <sheetViews>
    <sheetView zoomScaleNormal="100" workbookViewId="0"/>
  </sheetViews>
  <sheetFormatPr defaultRowHeight="15" x14ac:dyDescent="0.25"/>
  <cols>
    <col min="1" max="1" width="8.7109375" bestFit="1" customWidth="1"/>
    <col min="2" max="2" width="18.140625" bestFit="1" customWidth="1"/>
    <col min="3" max="3" width="13.28515625" customWidth="1"/>
    <col min="4" max="4" width="14" bestFit="1" customWidth="1"/>
    <col min="5" max="5" width="14.5703125" bestFit="1" customWidth="1"/>
    <col min="6" max="6" width="31.85546875" bestFit="1" customWidth="1"/>
    <col min="7" max="7" width="19" bestFit="1" customWidth="1"/>
    <col min="8" max="8" width="7.5703125" customWidth="1"/>
    <col min="15" max="15" width="8.5703125" bestFit="1" customWidth="1"/>
    <col min="16" max="16" width="10.28515625" customWidth="1"/>
    <col min="17" max="17" width="9.7109375" customWidth="1"/>
  </cols>
  <sheetData>
    <row r="1" spans="1:15" ht="15.75" thickBot="1" x14ac:dyDescent="0.3">
      <c r="O1" s="33"/>
    </row>
    <row r="2" spans="1:15" ht="24" thickBot="1" x14ac:dyDescent="0.3">
      <c r="A2" s="425" t="s">
        <v>212</v>
      </c>
      <c r="B2" s="426"/>
      <c r="C2" s="426"/>
      <c r="D2" s="426"/>
      <c r="E2" s="426"/>
      <c r="F2" s="426"/>
      <c r="G2" s="426"/>
      <c r="H2" s="427"/>
    </row>
    <row r="3" spans="1:15" ht="15.75" thickBot="1" x14ac:dyDescent="0.3">
      <c r="A3" s="34"/>
      <c r="B3" s="35"/>
      <c r="C3" s="35"/>
      <c r="D3" s="36"/>
      <c r="E3" s="35"/>
      <c r="F3" s="35"/>
    </row>
    <row r="4" spans="1:15" ht="15.75" thickBot="1" x14ac:dyDescent="0.3">
      <c r="A4" s="59" t="s">
        <v>0</v>
      </c>
      <c r="B4" s="60" t="s">
        <v>208</v>
      </c>
      <c r="C4" s="60" t="s">
        <v>1</v>
      </c>
      <c r="D4" s="61" t="s">
        <v>2</v>
      </c>
      <c r="E4" s="60" t="s">
        <v>8</v>
      </c>
      <c r="F4" s="60" t="s">
        <v>3</v>
      </c>
      <c r="G4" s="62" t="s">
        <v>4</v>
      </c>
      <c r="H4" s="63" t="s">
        <v>5</v>
      </c>
    </row>
    <row r="5" spans="1:15" x14ac:dyDescent="0.25">
      <c r="A5" s="48" t="str">
        <f>raw_data!A10</f>
        <v>001-1683</v>
      </c>
      <c r="B5" s="366" t="s">
        <v>26</v>
      </c>
      <c r="C5" s="49" t="str">
        <f>raw_data!B10</f>
        <v>G12JAN24F</v>
      </c>
      <c r="D5" s="50">
        <f>raw_data!C10</f>
        <v>46053</v>
      </c>
      <c r="E5" s="366" t="s">
        <v>16</v>
      </c>
      <c r="F5" s="51" t="str">
        <f>raw_data!D10</f>
        <v>7 lådor</v>
      </c>
      <c r="G5" s="50">
        <f>raw_data!E10</f>
        <v>45944</v>
      </c>
      <c r="H5" s="52" t="str">
        <f>raw_data!F10</f>
        <v>vdao</v>
      </c>
    </row>
    <row r="6" spans="1:15" x14ac:dyDescent="0.25">
      <c r="A6" s="8" t="str">
        <f>raw_data!A11</f>
        <v>001-1683</v>
      </c>
      <c r="B6" s="369"/>
      <c r="C6" s="39" t="str">
        <f>raw_data!B11</f>
        <v>N/A</v>
      </c>
      <c r="D6" s="40" t="str">
        <f>raw_data!C11</f>
        <v>N/A</v>
      </c>
      <c r="E6" s="369"/>
      <c r="F6" s="53" t="str">
        <f>raw_data!D11</f>
        <v>N/A</v>
      </c>
      <c r="G6" s="40" t="str">
        <f>raw_data!E11</f>
        <v>N/A</v>
      </c>
      <c r="H6" s="26" t="str">
        <f>raw_data!F11</f>
        <v>N/A</v>
      </c>
    </row>
    <row r="7" spans="1:15" x14ac:dyDescent="0.25">
      <c r="A7" s="8" t="str">
        <f>raw_data!A12</f>
        <v>001-1683</v>
      </c>
      <c r="B7" s="369"/>
      <c r="C7" s="39" t="str">
        <f>raw_data!B12</f>
        <v>N/A</v>
      </c>
      <c r="D7" s="40" t="str">
        <f>raw_data!C12</f>
        <v>N/A</v>
      </c>
      <c r="E7" s="369"/>
      <c r="F7" s="53" t="str">
        <f>raw_data!D12</f>
        <v>N/A</v>
      </c>
      <c r="G7" s="40" t="str">
        <f>raw_data!E12</f>
        <v>N/A</v>
      </c>
      <c r="H7" s="26" t="str">
        <f>raw_data!F12</f>
        <v>N/A</v>
      </c>
    </row>
    <row r="8" spans="1:15" ht="15.75" thickBot="1" x14ac:dyDescent="0.3">
      <c r="A8" s="29" t="str">
        <f>raw_data!A13</f>
        <v>001-1683</v>
      </c>
      <c r="B8" s="360"/>
      <c r="C8" s="41" t="str">
        <f>raw_data!B13</f>
        <v>N/A</v>
      </c>
      <c r="D8" s="42" t="str">
        <f>raw_data!C13</f>
        <v>N/A</v>
      </c>
      <c r="E8" s="360"/>
      <c r="F8" s="54" t="str">
        <f>raw_data!D13</f>
        <v>N/A</v>
      </c>
      <c r="G8" s="42" t="str">
        <f>raw_data!E13</f>
        <v>N/A</v>
      </c>
      <c r="H8" s="30" t="str">
        <f>raw_data!F13</f>
        <v>N/A</v>
      </c>
    </row>
    <row r="9" spans="1:15" ht="15.75" thickBot="1" x14ac:dyDescent="0.3"/>
    <row r="10" spans="1:15" ht="24" thickBot="1" x14ac:dyDescent="0.3">
      <c r="A10" s="428" t="s">
        <v>216</v>
      </c>
      <c r="B10" s="429"/>
      <c r="C10" s="429"/>
      <c r="D10" s="429"/>
      <c r="E10" s="429"/>
      <c r="F10" s="429"/>
      <c r="G10" s="429"/>
      <c r="H10" s="430"/>
    </row>
    <row r="11" spans="1:15" ht="15.75" thickBot="1" x14ac:dyDescent="0.3">
      <c r="A11" s="431" t="s">
        <v>203</v>
      </c>
      <c r="B11" s="432"/>
      <c r="C11" s="432"/>
      <c r="D11" s="432"/>
      <c r="E11" s="432"/>
      <c r="F11" s="432"/>
      <c r="G11" s="432"/>
      <c r="H11" s="433"/>
    </row>
    <row r="12" spans="1:15" ht="15.75" thickBot="1" x14ac:dyDescent="0.3">
      <c r="A12" s="434" t="s">
        <v>209</v>
      </c>
      <c r="B12" s="435"/>
      <c r="C12" s="435"/>
      <c r="D12" s="436" t="s">
        <v>2</v>
      </c>
      <c r="E12" s="436"/>
      <c r="F12" s="45" t="s">
        <v>205</v>
      </c>
      <c r="G12" s="46" t="s">
        <v>4</v>
      </c>
      <c r="H12" s="47" t="s">
        <v>5</v>
      </c>
    </row>
    <row r="13" spans="1:15" x14ac:dyDescent="0.25">
      <c r="A13" s="365">
        <f>raw_data!B46</f>
        <v>1001510545</v>
      </c>
      <c r="B13" s="366"/>
      <c r="C13" s="366"/>
      <c r="D13" s="367">
        <f>raw_data!C46</f>
        <v>46156</v>
      </c>
      <c r="E13" s="367"/>
      <c r="F13" s="49" t="str">
        <f>raw_data!D46</f>
        <v>25L</v>
      </c>
      <c r="G13" s="50">
        <f>raw_data!E46</f>
        <v>45982</v>
      </c>
      <c r="H13" s="52" t="str">
        <f>raw_data!F46</f>
        <v>ELS</v>
      </c>
    </row>
    <row r="14" spans="1:15" x14ac:dyDescent="0.25">
      <c r="A14" s="422">
        <f>raw_data!B47</f>
        <v>1001503562</v>
      </c>
      <c r="B14" s="423"/>
      <c r="C14" s="423"/>
      <c r="D14" s="424">
        <f>raw_data!C47</f>
        <v>46111</v>
      </c>
      <c r="E14" s="424"/>
      <c r="F14" s="266" t="str">
        <f>raw_data!D47</f>
        <v>10L</v>
      </c>
      <c r="G14" s="38">
        <f>raw_data!E47</f>
        <v>45985</v>
      </c>
      <c r="H14" s="37" t="str">
        <f>raw_data!F47</f>
        <v>vdao</v>
      </c>
    </row>
    <row r="15" spans="1:15" x14ac:dyDescent="0.25">
      <c r="A15" s="422" t="str">
        <f>raw_data!B48</f>
        <v>N/A</v>
      </c>
      <c r="B15" s="423"/>
      <c r="C15" s="423"/>
      <c r="D15" s="424" t="str">
        <f>raw_data!C48</f>
        <v>N/A</v>
      </c>
      <c r="E15" s="424"/>
      <c r="F15" s="266" t="str">
        <f>raw_data!D48</f>
        <v>N/A</v>
      </c>
      <c r="G15" s="38" t="str">
        <f>raw_data!E48</f>
        <v>N/A</v>
      </c>
      <c r="H15" s="37" t="str">
        <f>raw_data!F48</f>
        <v>N/A</v>
      </c>
    </row>
    <row r="16" spans="1:15" ht="15.75" thickBot="1" x14ac:dyDescent="0.3">
      <c r="A16" s="437" t="str">
        <f>raw_data!B49</f>
        <v>N/A</v>
      </c>
      <c r="B16" s="438"/>
      <c r="C16" s="438"/>
      <c r="D16" s="439" t="str">
        <f>raw_data!C49</f>
        <v>N/A</v>
      </c>
      <c r="E16" s="439"/>
      <c r="F16" s="267" t="str">
        <f>raw_data!D49</f>
        <v>N/A</v>
      </c>
      <c r="G16" s="43" t="str">
        <f>raw_data!E49</f>
        <v>N/A</v>
      </c>
      <c r="H16" s="44" t="str">
        <f>raw_data!F49</f>
        <v>N/A</v>
      </c>
    </row>
    <row r="17" spans="1:8" ht="15.75" thickBot="1" x14ac:dyDescent="0.3"/>
    <row r="18" spans="1:8" ht="24" thickBot="1" x14ac:dyDescent="0.3">
      <c r="A18" s="428" t="s">
        <v>215</v>
      </c>
      <c r="B18" s="429"/>
      <c r="C18" s="429"/>
      <c r="D18" s="429"/>
      <c r="E18" s="429"/>
      <c r="F18" s="429"/>
      <c r="G18" s="429"/>
      <c r="H18" s="430"/>
    </row>
    <row r="19" spans="1:8" ht="15.75" thickBot="1" x14ac:dyDescent="0.3">
      <c r="A19" s="431" t="s">
        <v>202</v>
      </c>
      <c r="B19" s="432"/>
      <c r="C19" s="432"/>
      <c r="D19" s="432"/>
      <c r="E19" s="432"/>
      <c r="F19" s="432"/>
      <c r="G19" s="432"/>
      <c r="H19" s="433"/>
    </row>
    <row r="20" spans="1:8" ht="15.75" thickBot="1" x14ac:dyDescent="0.3">
      <c r="A20" s="434" t="s">
        <v>209</v>
      </c>
      <c r="B20" s="435"/>
      <c r="C20" s="435"/>
      <c r="D20" s="436" t="s">
        <v>2</v>
      </c>
      <c r="E20" s="436"/>
      <c r="F20" s="45" t="s">
        <v>205</v>
      </c>
      <c r="G20" s="46" t="s">
        <v>4</v>
      </c>
      <c r="H20" s="47" t="s">
        <v>5</v>
      </c>
    </row>
    <row r="21" spans="1:8" x14ac:dyDescent="0.25">
      <c r="A21" s="365">
        <f>raw_data!B118</f>
        <v>1001508989</v>
      </c>
      <c r="B21" s="366"/>
      <c r="C21" s="366"/>
      <c r="D21" s="367">
        <f>raw_data!C118</f>
        <v>46087</v>
      </c>
      <c r="E21" s="367"/>
      <c r="F21" s="50" t="str">
        <f>raw_data!D118</f>
        <v>50L</v>
      </c>
      <c r="G21" s="50">
        <f>raw_data!E118</f>
        <v>45982</v>
      </c>
      <c r="H21" s="52" t="str">
        <f>raw_data!F118</f>
        <v>ELS</v>
      </c>
    </row>
    <row r="22" spans="1:8" x14ac:dyDescent="0.25">
      <c r="A22" s="422">
        <f>raw_data!B119</f>
        <v>1001505209</v>
      </c>
      <c r="B22" s="423"/>
      <c r="C22" s="423"/>
      <c r="D22" s="424">
        <f>raw_data!C119</f>
        <v>46063</v>
      </c>
      <c r="E22" s="424"/>
      <c r="F22" s="38">
        <f>raw_data!D119</f>
        <v>30</v>
      </c>
      <c r="G22" s="38">
        <f>raw_data!E119</f>
        <v>45979</v>
      </c>
      <c r="H22" s="37" t="str">
        <f>raw_data!F119</f>
        <v>JESP</v>
      </c>
    </row>
    <row r="23" spans="1:8" x14ac:dyDescent="0.25">
      <c r="A23" s="422" t="str">
        <f>raw_data!B120</f>
        <v>N/A</v>
      </c>
      <c r="B23" s="423"/>
      <c r="C23" s="423"/>
      <c r="D23" s="424" t="str">
        <f>raw_data!C120</f>
        <v>N/A</v>
      </c>
      <c r="E23" s="424"/>
      <c r="F23" s="38" t="str">
        <f>raw_data!D120</f>
        <v>N/A</v>
      </c>
      <c r="G23" s="38" t="str">
        <f>raw_data!E120</f>
        <v>N/A</v>
      </c>
      <c r="H23" s="37" t="str">
        <f>raw_data!F120</f>
        <v>N/A</v>
      </c>
    </row>
    <row r="24" spans="1:8" ht="15.75" thickBot="1" x14ac:dyDescent="0.3">
      <c r="A24" s="437" t="str">
        <f>raw_data!B121</f>
        <v>N/A</v>
      </c>
      <c r="B24" s="438"/>
      <c r="C24" s="438"/>
      <c r="D24" s="439" t="str">
        <f>raw_data!C121</f>
        <v>N/A</v>
      </c>
      <c r="E24" s="439"/>
      <c r="F24" s="43" t="str">
        <f>raw_data!D121</f>
        <v>N/A</v>
      </c>
      <c r="G24" s="43" t="str">
        <f>raw_data!E121</f>
        <v>N/A</v>
      </c>
      <c r="H24" s="44" t="str">
        <f>raw_data!F121</f>
        <v>N/A</v>
      </c>
    </row>
  </sheetData>
  <sheetProtection algorithmName="SHA-512" hashValue="bgVHo3IQauW7Sni0XyHM1CiJS4hYmIjC569yL2O5Z7XOHVomeMiyVV+HNOsGnZ3KLr55BgewzwyFzWWGEx9Uqg==" saltValue="H9BEvbqDFmqZVYhlVmr04A==" spinCount="100000" sheet="1" formatCells="0" formatColumns="0" formatRows="0" insertColumns="0" insertRows="0" insertHyperlinks="0" deleteColumns="0" deleteRows="0" sort="0" autoFilter="0" pivotTables="0"/>
  <mergeCells count="27">
    <mergeCell ref="A16:C16"/>
    <mergeCell ref="A24:C24"/>
    <mergeCell ref="D24:E24"/>
    <mergeCell ref="A20:C20"/>
    <mergeCell ref="D20:E20"/>
    <mergeCell ref="A21:C21"/>
    <mergeCell ref="D21:E21"/>
    <mergeCell ref="A22:C22"/>
    <mergeCell ref="D22:E22"/>
    <mergeCell ref="A23:C23"/>
    <mergeCell ref="D23:E23"/>
    <mergeCell ref="D16:E16"/>
    <mergeCell ref="A19:H19"/>
    <mergeCell ref="A18:H18"/>
    <mergeCell ref="A2:H2"/>
    <mergeCell ref="A10:H10"/>
    <mergeCell ref="A11:H11"/>
    <mergeCell ref="A12:C12"/>
    <mergeCell ref="D12:E12"/>
    <mergeCell ref="B5:B8"/>
    <mergeCell ref="E5:E8"/>
    <mergeCell ref="A13:C13"/>
    <mergeCell ref="D13:E13"/>
    <mergeCell ref="A14:C14"/>
    <mergeCell ref="D14:E14"/>
    <mergeCell ref="A15:C15"/>
    <mergeCell ref="D15:E15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A219"/>
  </sheetPr>
  <dimension ref="A1:J29"/>
  <sheetViews>
    <sheetView zoomScaleNormal="100" workbookViewId="0"/>
  </sheetViews>
  <sheetFormatPr defaultRowHeight="15" x14ac:dyDescent="0.25"/>
  <cols>
    <col min="1" max="1" width="11.28515625" bestFit="1" customWidth="1"/>
    <col min="2" max="2" width="15.7109375" bestFit="1" customWidth="1"/>
    <col min="3" max="3" width="12.85546875" customWidth="1"/>
    <col min="4" max="4" width="14" bestFit="1" customWidth="1"/>
    <col min="5" max="5" width="14.5703125" bestFit="1" customWidth="1"/>
    <col min="6" max="6" width="31.85546875" bestFit="1" customWidth="1"/>
    <col min="7" max="7" width="19" bestFit="1" customWidth="1"/>
    <col min="8" max="8" width="5.42578125" bestFit="1" customWidth="1"/>
    <col min="13" max="13" width="10.7109375" bestFit="1" customWidth="1"/>
  </cols>
  <sheetData>
    <row r="1" spans="1:8" ht="15.75" thickBot="1" x14ac:dyDescent="0.3"/>
    <row r="2" spans="1:8" ht="24" customHeight="1" thickBot="1" x14ac:dyDescent="0.3">
      <c r="A2" s="449" t="s">
        <v>210</v>
      </c>
      <c r="B2" s="450"/>
      <c r="C2" s="450"/>
      <c r="D2" s="450"/>
      <c r="E2" s="450"/>
      <c r="F2" s="450"/>
      <c r="G2" s="450"/>
      <c r="H2" s="451"/>
    </row>
    <row r="3" spans="1:8" ht="15.75" customHeight="1" thickBot="1" x14ac:dyDescent="0.3">
      <c r="A3" s="34"/>
      <c r="B3" s="35"/>
      <c r="C3" s="35"/>
      <c r="D3" s="36"/>
      <c r="E3" s="35"/>
      <c r="F3" s="35"/>
    </row>
    <row r="4" spans="1:8" ht="15.75" customHeight="1" thickBot="1" x14ac:dyDescent="0.3">
      <c r="A4" s="64" t="s">
        <v>0</v>
      </c>
      <c r="B4" s="65" t="s">
        <v>208</v>
      </c>
      <c r="C4" s="65" t="s">
        <v>1</v>
      </c>
      <c r="D4" s="66" t="s">
        <v>2</v>
      </c>
      <c r="E4" s="65" t="s">
        <v>8</v>
      </c>
      <c r="F4" s="65" t="s">
        <v>3</v>
      </c>
      <c r="G4" s="67" t="s">
        <v>4</v>
      </c>
      <c r="H4" s="68" t="s">
        <v>5</v>
      </c>
    </row>
    <row r="5" spans="1:8" x14ac:dyDescent="0.25">
      <c r="A5" s="48" t="str">
        <f>raw_data!A34</f>
        <v>001-1923</v>
      </c>
      <c r="B5" s="443" t="s">
        <v>41</v>
      </c>
      <c r="C5" s="49" t="str">
        <f>raw_data!B34</f>
        <v>B27FEB25A</v>
      </c>
      <c r="D5" s="50">
        <f>raw_data!C34</f>
        <v>46446</v>
      </c>
      <c r="E5" s="366" t="s">
        <v>16</v>
      </c>
      <c r="F5" s="49" t="str">
        <f>raw_data!D34</f>
        <v>5 Lådor</v>
      </c>
      <c r="G5" s="50">
        <f>raw_data!E34</f>
        <v>45989</v>
      </c>
      <c r="H5" s="52" t="str">
        <f>raw_data!F34</f>
        <v>JESP</v>
      </c>
    </row>
    <row r="6" spans="1:8" x14ac:dyDescent="0.25">
      <c r="A6" s="8" t="str">
        <f>raw_data!A35</f>
        <v>001-1923</v>
      </c>
      <c r="B6" s="444"/>
      <c r="C6" s="39" t="str">
        <f>raw_data!B35</f>
        <v>N/A</v>
      </c>
      <c r="D6" s="40" t="str">
        <f>raw_data!C35</f>
        <v>N/A</v>
      </c>
      <c r="E6" s="369"/>
      <c r="F6" s="39" t="str">
        <f>raw_data!D35</f>
        <v>N/A</v>
      </c>
      <c r="G6" s="40" t="str">
        <f>raw_data!E35</f>
        <v>N/A</v>
      </c>
      <c r="H6" s="26" t="str">
        <f>raw_data!F35</f>
        <v>N/A</v>
      </c>
    </row>
    <row r="7" spans="1:8" x14ac:dyDescent="0.25">
      <c r="A7" s="8" t="str">
        <f>raw_data!A36</f>
        <v>001-1923</v>
      </c>
      <c r="B7" s="444"/>
      <c r="C7" s="39" t="str">
        <f>raw_data!B36</f>
        <v>N/A</v>
      </c>
      <c r="D7" s="40" t="str">
        <f>raw_data!C36</f>
        <v>N/A</v>
      </c>
      <c r="E7" s="369"/>
      <c r="F7" s="39" t="str">
        <f>raw_data!D36</f>
        <v>N/A</v>
      </c>
      <c r="G7" s="40" t="str">
        <f>raw_data!E36</f>
        <v>N/A</v>
      </c>
      <c r="H7" s="26" t="str">
        <f>raw_data!F36</f>
        <v>N/A</v>
      </c>
    </row>
    <row r="8" spans="1:8" ht="15.75" thickBot="1" x14ac:dyDescent="0.3">
      <c r="A8" s="29" t="str">
        <f>raw_data!A37</f>
        <v>001-1923</v>
      </c>
      <c r="B8" s="445"/>
      <c r="C8" s="41" t="str">
        <f>raw_data!B37</f>
        <v>N/A</v>
      </c>
      <c r="D8" s="42" t="str">
        <f>raw_data!C37</f>
        <v>N/A</v>
      </c>
      <c r="E8" s="360"/>
      <c r="F8" s="41" t="str">
        <f>raw_data!D37</f>
        <v>N/A</v>
      </c>
      <c r="G8" s="42" t="str">
        <f>raw_data!E37</f>
        <v>N/A</v>
      </c>
      <c r="H8" s="30" t="str">
        <f>raw_data!F37</f>
        <v>N/A</v>
      </c>
    </row>
    <row r="9" spans="1:8" ht="15.75" thickBot="1" x14ac:dyDescent="0.3">
      <c r="A9" s="69" t="s">
        <v>0</v>
      </c>
      <c r="B9" s="70" t="s">
        <v>208</v>
      </c>
      <c r="C9" s="70" t="s">
        <v>1</v>
      </c>
      <c r="D9" s="71" t="s">
        <v>2</v>
      </c>
      <c r="E9" s="70" t="s">
        <v>8</v>
      </c>
      <c r="F9" s="70" t="s">
        <v>3</v>
      </c>
      <c r="G9" s="72" t="s">
        <v>4</v>
      </c>
      <c r="H9" s="73" t="s">
        <v>5</v>
      </c>
    </row>
    <row r="10" spans="1:8" x14ac:dyDescent="0.25">
      <c r="A10" s="48" t="str">
        <f>raw_data!A290</f>
        <v>001-1968</v>
      </c>
      <c r="B10" s="443" t="s">
        <v>303</v>
      </c>
      <c r="C10" s="49" t="str">
        <f>raw_data!B290</f>
        <v>B01NOV24B</v>
      </c>
      <c r="D10" s="50">
        <f>raw_data!C290</f>
        <v>46356</v>
      </c>
      <c r="E10" s="366" t="s">
        <v>16</v>
      </c>
      <c r="F10" s="49" t="str">
        <f>raw_data!D290</f>
        <v>5.5 lådor</v>
      </c>
      <c r="G10" s="50">
        <f>raw_data!E290</f>
        <v>45985</v>
      </c>
      <c r="H10" s="52" t="str">
        <f>raw_data!F290</f>
        <v>ELS</v>
      </c>
    </row>
    <row r="11" spans="1:8" x14ac:dyDescent="0.25">
      <c r="A11" s="8" t="str">
        <f>raw_data!A291</f>
        <v>001-1968</v>
      </c>
      <c r="B11" s="444"/>
      <c r="C11" s="39" t="str">
        <f>raw_data!B291</f>
        <v>N/A</v>
      </c>
      <c r="D11" s="40" t="str">
        <f>raw_data!C291</f>
        <v>N/A</v>
      </c>
      <c r="E11" s="369"/>
      <c r="F11" s="39" t="str">
        <f>raw_data!D291</f>
        <v>N/A</v>
      </c>
      <c r="G11" s="40" t="str">
        <f>raw_data!E291</f>
        <v>N/A</v>
      </c>
      <c r="H11" s="26" t="str">
        <f>raw_data!F291</f>
        <v>N/A</v>
      </c>
    </row>
    <row r="12" spans="1:8" x14ac:dyDescent="0.25">
      <c r="A12" s="8" t="str">
        <f>raw_data!A292</f>
        <v>001-1968</v>
      </c>
      <c r="B12" s="444"/>
      <c r="C12" s="39" t="str">
        <f>raw_data!B292</f>
        <v>N/A</v>
      </c>
      <c r="D12" s="40" t="str">
        <f>raw_data!C292</f>
        <v>N/A</v>
      </c>
      <c r="E12" s="369"/>
      <c r="F12" s="39" t="str">
        <f>raw_data!D292</f>
        <v>N/A</v>
      </c>
      <c r="G12" s="40" t="str">
        <f>raw_data!E292</f>
        <v>N/A</v>
      </c>
      <c r="H12" s="26" t="str">
        <f>raw_data!F292</f>
        <v>N/A</v>
      </c>
    </row>
    <row r="13" spans="1:8" ht="15.75" thickBot="1" x14ac:dyDescent="0.3">
      <c r="A13" s="29" t="str">
        <f>raw_data!A293</f>
        <v>001-1968</v>
      </c>
      <c r="B13" s="445"/>
      <c r="C13" s="41" t="str">
        <f>raw_data!B293</f>
        <v>N/A</v>
      </c>
      <c r="D13" s="42" t="str">
        <f>raw_data!C293</f>
        <v>N/A</v>
      </c>
      <c r="E13" s="360"/>
      <c r="F13" s="41" t="str">
        <f>raw_data!D293</f>
        <v>N/A</v>
      </c>
      <c r="G13" s="42" t="str">
        <f>raw_data!E293</f>
        <v>N/A</v>
      </c>
      <c r="H13" s="30" t="str">
        <f>raw_data!F293</f>
        <v>N/A</v>
      </c>
    </row>
    <row r="14" spans="1:8" ht="15.75" thickBot="1" x14ac:dyDescent="0.3">
      <c r="A14" s="35"/>
      <c r="B14" s="35"/>
      <c r="C14" s="35"/>
      <c r="D14" s="36"/>
      <c r="E14" s="35"/>
      <c r="F14" s="74"/>
      <c r="G14" s="36"/>
      <c r="H14" s="35"/>
    </row>
    <row r="15" spans="1:8" ht="28.5" customHeight="1" thickBot="1" x14ac:dyDescent="0.3">
      <c r="A15" s="428" t="s">
        <v>216</v>
      </c>
      <c r="B15" s="460"/>
      <c r="C15" s="460"/>
      <c r="D15" s="460"/>
      <c r="E15" s="460"/>
      <c r="F15" s="460"/>
      <c r="G15" s="460"/>
      <c r="H15" s="461"/>
    </row>
    <row r="16" spans="1:8" ht="15.75" customHeight="1" thickBot="1" x14ac:dyDescent="0.3">
      <c r="A16" s="462" t="s">
        <v>203</v>
      </c>
      <c r="B16" s="463"/>
      <c r="C16" s="463"/>
      <c r="D16" s="463"/>
      <c r="E16" s="463"/>
      <c r="F16" s="463"/>
      <c r="G16" s="463"/>
      <c r="H16" s="464"/>
    </row>
    <row r="17" spans="1:10" ht="15.75" thickBot="1" x14ac:dyDescent="0.3">
      <c r="A17" s="455" t="s">
        <v>209</v>
      </c>
      <c r="B17" s="456"/>
      <c r="C17" s="457"/>
      <c r="D17" s="458" t="s">
        <v>2</v>
      </c>
      <c r="E17" s="459"/>
      <c r="F17" s="56" t="s">
        <v>205</v>
      </c>
      <c r="G17" s="57" t="s">
        <v>4</v>
      </c>
      <c r="H17" s="58" t="s">
        <v>5</v>
      </c>
    </row>
    <row r="18" spans="1:10" x14ac:dyDescent="0.25">
      <c r="A18" s="452">
        <f>raw_data!B46</f>
        <v>1001510545</v>
      </c>
      <c r="B18" s="453"/>
      <c r="C18" s="454"/>
      <c r="D18" s="393">
        <f>raw_data!C46</f>
        <v>46156</v>
      </c>
      <c r="E18" s="394"/>
      <c r="F18" s="49" t="str">
        <f>raw_data!D46</f>
        <v>25L</v>
      </c>
      <c r="G18" s="50">
        <f>raw_data!E46</f>
        <v>45982</v>
      </c>
      <c r="H18" s="52" t="str">
        <f>raw_data!F46</f>
        <v>ELS</v>
      </c>
    </row>
    <row r="19" spans="1:10" x14ac:dyDescent="0.25">
      <c r="A19" s="446">
        <f>raw_data!B47</f>
        <v>1001503562</v>
      </c>
      <c r="B19" s="447"/>
      <c r="C19" s="448"/>
      <c r="D19" s="383">
        <f>raw_data!C47</f>
        <v>46111</v>
      </c>
      <c r="E19" s="384"/>
      <c r="F19" s="39" t="str">
        <f>raw_data!D47</f>
        <v>10L</v>
      </c>
      <c r="G19" s="40">
        <f>raw_data!E47</f>
        <v>45985</v>
      </c>
      <c r="H19" s="26" t="str">
        <f>raw_data!F47</f>
        <v>vdao</v>
      </c>
      <c r="J19" s="55"/>
    </row>
    <row r="20" spans="1:10" x14ac:dyDescent="0.25">
      <c r="A20" s="446" t="str">
        <f>raw_data!B48</f>
        <v>N/A</v>
      </c>
      <c r="B20" s="447"/>
      <c r="C20" s="448"/>
      <c r="D20" s="383" t="str">
        <f>raw_data!C48</f>
        <v>N/A</v>
      </c>
      <c r="E20" s="384"/>
      <c r="F20" s="39" t="str">
        <f>raw_data!D48</f>
        <v>N/A</v>
      </c>
      <c r="G20" s="40" t="str">
        <f>raw_data!E48</f>
        <v>N/A</v>
      </c>
      <c r="H20" s="26" t="str">
        <f>raw_data!F48</f>
        <v>N/A</v>
      </c>
    </row>
    <row r="21" spans="1:10" ht="15" customHeight="1" thickBot="1" x14ac:dyDescent="0.3">
      <c r="A21" s="440" t="str">
        <f>raw_data!B49</f>
        <v>N/A</v>
      </c>
      <c r="B21" s="441"/>
      <c r="C21" s="442"/>
      <c r="D21" s="391" t="str">
        <f>raw_data!C49</f>
        <v>N/A</v>
      </c>
      <c r="E21" s="392"/>
      <c r="F21" s="41" t="str">
        <f>raw_data!D49</f>
        <v>N/A</v>
      </c>
      <c r="G21" s="42" t="str">
        <f>raw_data!E49</f>
        <v>N/A</v>
      </c>
      <c r="H21" s="30" t="str">
        <f>raw_data!F49</f>
        <v>N/A</v>
      </c>
    </row>
    <row r="22" spans="1:10" ht="15.75" customHeight="1" thickBot="1" x14ac:dyDescent="0.3"/>
    <row r="23" spans="1:10" ht="24" thickBot="1" x14ac:dyDescent="0.3">
      <c r="A23" s="428" t="s">
        <v>215</v>
      </c>
      <c r="B23" s="429"/>
      <c r="C23" s="429"/>
      <c r="D23" s="429"/>
      <c r="E23" s="429"/>
      <c r="F23" s="429"/>
      <c r="G23" s="429"/>
      <c r="H23" s="430"/>
    </row>
    <row r="24" spans="1:10" ht="15.75" customHeight="1" thickBot="1" x14ac:dyDescent="0.3">
      <c r="A24" s="462" t="s">
        <v>202</v>
      </c>
      <c r="B24" s="463"/>
      <c r="C24" s="463"/>
      <c r="D24" s="463"/>
      <c r="E24" s="463"/>
      <c r="F24" s="463"/>
      <c r="G24" s="463"/>
      <c r="H24" s="464"/>
    </row>
    <row r="25" spans="1:10" ht="15.75" thickBot="1" x14ac:dyDescent="0.3">
      <c r="A25" s="455" t="s">
        <v>209</v>
      </c>
      <c r="B25" s="456"/>
      <c r="C25" s="457"/>
      <c r="D25" s="458" t="s">
        <v>2</v>
      </c>
      <c r="E25" s="459"/>
      <c r="F25" s="45" t="s">
        <v>205</v>
      </c>
      <c r="G25" s="46" t="s">
        <v>4</v>
      </c>
      <c r="H25" s="47" t="s">
        <v>5</v>
      </c>
    </row>
    <row r="26" spans="1:10" x14ac:dyDescent="0.25">
      <c r="A26" s="452">
        <f>raw_data!B118</f>
        <v>1001508989</v>
      </c>
      <c r="B26" s="453"/>
      <c r="C26" s="454"/>
      <c r="D26" s="393">
        <f>raw_data!C118</f>
        <v>46087</v>
      </c>
      <c r="E26" s="394"/>
      <c r="F26" s="49" t="str">
        <f>raw_data!D118</f>
        <v>50L</v>
      </c>
      <c r="G26" s="50">
        <f>raw_data!E118</f>
        <v>45982</v>
      </c>
      <c r="H26" s="52" t="str">
        <f>raw_data!F118</f>
        <v>ELS</v>
      </c>
    </row>
    <row r="27" spans="1:10" x14ac:dyDescent="0.25">
      <c r="A27" s="446">
        <f>raw_data!B119</f>
        <v>1001505209</v>
      </c>
      <c r="B27" s="447"/>
      <c r="C27" s="448"/>
      <c r="D27" s="383">
        <f>raw_data!C119</f>
        <v>46063</v>
      </c>
      <c r="E27" s="384"/>
      <c r="F27" s="266">
        <f>raw_data!D119</f>
        <v>30</v>
      </c>
      <c r="G27" s="38">
        <f>raw_data!E119</f>
        <v>45979</v>
      </c>
      <c r="H27" s="37" t="str">
        <f>raw_data!F119</f>
        <v>JESP</v>
      </c>
    </row>
    <row r="28" spans="1:10" x14ac:dyDescent="0.25">
      <c r="A28" s="446" t="str">
        <f>raw_data!B120</f>
        <v>N/A</v>
      </c>
      <c r="B28" s="447"/>
      <c r="C28" s="448"/>
      <c r="D28" s="383" t="str">
        <f>raw_data!C120</f>
        <v>N/A</v>
      </c>
      <c r="E28" s="384"/>
      <c r="F28" s="266" t="str">
        <f>raw_data!D120</f>
        <v>N/A</v>
      </c>
      <c r="G28" s="38" t="str">
        <f>raw_data!E120</f>
        <v>N/A</v>
      </c>
      <c r="H28" s="37" t="str">
        <f>raw_data!F120</f>
        <v>N/A</v>
      </c>
    </row>
    <row r="29" spans="1:10" ht="15.75" thickBot="1" x14ac:dyDescent="0.3">
      <c r="A29" s="440" t="str">
        <f>raw_data!B121</f>
        <v>N/A</v>
      </c>
      <c r="B29" s="441"/>
      <c r="C29" s="442"/>
      <c r="D29" s="391" t="str">
        <f>raw_data!C121</f>
        <v>N/A</v>
      </c>
      <c r="E29" s="392"/>
      <c r="F29" s="267" t="str">
        <f>raw_data!D121</f>
        <v>N/A</v>
      </c>
      <c r="G29" s="43" t="str">
        <f>raw_data!E121</f>
        <v>N/A</v>
      </c>
      <c r="H29" s="44" t="str">
        <f>raw_data!F121</f>
        <v>N/A</v>
      </c>
    </row>
  </sheetData>
  <sheetProtection algorithmName="SHA-512" hashValue="x8Q5c76O+TDZA8boLEIRAJojynqELCu6UJ3kEVnudowrJva19qxj7zwFqtYIqe2O7lJ34hXGGuBFoiDnDoeddA==" saltValue="gLTrhm7LjGfVllyuN3uqZw==" spinCount="100000" sheet="1" formatCells="0" formatColumns="0" formatRows="0" insertColumns="0" insertRows="0" insertHyperlinks="0" deleteColumns="0" deleteRows="0" sort="0" autoFilter="0" pivotTables="0"/>
  <mergeCells count="29">
    <mergeCell ref="A23:H23"/>
    <mergeCell ref="A24:H24"/>
    <mergeCell ref="A29:C29"/>
    <mergeCell ref="A28:C28"/>
    <mergeCell ref="A27:C27"/>
    <mergeCell ref="A26:C26"/>
    <mergeCell ref="D26:E26"/>
    <mergeCell ref="D27:E27"/>
    <mergeCell ref="D28:E28"/>
    <mergeCell ref="D29:E29"/>
    <mergeCell ref="A25:C25"/>
    <mergeCell ref="D25:E25"/>
    <mergeCell ref="A2:H2"/>
    <mergeCell ref="B5:B8"/>
    <mergeCell ref="E5:E8"/>
    <mergeCell ref="A18:C18"/>
    <mergeCell ref="A17:C17"/>
    <mergeCell ref="D17:E17"/>
    <mergeCell ref="A15:H15"/>
    <mergeCell ref="D18:E18"/>
    <mergeCell ref="A16:H16"/>
    <mergeCell ref="A21:C21"/>
    <mergeCell ref="D21:E21"/>
    <mergeCell ref="E10:E13"/>
    <mergeCell ref="B10:B13"/>
    <mergeCell ref="A20:C20"/>
    <mergeCell ref="D19:E19"/>
    <mergeCell ref="D20:E20"/>
    <mergeCell ref="A19:C19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E7F00"/>
  </sheetPr>
  <dimension ref="A1:J34"/>
  <sheetViews>
    <sheetView workbookViewId="0"/>
  </sheetViews>
  <sheetFormatPr defaultRowHeight="15" x14ac:dyDescent="0.25"/>
  <cols>
    <col min="1" max="1" width="11.28515625" bestFit="1" customWidth="1"/>
    <col min="2" max="2" width="18.140625" bestFit="1" customWidth="1"/>
    <col min="3" max="3" width="11.42578125" bestFit="1" customWidth="1"/>
    <col min="4" max="4" width="14" style="75" bestFit="1" customWidth="1"/>
    <col min="5" max="5" width="14.5703125" bestFit="1" customWidth="1"/>
    <col min="6" max="6" width="31.85546875" bestFit="1" customWidth="1"/>
    <col min="7" max="7" width="19" style="75" bestFit="1" customWidth="1"/>
    <col min="8" max="8" width="5.42578125" bestFit="1" customWidth="1"/>
    <col min="9" max="9" width="9.140625" customWidth="1"/>
  </cols>
  <sheetData>
    <row r="1" spans="1:8" ht="15.75" thickBot="1" x14ac:dyDescent="0.3"/>
    <row r="2" spans="1:8" ht="24" thickBot="1" x14ac:dyDescent="0.3">
      <c r="A2" s="465" t="s">
        <v>19</v>
      </c>
      <c r="B2" s="466"/>
      <c r="C2" s="466"/>
      <c r="D2" s="466"/>
      <c r="E2" s="466"/>
      <c r="F2" s="466"/>
      <c r="G2" s="466"/>
      <c r="H2" s="467"/>
    </row>
    <row r="3" spans="1:8" ht="15.75" thickBot="1" x14ac:dyDescent="0.3">
      <c r="A3" s="34"/>
      <c r="B3" s="35"/>
      <c r="C3" s="35"/>
      <c r="D3" s="36"/>
      <c r="E3" s="35"/>
      <c r="F3" s="35"/>
    </row>
    <row r="4" spans="1:8" ht="15.75" thickBot="1" x14ac:dyDescent="0.3">
      <c r="A4" s="78" t="s">
        <v>0</v>
      </c>
      <c r="B4" s="79" t="s">
        <v>208</v>
      </c>
      <c r="C4" s="79" t="s">
        <v>1</v>
      </c>
      <c r="D4" s="80" t="s">
        <v>2</v>
      </c>
      <c r="E4" s="79" t="s">
        <v>8</v>
      </c>
      <c r="F4" s="79" t="s">
        <v>3</v>
      </c>
      <c r="G4" s="81" t="s">
        <v>4</v>
      </c>
      <c r="H4" s="82" t="s">
        <v>5</v>
      </c>
    </row>
    <row r="5" spans="1:8" x14ac:dyDescent="0.25">
      <c r="A5" s="48" t="str">
        <f>raw_data!A10</f>
        <v>001-1683</v>
      </c>
      <c r="B5" s="366" t="s">
        <v>26</v>
      </c>
      <c r="C5" s="49" t="str">
        <f>raw_data!B10</f>
        <v>G12JAN24F</v>
      </c>
      <c r="D5" s="50">
        <f>raw_data!C10</f>
        <v>46053</v>
      </c>
      <c r="E5" s="366" t="s">
        <v>16</v>
      </c>
      <c r="F5" s="51" t="str">
        <f>raw_data!D10</f>
        <v>7 lådor</v>
      </c>
      <c r="G5" s="50">
        <f>raw_data!E10</f>
        <v>45944</v>
      </c>
      <c r="H5" s="52" t="str">
        <f>raw_data!F10</f>
        <v>vdao</v>
      </c>
    </row>
    <row r="6" spans="1:8" x14ac:dyDescent="0.25">
      <c r="A6" s="8" t="str">
        <f>raw_data!A11</f>
        <v>001-1683</v>
      </c>
      <c r="B6" s="369"/>
      <c r="C6" s="39" t="str">
        <f>raw_data!B11</f>
        <v>N/A</v>
      </c>
      <c r="D6" s="40" t="str">
        <f>raw_data!C11</f>
        <v>N/A</v>
      </c>
      <c r="E6" s="369"/>
      <c r="F6" s="53" t="str">
        <f>raw_data!D11</f>
        <v>N/A</v>
      </c>
      <c r="G6" s="40" t="str">
        <f>raw_data!E11</f>
        <v>N/A</v>
      </c>
      <c r="H6" s="26" t="str">
        <f>raw_data!F11</f>
        <v>N/A</v>
      </c>
    </row>
    <row r="7" spans="1:8" x14ac:dyDescent="0.25">
      <c r="A7" s="8" t="str">
        <f>raw_data!A12</f>
        <v>001-1683</v>
      </c>
      <c r="B7" s="369"/>
      <c r="C7" s="39" t="str">
        <f>raw_data!B12</f>
        <v>N/A</v>
      </c>
      <c r="D7" s="40" t="str">
        <f>raw_data!C12</f>
        <v>N/A</v>
      </c>
      <c r="E7" s="369"/>
      <c r="F7" s="53" t="str">
        <f>raw_data!D12</f>
        <v>N/A</v>
      </c>
      <c r="G7" s="40" t="str">
        <f>raw_data!E12</f>
        <v>N/A</v>
      </c>
      <c r="H7" s="26" t="str">
        <f>raw_data!F12</f>
        <v>N/A</v>
      </c>
    </row>
    <row r="8" spans="1:8" ht="15.75" thickBot="1" x14ac:dyDescent="0.3">
      <c r="A8" s="29" t="str">
        <f>raw_data!A13</f>
        <v>001-1683</v>
      </c>
      <c r="B8" s="360"/>
      <c r="C8" s="41" t="str">
        <f>raw_data!B13</f>
        <v>N/A</v>
      </c>
      <c r="D8" s="42" t="str">
        <f>raw_data!C13</f>
        <v>N/A</v>
      </c>
      <c r="E8" s="360"/>
      <c r="F8" s="54" t="str">
        <f>raw_data!D13</f>
        <v>N/A</v>
      </c>
      <c r="G8" s="42" t="str">
        <f>raw_data!E13</f>
        <v>N/A</v>
      </c>
      <c r="H8" s="30" t="str">
        <f>raw_data!F13</f>
        <v>N/A</v>
      </c>
    </row>
    <row r="9" spans="1:8" ht="15.75" thickBot="1" x14ac:dyDescent="0.3">
      <c r="A9" s="83" t="s">
        <v>0</v>
      </c>
      <c r="B9" s="84" t="s">
        <v>208</v>
      </c>
      <c r="C9" s="84" t="s">
        <v>1</v>
      </c>
      <c r="D9" s="85" t="s">
        <v>2</v>
      </c>
      <c r="E9" s="84" t="s">
        <v>8</v>
      </c>
      <c r="F9" s="84" t="s">
        <v>3</v>
      </c>
      <c r="G9" s="86" t="s">
        <v>4</v>
      </c>
      <c r="H9" s="87" t="s">
        <v>5</v>
      </c>
    </row>
    <row r="10" spans="1:8" x14ac:dyDescent="0.25">
      <c r="A10" s="48" t="str">
        <f>raw_data!A6</f>
        <v>001-1658</v>
      </c>
      <c r="B10" s="366" t="s">
        <v>211</v>
      </c>
      <c r="C10" s="49" t="str">
        <f>raw_data!B6</f>
        <v>A17MAR25A</v>
      </c>
      <c r="D10" s="50">
        <f>raw_data!C6</f>
        <v>46477</v>
      </c>
      <c r="E10" s="366" t="s">
        <v>16</v>
      </c>
      <c r="F10" s="49" t="str">
        <f>raw_data!D6</f>
        <v>9 vialer</v>
      </c>
      <c r="G10" s="50">
        <f>raw_data!E6</f>
        <v>45985</v>
      </c>
      <c r="H10" s="52" t="str">
        <f>raw_data!F6</f>
        <v>ELS</v>
      </c>
    </row>
    <row r="11" spans="1:8" x14ac:dyDescent="0.25">
      <c r="A11" s="8" t="str">
        <f>raw_data!A7</f>
        <v>001-1658</v>
      </c>
      <c r="B11" s="369"/>
      <c r="C11" s="39" t="str">
        <f>raw_data!B7</f>
        <v>N/A</v>
      </c>
      <c r="D11" s="40" t="str">
        <f>raw_data!C7</f>
        <v>N/A</v>
      </c>
      <c r="E11" s="369"/>
      <c r="F11" s="39" t="str">
        <f>raw_data!D7</f>
        <v>N/A</v>
      </c>
      <c r="G11" s="40" t="str">
        <f>raw_data!E7</f>
        <v>N/A</v>
      </c>
      <c r="H11" s="26" t="str">
        <f>raw_data!F7</f>
        <v>N/A</v>
      </c>
    </row>
    <row r="12" spans="1:8" x14ac:dyDescent="0.25">
      <c r="A12" s="8" t="str">
        <f>raw_data!A8</f>
        <v>001-1658</v>
      </c>
      <c r="B12" s="369"/>
      <c r="C12" s="39" t="str">
        <f>raw_data!B8</f>
        <v>N/A</v>
      </c>
      <c r="D12" s="40" t="str">
        <f>raw_data!C8</f>
        <v>N/A</v>
      </c>
      <c r="E12" s="369"/>
      <c r="F12" s="39" t="str">
        <f>raw_data!D8</f>
        <v>N/A</v>
      </c>
      <c r="G12" s="40" t="str">
        <f>raw_data!E8</f>
        <v>N/A</v>
      </c>
      <c r="H12" s="26" t="str">
        <f>raw_data!F8</f>
        <v>N/A</v>
      </c>
    </row>
    <row r="13" spans="1:8" ht="15.75" thickBot="1" x14ac:dyDescent="0.3">
      <c r="A13" s="29" t="str">
        <f>raw_data!A9</f>
        <v>001-1658</v>
      </c>
      <c r="B13" s="360"/>
      <c r="C13" s="41" t="str">
        <f>raw_data!B9</f>
        <v>N/A</v>
      </c>
      <c r="D13" s="42" t="str">
        <f>raw_data!C9</f>
        <v>N/A</v>
      </c>
      <c r="E13" s="360"/>
      <c r="F13" s="41" t="str">
        <f>raw_data!D9</f>
        <v>N/A</v>
      </c>
      <c r="G13" s="42" t="str">
        <f>raw_data!E9</f>
        <v>N/A</v>
      </c>
      <c r="H13" s="30" t="str">
        <f>raw_data!F9</f>
        <v>N/A</v>
      </c>
    </row>
    <row r="14" spans="1:8" ht="15.75" thickBot="1" x14ac:dyDescent="0.3">
      <c r="A14" s="83" t="s">
        <v>0</v>
      </c>
      <c r="B14" s="84" t="s">
        <v>208</v>
      </c>
      <c r="C14" s="84" t="s">
        <v>1</v>
      </c>
      <c r="D14" s="85" t="s">
        <v>2</v>
      </c>
      <c r="E14" s="84" t="s">
        <v>8</v>
      </c>
      <c r="F14" s="84" t="s">
        <v>3</v>
      </c>
      <c r="G14" s="86" t="s">
        <v>4</v>
      </c>
      <c r="H14" s="87" t="s">
        <v>5</v>
      </c>
    </row>
    <row r="15" spans="1:8" x14ac:dyDescent="0.25">
      <c r="A15" s="48" t="str">
        <f>raw_data!A30</f>
        <v>001-1922</v>
      </c>
      <c r="B15" s="443" t="s">
        <v>39</v>
      </c>
      <c r="C15" s="49" t="str">
        <f>raw_data!B30</f>
        <v>Q24APR24B</v>
      </c>
      <c r="D15" s="50">
        <f>raw_data!C30</f>
        <v>46115</v>
      </c>
      <c r="E15" s="366" t="s">
        <v>16</v>
      </c>
      <c r="F15" s="49" t="str">
        <f>raw_data!D30</f>
        <v>11 vialer</v>
      </c>
      <c r="G15" s="50">
        <f>raw_data!E30</f>
        <v>45985</v>
      </c>
      <c r="H15" s="52" t="str">
        <f>raw_data!F30</f>
        <v>ELS</v>
      </c>
    </row>
    <row r="16" spans="1:8" x14ac:dyDescent="0.25">
      <c r="A16" s="8" t="str">
        <f>raw_data!A31</f>
        <v>001-1922</v>
      </c>
      <c r="B16" s="444"/>
      <c r="C16" s="39" t="str">
        <f>raw_data!B31</f>
        <v>N/A</v>
      </c>
      <c r="D16" s="40" t="str">
        <f>raw_data!C31</f>
        <v>N/A</v>
      </c>
      <c r="E16" s="369"/>
      <c r="F16" s="39" t="str">
        <f>raw_data!D31</f>
        <v>N/A</v>
      </c>
      <c r="G16" s="40" t="str">
        <f>raw_data!E31</f>
        <v>N/A</v>
      </c>
      <c r="H16" s="26" t="str">
        <f>raw_data!F31</f>
        <v>N/A</v>
      </c>
    </row>
    <row r="17" spans="1:10" x14ac:dyDescent="0.25">
      <c r="A17" s="8" t="str">
        <f>raw_data!A32</f>
        <v>001-1922</v>
      </c>
      <c r="B17" s="444"/>
      <c r="C17" s="39" t="str">
        <f>raw_data!B32</f>
        <v>N/A</v>
      </c>
      <c r="D17" s="40" t="str">
        <f>raw_data!C32</f>
        <v>N/A</v>
      </c>
      <c r="E17" s="369"/>
      <c r="F17" s="39" t="str">
        <f>raw_data!D32</f>
        <v>N/A</v>
      </c>
      <c r="G17" s="40" t="str">
        <f>raw_data!E32</f>
        <v>N/A</v>
      </c>
      <c r="H17" s="26" t="str">
        <f>raw_data!F32</f>
        <v>N/A</v>
      </c>
    </row>
    <row r="18" spans="1:10" ht="15.75" thickBot="1" x14ac:dyDescent="0.3">
      <c r="A18" s="29" t="str">
        <f>raw_data!A33</f>
        <v>001-1922</v>
      </c>
      <c r="B18" s="445"/>
      <c r="C18" s="41" t="str">
        <f>raw_data!B33</f>
        <v>N/A</v>
      </c>
      <c r="D18" s="42" t="str">
        <f>raw_data!C33</f>
        <v>N/A</v>
      </c>
      <c r="E18" s="360"/>
      <c r="F18" s="41" t="str">
        <f>raw_data!D33</f>
        <v>N/A</v>
      </c>
      <c r="G18" s="42" t="str">
        <f>raw_data!E33</f>
        <v>N/A</v>
      </c>
      <c r="H18" s="30" t="str">
        <f>raw_data!F33</f>
        <v>N/A</v>
      </c>
    </row>
    <row r="19" spans="1:10" ht="15.75" thickBot="1" x14ac:dyDescent="0.3">
      <c r="A19" s="35"/>
      <c r="B19" s="35"/>
      <c r="C19" s="35"/>
      <c r="D19" s="36"/>
      <c r="E19" s="35"/>
      <c r="F19" s="74"/>
      <c r="G19" s="36"/>
      <c r="H19" s="35"/>
    </row>
    <row r="20" spans="1:10" ht="24" thickBot="1" x14ac:dyDescent="0.3">
      <c r="A20" s="428" t="s">
        <v>216</v>
      </c>
      <c r="B20" s="460"/>
      <c r="C20" s="460"/>
      <c r="D20" s="460"/>
      <c r="E20" s="460"/>
      <c r="F20" s="460"/>
      <c r="G20" s="460"/>
      <c r="H20" s="461"/>
    </row>
    <row r="21" spans="1:10" ht="24" customHeight="1" thickBot="1" x14ac:dyDescent="0.3">
      <c r="A21" s="462" t="s">
        <v>203</v>
      </c>
      <c r="B21" s="463"/>
      <c r="C21" s="463"/>
      <c r="D21" s="463"/>
      <c r="E21" s="463"/>
      <c r="F21" s="463"/>
      <c r="G21" s="463"/>
      <c r="H21" s="464"/>
    </row>
    <row r="22" spans="1:10" ht="15.75" thickBot="1" x14ac:dyDescent="0.3">
      <c r="A22" s="455" t="s">
        <v>209</v>
      </c>
      <c r="B22" s="456"/>
      <c r="C22" s="457"/>
      <c r="D22" s="458" t="s">
        <v>2</v>
      </c>
      <c r="E22" s="459"/>
      <c r="F22" s="56" t="s">
        <v>205</v>
      </c>
      <c r="G22" s="76" t="s">
        <v>4</v>
      </c>
      <c r="H22" s="58" t="s">
        <v>5</v>
      </c>
    </row>
    <row r="23" spans="1:10" x14ac:dyDescent="0.25">
      <c r="A23" s="452">
        <f>raw_data!B46</f>
        <v>1001510545</v>
      </c>
      <c r="B23" s="453"/>
      <c r="C23" s="454"/>
      <c r="D23" s="393">
        <f>raw_data!C46</f>
        <v>46156</v>
      </c>
      <c r="E23" s="394"/>
      <c r="F23" s="49" t="str">
        <f>raw_data!D46</f>
        <v>25L</v>
      </c>
      <c r="G23" s="50">
        <f>raw_data!E46</f>
        <v>45982</v>
      </c>
      <c r="H23" s="52" t="str">
        <f>raw_data!F46</f>
        <v>ELS</v>
      </c>
    </row>
    <row r="24" spans="1:10" ht="15.75" customHeight="1" x14ac:dyDescent="0.25">
      <c r="A24" s="446">
        <f>raw_data!B47</f>
        <v>1001503562</v>
      </c>
      <c r="B24" s="447"/>
      <c r="C24" s="448"/>
      <c r="D24" s="383">
        <f>raw_data!C47</f>
        <v>46111</v>
      </c>
      <c r="E24" s="384"/>
      <c r="F24" s="39" t="str">
        <f>raw_data!D47</f>
        <v>10L</v>
      </c>
      <c r="G24" s="40">
        <f>raw_data!E47</f>
        <v>45985</v>
      </c>
      <c r="H24" s="26" t="str">
        <f>raw_data!F47</f>
        <v>vdao</v>
      </c>
    </row>
    <row r="25" spans="1:10" ht="15.75" customHeight="1" x14ac:dyDescent="0.25">
      <c r="A25" s="446" t="str">
        <f>raw_data!B48</f>
        <v>N/A</v>
      </c>
      <c r="B25" s="447"/>
      <c r="C25" s="448"/>
      <c r="D25" s="383" t="str">
        <f>raw_data!C48</f>
        <v>N/A</v>
      </c>
      <c r="E25" s="384"/>
      <c r="F25" s="39" t="str">
        <f>raw_data!D48</f>
        <v>N/A</v>
      </c>
      <c r="G25" s="40" t="str">
        <f>raw_data!E48</f>
        <v>N/A</v>
      </c>
      <c r="H25" s="26" t="str">
        <f>raw_data!F48</f>
        <v>N/A</v>
      </c>
    </row>
    <row r="26" spans="1:10" ht="15.75" thickBot="1" x14ac:dyDescent="0.3">
      <c r="A26" s="440" t="str">
        <f>raw_data!B49</f>
        <v>N/A</v>
      </c>
      <c r="B26" s="441"/>
      <c r="C26" s="442"/>
      <c r="D26" s="391" t="str">
        <f>raw_data!C49</f>
        <v>N/A</v>
      </c>
      <c r="E26" s="392"/>
      <c r="F26" s="41" t="str">
        <f>raw_data!D49</f>
        <v>N/A</v>
      </c>
      <c r="G26" s="42" t="str">
        <f>raw_data!E49</f>
        <v>N/A</v>
      </c>
      <c r="H26" s="30" t="str">
        <f>raw_data!F49</f>
        <v>N/A</v>
      </c>
    </row>
    <row r="27" spans="1:10" ht="15.75" thickBot="1" x14ac:dyDescent="0.3"/>
    <row r="28" spans="1:10" ht="24" thickBot="1" x14ac:dyDescent="0.3">
      <c r="A28" s="428" t="s">
        <v>215</v>
      </c>
      <c r="B28" s="429"/>
      <c r="C28" s="429"/>
      <c r="D28" s="429"/>
      <c r="E28" s="429"/>
      <c r="F28" s="429"/>
      <c r="G28" s="429"/>
      <c r="H28" s="430"/>
      <c r="J28" s="55"/>
    </row>
    <row r="29" spans="1:10" ht="32.25" customHeight="1" thickBot="1" x14ac:dyDescent="0.3">
      <c r="A29" s="462" t="s">
        <v>202</v>
      </c>
      <c r="B29" s="463"/>
      <c r="C29" s="463"/>
      <c r="D29" s="463"/>
      <c r="E29" s="463"/>
      <c r="F29" s="463"/>
      <c r="G29" s="463"/>
      <c r="H29" s="464"/>
    </row>
    <row r="30" spans="1:10" ht="15" customHeight="1" thickBot="1" x14ac:dyDescent="0.3">
      <c r="A30" s="455" t="s">
        <v>209</v>
      </c>
      <c r="B30" s="456"/>
      <c r="C30" s="457"/>
      <c r="D30" s="458" t="s">
        <v>2</v>
      </c>
      <c r="E30" s="459"/>
      <c r="F30" s="45" t="s">
        <v>205</v>
      </c>
      <c r="G30" s="77" t="s">
        <v>4</v>
      </c>
      <c r="H30" s="47" t="s">
        <v>5</v>
      </c>
    </row>
    <row r="31" spans="1:10" ht="15.75" customHeight="1" x14ac:dyDescent="0.25">
      <c r="A31" s="452">
        <f>raw_data!B118</f>
        <v>1001508989</v>
      </c>
      <c r="B31" s="453"/>
      <c r="C31" s="454"/>
      <c r="D31" s="393">
        <f>raw_data!C118</f>
        <v>46087</v>
      </c>
      <c r="E31" s="394"/>
      <c r="F31" s="50" t="str">
        <f>raw_data!D118</f>
        <v>50L</v>
      </c>
      <c r="G31" s="50">
        <f>raw_data!E118</f>
        <v>45982</v>
      </c>
      <c r="H31" s="52" t="str">
        <f>raw_data!F118</f>
        <v>ELS</v>
      </c>
    </row>
    <row r="32" spans="1:10" x14ac:dyDescent="0.25">
      <c r="A32" s="446">
        <f>raw_data!B119</f>
        <v>1001505209</v>
      </c>
      <c r="B32" s="447"/>
      <c r="C32" s="448"/>
      <c r="D32" s="383">
        <f>raw_data!C119</f>
        <v>46063</v>
      </c>
      <c r="E32" s="384"/>
      <c r="F32" s="38">
        <f>raw_data!D119</f>
        <v>30</v>
      </c>
      <c r="G32" s="38">
        <f>raw_data!E119</f>
        <v>45979</v>
      </c>
      <c r="H32" s="37" t="str">
        <f>raw_data!F119</f>
        <v>JESP</v>
      </c>
    </row>
    <row r="33" spans="1:8" ht="15.75" customHeight="1" x14ac:dyDescent="0.25">
      <c r="A33" s="446" t="str">
        <f>raw_data!B120</f>
        <v>N/A</v>
      </c>
      <c r="B33" s="447"/>
      <c r="C33" s="448"/>
      <c r="D33" s="383" t="str">
        <f>raw_data!C120</f>
        <v>N/A</v>
      </c>
      <c r="E33" s="384"/>
      <c r="F33" s="38" t="str">
        <f>raw_data!D120</f>
        <v>N/A</v>
      </c>
      <c r="G33" s="38" t="str">
        <f>raw_data!E120</f>
        <v>N/A</v>
      </c>
      <c r="H33" s="37" t="str">
        <f>raw_data!F120</f>
        <v>N/A</v>
      </c>
    </row>
    <row r="34" spans="1:8" ht="15.75" thickBot="1" x14ac:dyDescent="0.3">
      <c r="A34" s="440" t="str">
        <f>raw_data!B121</f>
        <v>N/A</v>
      </c>
      <c r="B34" s="441"/>
      <c r="C34" s="442"/>
      <c r="D34" s="391" t="str">
        <f>raw_data!C121</f>
        <v>N/A</v>
      </c>
      <c r="E34" s="392"/>
      <c r="F34" s="43" t="str">
        <f>raw_data!D121</f>
        <v>N/A</v>
      </c>
      <c r="G34" s="43" t="str">
        <f>raw_data!E121</f>
        <v>N/A</v>
      </c>
      <c r="H34" s="44" t="str">
        <f>raw_data!F121</f>
        <v>N/A</v>
      </c>
    </row>
  </sheetData>
  <sheetProtection algorithmName="SHA-512" hashValue="BxjwCloFmTHEoH7Zwa6KsqeokpvY7Pu3b6DVxZ91FNFSc1xWO9z0cJ6Rv3/eYotFunBaPmCiBZVgK11yLcGaiw==" saltValue="9uSj/KuJJPloOG8oDhuoMg==" spinCount="100000" sheet="1" formatCells="0" formatColumns="0" formatRows="0" insertColumns="0" insertRows="0" insertHyperlinks="0" deleteColumns="0" deleteRows="0" sort="0" autoFilter="0" pivotTables="0"/>
  <mergeCells count="31">
    <mergeCell ref="A20:H20"/>
    <mergeCell ref="A2:H2"/>
    <mergeCell ref="B5:B8"/>
    <mergeCell ref="E5:E8"/>
    <mergeCell ref="B10:B13"/>
    <mergeCell ref="E10:E13"/>
    <mergeCell ref="B15:B18"/>
    <mergeCell ref="E15:E18"/>
    <mergeCell ref="A29:H29"/>
    <mergeCell ref="A21:H21"/>
    <mergeCell ref="A22:C22"/>
    <mergeCell ref="D22:E22"/>
    <mergeCell ref="A23:C23"/>
    <mergeCell ref="D23:E23"/>
    <mergeCell ref="A24:C24"/>
    <mergeCell ref="D24:E24"/>
    <mergeCell ref="A25:C25"/>
    <mergeCell ref="D25:E25"/>
    <mergeCell ref="A26:C26"/>
    <mergeCell ref="D26:E26"/>
    <mergeCell ref="A28:H28"/>
    <mergeCell ref="A33:C33"/>
    <mergeCell ref="D33:E33"/>
    <mergeCell ref="A34:C34"/>
    <mergeCell ref="D34:E34"/>
    <mergeCell ref="A30:C30"/>
    <mergeCell ref="D30:E30"/>
    <mergeCell ref="A31:C31"/>
    <mergeCell ref="D31:E31"/>
    <mergeCell ref="A32:C32"/>
    <mergeCell ref="D32:E32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C6600"/>
  </sheetPr>
  <dimension ref="A1:H31"/>
  <sheetViews>
    <sheetView workbookViewId="0"/>
  </sheetViews>
  <sheetFormatPr defaultRowHeight="15" x14ac:dyDescent="0.25"/>
  <cols>
    <col min="1" max="1" width="9.7109375" bestFit="1" customWidth="1"/>
    <col min="2" max="2" width="16.7109375" bestFit="1" customWidth="1"/>
    <col min="3" max="3" width="15.42578125" customWidth="1"/>
    <col min="4" max="4" width="14.7109375" customWidth="1"/>
    <col min="5" max="5" width="14.5703125" bestFit="1" customWidth="1"/>
    <col min="6" max="6" width="14.5703125" customWidth="1"/>
    <col min="7" max="7" width="17.85546875" bestFit="1" customWidth="1"/>
    <col min="8" max="8" width="8.5703125" customWidth="1"/>
  </cols>
  <sheetData>
    <row r="1" spans="1:8" ht="15.75" thickBot="1" x14ac:dyDescent="0.3"/>
    <row r="2" spans="1:8" ht="24" thickBot="1" x14ac:dyDescent="0.3">
      <c r="A2" s="468" t="s">
        <v>50</v>
      </c>
      <c r="B2" s="469"/>
      <c r="C2" s="469"/>
      <c r="D2" s="469"/>
      <c r="E2" s="469"/>
      <c r="F2" s="469"/>
      <c r="G2" s="469"/>
      <c r="H2" s="470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88" t="s">
        <v>0</v>
      </c>
      <c r="B4" s="89" t="s">
        <v>208</v>
      </c>
      <c r="C4" s="89" t="s">
        <v>1</v>
      </c>
      <c r="D4" s="90" t="s">
        <v>2</v>
      </c>
      <c r="E4" s="89" t="s">
        <v>8</v>
      </c>
      <c r="F4" s="89" t="s">
        <v>3</v>
      </c>
      <c r="G4" s="91" t="s">
        <v>4</v>
      </c>
      <c r="H4" s="92" t="s">
        <v>5</v>
      </c>
    </row>
    <row r="5" spans="1:8" x14ac:dyDescent="0.25">
      <c r="A5" s="48" t="str">
        <f>raw_data!A266</f>
        <v>325-00056</v>
      </c>
      <c r="B5" s="443" t="s">
        <v>175</v>
      </c>
      <c r="C5" s="49" t="str">
        <f>raw_data!B266</f>
        <v>L03OCT24C</v>
      </c>
      <c r="D5" s="50">
        <f>raw_data!C266</f>
        <v>46142</v>
      </c>
      <c r="E5" s="366" t="s">
        <v>16</v>
      </c>
      <c r="F5" s="51" t="str">
        <f>raw_data!D266</f>
        <v>1 låda</v>
      </c>
      <c r="G5" s="50">
        <f>raw_data!E266</f>
        <v>45978</v>
      </c>
      <c r="H5" s="52" t="str">
        <f>raw_data!F266</f>
        <v>ELS</v>
      </c>
    </row>
    <row r="6" spans="1:8" x14ac:dyDescent="0.25">
      <c r="A6" s="8" t="str">
        <f>raw_data!A267</f>
        <v>325-00056</v>
      </c>
      <c r="B6" s="444"/>
      <c r="C6" s="39" t="str">
        <f>raw_data!B267</f>
        <v>L03OCT24B</v>
      </c>
      <c r="D6" s="40">
        <f>raw_data!C267</f>
        <v>46142</v>
      </c>
      <c r="E6" s="369"/>
      <c r="F6" s="53" t="str">
        <f>raw_data!D267</f>
        <v>3 lådor</v>
      </c>
      <c r="G6" s="40">
        <f>raw_data!E267</f>
        <v>45944</v>
      </c>
      <c r="H6" s="26" t="str">
        <f>raw_data!F267</f>
        <v>vdao</v>
      </c>
    </row>
    <row r="7" spans="1:8" x14ac:dyDescent="0.25">
      <c r="A7" s="8" t="str">
        <f>raw_data!A268</f>
        <v>325-00056</v>
      </c>
      <c r="B7" s="444"/>
      <c r="C7" s="39" t="str">
        <f>raw_data!B268</f>
        <v>N/A</v>
      </c>
      <c r="D7" s="40" t="str">
        <f>raw_data!C268</f>
        <v>N/A</v>
      </c>
      <c r="E7" s="369"/>
      <c r="F7" s="53" t="str">
        <f>raw_data!D268</f>
        <v>N/A</v>
      </c>
      <c r="G7" s="40" t="str">
        <f>raw_data!E268</f>
        <v>N/A</v>
      </c>
      <c r="H7" s="26" t="str">
        <f>raw_data!F268</f>
        <v>N/A</v>
      </c>
    </row>
    <row r="8" spans="1:8" ht="15.75" thickBot="1" x14ac:dyDescent="0.3">
      <c r="A8" s="29" t="str">
        <f>raw_data!A269</f>
        <v>325-00056</v>
      </c>
      <c r="B8" s="445"/>
      <c r="C8" s="41" t="str">
        <f>raw_data!B269</f>
        <v>N/A</v>
      </c>
      <c r="D8" s="42" t="str">
        <f>raw_data!C269</f>
        <v>N/A</v>
      </c>
      <c r="E8" s="360"/>
      <c r="F8" s="54" t="str">
        <f>raw_data!D269</f>
        <v>N/A</v>
      </c>
      <c r="G8" s="42" t="str">
        <f>raw_data!E269</f>
        <v>N/A</v>
      </c>
      <c r="H8" s="30" t="str">
        <f>raw_data!F269</f>
        <v>N/A</v>
      </c>
    </row>
    <row r="9" spans="1:8" ht="15.75" thickBot="1" x14ac:dyDescent="0.3">
      <c r="A9" s="93" t="s">
        <v>0</v>
      </c>
      <c r="B9" s="94" t="s">
        <v>208</v>
      </c>
      <c r="C9" s="94" t="s">
        <v>1</v>
      </c>
      <c r="D9" s="95" t="s">
        <v>2</v>
      </c>
      <c r="E9" s="94" t="s">
        <v>8</v>
      </c>
      <c r="F9" s="94" t="s">
        <v>3</v>
      </c>
      <c r="G9" s="96" t="s">
        <v>4</v>
      </c>
      <c r="H9" s="97" t="s">
        <v>5</v>
      </c>
    </row>
    <row r="10" spans="1:8" x14ac:dyDescent="0.25">
      <c r="A10" s="48" t="str">
        <f>raw_data!A270</f>
        <v>325-00057</v>
      </c>
      <c r="B10" s="471" t="s">
        <v>177</v>
      </c>
      <c r="C10" s="49" t="str">
        <f>raw_data!B270</f>
        <v>B04OCT24A</v>
      </c>
      <c r="D10" s="50">
        <f>raw_data!C270</f>
        <v>46142</v>
      </c>
      <c r="E10" s="366" t="s">
        <v>16</v>
      </c>
      <c r="F10" s="49" t="str">
        <f>raw_data!D270</f>
        <v>2 rör</v>
      </c>
      <c r="G10" s="50">
        <f>raw_data!E270</f>
        <v>45972</v>
      </c>
      <c r="H10" s="52" t="str">
        <f>raw_data!F270</f>
        <v>JESP</v>
      </c>
    </row>
    <row r="11" spans="1:8" x14ac:dyDescent="0.25">
      <c r="A11" s="8" t="str">
        <f>raw_data!A271</f>
        <v>325-00057</v>
      </c>
      <c r="B11" s="472"/>
      <c r="C11" s="39" t="str">
        <f>raw_data!B271</f>
        <v>N/A</v>
      </c>
      <c r="D11" s="40" t="str">
        <f>raw_data!C271</f>
        <v>N/A</v>
      </c>
      <c r="E11" s="369"/>
      <c r="F11" s="39" t="str">
        <f>raw_data!D271</f>
        <v>N/A</v>
      </c>
      <c r="G11" s="40" t="str">
        <f>raw_data!E271</f>
        <v>N/A</v>
      </c>
      <c r="H11" s="26" t="str">
        <f>raw_data!F271</f>
        <v>N/A</v>
      </c>
    </row>
    <row r="12" spans="1:8" x14ac:dyDescent="0.25">
      <c r="A12" s="8" t="str">
        <f>raw_data!A272</f>
        <v>325-00057</v>
      </c>
      <c r="B12" s="472"/>
      <c r="C12" s="39" t="str">
        <f>raw_data!B272</f>
        <v>N/A</v>
      </c>
      <c r="D12" s="40" t="str">
        <f>raw_data!C272</f>
        <v>N/A</v>
      </c>
      <c r="E12" s="369"/>
      <c r="F12" s="39" t="str">
        <f>raw_data!D272</f>
        <v>N/A</v>
      </c>
      <c r="G12" s="40" t="str">
        <f>raw_data!E272</f>
        <v>N/A</v>
      </c>
      <c r="H12" s="26" t="str">
        <f>raw_data!F272</f>
        <v>N/A</v>
      </c>
    </row>
    <row r="13" spans="1:8" ht="15.75" thickBot="1" x14ac:dyDescent="0.3">
      <c r="A13" s="29" t="str">
        <f>raw_data!A273</f>
        <v>325-00057</v>
      </c>
      <c r="B13" s="473"/>
      <c r="C13" s="41" t="str">
        <f>raw_data!B273</f>
        <v>N/A</v>
      </c>
      <c r="D13" s="42" t="str">
        <f>raw_data!C273</f>
        <v>N/A</v>
      </c>
      <c r="E13" s="360"/>
      <c r="F13" s="41" t="str">
        <f>raw_data!D273</f>
        <v>N/A</v>
      </c>
      <c r="G13" s="42" t="str">
        <f>raw_data!E273</f>
        <v>N/A</v>
      </c>
      <c r="H13" s="30" t="str">
        <f>raw_data!F273</f>
        <v>N/A</v>
      </c>
    </row>
    <row r="14" spans="1:8" ht="15.75" thickBot="1" x14ac:dyDescent="0.3"/>
    <row r="15" spans="1:8" ht="24" customHeight="1" thickBot="1" x14ac:dyDescent="0.3">
      <c r="A15" s="428" t="s">
        <v>216</v>
      </c>
      <c r="B15" s="460"/>
      <c r="C15" s="460"/>
      <c r="D15" s="460"/>
      <c r="E15" s="460"/>
      <c r="F15" s="460"/>
      <c r="G15" s="460"/>
      <c r="H15" s="461"/>
    </row>
    <row r="16" spans="1:8" ht="35.25" customHeight="1" thickBot="1" x14ac:dyDescent="0.3">
      <c r="A16" s="377" t="s">
        <v>203</v>
      </c>
      <c r="B16" s="378"/>
      <c r="C16" s="378"/>
      <c r="D16" s="378"/>
      <c r="E16" s="378"/>
      <c r="F16" s="378"/>
      <c r="G16" s="378"/>
      <c r="H16" s="379"/>
    </row>
    <row r="17" spans="1:8" ht="15.75" customHeight="1" thickBot="1" x14ac:dyDescent="0.3">
      <c r="A17" s="362" t="s">
        <v>209</v>
      </c>
      <c r="B17" s="363"/>
      <c r="C17" s="363"/>
      <c r="D17" s="364" t="s">
        <v>2</v>
      </c>
      <c r="E17" s="364"/>
      <c r="F17" s="56" t="s">
        <v>205</v>
      </c>
      <c r="G17" s="57" t="s">
        <v>4</v>
      </c>
      <c r="H17" s="58" t="s">
        <v>5</v>
      </c>
    </row>
    <row r="18" spans="1:8" ht="15.75" customHeight="1" x14ac:dyDescent="0.25">
      <c r="A18" s="365">
        <f>raw_data!B46</f>
        <v>1001510545</v>
      </c>
      <c r="B18" s="366"/>
      <c r="C18" s="366"/>
      <c r="D18" s="367">
        <f>raw_data!C46</f>
        <v>46156</v>
      </c>
      <c r="E18" s="367"/>
      <c r="F18" s="49" t="str">
        <f>raw_data!D46</f>
        <v>25L</v>
      </c>
      <c r="G18" s="50">
        <f>raw_data!E46</f>
        <v>45982</v>
      </c>
      <c r="H18" s="52" t="str">
        <f>raw_data!F46</f>
        <v>ELS</v>
      </c>
    </row>
    <row r="19" spans="1:8" ht="15.75" customHeight="1" x14ac:dyDescent="0.25">
      <c r="A19" s="368">
        <f>raw_data!B47</f>
        <v>1001503562</v>
      </c>
      <c r="B19" s="369"/>
      <c r="C19" s="369"/>
      <c r="D19" s="370">
        <f>raw_data!C47</f>
        <v>46111</v>
      </c>
      <c r="E19" s="370"/>
      <c r="F19" s="39" t="str">
        <f>raw_data!D47</f>
        <v>10L</v>
      </c>
      <c r="G19" s="40">
        <f>raw_data!E47</f>
        <v>45985</v>
      </c>
      <c r="H19" s="26" t="str">
        <f>raw_data!F47</f>
        <v>vdao</v>
      </c>
    </row>
    <row r="20" spans="1:8" ht="15.75" customHeight="1" x14ac:dyDescent="0.25">
      <c r="A20" s="368" t="str">
        <f>raw_data!B48</f>
        <v>N/A</v>
      </c>
      <c r="B20" s="369"/>
      <c r="C20" s="369"/>
      <c r="D20" s="370" t="str">
        <f>raw_data!C48</f>
        <v>N/A</v>
      </c>
      <c r="E20" s="370"/>
      <c r="F20" s="39" t="str">
        <f>raw_data!D48</f>
        <v>N/A</v>
      </c>
      <c r="G20" s="40" t="str">
        <f>raw_data!E48</f>
        <v>N/A</v>
      </c>
      <c r="H20" s="26" t="str">
        <f>raw_data!F48</f>
        <v>N/A</v>
      </c>
    </row>
    <row r="21" spans="1:8" ht="15.75" customHeight="1" thickBot="1" x14ac:dyDescent="0.3">
      <c r="A21" s="359" t="str">
        <f>raw_data!B49</f>
        <v>N/A</v>
      </c>
      <c r="B21" s="360"/>
      <c r="C21" s="360"/>
      <c r="D21" s="361" t="str">
        <f>raw_data!C49</f>
        <v>N/A</v>
      </c>
      <c r="E21" s="361"/>
      <c r="F21" s="41" t="str">
        <f>raw_data!D49</f>
        <v>N/A</v>
      </c>
      <c r="G21" s="42" t="str">
        <f>raw_data!E49</f>
        <v>N/A</v>
      </c>
      <c r="H21" s="30" t="str">
        <f>raw_data!F49</f>
        <v>N/A</v>
      </c>
    </row>
    <row r="22" spans="1:8" ht="15.75" customHeight="1" thickBot="1" x14ac:dyDescent="0.3"/>
    <row r="23" spans="1:8" ht="24" customHeight="1" x14ac:dyDescent="0.25">
      <c r="A23" s="474" t="s">
        <v>215</v>
      </c>
      <c r="B23" s="475"/>
      <c r="C23" s="475"/>
      <c r="D23" s="475"/>
      <c r="E23" s="475"/>
      <c r="F23" s="475"/>
      <c r="G23" s="475"/>
      <c r="H23" s="476"/>
    </row>
    <row r="24" spans="1:8" ht="5.25" customHeight="1" thickBot="1" x14ac:dyDescent="0.3">
      <c r="A24" s="477"/>
      <c r="B24" s="478"/>
      <c r="C24" s="478"/>
      <c r="D24" s="478"/>
      <c r="E24" s="478"/>
      <c r="F24" s="478"/>
      <c r="G24" s="478"/>
      <c r="H24" s="479"/>
    </row>
    <row r="25" spans="1:8" ht="15.75" hidden="1" thickBot="1" x14ac:dyDescent="0.3">
      <c r="A25" s="480"/>
      <c r="B25" s="481"/>
      <c r="C25" s="481"/>
      <c r="D25" s="481"/>
      <c r="E25" s="481"/>
      <c r="F25" s="481"/>
      <c r="G25" s="481"/>
      <c r="H25" s="482"/>
    </row>
    <row r="26" spans="1:8" ht="15.75" thickBot="1" x14ac:dyDescent="0.3">
      <c r="A26" s="431" t="s">
        <v>202</v>
      </c>
      <c r="B26" s="432"/>
      <c r="C26" s="432"/>
      <c r="D26" s="432"/>
      <c r="E26" s="432"/>
      <c r="F26" s="432"/>
      <c r="G26" s="432"/>
      <c r="H26" s="433"/>
    </row>
    <row r="27" spans="1:8" ht="15.75" customHeight="1" thickBot="1" x14ac:dyDescent="0.3">
      <c r="A27" s="362" t="s">
        <v>209</v>
      </c>
      <c r="B27" s="363"/>
      <c r="C27" s="363"/>
      <c r="D27" s="364" t="s">
        <v>2</v>
      </c>
      <c r="E27" s="364"/>
      <c r="F27" s="56" t="s">
        <v>205</v>
      </c>
      <c r="G27" s="57" t="s">
        <v>4</v>
      </c>
      <c r="H27" s="58" t="s">
        <v>5</v>
      </c>
    </row>
    <row r="28" spans="1:8" x14ac:dyDescent="0.25">
      <c r="A28" s="365">
        <f>raw_data!B118</f>
        <v>1001508989</v>
      </c>
      <c r="B28" s="366"/>
      <c r="C28" s="366"/>
      <c r="D28" s="367">
        <f>raw_data!C118</f>
        <v>46087</v>
      </c>
      <c r="E28" s="367"/>
      <c r="F28" s="50" t="str">
        <f>raw_data!D118</f>
        <v>50L</v>
      </c>
      <c r="G28" s="50">
        <f>raw_data!E118</f>
        <v>45982</v>
      </c>
      <c r="H28" s="52" t="str">
        <f>raw_data!F118</f>
        <v>ELS</v>
      </c>
    </row>
    <row r="29" spans="1:8" x14ac:dyDescent="0.25">
      <c r="A29" s="368">
        <f>raw_data!B119</f>
        <v>1001505209</v>
      </c>
      <c r="B29" s="369"/>
      <c r="C29" s="369"/>
      <c r="D29" s="370">
        <f>raw_data!C119</f>
        <v>46063</v>
      </c>
      <c r="E29" s="370"/>
      <c r="F29" s="40">
        <f>raw_data!D119</f>
        <v>30</v>
      </c>
      <c r="G29" s="40">
        <f>raw_data!E119</f>
        <v>45979</v>
      </c>
      <c r="H29" s="26" t="str">
        <f>raw_data!F119</f>
        <v>JESP</v>
      </c>
    </row>
    <row r="30" spans="1:8" x14ac:dyDescent="0.25">
      <c r="A30" s="368" t="str">
        <f>raw_data!B120</f>
        <v>N/A</v>
      </c>
      <c r="B30" s="369"/>
      <c r="C30" s="369"/>
      <c r="D30" s="370" t="str">
        <f>raw_data!C120</f>
        <v>N/A</v>
      </c>
      <c r="E30" s="370"/>
      <c r="F30" s="40" t="str">
        <f>raw_data!D120</f>
        <v>N/A</v>
      </c>
      <c r="G30" s="40" t="str">
        <f>raw_data!E120</f>
        <v>N/A</v>
      </c>
      <c r="H30" s="26" t="str">
        <f>raw_data!F120</f>
        <v>N/A</v>
      </c>
    </row>
    <row r="31" spans="1:8" ht="15.75" thickBot="1" x14ac:dyDescent="0.3">
      <c r="A31" s="359" t="str">
        <f>raw_data!B121</f>
        <v>N/A</v>
      </c>
      <c r="B31" s="360"/>
      <c r="C31" s="360"/>
      <c r="D31" s="361" t="str">
        <f>raw_data!C121</f>
        <v>N/A</v>
      </c>
      <c r="E31" s="361"/>
      <c r="F31" s="42" t="str">
        <f>raw_data!D121</f>
        <v>N/A</v>
      </c>
      <c r="G31" s="42" t="str">
        <f>raw_data!E121</f>
        <v>N/A</v>
      </c>
      <c r="H31" s="30" t="str">
        <f>raw_data!F121</f>
        <v>N/A</v>
      </c>
    </row>
  </sheetData>
  <sheetProtection algorithmName="SHA-512" hashValue="Pla4qGtTu53bOUfO5y2l1+Gza9cD3wmAU3tK/QBUXpjSps/HGHnoyIw8VvDC/Eag9c2JSj0eMeQMIb7puEiRhA==" saltValue="ilyw3dvJMROdey9bPpzaFQ==" spinCount="100000" sheet="1" formatCells="0" formatColumns="0" formatRows="0" insertColumns="0" insertRows="0" insertHyperlinks="0" deleteColumns="0" deleteRows="0" sort="0" autoFilter="0" pivotTables="0"/>
  <mergeCells count="29">
    <mergeCell ref="A23:H25"/>
    <mergeCell ref="A26:H26"/>
    <mergeCell ref="A30:C30"/>
    <mergeCell ref="D30:E30"/>
    <mergeCell ref="A31:C31"/>
    <mergeCell ref="D31:E31"/>
    <mergeCell ref="A28:C28"/>
    <mergeCell ref="D28:E28"/>
    <mergeCell ref="A29:C29"/>
    <mergeCell ref="D29:E29"/>
    <mergeCell ref="A27:C27"/>
    <mergeCell ref="D27:E27"/>
    <mergeCell ref="D20:E20"/>
    <mergeCell ref="A21:C21"/>
    <mergeCell ref="D21:E21"/>
    <mergeCell ref="A15:H15"/>
    <mergeCell ref="A16:H16"/>
    <mergeCell ref="A17:C17"/>
    <mergeCell ref="D17:E17"/>
    <mergeCell ref="A18:C18"/>
    <mergeCell ref="D18:E18"/>
    <mergeCell ref="A19:C19"/>
    <mergeCell ref="D19:E19"/>
    <mergeCell ref="A20:C20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C0099"/>
  </sheetPr>
  <dimension ref="A1:H35"/>
  <sheetViews>
    <sheetView topLeftCell="A3" zoomScaleNormal="100" workbookViewId="0"/>
  </sheetViews>
  <sheetFormatPr defaultRowHeight="15" x14ac:dyDescent="0.25"/>
  <cols>
    <col min="1" max="1" width="9.7109375" bestFit="1" customWidth="1"/>
    <col min="2" max="2" width="16.7109375" bestFit="1" customWidth="1"/>
    <col min="3" max="3" width="15.28515625" customWidth="1"/>
    <col min="4" max="4" width="14" style="75" bestFit="1" customWidth="1"/>
    <col min="5" max="5" width="14.5703125" bestFit="1" customWidth="1"/>
    <col min="6" max="6" width="15.5703125" customWidth="1"/>
    <col min="7" max="7" width="18.85546875" style="75" customWidth="1"/>
    <col min="8" max="8" width="12.140625" bestFit="1" customWidth="1"/>
    <col min="9" max="9" width="10.140625" bestFit="1" customWidth="1"/>
    <col min="10" max="10" width="8.28515625" bestFit="1" customWidth="1"/>
    <col min="11" max="11" width="12.140625" bestFit="1" customWidth="1"/>
    <col min="12" max="12" width="10.140625" bestFit="1" customWidth="1"/>
    <col min="13" max="13" width="8.5703125" bestFit="1" customWidth="1"/>
    <col min="14" max="14" width="7.42578125" bestFit="1" customWidth="1"/>
    <col min="15" max="15" width="10.140625" bestFit="1" customWidth="1"/>
    <col min="16" max="16" width="8.5703125" bestFit="1" customWidth="1"/>
    <col min="17" max="17" width="7.42578125" bestFit="1" customWidth="1"/>
    <col min="18" max="18" width="10.140625" bestFit="1" customWidth="1"/>
  </cols>
  <sheetData>
    <row r="1" spans="1:8" ht="15.75" thickBot="1" x14ac:dyDescent="0.3"/>
    <row r="2" spans="1:8" ht="24" thickBot="1" x14ac:dyDescent="0.3">
      <c r="A2" s="483" t="s">
        <v>213</v>
      </c>
      <c r="B2" s="484"/>
      <c r="C2" s="484"/>
      <c r="D2" s="484"/>
      <c r="E2" s="484"/>
      <c r="F2" s="484"/>
      <c r="G2" s="484"/>
      <c r="H2" s="485"/>
    </row>
    <row r="3" spans="1:8" ht="15.75" thickBot="1" x14ac:dyDescent="0.3">
      <c r="A3" s="34"/>
      <c r="B3" s="35"/>
      <c r="C3" s="35"/>
      <c r="D3" s="36"/>
      <c r="E3" s="35"/>
      <c r="F3" s="35"/>
    </row>
    <row r="4" spans="1:8" ht="15.75" thickBot="1" x14ac:dyDescent="0.3">
      <c r="A4" s="99" t="s">
        <v>0</v>
      </c>
      <c r="B4" s="100" t="s">
        <v>208</v>
      </c>
      <c r="C4" s="100" t="s">
        <v>1</v>
      </c>
      <c r="D4" s="101" t="s">
        <v>2</v>
      </c>
      <c r="E4" s="100" t="s">
        <v>8</v>
      </c>
      <c r="F4" s="100" t="s">
        <v>3</v>
      </c>
      <c r="G4" s="102" t="s">
        <v>4</v>
      </c>
      <c r="H4" s="103" t="s">
        <v>5</v>
      </c>
    </row>
    <row r="5" spans="1:8" x14ac:dyDescent="0.25">
      <c r="A5" s="48" t="str">
        <f>raw_data!A202</f>
        <v>525-00097</v>
      </c>
      <c r="B5" s="443" t="s">
        <v>142</v>
      </c>
      <c r="C5" s="49" t="str">
        <f>raw_data!B202</f>
        <v>031025Masa</v>
      </c>
      <c r="D5" s="50">
        <f>raw_data!C202</f>
        <v>46054</v>
      </c>
      <c r="E5" s="366" t="s">
        <v>16</v>
      </c>
      <c r="F5" s="51" t="str">
        <f>raw_data!D202</f>
        <v>2,5 lådor</v>
      </c>
      <c r="G5" s="50">
        <f>raw_data!E202</f>
        <v>45985</v>
      </c>
      <c r="H5" s="52" t="str">
        <f>raw_data!F202</f>
        <v>ELS</v>
      </c>
    </row>
    <row r="6" spans="1:8" x14ac:dyDescent="0.25">
      <c r="A6" s="8" t="str">
        <f>raw_data!A203</f>
        <v>525-00097</v>
      </c>
      <c r="B6" s="444"/>
      <c r="C6" s="39" t="str">
        <f>raw_data!B203</f>
        <v>N/A</v>
      </c>
      <c r="D6" s="40" t="str">
        <f>raw_data!C203</f>
        <v>N/A</v>
      </c>
      <c r="E6" s="369"/>
      <c r="F6" s="53" t="str">
        <f>raw_data!D203</f>
        <v>N/A</v>
      </c>
      <c r="G6" s="40" t="str">
        <f>raw_data!E203</f>
        <v>N/A</v>
      </c>
      <c r="H6" s="26" t="str">
        <f>raw_data!F203</f>
        <v>N/A</v>
      </c>
    </row>
    <row r="7" spans="1:8" x14ac:dyDescent="0.25">
      <c r="A7" s="8" t="str">
        <f>raw_data!A204</f>
        <v>525-00097</v>
      </c>
      <c r="B7" s="444"/>
      <c r="C7" s="39" t="str">
        <f>raw_data!B204</f>
        <v>N/A</v>
      </c>
      <c r="D7" s="40" t="str">
        <f>raw_data!C204</f>
        <v>N/A</v>
      </c>
      <c r="E7" s="369"/>
      <c r="F7" s="53" t="str">
        <f>raw_data!D204</f>
        <v>N/A</v>
      </c>
      <c r="G7" s="40" t="str">
        <f>raw_data!E204</f>
        <v>N/A</v>
      </c>
      <c r="H7" s="26" t="str">
        <f>raw_data!F204</f>
        <v>N/A</v>
      </c>
    </row>
    <row r="8" spans="1:8" ht="15.75" thickBot="1" x14ac:dyDescent="0.3">
      <c r="A8" s="29" t="str">
        <f>raw_data!A205</f>
        <v>525-00097</v>
      </c>
      <c r="B8" s="445"/>
      <c r="C8" s="41" t="str">
        <f>raw_data!B205</f>
        <v>N/A</v>
      </c>
      <c r="D8" s="42" t="str">
        <f>raw_data!C205</f>
        <v>N/A</v>
      </c>
      <c r="E8" s="360"/>
      <c r="F8" s="54" t="str">
        <f>raw_data!D205</f>
        <v>N/A</v>
      </c>
      <c r="G8" s="42" t="str">
        <f>raw_data!E205</f>
        <v>N/A</v>
      </c>
      <c r="H8" s="30" t="str">
        <f>raw_data!F205</f>
        <v>N/A</v>
      </c>
    </row>
    <row r="9" spans="1:8" ht="15.75" thickBot="1" x14ac:dyDescent="0.3">
      <c r="A9" s="104" t="s">
        <v>0</v>
      </c>
      <c r="B9" s="105" t="s">
        <v>208</v>
      </c>
      <c r="C9" s="105" t="s">
        <v>1</v>
      </c>
      <c r="D9" s="106" t="s">
        <v>2</v>
      </c>
      <c r="E9" s="105" t="s">
        <v>8</v>
      </c>
      <c r="F9" s="105" t="s">
        <v>3</v>
      </c>
      <c r="G9" s="107" t="s">
        <v>4</v>
      </c>
      <c r="H9" s="108" t="s">
        <v>5</v>
      </c>
    </row>
    <row r="10" spans="1:8" x14ac:dyDescent="0.25">
      <c r="A10" s="48" t="str">
        <f>raw_data!A210</f>
        <v>525-00099</v>
      </c>
      <c r="B10" s="443" t="s">
        <v>146</v>
      </c>
      <c r="C10" s="49" t="str">
        <f>raw_data!B210</f>
        <v>021825VW</v>
      </c>
      <c r="D10" s="50">
        <f>raw_data!C210</f>
        <v>46054</v>
      </c>
      <c r="E10" s="366" t="s">
        <v>16</v>
      </c>
      <c r="F10" s="49" t="str">
        <f>raw_data!D210</f>
        <v>10 rör</v>
      </c>
      <c r="G10" s="50">
        <f>raw_data!E210</f>
        <v>45985</v>
      </c>
      <c r="H10" s="52" t="str">
        <f>raw_data!F210</f>
        <v>ELS</v>
      </c>
    </row>
    <row r="11" spans="1:8" x14ac:dyDescent="0.25">
      <c r="A11" s="8" t="str">
        <f>raw_data!A211</f>
        <v>525-00099</v>
      </c>
      <c r="B11" s="444"/>
      <c r="C11" s="39" t="str">
        <f>raw_data!B211</f>
        <v>032125ML</v>
      </c>
      <c r="D11" s="40">
        <f>raw_data!C211</f>
        <v>46054</v>
      </c>
      <c r="E11" s="369"/>
      <c r="F11" s="39" t="str">
        <f>raw_data!D211</f>
        <v>1.5 låda</v>
      </c>
      <c r="G11" s="40">
        <f>raw_data!E211</f>
        <v>45985</v>
      </c>
      <c r="H11" s="26" t="str">
        <f>raw_data!F211</f>
        <v>ELS</v>
      </c>
    </row>
    <row r="12" spans="1:8" x14ac:dyDescent="0.25">
      <c r="A12" s="8" t="str">
        <f>raw_data!A212</f>
        <v>525-00099</v>
      </c>
      <c r="B12" s="444"/>
      <c r="C12" s="39" t="str">
        <f>raw_data!B212</f>
        <v>N/A</v>
      </c>
      <c r="D12" s="40" t="str">
        <f>raw_data!C212</f>
        <v>N/A</v>
      </c>
      <c r="E12" s="369"/>
      <c r="F12" s="39" t="str">
        <f>raw_data!D212</f>
        <v>N/A</v>
      </c>
      <c r="G12" s="40" t="str">
        <f>raw_data!E212</f>
        <v>N/A</v>
      </c>
      <c r="H12" s="26" t="str">
        <f>raw_data!F212</f>
        <v>N/A</v>
      </c>
    </row>
    <row r="13" spans="1:8" ht="15.75" thickBot="1" x14ac:dyDescent="0.3">
      <c r="A13" s="29" t="str">
        <f>raw_data!A213</f>
        <v>525-00099</v>
      </c>
      <c r="B13" s="445"/>
      <c r="C13" s="41" t="str">
        <f>raw_data!B213</f>
        <v>N/A</v>
      </c>
      <c r="D13" s="42" t="str">
        <f>raw_data!C213</f>
        <v>N/A</v>
      </c>
      <c r="E13" s="360"/>
      <c r="F13" s="41" t="str">
        <f>raw_data!D213</f>
        <v>N/A</v>
      </c>
      <c r="G13" s="42" t="str">
        <f>raw_data!E213</f>
        <v>N/A</v>
      </c>
      <c r="H13" s="30" t="str">
        <f>raw_data!F213</f>
        <v>N/A</v>
      </c>
    </row>
    <row r="14" spans="1:8" ht="15.75" thickBot="1" x14ac:dyDescent="0.3">
      <c r="A14" s="104" t="s">
        <v>0</v>
      </c>
      <c r="B14" s="105" t="s">
        <v>208</v>
      </c>
      <c r="C14" s="105" t="s">
        <v>1</v>
      </c>
      <c r="D14" s="106" t="s">
        <v>2</v>
      </c>
      <c r="E14" s="105" t="s">
        <v>8</v>
      </c>
      <c r="F14" s="105" t="s">
        <v>3</v>
      </c>
      <c r="G14" s="107" t="s">
        <v>4</v>
      </c>
      <c r="H14" s="108" t="s">
        <v>5</v>
      </c>
    </row>
    <row r="15" spans="1:8" x14ac:dyDescent="0.25">
      <c r="A15" s="48" t="str">
        <f>raw_data!A218</f>
        <v>525-00102</v>
      </c>
      <c r="B15" s="443" t="s">
        <v>150</v>
      </c>
      <c r="C15" s="49" t="str">
        <f>raw_data!B218</f>
        <v>021125ELIF</v>
      </c>
      <c r="D15" s="50">
        <f>raw_data!C218</f>
        <v>46054</v>
      </c>
      <c r="E15" s="366" t="s">
        <v>16</v>
      </c>
      <c r="F15" s="49" t="str">
        <f>raw_data!D218</f>
        <v>0.5 låda</v>
      </c>
      <c r="G15" s="50">
        <f>raw_data!E218</f>
        <v>45985</v>
      </c>
      <c r="H15" s="52" t="str">
        <f>raw_data!F218</f>
        <v>ELS</v>
      </c>
    </row>
    <row r="16" spans="1:8" x14ac:dyDescent="0.25">
      <c r="A16" s="8" t="str">
        <f>raw_data!A219</f>
        <v>525-00102</v>
      </c>
      <c r="B16" s="444"/>
      <c r="C16" s="39" t="str">
        <f>raw_data!B219</f>
        <v>033125Masa</v>
      </c>
      <c r="D16" s="40">
        <f>raw_data!C219</f>
        <v>46054</v>
      </c>
      <c r="E16" s="369"/>
      <c r="F16" s="39" t="str">
        <f>raw_data!D219</f>
        <v>0.5 låda</v>
      </c>
      <c r="G16" s="40">
        <f>raw_data!E219</f>
        <v>45985</v>
      </c>
      <c r="H16" s="26" t="str">
        <f>raw_data!F219</f>
        <v>ELS</v>
      </c>
    </row>
    <row r="17" spans="1:8" x14ac:dyDescent="0.25">
      <c r="A17" s="8" t="str">
        <f>raw_data!A220</f>
        <v>525-00102</v>
      </c>
      <c r="B17" s="444"/>
      <c r="C17" s="39" t="str">
        <f>raw_data!B220</f>
        <v>N/A</v>
      </c>
      <c r="D17" s="40" t="str">
        <f>raw_data!C220</f>
        <v>N/A</v>
      </c>
      <c r="E17" s="369"/>
      <c r="F17" s="39" t="str">
        <f>raw_data!D220</f>
        <v>N/A</v>
      </c>
      <c r="G17" s="40" t="str">
        <f>raw_data!E220</f>
        <v>N/A</v>
      </c>
      <c r="H17" s="26" t="str">
        <f>raw_data!F220</f>
        <v>N/A</v>
      </c>
    </row>
    <row r="18" spans="1:8" ht="15.75" thickBot="1" x14ac:dyDescent="0.3">
      <c r="A18" s="29" t="str">
        <f>raw_data!A221</f>
        <v>525-00102</v>
      </c>
      <c r="B18" s="445"/>
      <c r="C18" s="41" t="str">
        <f>raw_data!B221</f>
        <v>N/A</v>
      </c>
      <c r="D18" s="42" t="str">
        <f>raw_data!C221</f>
        <v>N/A</v>
      </c>
      <c r="E18" s="360"/>
      <c r="F18" s="41" t="str">
        <f>raw_data!D221</f>
        <v>N/A</v>
      </c>
      <c r="G18" s="42" t="str">
        <f>raw_data!E221</f>
        <v>N/A</v>
      </c>
      <c r="H18" s="30" t="str">
        <f>raw_data!F221</f>
        <v>N/A</v>
      </c>
    </row>
    <row r="19" spans="1:8" ht="15.75" thickBot="1" x14ac:dyDescent="0.3">
      <c r="A19" s="99" t="s">
        <v>0</v>
      </c>
      <c r="B19" s="100" t="s">
        <v>208</v>
      </c>
      <c r="C19" s="100" t="s">
        <v>1</v>
      </c>
      <c r="D19" s="101" t="s">
        <v>2</v>
      </c>
      <c r="E19" s="100" t="s">
        <v>8</v>
      </c>
      <c r="F19" s="100" t="s">
        <v>3</v>
      </c>
      <c r="G19" s="102" t="s">
        <v>4</v>
      </c>
      <c r="H19" s="103" t="s">
        <v>5</v>
      </c>
    </row>
    <row r="20" spans="1:8" x14ac:dyDescent="0.25">
      <c r="A20" s="48" t="str">
        <f>raw_data!A262</f>
        <v>525-00169</v>
      </c>
      <c r="B20" s="443" t="s">
        <v>173</v>
      </c>
      <c r="C20" s="49" t="str">
        <f>raw_data!B262</f>
        <v>040925TN</v>
      </c>
      <c r="D20" s="50">
        <f>raw_data!C262</f>
        <v>46049</v>
      </c>
      <c r="E20" s="366" t="s">
        <v>16</v>
      </c>
      <c r="F20" s="49" t="str">
        <f>raw_data!D262</f>
        <v>0.5 låda</v>
      </c>
      <c r="G20" s="50">
        <f>raw_data!E262</f>
        <v>45985</v>
      </c>
      <c r="H20" s="52" t="str">
        <f>raw_data!F262</f>
        <v>ELS</v>
      </c>
    </row>
    <row r="21" spans="1:8" x14ac:dyDescent="0.25">
      <c r="A21" s="8" t="str">
        <f>raw_data!A263</f>
        <v>525-00169</v>
      </c>
      <c r="B21" s="444"/>
      <c r="C21" s="39" t="str">
        <f>raw_data!B263</f>
        <v>030625TN</v>
      </c>
      <c r="D21" s="40">
        <f>raw_data!C263</f>
        <v>46049</v>
      </c>
      <c r="E21" s="369"/>
      <c r="F21" s="39" t="str">
        <f>raw_data!D263</f>
        <v>0.5 låda</v>
      </c>
      <c r="G21" s="40">
        <f>raw_data!E263</f>
        <v>45985</v>
      </c>
      <c r="H21" s="26" t="str">
        <f>raw_data!F263</f>
        <v>ELS</v>
      </c>
    </row>
    <row r="22" spans="1:8" x14ac:dyDescent="0.25">
      <c r="A22" s="8" t="str">
        <f>raw_data!A264</f>
        <v>525-00169</v>
      </c>
      <c r="B22" s="444"/>
      <c r="C22" s="39" t="str">
        <f>raw_data!B264</f>
        <v>N/A</v>
      </c>
      <c r="D22" s="40" t="str">
        <f>raw_data!C264</f>
        <v>N/A</v>
      </c>
      <c r="E22" s="369"/>
      <c r="F22" s="39" t="str">
        <f>raw_data!D264</f>
        <v>N/A</v>
      </c>
      <c r="G22" s="40" t="str">
        <f>raw_data!E264</f>
        <v>N/A</v>
      </c>
      <c r="H22" s="26" t="str">
        <f>raw_data!F264</f>
        <v>N/A</v>
      </c>
    </row>
    <row r="23" spans="1:8" ht="15.75" thickBot="1" x14ac:dyDescent="0.3">
      <c r="A23" s="29" t="str">
        <f>raw_data!A265</f>
        <v>525-00169</v>
      </c>
      <c r="B23" s="445"/>
      <c r="C23" s="41" t="str">
        <f>raw_data!B265</f>
        <v>N/A</v>
      </c>
      <c r="D23" s="42" t="str">
        <f>raw_data!C265</f>
        <v>N/A</v>
      </c>
      <c r="E23" s="360"/>
      <c r="F23" s="41" t="str">
        <f>raw_data!D265</f>
        <v>N/A</v>
      </c>
      <c r="G23" s="42" t="str">
        <f>raw_data!E265</f>
        <v>N/A</v>
      </c>
      <c r="H23" s="30" t="str">
        <f>raw_data!F265</f>
        <v>N/A</v>
      </c>
    </row>
    <row r="24" spans="1:8" ht="15.75" thickBot="1" x14ac:dyDescent="0.3">
      <c r="A24" s="35"/>
      <c r="B24" s="98"/>
      <c r="C24" s="35"/>
      <c r="D24" s="36"/>
      <c r="E24" s="35"/>
      <c r="F24" s="35"/>
      <c r="G24" s="36"/>
      <c r="H24" s="35"/>
    </row>
    <row r="25" spans="1:8" ht="15.75" thickBot="1" x14ac:dyDescent="0.3">
      <c r="A25" s="109" t="s">
        <v>0</v>
      </c>
      <c r="B25" s="110" t="s">
        <v>208</v>
      </c>
      <c r="C25" s="110" t="s">
        <v>1</v>
      </c>
      <c r="D25" s="111" t="s">
        <v>2</v>
      </c>
      <c r="E25" s="110" t="s">
        <v>8</v>
      </c>
      <c r="F25" s="110" t="s">
        <v>3</v>
      </c>
      <c r="G25" s="112" t="s">
        <v>4</v>
      </c>
      <c r="H25" s="113" t="s">
        <v>5</v>
      </c>
    </row>
    <row r="26" spans="1:8" x14ac:dyDescent="0.25">
      <c r="A26" s="48" t="str">
        <f>raw_data!A2</f>
        <v>001-1471</v>
      </c>
      <c r="B26" s="443" t="s">
        <v>15</v>
      </c>
      <c r="C26" s="49">
        <f>raw_data!B2</f>
        <v>334159</v>
      </c>
      <c r="D26" s="50">
        <f>raw_data!C2</f>
        <v>46023</v>
      </c>
      <c r="E26" s="366" t="s">
        <v>16</v>
      </c>
      <c r="F26" s="49" t="str">
        <f>raw_data!D2</f>
        <v>5 Flaskor NEG</v>
      </c>
      <c r="G26" s="50">
        <f>raw_data!E2</f>
        <v>45988</v>
      </c>
      <c r="H26" s="52" t="str">
        <f>raw_data!F2</f>
        <v>JESP</v>
      </c>
    </row>
    <row r="27" spans="1:8" x14ac:dyDescent="0.25">
      <c r="A27" s="8" t="str">
        <f>raw_data!A3</f>
        <v>001-1471</v>
      </c>
      <c r="B27" s="444"/>
      <c r="C27" s="39">
        <f>raw_data!B3</f>
        <v>334159</v>
      </c>
      <c r="D27" s="40">
        <f>raw_data!C3</f>
        <v>46023</v>
      </c>
      <c r="E27" s="369"/>
      <c r="F27" s="39" t="str">
        <f>raw_data!D3</f>
        <v>4.5 Flaskor POS</v>
      </c>
      <c r="G27" s="40">
        <f>raw_data!E3</f>
        <v>45985</v>
      </c>
      <c r="H27" s="26" t="str">
        <f>raw_data!F3</f>
        <v>ELS</v>
      </c>
    </row>
    <row r="28" spans="1:8" x14ac:dyDescent="0.25">
      <c r="A28" s="8" t="str">
        <f>raw_data!A4</f>
        <v>001-1471</v>
      </c>
      <c r="B28" s="444"/>
      <c r="C28" s="39" t="str">
        <f>raw_data!B4</f>
        <v>N/A</v>
      </c>
      <c r="D28" s="40" t="str">
        <f>raw_data!C4</f>
        <v>N/A</v>
      </c>
      <c r="E28" s="369"/>
      <c r="F28" s="39" t="str">
        <f>raw_data!D4</f>
        <v>N/A</v>
      </c>
      <c r="G28" s="40" t="str">
        <f>raw_data!E4</f>
        <v>N/A</v>
      </c>
      <c r="H28" s="26" t="str">
        <f>raw_data!F4</f>
        <v>N/A</v>
      </c>
    </row>
    <row r="29" spans="1:8" ht="15.75" thickBot="1" x14ac:dyDescent="0.3">
      <c r="A29" s="29" t="str">
        <f>raw_data!A5</f>
        <v>001-1471</v>
      </c>
      <c r="B29" s="445"/>
      <c r="C29" s="41" t="str">
        <f>raw_data!B5</f>
        <v>N/A</v>
      </c>
      <c r="D29" s="42" t="str">
        <f>raw_data!C5</f>
        <v>N/A</v>
      </c>
      <c r="E29" s="360"/>
      <c r="F29" s="41" t="str">
        <f>raw_data!D5</f>
        <v>N/A</v>
      </c>
      <c r="G29" s="42" t="str">
        <f>raw_data!E5</f>
        <v>N/A</v>
      </c>
      <c r="H29" s="30" t="str">
        <f>raw_data!F5</f>
        <v>N/A</v>
      </c>
    </row>
    <row r="30" spans="1:8" x14ac:dyDescent="0.25">
      <c r="A30" s="35"/>
      <c r="B30" s="98"/>
      <c r="C30" s="35"/>
      <c r="D30" s="36"/>
      <c r="E30" s="35"/>
      <c r="F30" s="35"/>
      <c r="G30" s="36"/>
      <c r="H30" s="35"/>
    </row>
    <row r="31" spans="1:8" x14ac:dyDescent="0.25">
      <c r="A31" s="35"/>
      <c r="B31" s="98"/>
      <c r="C31" s="35"/>
      <c r="D31" s="36"/>
      <c r="E31" s="35"/>
      <c r="F31" s="35"/>
      <c r="G31" s="36"/>
      <c r="H31" s="35"/>
    </row>
    <row r="32" spans="1:8" x14ac:dyDescent="0.25">
      <c r="A32" s="35"/>
      <c r="B32" s="98"/>
      <c r="C32" s="35"/>
      <c r="D32" s="36"/>
      <c r="E32" s="35"/>
      <c r="F32" s="35"/>
      <c r="G32" s="36"/>
      <c r="H32" s="35"/>
    </row>
    <row r="33" spans="1:8" x14ac:dyDescent="0.25">
      <c r="A33" s="35"/>
      <c r="B33" s="98"/>
      <c r="C33" s="35"/>
      <c r="D33" s="36"/>
      <c r="E33" s="35"/>
      <c r="F33" s="35"/>
      <c r="G33" s="36"/>
      <c r="H33" s="35"/>
    </row>
    <row r="34" spans="1:8" x14ac:dyDescent="0.25">
      <c r="A34" s="35"/>
      <c r="B34" s="98"/>
      <c r="C34" s="35"/>
      <c r="D34" s="36"/>
      <c r="E34" s="35"/>
      <c r="F34" s="35"/>
      <c r="G34" s="36"/>
      <c r="H34" s="35"/>
    </row>
    <row r="35" spans="1:8" x14ac:dyDescent="0.25">
      <c r="A35" s="35"/>
      <c r="B35" s="98"/>
      <c r="C35" s="35"/>
      <c r="D35" s="36"/>
      <c r="E35" s="35"/>
      <c r="F35" s="35"/>
      <c r="G35" s="36"/>
      <c r="H35" s="35"/>
    </row>
  </sheetData>
  <sheetProtection algorithmName="SHA-512" hashValue="0cSBND0xn95+cKM0Ia2yUVESA9loGwFMhmNKbtjb4h/YKJEkTcZ+Oogw5oFD8sKsa2iLPu5t0u12x+OhWh6yOw==" saltValue="F6fogrqGlfFZYn1f/y/M3w==" spinCount="100000" sheet="1" formatCells="0" formatColumns="0" formatRows="0" insertColumns="0" insertRows="0" insertHyperlinks="0" deleteColumns="0" deleteRows="0" sort="0" autoFilter="0" pivotTables="0"/>
  <mergeCells count="11">
    <mergeCell ref="E26:E29"/>
    <mergeCell ref="B26:B29"/>
    <mergeCell ref="A2:H2"/>
    <mergeCell ref="B5:B8"/>
    <mergeCell ref="E5:E8"/>
    <mergeCell ref="B10:B13"/>
    <mergeCell ref="E10:E13"/>
    <mergeCell ref="B15:B18"/>
    <mergeCell ref="E15:E18"/>
    <mergeCell ref="B20:B23"/>
    <mergeCell ref="E20:E23"/>
  </mergeCell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66FF"/>
  </sheetPr>
  <dimension ref="A1:H14"/>
  <sheetViews>
    <sheetView workbookViewId="0"/>
  </sheetViews>
  <sheetFormatPr defaultRowHeight="15" x14ac:dyDescent="0.25"/>
  <cols>
    <col min="1" max="1" width="9.7109375" bestFit="1" customWidth="1"/>
    <col min="2" max="2" width="16.140625" customWidth="1"/>
    <col min="3" max="3" width="14.28515625" customWidth="1"/>
    <col min="4" max="4" width="15.5703125" customWidth="1"/>
    <col min="5" max="5" width="14.5703125" bestFit="1" customWidth="1"/>
    <col min="6" max="6" width="15" customWidth="1"/>
    <col min="7" max="7" width="17.85546875" bestFit="1" customWidth="1"/>
    <col min="8" max="8" width="8.42578125" customWidth="1"/>
  </cols>
  <sheetData>
    <row r="1" spans="1:8" ht="15.75" thickBot="1" x14ac:dyDescent="0.3"/>
    <row r="2" spans="1:8" ht="24" thickBot="1" x14ac:dyDescent="0.3">
      <c r="A2" s="486" t="s">
        <v>13</v>
      </c>
      <c r="B2" s="487"/>
      <c r="C2" s="487"/>
      <c r="D2" s="487"/>
      <c r="E2" s="487"/>
      <c r="F2" s="487"/>
      <c r="G2" s="487"/>
      <c r="H2" s="488"/>
    </row>
    <row r="3" spans="1:8" ht="15.75" thickBot="1" x14ac:dyDescent="0.3"/>
    <row r="4" spans="1:8" ht="15.75" thickBot="1" x14ac:dyDescent="0.3">
      <c r="A4" s="114" t="s">
        <v>0</v>
      </c>
      <c r="B4" s="115" t="s">
        <v>208</v>
      </c>
      <c r="C4" s="115" t="s">
        <v>1</v>
      </c>
      <c r="D4" s="116" t="s">
        <v>2</v>
      </c>
      <c r="E4" s="115" t="s">
        <v>8</v>
      </c>
      <c r="F4" s="115" t="s">
        <v>3</v>
      </c>
      <c r="G4" s="117" t="s">
        <v>4</v>
      </c>
      <c r="H4" s="118" t="s">
        <v>5</v>
      </c>
    </row>
    <row r="5" spans="1:8" x14ac:dyDescent="0.25">
      <c r="A5" s="48" t="str">
        <f>raw_data!A262</f>
        <v>525-00169</v>
      </c>
      <c r="B5" s="443" t="s">
        <v>173</v>
      </c>
      <c r="C5" s="49" t="str">
        <f>raw_data!B262</f>
        <v>040925TN</v>
      </c>
      <c r="D5" s="50">
        <f>raw_data!C262</f>
        <v>46049</v>
      </c>
      <c r="E5" s="366" t="s">
        <v>16</v>
      </c>
      <c r="F5" s="49" t="str">
        <f>raw_data!D262</f>
        <v>0.5 låda</v>
      </c>
      <c r="G5" s="50">
        <f>raw_data!E262</f>
        <v>45985</v>
      </c>
      <c r="H5" s="52" t="str">
        <f>raw_data!F262</f>
        <v>ELS</v>
      </c>
    </row>
    <row r="6" spans="1:8" x14ac:dyDescent="0.25">
      <c r="A6" s="8" t="str">
        <f>raw_data!A263</f>
        <v>525-00169</v>
      </c>
      <c r="B6" s="444"/>
      <c r="C6" s="39" t="str">
        <f>raw_data!B263</f>
        <v>030625TN</v>
      </c>
      <c r="D6" s="40">
        <f>raw_data!C263</f>
        <v>46049</v>
      </c>
      <c r="E6" s="369"/>
      <c r="F6" s="39" t="str">
        <f>raw_data!D263</f>
        <v>0.5 låda</v>
      </c>
      <c r="G6" s="40">
        <f>raw_data!E263</f>
        <v>45985</v>
      </c>
      <c r="H6" s="26" t="str">
        <f>raw_data!F263</f>
        <v>ELS</v>
      </c>
    </row>
    <row r="7" spans="1:8" x14ac:dyDescent="0.25">
      <c r="A7" s="8" t="str">
        <f>raw_data!A264</f>
        <v>525-00169</v>
      </c>
      <c r="B7" s="444"/>
      <c r="C7" s="39" t="str">
        <f>raw_data!B264</f>
        <v>N/A</v>
      </c>
      <c r="D7" s="40" t="str">
        <f>raw_data!C264</f>
        <v>N/A</v>
      </c>
      <c r="E7" s="369"/>
      <c r="F7" s="39" t="str">
        <f>raw_data!D264</f>
        <v>N/A</v>
      </c>
      <c r="G7" s="40" t="str">
        <f>raw_data!E264</f>
        <v>N/A</v>
      </c>
      <c r="H7" s="26" t="str">
        <f>raw_data!F264</f>
        <v>N/A</v>
      </c>
    </row>
    <row r="8" spans="1:8" ht="15.75" thickBot="1" x14ac:dyDescent="0.3">
      <c r="A8" s="29" t="str">
        <f>raw_data!A265</f>
        <v>525-00169</v>
      </c>
      <c r="B8" s="445"/>
      <c r="C8" s="41" t="str">
        <f>raw_data!B265</f>
        <v>N/A</v>
      </c>
      <c r="D8" s="42" t="str">
        <f>raw_data!C265</f>
        <v>N/A</v>
      </c>
      <c r="E8" s="360"/>
      <c r="F8" s="41" t="str">
        <f>raw_data!D265</f>
        <v>N/A</v>
      </c>
      <c r="G8" s="42" t="str">
        <f>raw_data!E265</f>
        <v>N/A</v>
      </c>
      <c r="H8" s="30" t="str">
        <f>raw_data!F265</f>
        <v>N/A</v>
      </c>
    </row>
    <row r="9" spans="1:8" ht="15.75" thickBot="1" x14ac:dyDescent="0.3">
      <c r="A9" s="35"/>
      <c r="B9" s="98"/>
      <c r="C9" s="35"/>
      <c r="D9" s="36"/>
      <c r="E9" s="35"/>
      <c r="F9" s="35"/>
      <c r="G9" s="36"/>
      <c r="H9" s="35"/>
    </row>
    <row r="10" spans="1:8" ht="15.75" thickBot="1" x14ac:dyDescent="0.3">
      <c r="A10" s="109" t="s">
        <v>0</v>
      </c>
      <c r="B10" s="110" t="s">
        <v>208</v>
      </c>
      <c r="C10" s="110" t="s">
        <v>1</v>
      </c>
      <c r="D10" s="111" t="s">
        <v>2</v>
      </c>
      <c r="E10" s="110" t="s">
        <v>8</v>
      </c>
      <c r="F10" s="110" t="s">
        <v>3</v>
      </c>
      <c r="G10" s="112" t="s">
        <v>4</v>
      </c>
      <c r="H10" s="113" t="s">
        <v>5</v>
      </c>
    </row>
    <row r="11" spans="1:8" x14ac:dyDescent="0.25">
      <c r="A11" s="48" t="str">
        <f>raw_data!A2</f>
        <v>001-1471</v>
      </c>
      <c r="B11" s="443" t="s">
        <v>15</v>
      </c>
      <c r="C11" s="49">
        <f>raw_data!B2</f>
        <v>334159</v>
      </c>
      <c r="D11" s="50">
        <f>raw_data!C2</f>
        <v>46023</v>
      </c>
      <c r="E11" s="366" t="s">
        <v>16</v>
      </c>
      <c r="F11" s="49" t="str">
        <f>raw_data!D2</f>
        <v>5 Flaskor NEG</v>
      </c>
      <c r="G11" s="50">
        <f>raw_data!E2</f>
        <v>45988</v>
      </c>
      <c r="H11" s="52" t="str">
        <f>raw_data!F2</f>
        <v>JESP</v>
      </c>
    </row>
    <row r="12" spans="1:8" x14ac:dyDescent="0.25">
      <c r="A12" s="8" t="str">
        <f>raw_data!A3</f>
        <v>001-1471</v>
      </c>
      <c r="B12" s="444"/>
      <c r="C12" s="39">
        <f>raw_data!B3</f>
        <v>334159</v>
      </c>
      <c r="D12" s="40">
        <f>raw_data!C3</f>
        <v>46023</v>
      </c>
      <c r="E12" s="369"/>
      <c r="F12" s="39" t="str">
        <f>raw_data!D3</f>
        <v>4.5 Flaskor POS</v>
      </c>
      <c r="G12" s="40">
        <f>raw_data!E3</f>
        <v>45985</v>
      </c>
      <c r="H12" s="26" t="str">
        <f>raw_data!F3</f>
        <v>ELS</v>
      </c>
    </row>
    <row r="13" spans="1:8" x14ac:dyDescent="0.25">
      <c r="A13" s="8" t="str">
        <f>raw_data!A4</f>
        <v>001-1471</v>
      </c>
      <c r="B13" s="444"/>
      <c r="C13" s="39" t="str">
        <f>raw_data!B4</f>
        <v>N/A</v>
      </c>
      <c r="D13" s="40" t="str">
        <f>raw_data!C4</f>
        <v>N/A</v>
      </c>
      <c r="E13" s="369"/>
      <c r="F13" s="39" t="str">
        <f>raw_data!D4</f>
        <v>N/A</v>
      </c>
      <c r="G13" s="40" t="str">
        <f>raw_data!E4</f>
        <v>N/A</v>
      </c>
      <c r="H13" s="26" t="str">
        <f>raw_data!F4</f>
        <v>N/A</v>
      </c>
    </row>
    <row r="14" spans="1:8" ht="15.75" thickBot="1" x14ac:dyDescent="0.3">
      <c r="A14" s="29" t="str">
        <f>raw_data!A5</f>
        <v>001-1471</v>
      </c>
      <c r="B14" s="445"/>
      <c r="C14" s="41" t="str">
        <f>raw_data!B5</f>
        <v>N/A</v>
      </c>
      <c r="D14" s="42" t="str">
        <f>raw_data!C5</f>
        <v>N/A</v>
      </c>
      <c r="E14" s="360"/>
      <c r="F14" s="41" t="str">
        <f>raw_data!D5</f>
        <v>N/A</v>
      </c>
      <c r="G14" s="42" t="str">
        <f>raw_data!E5</f>
        <v>N/A</v>
      </c>
      <c r="H14" s="30" t="str">
        <f>raw_data!F5</f>
        <v>N/A</v>
      </c>
    </row>
  </sheetData>
  <sheetProtection algorithmName="SHA-512" hashValue="XwDuHaFjwI/04R9IFf9S2eRxCkJJYOWn9dZlP7WaRGC2GIPRZkUAqfYy+BxqHXTc8wCnrlTAHJK5jHcmH4+sag==" saltValue="jl7x604LrSW/VEDOIUisiA==" spinCount="100000" sheet="1" formatCells="0" formatColumns="0" formatRows="0" insertColumns="0" insertRows="0" insertHyperlinks="0" deleteColumns="0" deleteRows="0" sort="0" autoFilter="0" pivotTables="0"/>
  <mergeCells count="5">
    <mergeCell ref="B5:B8"/>
    <mergeCell ref="E5:E8"/>
    <mergeCell ref="B11:B14"/>
    <mergeCell ref="E11:E14"/>
    <mergeCell ref="A2:H2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47367-03E5-4771-BCF2-391898EC7B56}">
  <sheetPr codeName="Sheet30">
    <tabColor rgb="FF66FF33"/>
  </sheetPr>
  <dimension ref="A1:H29"/>
  <sheetViews>
    <sheetView workbookViewId="0"/>
  </sheetViews>
  <sheetFormatPr defaultRowHeight="15" x14ac:dyDescent="0.25"/>
  <cols>
    <col min="1" max="1" width="9.42578125" bestFit="1" customWidth="1"/>
    <col min="2" max="2" width="36.5703125" bestFit="1" customWidth="1"/>
    <col min="3" max="3" width="13" bestFit="1" customWidth="1"/>
    <col min="4" max="4" width="13.140625" bestFit="1" customWidth="1"/>
    <col min="5" max="5" width="13.5703125" bestFit="1" customWidth="1"/>
    <col min="6" max="6" width="13.7109375" bestFit="1" customWidth="1"/>
    <col min="7" max="7" width="16.42578125" bestFit="1" customWidth="1"/>
    <col min="8" max="8" width="4.85546875" bestFit="1" customWidth="1"/>
  </cols>
  <sheetData>
    <row r="1" spans="1:8" ht="15.75" thickBot="1" x14ac:dyDescent="0.3">
      <c r="D1" s="75"/>
      <c r="G1" s="75"/>
    </row>
    <row r="2" spans="1:8" ht="24" thickBot="1" x14ac:dyDescent="0.3">
      <c r="A2" s="489" t="s">
        <v>179</v>
      </c>
      <c r="B2" s="490"/>
      <c r="C2" s="490"/>
      <c r="D2" s="490"/>
      <c r="E2" s="490"/>
      <c r="F2" s="490"/>
      <c r="G2" s="490"/>
      <c r="H2" s="491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x14ac:dyDescent="0.25">
      <c r="A4" s="223" t="s">
        <v>0</v>
      </c>
      <c r="B4" s="224" t="s">
        <v>208</v>
      </c>
      <c r="C4" s="224" t="s">
        <v>1</v>
      </c>
      <c r="D4" s="225" t="s">
        <v>2</v>
      </c>
      <c r="E4" s="224" t="s">
        <v>8</v>
      </c>
      <c r="F4" s="224" t="s">
        <v>3</v>
      </c>
      <c r="G4" s="226" t="s">
        <v>4</v>
      </c>
      <c r="H4" s="227" t="s">
        <v>5</v>
      </c>
    </row>
    <row r="5" spans="1:8" x14ac:dyDescent="0.25">
      <c r="A5" s="8" t="str">
        <f>raw_data!A274</f>
        <v>525-00193</v>
      </c>
      <c r="B5" s="444" t="s">
        <v>334</v>
      </c>
      <c r="C5" s="39" t="str">
        <f>raw_data!B274</f>
        <v>061325ELIF</v>
      </c>
      <c r="D5" s="40">
        <f>raw_data!C274</f>
        <v>46091</v>
      </c>
      <c r="E5" s="369" t="s">
        <v>16</v>
      </c>
      <c r="F5" s="39" t="str">
        <f>raw_data!D274</f>
        <v>1 låda</v>
      </c>
      <c r="G5" s="40">
        <f>raw_data!E274</f>
        <v>45957</v>
      </c>
      <c r="H5" s="26" t="str">
        <f>raw_data!F274</f>
        <v>ELS</v>
      </c>
    </row>
    <row r="6" spans="1:8" x14ac:dyDescent="0.25">
      <c r="A6" s="8" t="str">
        <f>raw_data!A275</f>
        <v>525-00193</v>
      </c>
      <c r="B6" s="444"/>
      <c r="C6" s="39" t="str">
        <f>raw_data!B275</f>
        <v>N/A</v>
      </c>
      <c r="D6" s="40" t="str">
        <f>raw_data!C275</f>
        <v>N/A</v>
      </c>
      <c r="E6" s="369"/>
      <c r="F6" s="39" t="str">
        <f>raw_data!D275</f>
        <v>N/A</v>
      </c>
      <c r="G6" s="40" t="str">
        <f>raw_data!E275</f>
        <v>N/A</v>
      </c>
      <c r="H6" s="26" t="str">
        <f>raw_data!F275</f>
        <v>N/A</v>
      </c>
    </row>
    <row r="7" spans="1:8" x14ac:dyDescent="0.25">
      <c r="A7" s="8" t="str">
        <f>raw_data!A276</f>
        <v>525-00193</v>
      </c>
      <c r="B7" s="444"/>
      <c r="C7" s="39" t="str">
        <f>raw_data!B276</f>
        <v>N/A</v>
      </c>
      <c r="D7" s="40" t="str">
        <f>raw_data!C276</f>
        <v>N/A</v>
      </c>
      <c r="E7" s="369"/>
      <c r="F7" s="39" t="str">
        <f>raw_data!D276</f>
        <v>N/A</v>
      </c>
      <c r="G7" s="40" t="str">
        <f>raw_data!E276</f>
        <v>N/A</v>
      </c>
      <c r="H7" s="26" t="str">
        <f>raw_data!F276</f>
        <v>N/A</v>
      </c>
    </row>
    <row r="8" spans="1:8" ht="15.75" thickBot="1" x14ac:dyDescent="0.3">
      <c r="A8" s="29" t="str">
        <f>raw_data!A277</f>
        <v>525-00193</v>
      </c>
      <c r="B8" s="445"/>
      <c r="C8" s="41" t="str">
        <f>raw_data!B277</f>
        <v>N/A</v>
      </c>
      <c r="D8" s="42" t="str">
        <f>raw_data!C277</f>
        <v>N/A</v>
      </c>
      <c r="E8" s="360"/>
      <c r="F8" s="41" t="str">
        <f>raw_data!D277</f>
        <v>N/A</v>
      </c>
      <c r="G8" s="42" t="str">
        <f>raw_data!E277</f>
        <v>N/A</v>
      </c>
      <c r="H8" s="30" t="str">
        <f>raw_data!F277</f>
        <v>N/A</v>
      </c>
    </row>
    <row r="9" spans="1:8" x14ac:dyDescent="0.25">
      <c r="A9" s="223" t="s">
        <v>0</v>
      </c>
      <c r="B9" s="224" t="s">
        <v>208</v>
      </c>
      <c r="C9" s="224" t="s">
        <v>1</v>
      </c>
      <c r="D9" s="225" t="s">
        <v>2</v>
      </c>
      <c r="E9" s="224" t="s">
        <v>8</v>
      </c>
      <c r="F9" s="224" t="s">
        <v>3</v>
      </c>
      <c r="G9" s="226" t="s">
        <v>4</v>
      </c>
      <c r="H9" s="227" t="s">
        <v>5</v>
      </c>
    </row>
    <row r="10" spans="1:8" x14ac:dyDescent="0.25">
      <c r="A10" s="8" t="str">
        <f>raw_data!A278</f>
        <v>525-00194</v>
      </c>
      <c r="B10" s="444" t="s">
        <v>335</v>
      </c>
      <c r="C10" s="39" t="str">
        <f>raw_data!B278</f>
        <v>062525MMM</v>
      </c>
      <c r="D10" s="40">
        <f>raw_data!C278</f>
        <v>46103</v>
      </c>
      <c r="E10" s="369" t="s">
        <v>16</v>
      </c>
      <c r="F10" s="39" t="str">
        <f>raw_data!D278</f>
        <v>7 Rör</v>
      </c>
      <c r="G10" s="40">
        <f>raw_data!E278</f>
        <v>45939</v>
      </c>
      <c r="H10" s="26" t="str">
        <f>raw_data!F278</f>
        <v>JESP</v>
      </c>
    </row>
    <row r="11" spans="1:8" x14ac:dyDescent="0.25">
      <c r="A11" s="8" t="str">
        <f>raw_data!A279</f>
        <v>525-00194</v>
      </c>
      <c r="B11" s="444"/>
      <c r="C11" s="39" t="str">
        <f>raw_data!B279</f>
        <v>N/A</v>
      </c>
      <c r="D11" s="40" t="str">
        <f>raw_data!C279</f>
        <v>N/A</v>
      </c>
      <c r="E11" s="369"/>
      <c r="F11" s="39" t="str">
        <f>raw_data!D279</f>
        <v>N/A</v>
      </c>
      <c r="G11" s="40" t="str">
        <f>raw_data!E279</f>
        <v>N/A</v>
      </c>
      <c r="H11" s="26" t="str">
        <f>raw_data!F279</f>
        <v>N/A</v>
      </c>
    </row>
    <row r="12" spans="1:8" x14ac:dyDescent="0.25">
      <c r="A12" s="8" t="str">
        <f>raw_data!A280</f>
        <v>525-00194</v>
      </c>
      <c r="B12" s="444"/>
      <c r="C12" s="39" t="str">
        <f>raw_data!B280</f>
        <v>N/A</v>
      </c>
      <c r="D12" s="40" t="str">
        <f>raw_data!C280</f>
        <v>N/A</v>
      </c>
      <c r="E12" s="369"/>
      <c r="F12" s="39" t="str">
        <f>raw_data!D280</f>
        <v>N/A</v>
      </c>
      <c r="G12" s="40" t="str">
        <f>raw_data!E280</f>
        <v>N/A</v>
      </c>
      <c r="H12" s="26" t="str">
        <f>raw_data!F280</f>
        <v>N/A</v>
      </c>
    </row>
    <row r="13" spans="1:8" ht="15.75" thickBot="1" x14ac:dyDescent="0.3">
      <c r="A13" s="29" t="str">
        <f>raw_data!A281</f>
        <v>525-00194</v>
      </c>
      <c r="B13" s="445"/>
      <c r="C13" s="41" t="str">
        <f>raw_data!B281</f>
        <v>N/A</v>
      </c>
      <c r="D13" s="42" t="str">
        <f>raw_data!C281</f>
        <v>N/A</v>
      </c>
      <c r="E13" s="360"/>
      <c r="F13" s="41" t="str">
        <f>raw_data!D281</f>
        <v>N/A</v>
      </c>
      <c r="G13" s="42" t="str">
        <f>raw_data!E281</f>
        <v>N/A</v>
      </c>
      <c r="H13" s="30" t="str">
        <f>raw_data!F281</f>
        <v>N/A</v>
      </c>
    </row>
    <row r="14" spans="1:8" x14ac:dyDescent="0.25">
      <c r="A14" s="223" t="s">
        <v>0</v>
      </c>
      <c r="B14" s="224" t="s">
        <v>208</v>
      </c>
      <c r="C14" s="224" t="s">
        <v>1</v>
      </c>
      <c r="D14" s="225" t="s">
        <v>2</v>
      </c>
      <c r="E14" s="224" t="s">
        <v>8</v>
      </c>
      <c r="F14" s="224" t="s">
        <v>3</v>
      </c>
      <c r="G14" s="226" t="s">
        <v>4</v>
      </c>
      <c r="H14" s="227" t="s">
        <v>5</v>
      </c>
    </row>
    <row r="15" spans="1:8" x14ac:dyDescent="0.25">
      <c r="A15" s="8" t="str">
        <f>raw_data!A282</f>
        <v>525-00195</v>
      </c>
      <c r="B15" s="444" t="s">
        <v>336</v>
      </c>
      <c r="C15" s="39" t="str">
        <f>raw_data!B282</f>
        <v>052325MATE</v>
      </c>
      <c r="D15" s="40">
        <f>raw_data!C282</f>
        <v>46070</v>
      </c>
      <c r="E15" s="369" t="s">
        <v>16</v>
      </c>
      <c r="F15" s="39" t="str">
        <f>raw_data!D282</f>
        <v>7 Rör</v>
      </c>
      <c r="G15" s="40">
        <f>raw_data!E282</f>
        <v>45939</v>
      </c>
      <c r="H15" s="26" t="str">
        <f>raw_data!F282</f>
        <v>JESP</v>
      </c>
    </row>
    <row r="16" spans="1:8" x14ac:dyDescent="0.25">
      <c r="A16" s="8" t="str">
        <f>raw_data!A283</f>
        <v>525-00195</v>
      </c>
      <c r="B16" s="444"/>
      <c r="C16" s="39" t="str">
        <f>raw_data!B283</f>
        <v>N/A</v>
      </c>
      <c r="D16" s="40" t="str">
        <f>raw_data!C283</f>
        <v>N/A</v>
      </c>
      <c r="E16" s="369"/>
      <c r="F16" s="39" t="str">
        <f>raw_data!D283</f>
        <v>N/A</v>
      </c>
      <c r="G16" s="40" t="str">
        <f>raw_data!E283</f>
        <v>N/A</v>
      </c>
      <c r="H16" s="26" t="str">
        <f>raw_data!F283</f>
        <v>N/A</v>
      </c>
    </row>
    <row r="17" spans="1:8" x14ac:dyDescent="0.25">
      <c r="A17" s="8" t="str">
        <f>raw_data!A284</f>
        <v>525-00195</v>
      </c>
      <c r="B17" s="444"/>
      <c r="C17" s="39" t="str">
        <f>raw_data!B284</f>
        <v>N/A</v>
      </c>
      <c r="D17" s="40" t="str">
        <f>raw_data!C284</f>
        <v>N/A</v>
      </c>
      <c r="E17" s="369"/>
      <c r="F17" s="39" t="str">
        <f>raw_data!D284</f>
        <v>N/A</v>
      </c>
      <c r="G17" s="40" t="str">
        <f>raw_data!E284</f>
        <v>N/A</v>
      </c>
      <c r="H17" s="26" t="str">
        <f>raw_data!F284</f>
        <v>N/A</v>
      </c>
    </row>
    <row r="18" spans="1:8" ht="15.75" thickBot="1" x14ac:dyDescent="0.3">
      <c r="A18" s="29" t="str">
        <f>raw_data!A285</f>
        <v>525-00195</v>
      </c>
      <c r="B18" s="445"/>
      <c r="C18" s="41" t="str">
        <f>raw_data!B285</f>
        <v>N/A</v>
      </c>
      <c r="D18" s="42" t="str">
        <f>raw_data!C285</f>
        <v>N/A</v>
      </c>
      <c r="E18" s="360"/>
      <c r="F18" s="41" t="str">
        <f>raw_data!D285</f>
        <v>N/A</v>
      </c>
      <c r="G18" s="42" t="str">
        <f>raw_data!E285</f>
        <v>N/A</v>
      </c>
      <c r="H18" s="30" t="str">
        <f>raw_data!F285</f>
        <v>N/A</v>
      </c>
    </row>
    <row r="19" spans="1:8" x14ac:dyDescent="0.25">
      <c r="A19" s="345" t="s">
        <v>0</v>
      </c>
      <c r="B19" s="346" t="s">
        <v>208</v>
      </c>
      <c r="C19" s="346" t="s">
        <v>1</v>
      </c>
      <c r="D19" s="347" t="s">
        <v>2</v>
      </c>
      <c r="E19" s="346" t="s">
        <v>8</v>
      </c>
      <c r="F19" s="346" t="s">
        <v>3</v>
      </c>
      <c r="G19" s="348" t="s">
        <v>4</v>
      </c>
      <c r="H19" s="349" t="s">
        <v>5</v>
      </c>
    </row>
    <row r="20" spans="1:8" x14ac:dyDescent="0.25">
      <c r="A20" s="8" t="str">
        <f>raw_data!A286</f>
        <v>525-00196</v>
      </c>
      <c r="B20" s="444" t="s">
        <v>337</v>
      </c>
      <c r="C20" s="39" t="str">
        <f>raw_data!B286</f>
        <v>061325MATE</v>
      </c>
      <c r="D20" s="40">
        <f>raw_data!C286</f>
        <v>46091</v>
      </c>
      <c r="E20" s="369" t="s">
        <v>16</v>
      </c>
      <c r="F20" s="39" t="str">
        <f>raw_data!D286</f>
        <v>7 Rör</v>
      </c>
      <c r="G20" s="40">
        <f>raw_data!E286</f>
        <v>45939</v>
      </c>
      <c r="H20" s="26" t="str">
        <f>raw_data!F286</f>
        <v>JESP</v>
      </c>
    </row>
    <row r="21" spans="1:8" x14ac:dyDescent="0.25">
      <c r="A21" s="8" t="str">
        <f>raw_data!A287</f>
        <v>525-00196</v>
      </c>
      <c r="B21" s="444"/>
      <c r="C21" s="39" t="str">
        <f>raw_data!B287</f>
        <v>N/A</v>
      </c>
      <c r="D21" s="40" t="str">
        <f>raw_data!C287</f>
        <v>N/A</v>
      </c>
      <c r="E21" s="369"/>
      <c r="F21" s="39" t="str">
        <f>raw_data!D287</f>
        <v>N/A</v>
      </c>
      <c r="G21" s="40" t="str">
        <f>raw_data!E287</f>
        <v>N/A</v>
      </c>
      <c r="H21" s="26" t="str">
        <f>raw_data!F287</f>
        <v>N/A</v>
      </c>
    </row>
    <row r="22" spans="1:8" x14ac:dyDescent="0.25">
      <c r="A22" s="8" t="str">
        <f>raw_data!A288</f>
        <v>525-00196</v>
      </c>
      <c r="B22" s="444"/>
      <c r="C22" s="39" t="str">
        <f>raw_data!B288</f>
        <v>N/A</v>
      </c>
      <c r="D22" s="40" t="str">
        <f>raw_data!C288</f>
        <v>N/A</v>
      </c>
      <c r="E22" s="369"/>
      <c r="F22" s="39" t="str">
        <f>raw_data!D288</f>
        <v>N/A</v>
      </c>
      <c r="G22" s="40" t="str">
        <f>raw_data!E288</f>
        <v>N/A</v>
      </c>
      <c r="H22" s="26" t="str">
        <f>raw_data!F288</f>
        <v>N/A</v>
      </c>
    </row>
    <row r="23" spans="1:8" ht="15.75" thickBot="1" x14ac:dyDescent="0.3">
      <c r="A23" s="29" t="str">
        <f>raw_data!A289</f>
        <v>525-00196</v>
      </c>
      <c r="B23" s="445"/>
      <c r="C23" s="41" t="str">
        <f>raw_data!B289</f>
        <v>N/A</v>
      </c>
      <c r="D23" s="42" t="str">
        <f>raw_data!C289</f>
        <v>N/A</v>
      </c>
      <c r="E23" s="360"/>
      <c r="F23" s="41" t="str">
        <f>raw_data!D289</f>
        <v>N/A</v>
      </c>
      <c r="G23" s="42" t="str">
        <f>raw_data!E289</f>
        <v>N/A</v>
      </c>
      <c r="H23" s="30" t="str">
        <f>raw_data!F289</f>
        <v>N/A</v>
      </c>
    </row>
    <row r="24" spans="1:8" ht="15.75" thickBot="1" x14ac:dyDescent="0.3">
      <c r="A24" s="35"/>
      <c r="B24" s="98"/>
      <c r="C24" s="35"/>
      <c r="D24" s="36"/>
      <c r="E24" s="35"/>
      <c r="F24" s="35"/>
      <c r="G24" s="36"/>
      <c r="H24" s="35"/>
    </row>
    <row r="25" spans="1:8" ht="15.75" thickBot="1" x14ac:dyDescent="0.3">
      <c r="A25" s="109" t="s">
        <v>0</v>
      </c>
      <c r="B25" s="110" t="s">
        <v>208</v>
      </c>
      <c r="C25" s="110" t="s">
        <v>1</v>
      </c>
      <c r="D25" s="111" t="s">
        <v>2</v>
      </c>
      <c r="E25" s="110" t="s">
        <v>8</v>
      </c>
      <c r="F25" s="110" t="s">
        <v>3</v>
      </c>
      <c r="G25" s="112" t="s">
        <v>4</v>
      </c>
      <c r="H25" s="113" t="s">
        <v>5</v>
      </c>
    </row>
    <row r="26" spans="1:8" x14ac:dyDescent="0.25">
      <c r="A26" s="48" t="str">
        <f>raw_data!A2</f>
        <v>001-1471</v>
      </c>
      <c r="B26" s="443" t="s">
        <v>15</v>
      </c>
      <c r="C26" s="49">
        <f>raw_data!B2</f>
        <v>334159</v>
      </c>
      <c r="D26" s="50">
        <f>raw_data!C2</f>
        <v>46023</v>
      </c>
      <c r="E26" s="366" t="s">
        <v>16</v>
      </c>
      <c r="F26" s="49" t="str">
        <f>raw_data!D2</f>
        <v>5 Flaskor NEG</v>
      </c>
      <c r="G26" s="50">
        <f>raw_data!E2</f>
        <v>45988</v>
      </c>
      <c r="H26" s="52" t="str">
        <f>raw_data!F2</f>
        <v>JESP</v>
      </c>
    </row>
    <row r="27" spans="1:8" x14ac:dyDescent="0.25">
      <c r="A27" s="8" t="str">
        <f>raw_data!A3</f>
        <v>001-1471</v>
      </c>
      <c r="B27" s="444"/>
      <c r="C27" s="39">
        <f>raw_data!B3</f>
        <v>334159</v>
      </c>
      <c r="D27" s="40">
        <f>raw_data!C3</f>
        <v>46023</v>
      </c>
      <c r="E27" s="369"/>
      <c r="F27" s="39" t="str">
        <f>raw_data!D3</f>
        <v>4.5 Flaskor POS</v>
      </c>
      <c r="G27" s="40">
        <f>raw_data!E3</f>
        <v>45985</v>
      </c>
      <c r="H27" s="26" t="str">
        <f>raw_data!F3</f>
        <v>ELS</v>
      </c>
    </row>
    <row r="28" spans="1:8" x14ac:dyDescent="0.25">
      <c r="A28" s="8" t="str">
        <f>raw_data!A4</f>
        <v>001-1471</v>
      </c>
      <c r="B28" s="444"/>
      <c r="C28" s="39" t="str">
        <f>raw_data!B4</f>
        <v>N/A</v>
      </c>
      <c r="D28" s="40" t="str">
        <f>raw_data!C4</f>
        <v>N/A</v>
      </c>
      <c r="E28" s="369"/>
      <c r="F28" s="39" t="str">
        <f>raw_data!D4</f>
        <v>N/A</v>
      </c>
      <c r="G28" s="40" t="str">
        <f>raw_data!E4</f>
        <v>N/A</v>
      </c>
      <c r="H28" s="26" t="str">
        <f>raw_data!F4</f>
        <v>N/A</v>
      </c>
    </row>
    <row r="29" spans="1:8" ht="15.75" thickBot="1" x14ac:dyDescent="0.3">
      <c r="A29" s="29" t="str">
        <f>raw_data!A5</f>
        <v>001-1471</v>
      </c>
      <c r="B29" s="445"/>
      <c r="C29" s="41" t="str">
        <f>raw_data!B5</f>
        <v>N/A</v>
      </c>
      <c r="D29" s="42" t="str">
        <f>raw_data!C5</f>
        <v>N/A</v>
      </c>
      <c r="E29" s="360"/>
      <c r="F29" s="41" t="str">
        <f>raw_data!D5</f>
        <v>N/A</v>
      </c>
      <c r="G29" s="42" t="str">
        <f>raw_data!E5</f>
        <v>N/A</v>
      </c>
      <c r="H29" s="30" t="str">
        <f>raw_data!F5</f>
        <v>N/A</v>
      </c>
    </row>
  </sheetData>
  <sheetProtection algorithmName="SHA-512" hashValue="I/sDudhCk6t7pXGtOUS/HDnQR1yn6cxresbvNRzKXKJPUstN7WDXWY7nA0q/MDVRBwc4jjbJ08kBYaKbtnlUkg==" saltValue="he3LvWnsofW5hdnthA/TpA==" spinCount="100000" sheet="1" objects="1" scenarios="1"/>
  <mergeCells count="11">
    <mergeCell ref="B20:B23"/>
    <mergeCell ref="E20:E23"/>
    <mergeCell ref="B26:B29"/>
    <mergeCell ref="E26:E29"/>
    <mergeCell ref="A2:H2"/>
    <mergeCell ref="B5:B8"/>
    <mergeCell ref="E5:E8"/>
    <mergeCell ref="B10:B13"/>
    <mergeCell ref="E10:E13"/>
    <mergeCell ref="B15:B18"/>
    <mergeCell ref="E15:E1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9" tint="-0.249977111117893"/>
  </sheetPr>
  <dimension ref="A1:H21"/>
  <sheetViews>
    <sheetView workbookViewId="0"/>
  </sheetViews>
  <sheetFormatPr defaultRowHeight="15" x14ac:dyDescent="0.25"/>
  <cols>
    <col min="1" max="1" width="8.7109375" bestFit="1" customWidth="1"/>
    <col min="2" max="2" width="20.42578125" customWidth="1"/>
    <col min="3" max="3" width="15" customWidth="1"/>
    <col min="4" max="4" width="14" bestFit="1" customWidth="1"/>
    <col min="5" max="5" width="14.5703125" bestFit="1" customWidth="1"/>
    <col min="6" max="7" width="17.85546875" bestFit="1" customWidth="1"/>
    <col min="8" max="8" width="7.85546875" customWidth="1"/>
  </cols>
  <sheetData>
    <row r="1" spans="1:8" ht="15.75" thickBot="1" x14ac:dyDescent="0.3"/>
    <row r="2" spans="1:8" ht="24" thickBot="1" x14ac:dyDescent="0.3">
      <c r="A2" s="492" t="s">
        <v>214</v>
      </c>
      <c r="B2" s="493"/>
      <c r="C2" s="493"/>
      <c r="D2" s="493"/>
      <c r="E2" s="493"/>
      <c r="F2" s="493"/>
      <c r="G2" s="493"/>
      <c r="H2" s="494"/>
    </row>
    <row r="3" spans="1:8" ht="15.75" thickBot="1" x14ac:dyDescent="0.3">
      <c r="A3" s="34"/>
      <c r="B3" s="35"/>
      <c r="C3" s="35"/>
      <c r="D3" s="36"/>
      <c r="E3" s="35"/>
      <c r="F3" s="35"/>
    </row>
    <row r="4" spans="1:8" ht="15.75" thickBot="1" x14ac:dyDescent="0.3">
      <c r="A4" s="119" t="s">
        <v>0</v>
      </c>
      <c r="B4" s="120" t="s">
        <v>208</v>
      </c>
      <c r="C4" s="120" t="s">
        <v>1</v>
      </c>
      <c r="D4" s="121" t="s">
        <v>2</v>
      </c>
      <c r="E4" s="120" t="s">
        <v>8</v>
      </c>
      <c r="F4" s="120" t="s">
        <v>3</v>
      </c>
      <c r="G4" s="122" t="s">
        <v>4</v>
      </c>
      <c r="H4" s="123" t="s">
        <v>5</v>
      </c>
    </row>
    <row r="5" spans="1:8" x14ac:dyDescent="0.25">
      <c r="A5" s="48" t="str">
        <f>raw_data!A58</f>
        <v>500-1526</v>
      </c>
      <c r="B5" s="443" t="s">
        <v>59</v>
      </c>
      <c r="C5" s="49" t="str">
        <f>raw_data!B58</f>
        <v>012224ELIF</v>
      </c>
      <c r="D5" s="50">
        <f>raw_data!C58</f>
        <v>46409</v>
      </c>
      <c r="E5" s="366" t="s">
        <v>16</v>
      </c>
      <c r="F5" s="51" t="str">
        <f>raw_data!D58</f>
        <v>3 Lådor</v>
      </c>
      <c r="G5" s="50">
        <f>raw_data!E58</f>
        <v>45985</v>
      </c>
      <c r="H5" s="52" t="str">
        <f>raw_data!F58</f>
        <v>ELS</v>
      </c>
    </row>
    <row r="6" spans="1:8" x14ac:dyDescent="0.25">
      <c r="A6" s="8" t="str">
        <f>raw_data!A59</f>
        <v>500-1526</v>
      </c>
      <c r="B6" s="444"/>
      <c r="C6" s="39" t="str">
        <f>raw_data!B59</f>
        <v>N/A</v>
      </c>
      <c r="D6" s="40" t="str">
        <f>raw_data!C59</f>
        <v>N/A</v>
      </c>
      <c r="E6" s="369"/>
      <c r="F6" s="53" t="str">
        <f>raw_data!D59</f>
        <v>N/A</v>
      </c>
      <c r="G6" s="40" t="str">
        <f>raw_data!E59</f>
        <v>N/A</v>
      </c>
      <c r="H6" s="26" t="str">
        <f>raw_data!F59</f>
        <v>N/A</v>
      </c>
    </row>
    <row r="7" spans="1:8" x14ac:dyDescent="0.25">
      <c r="A7" s="8" t="str">
        <f>raw_data!A60</f>
        <v>500-1526</v>
      </c>
      <c r="B7" s="444"/>
      <c r="C7" s="39" t="str">
        <f>raw_data!B60</f>
        <v>N/A</v>
      </c>
      <c r="D7" s="40" t="str">
        <f>raw_data!C60</f>
        <v>N/A</v>
      </c>
      <c r="E7" s="369"/>
      <c r="F7" s="53" t="str">
        <f>raw_data!D60</f>
        <v>N/A</v>
      </c>
      <c r="G7" s="40" t="str">
        <f>raw_data!E60</f>
        <v>N/A</v>
      </c>
      <c r="H7" s="26" t="str">
        <f>raw_data!F60</f>
        <v>N/A</v>
      </c>
    </row>
    <row r="8" spans="1:8" ht="15.75" thickBot="1" x14ac:dyDescent="0.3">
      <c r="A8" s="29" t="str">
        <f>raw_data!A61</f>
        <v>500-1526</v>
      </c>
      <c r="B8" s="445"/>
      <c r="C8" s="41" t="str">
        <f>raw_data!B61</f>
        <v>N/A</v>
      </c>
      <c r="D8" s="42" t="str">
        <f>raw_data!C61</f>
        <v>N/A</v>
      </c>
      <c r="E8" s="360"/>
      <c r="F8" s="54" t="str">
        <f>raw_data!D61</f>
        <v>N/A</v>
      </c>
      <c r="G8" s="42" t="str">
        <f>raw_data!E61</f>
        <v>N/A</v>
      </c>
      <c r="H8" s="30" t="str">
        <f>raw_data!F61</f>
        <v>N/A</v>
      </c>
    </row>
    <row r="9" spans="1:8" ht="15.75" thickBot="1" x14ac:dyDescent="0.3">
      <c r="A9" s="124" t="s">
        <v>0</v>
      </c>
      <c r="B9" s="125" t="s">
        <v>208</v>
      </c>
      <c r="C9" s="125" t="s">
        <v>1</v>
      </c>
      <c r="D9" s="126" t="s">
        <v>2</v>
      </c>
      <c r="E9" s="125" t="s">
        <v>8</v>
      </c>
      <c r="F9" s="125" t="s">
        <v>3</v>
      </c>
      <c r="G9" s="127" t="s">
        <v>4</v>
      </c>
      <c r="H9" s="128" t="s">
        <v>5</v>
      </c>
    </row>
    <row r="10" spans="1:8" x14ac:dyDescent="0.25">
      <c r="A10" s="48" t="str">
        <f>raw_data!A66</f>
        <v>500-1544</v>
      </c>
      <c r="B10" s="366" t="s">
        <v>65</v>
      </c>
      <c r="C10" s="49" t="str">
        <f>raw_data!B66</f>
        <v>081823VW</v>
      </c>
      <c r="D10" s="50">
        <f>raw_data!C66</f>
        <v>46252</v>
      </c>
      <c r="E10" s="366" t="s">
        <v>16</v>
      </c>
      <c r="F10" s="51" t="str">
        <f>raw_data!D66</f>
        <v>0.5 låda</v>
      </c>
      <c r="G10" s="50">
        <f>raw_data!E66</f>
        <v>45985</v>
      </c>
      <c r="H10" s="52" t="str">
        <f>raw_data!F66</f>
        <v>ELS</v>
      </c>
    </row>
    <row r="11" spans="1:8" x14ac:dyDescent="0.25">
      <c r="A11" s="8" t="str">
        <f>raw_data!A67</f>
        <v>500-1544</v>
      </c>
      <c r="B11" s="369"/>
      <c r="C11" s="39" t="str">
        <f>raw_data!B67</f>
        <v>011624MATE</v>
      </c>
      <c r="D11" s="40">
        <f>raw_data!C67</f>
        <v>46403</v>
      </c>
      <c r="E11" s="369"/>
      <c r="F11" s="53" t="str">
        <f>raw_data!D67</f>
        <v>2 lådor</v>
      </c>
      <c r="G11" s="40">
        <f>raw_data!E67</f>
        <v>45985</v>
      </c>
      <c r="H11" s="26" t="str">
        <f>raw_data!F67</f>
        <v>ELS</v>
      </c>
    </row>
    <row r="12" spans="1:8" x14ac:dyDescent="0.25">
      <c r="A12" s="8" t="str">
        <f>raw_data!A68</f>
        <v>500-1544</v>
      </c>
      <c r="B12" s="369"/>
      <c r="C12" s="39" t="str">
        <f>raw_data!B68</f>
        <v>N/A</v>
      </c>
      <c r="D12" s="40" t="str">
        <f>raw_data!C68</f>
        <v>N/A</v>
      </c>
      <c r="E12" s="369"/>
      <c r="F12" s="53" t="str">
        <f>raw_data!D68</f>
        <v>N/A</v>
      </c>
      <c r="G12" s="40" t="str">
        <f>raw_data!E68</f>
        <v>N/A</v>
      </c>
      <c r="H12" s="26" t="str">
        <f>raw_data!F68</f>
        <v>N/A</v>
      </c>
    </row>
    <row r="13" spans="1:8" ht="15.75" thickBot="1" x14ac:dyDescent="0.3">
      <c r="A13" s="29" t="str">
        <f>raw_data!A69</f>
        <v>500-1544</v>
      </c>
      <c r="B13" s="360"/>
      <c r="C13" s="41" t="str">
        <f>raw_data!B69</f>
        <v>N/A</v>
      </c>
      <c r="D13" s="42" t="str">
        <f>raw_data!C69</f>
        <v>N/A</v>
      </c>
      <c r="E13" s="360"/>
      <c r="F13" s="54" t="str">
        <f>raw_data!D69</f>
        <v>N/A</v>
      </c>
      <c r="G13" s="42" t="str">
        <f>raw_data!E69</f>
        <v>N/A</v>
      </c>
      <c r="H13" s="30" t="str">
        <f>raw_data!F69</f>
        <v>N/A</v>
      </c>
    </row>
    <row r="14" spans="1:8" ht="15.75" thickBot="1" x14ac:dyDescent="0.3"/>
    <row r="15" spans="1:8" ht="24" thickBot="1" x14ac:dyDescent="0.3">
      <c r="A15" s="428" t="s">
        <v>217</v>
      </c>
      <c r="B15" s="460"/>
      <c r="C15" s="460"/>
      <c r="D15" s="460"/>
      <c r="E15" s="460"/>
      <c r="F15" s="460"/>
      <c r="G15" s="460"/>
      <c r="H15" s="461"/>
    </row>
    <row r="16" spans="1:8" ht="15.75" customHeight="1" thickBot="1" x14ac:dyDescent="0.3">
      <c r="A16" s="462" t="s">
        <v>57</v>
      </c>
      <c r="B16" s="463"/>
      <c r="C16" s="463"/>
      <c r="D16" s="463"/>
      <c r="E16" s="463"/>
      <c r="F16" s="463"/>
      <c r="G16" s="463"/>
      <c r="H16" s="464"/>
    </row>
    <row r="17" spans="1:8" ht="15.75" thickBot="1" x14ac:dyDescent="0.3">
      <c r="A17" s="495" t="s">
        <v>209</v>
      </c>
      <c r="B17" s="496"/>
      <c r="C17" s="497"/>
      <c r="D17" s="498" t="s">
        <v>2</v>
      </c>
      <c r="E17" s="499"/>
      <c r="F17" s="56" t="s">
        <v>205</v>
      </c>
      <c r="G17" s="57" t="s">
        <v>4</v>
      </c>
      <c r="H17" s="58" t="s">
        <v>5</v>
      </c>
    </row>
    <row r="18" spans="1:8" x14ac:dyDescent="0.25">
      <c r="A18" s="365">
        <f>raw_data!B54</f>
        <v>1001497100</v>
      </c>
      <c r="B18" s="366"/>
      <c r="C18" s="366"/>
      <c r="D18" s="367" t="str">
        <f>raw_data!C54</f>
        <v>2026-02</v>
      </c>
      <c r="E18" s="367"/>
      <c r="F18" s="50" t="str">
        <f>raw_data!D54</f>
        <v>10L</v>
      </c>
      <c r="G18" s="50">
        <f>raw_data!E54</f>
        <v>45890</v>
      </c>
      <c r="H18" s="52" t="str">
        <f>raw_data!F54</f>
        <v>vdao</v>
      </c>
    </row>
    <row r="19" spans="1:8" x14ac:dyDescent="0.25">
      <c r="A19" s="368" t="str">
        <f>raw_data!B55</f>
        <v>N/A</v>
      </c>
      <c r="B19" s="369"/>
      <c r="C19" s="369"/>
      <c r="D19" s="370" t="str">
        <f>raw_data!C55</f>
        <v>N/A</v>
      </c>
      <c r="E19" s="370"/>
      <c r="F19" s="40" t="str">
        <f>raw_data!D55</f>
        <v>N/A</v>
      </c>
      <c r="G19" s="40" t="str">
        <f>raw_data!E55</f>
        <v>N/A</v>
      </c>
      <c r="H19" s="26" t="str">
        <f>raw_data!F55</f>
        <v>N/A</v>
      </c>
    </row>
    <row r="20" spans="1:8" x14ac:dyDescent="0.25">
      <c r="A20" s="368" t="str">
        <f>raw_data!B56</f>
        <v>N/A</v>
      </c>
      <c r="B20" s="369"/>
      <c r="C20" s="369"/>
      <c r="D20" s="370" t="str">
        <f>raw_data!C56</f>
        <v>N/A</v>
      </c>
      <c r="E20" s="370"/>
      <c r="F20" s="40" t="str">
        <f>raw_data!D56</f>
        <v>N/A</v>
      </c>
      <c r="G20" s="40" t="str">
        <f>raw_data!E56</f>
        <v>N/A</v>
      </c>
      <c r="H20" s="26" t="str">
        <f>raw_data!F56</f>
        <v>N/A</v>
      </c>
    </row>
    <row r="21" spans="1:8" ht="15.75" thickBot="1" x14ac:dyDescent="0.3">
      <c r="A21" s="359" t="str">
        <f>raw_data!B57</f>
        <v>N/A</v>
      </c>
      <c r="B21" s="360"/>
      <c r="C21" s="360"/>
      <c r="D21" s="361" t="str">
        <f>raw_data!C57</f>
        <v>N/A</v>
      </c>
      <c r="E21" s="361"/>
      <c r="F21" s="42" t="str">
        <f>raw_data!D57</f>
        <v>N/A</v>
      </c>
      <c r="G21" s="42" t="str">
        <f>raw_data!E57</f>
        <v>N/A</v>
      </c>
      <c r="H21" s="30" t="str">
        <f>raw_data!F57</f>
        <v>N/A</v>
      </c>
    </row>
  </sheetData>
  <sheetProtection algorithmName="SHA-512" hashValue="D4LxrJpqOue5kgi0DKTdlcLz/kgJ8iAU6c4u0diTUt1q2nPXQ2jxjnPacqbKZfOY+iohzSfRt0MmWiNmYKjPig==" saltValue="4qukYOwr0nsrMgYADEhLHw==" spinCount="100000" sheet="1" formatCells="0" formatColumns="0" formatRows="0" insertColumns="0" insertRows="0" insertHyperlinks="0" deleteColumns="0" deleteRows="0" sort="0" autoFilter="0" pivotTables="0"/>
  <mergeCells count="17">
    <mergeCell ref="A20:C20"/>
    <mergeCell ref="D20:E20"/>
    <mergeCell ref="A21:C21"/>
    <mergeCell ref="D21:E21"/>
    <mergeCell ref="A16:H16"/>
    <mergeCell ref="A17:C17"/>
    <mergeCell ref="D17:E17"/>
    <mergeCell ref="A18:C18"/>
    <mergeCell ref="D18:E18"/>
    <mergeCell ref="A19:C19"/>
    <mergeCell ref="D19:E19"/>
    <mergeCell ref="A15:H15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7" tint="0.59999389629810485"/>
  </sheetPr>
  <dimension ref="A1:K16"/>
  <sheetViews>
    <sheetView workbookViewId="0"/>
  </sheetViews>
  <sheetFormatPr defaultRowHeight="15" x14ac:dyDescent="0.25"/>
  <cols>
    <col min="1" max="1" width="8.7109375" bestFit="1" customWidth="1"/>
    <col min="2" max="2" width="21" bestFit="1" customWidth="1"/>
    <col min="3" max="3" width="15" customWidth="1"/>
    <col min="4" max="4" width="14" bestFit="1" customWidth="1"/>
    <col min="5" max="5" width="14.5703125" bestFit="1" customWidth="1"/>
    <col min="6" max="6" width="13.42578125" bestFit="1" customWidth="1"/>
    <col min="7" max="7" width="17.85546875" bestFit="1" customWidth="1"/>
    <col min="8" max="8" width="8" customWidth="1"/>
  </cols>
  <sheetData>
    <row r="1" spans="1:11" ht="15.75" thickBot="1" x14ac:dyDescent="0.3"/>
    <row r="2" spans="1:11" ht="24" thickBot="1" x14ac:dyDescent="0.3">
      <c r="A2" s="500" t="s">
        <v>218</v>
      </c>
      <c r="B2" s="501"/>
      <c r="C2" s="501"/>
      <c r="D2" s="501"/>
      <c r="E2" s="501"/>
      <c r="F2" s="501"/>
      <c r="G2" s="501"/>
      <c r="H2" s="502"/>
    </row>
    <row r="3" spans="1:11" ht="15.75" thickBot="1" x14ac:dyDescent="0.3">
      <c r="A3" s="34"/>
      <c r="B3" s="35"/>
      <c r="C3" s="35"/>
      <c r="D3" s="36"/>
      <c r="E3" s="35"/>
      <c r="F3" s="35"/>
    </row>
    <row r="4" spans="1:11" ht="15.75" thickBot="1" x14ac:dyDescent="0.3">
      <c r="A4" s="109" t="s">
        <v>0</v>
      </c>
      <c r="B4" s="110" t="s">
        <v>208</v>
      </c>
      <c r="C4" s="110" t="s">
        <v>1</v>
      </c>
      <c r="D4" s="111" t="s">
        <v>2</v>
      </c>
      <c r="E4" s="110" t="s">
        <v>8</v>
      </c>
      <c r="F4" s="110" t="s">
        <v>3</v>
      </c>
      <c r="G4" s="130" t="s">
        <v>4</v>
      </c>
      <c r="H4" s="113" t="s">
        <v>5</v>
      </c>
    </row>
    <row r="5" spans="1:11" x14ac:dyDescent="0.25">
      <c r="A5" s="48" t="str">
        <f>raw_data!A62</f>
        <v>500-1529</v>
      </c>
      <c r="B5" s="443" t="s">
        <v>63</v>
      </c>
      <c r="C5" s="49" t="str">
        <f>raw_data!B62</f>
        <v>020625VW</v>
      </c>
      <c r="D5" s="50">
        <f>raw_data!C62</f>
        <v>46054</v>
      </c>
      <c r="E5" s="366" t="s">
        <v>16</v>
      </c>
      <c r="F5" s="49" t="str">
        <f>raw_data!D62</f>
        <v>1.5 Låda</v>
      </c>
      <c r="G5" s="50">
        <f>raw_data!E62</f>
        <v>45978</v>
      </c>
      <c r="H5" s="52" t="str">
        <f>raw_data!F62</f>
        <v>ELS</v>
      </c>
    </row>
    <row r="6" spans="1:11" x14ac:dyDescent="0.25">
      <c r="A6" s="8" t="str">
        <f>raw_data!A63</f>
        <v>500-1529</v>
      </c>
      <c r="B6" s="444"/>
      <c r="C6" s="39" t="str">
        <f>raw_data!B63</f>
        <v>040925Masa</v>
      </c>
      <c r="D6" s="40">
        <f>raw_data!C63</f>
        <v>46054</v>
      </c>
      <c r="E6" s="369"/>
      <c r="F6" s="39" t="str">
        <f>raw_data!D63</f>
        <v>1 Låda</v>
      </c>
      <c r="G6" s="40">
        <f>raw_data!E63</f>
        <v>45978</v>
      </c>
      <c r="H6" s="26" t="str">
        <f>raw_data!F63</f>
        <v>ELS</v>
      </c>
    </row>
    <row r="7" spans="1:11" x14ac:dyDescent="0.25">
      <c r="A7" s="8" t="str">
        <f>raw_data!A64</f>
        <v>500-1529</v>
      </c>
      <c r="B7" s="444"/>
      <c r="C7" s="39" t="str">
        <f>raw_data!B64</f>
        <v>N/A</v>
      </c>
      <c r="D7" s="40" t="str">
        <f>raw_data!C64</f>
        <v>N/A</v>
      </c>
      <c r="E7" s="369"/>
      <c r="F7" s="39" t="str">
        <f>raw_data!D64</f>
        <v>N/A</v>
      </c>
      <c r="G7" s="40" t="str">
        <f>raw_data!E64</f>
        <v>N/A</v>
      </c>
      <c r="H7" s="26" t="str">
        <f>raw_data!F64</f>
        <v>N/A</v>
      </c>
    </row>
    <row r="8" spans="1:11" ht="15.75" thickBot="1" x14ac:dyDescent="0.3">
      <c r="A8" s="29" t="str">
        <f>raw_data!A65</f>
        <v>500-1529</v>
      </c>
      <c r="B8" s="445"/>
      <c r="C8" s="41" t="str">
        <f>raw_data!B65</f>
        <v>N/A</v>
      </c>
      <c r="D8" s="42" t="str">
        <f>raw_data!C65</f>
        <v>N/A</v>
      </c>
      <c r="E8" s="360"/>
      <c r="F8" s="41" t="str">
        <f>raw_data!D65</f>
        <v>N/A</v>
      </c>
      <c r="G8" s="42" t="str">
        <f>raw_data!E65</f>
        <v>N/A</v>
      </c>
      <c r="H8" s="30" t="str">
        <f>raw_data!F65</f>
        <v>N/A</v>
      </c>
    </row>
    <row r="9" spans="1:11" ht="15.75" thickBot="1" x14ac:dyDescent="0.3"/>
    <row r="10" spans="1:11" ht="24" thickBot="1" x14ac:dyDescent="0.3">
      <c r="A10" s="428" t="s">
        <v>235</v>
      </c>
      <c r="B10" s="460"/>
      <c r="C10" s="460"/>
      <c r="D10" s="460"/>
      <c r="E10" s="460"/>
      <c r="F10" s="460"/>
      <c r="G10" s="460"/>
      <c r="H10" s="461"/>
    </row>
    <row r="11" spans="1:11" ht="15.75" thickBot="1" x14ac:dyDescent="0.3">
      <c r="A11" s="431" t="s">
        <v>94</v>
      </c>
      <c r="B11" s="432"/>
      <c r="C11" s="432"/>
      <c r="D11" s="432"/>
      <c r="E11" s="432"/>
      <c r="F11" s="432"/>
      <c r="G11" s="432"/>
      <c r="H11" s="433"/>
    </row>
    <row r="12" spans="1:11" ht="15.75" thickBot="1" x14ac:dyDescent="0.3">
      <c r="A12" s="362" t="s">
        <v>209</v>
      </c>
      <c r="B12" s="363"/>
      <c r="C12" s="363"/>
      <c r="D12" s="364" t="s">
        <v>2</v>
      </c>
      <c r="E12" s="364"/>
      <c r="F12" s="57" t="s">
        <v>205</v>
      </c>
      <c r="G12" s="57" t="s">
        <v>4</v>
      </c>
      <c r="H12" s="58" t="s">
        <v>5</v>
      </c>
    </row>
    <row r="13" spans="1:11" x14ac:dyDescent="0.25">
      <c r="A13" s="365">
        <f>raw_data!B114</f>
        <v>1001512409</v>
      </c>
      <c r="B13" s="366"/>
      <c r="C13" s="366"/>
      <c r="D13" s="367">
        <f>raw_data!C114</f>
        <v>46083</v>
      </c>
      <c r="E13" s="367"/>
      <c r="F13" s="49" t="str">
        <f>raw_data!D114</f>
        <v>5L</v>
      </c>
      <c r="G13" s="50">
        <f>raw_data!E114</f>
        <v>45994</v>
      </c>
      <c r="H13" s="52" t="str">
        <f>raw_data!F114</f>
        <v>vdao</v>
      </c>
      <c r="K13" s="129"/>
    </row>
    <row r="14" spans="1:11" x14ac:dyDescent="0.25">
      <c r="A14" s="368">
        <f>raw_data!B115</f>
        <v>1001506031</v>
      </c>
      <c r="B14" s="369"/>
      <c r="C14" s="369"/>
      <c r="D14" s="370">
        <f>raw_data!C115</f>
        <v>46039</v>
      </c>
      <c r="E14" s="370"/>
      <c r="F14" s="39" t="str">
        <f>raw_data!D115</f>
        <v>4L</v>
      </c>
      <c r="G14" s="40">
        <f>raw_data!E115</f>
        <v>45986</v>
      </c>
      <c r="H14" s="26" t="str">
        <f>raw_data!F115</f>
        <v>ELS</v>
      </c>
    </row>
    <row r="15" spans="1:11" x14ac:dyDescent="0.25">
      <c r="A15" s="368" t="str">
        <f>raw_data!B116</f>
        <v>N/A</v>
      </c>
      <c r="B15" s="369"/>
      <c r="C15" s="369"/>
      <c r="D15" s="370" t="str">
        <f>raw_data!C116</f>
        <v>N/A</v>
      </c>
      <c r="E15" s="370"/>
      <c r="F15" s="39" t="str">
        <f>raw_data!D116</f>
        <v>N/A</v>
      </c>
      <c r="G15" s="40" t="str">
        <f>raw_data!E116</f>
        <v>N/A</v>
      </c>
      <c r="H15" s="26" t="str">
        <f>raw_data!F116</f>
        <v>N/A</v>
      </c>
    </row>
    <row r="16" spans="1:11" ht="15.75" thickBot="1" x14ac:dyDescent="0.3">
      <c r="A16" s="359" t="str">
        <f>raw_data!B117</f>
        <v>N/A</v>
      </c>
      <c r="B16" s="360"/>
      <c r="C16" s="360"/>
      <c r="D16" s="361" t="str">
        <f>raw_data!C117</f>
        <v>N/A</v>
      </c>
      <c r="E16" s="361"/>
      <c r="F16" s="41" t="str">
        <f>raw_data!D117</f>
        <v>N/A</v>
      </c>
      <c r="G16" s="42" t="str">
        <f>raw_data!E117</f>
        <v>N/A</v>
      </c>
      <c r="H16" s="30" t="str">
        <f>raw_data!F117</f>
        <v>N/A</v>
      </c>
    </row>
  </sheetData>
  <sheetProtection algorithmName="SHA-512" hashValue="Ihq/xNK3IZmd6JAIfXTtXoli0pVqVbRav+fYYon5OaP9c6m60mARWtX72x1oyCSgyh1MVF9X8ajfD14FAY8sWg==" saltValue="ZemZaT8XFpsVHxAd/MchEQ==" spinCount="100000" sheet="1" formatCells="0" formatColumns="0" formatRows="0" insertColumns="0" insertRows="0" insertHyperlinks="0" deleteColumns="0" deleteRows="0" sort="0" autoFilter="0" pivotTables="0"/>
  <mergeCells count="15">
    <mergeCell ref="A15:C15"/>
    <mergeCell ref="D15:E15"/>
    <mergeCell ref="A16:C16"/>
    <mergeCell ref="D16:E16"/>
    <mergeCell ref="A12:C12"/>
    <mergeCell ref="D12:E12"/>
    <mergeCell ref="A13:C13"/>
    <mergeCell ref="D13:E13"/>
    <mergeCell ref="A14:C14"/>
    <mergeCell ref="D14:E14"/>
    <mergeCell ref="A2:H2"/>
    <mergeCell ref="B5:B8"/>
    <mergeCell ref="E5:E8"/>
    <mergeCell ref="A10:H10"/>
    <mergeCell ref="A11:H11"/>
  </mergeCell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8" tint="0.59999389629810485"/>
  </sheetPr>
  <dimension ref="A1:H23"/>
  <sheetViews>
    <sheetView workbookViewId="0"/>
  </sheetViews>
  <sheetFormatPr defaultRowHeight="15" x14ac:dyDescent="0.25"/>
  <cols>
    <col min="1" max="1" width="12.28515625" bestFit="1" customWidth="1"/>
    <col min="2" max="2" width="19.28515625" customWidth="1"/>
    <col min="3" max="3" width="14.42578125" customWidth="1"/>
    <col min="4" max="4" width="14" bestFit="1" customWidth="1"/>
    <col min="5" max="5" width="14.5703125" bestFit="1" customWidth="1"/>
    <col min="6" max="7" width="17.85546875" bestFit="1" customWidth="1"/>
    <col min="8" max="8" width="12.42578125" bestFit="1" customWidth="1"/>
    <col min="9" max="9" width="12.7109375" bestFit="1" customWidth="1"/>
  </cols>
  <sheetData>
    <row r="1" spans="1:8" ht="15.75" thickBot="1" x14ac:dyDescent="0.3"/>
    <row r="2" spans="1:8" ht="24" thickBot="1" x14ac:dyDescent="0.3">
      <c r="A2" s="380" t="s">
        <v>115</v>
      </c>
      <c r="B2" s="381"/>
      <c r="C2" s="381"/>
      <c r="D2" s="381"/>
      <c r="E2" s="381"/>
      <c r="F2" s="381"/>
      <c r="G2" s="381"/>
      <c r="H2" s="382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31" t="s">
        <v>0</v>
      </c>
      <c r="B4" s="132" t="s">
        <v>208</v>
      </c>
      <c r="C4" s="132" t="s">
        <v>1</v>
      </c>
      <c r="D4" s="133" t="s">
        <v>2</v>
      </c>
      <c r="E4" s="132" t="s">
        <v>8</v>
      </c>
      <c r="F4" s="132" t="s">
        <v>3</v>
      </c>
      <c r="G4" s="134" t="s">
        <v>4</v>
      </c>
      <c r="H4" s="135" t="s">
        <v>5</v>
      </c>
    </row>
    <row r="5" spans="1:8" x14ac:dyDescent="0.25">
      <c r="A5" s="48" t="str">
        <f>raw_data!A154</f>
        <v>525-00038</v>
      </c>
      <c r="B5" s="443" t="s">
        <v>243</v>
      </c>
      <c r="C5" s="49" t="str">
        <f>raw_data!B154</f>
        <v>N/A</v>
      </c>
      <c r="D5" s="50" t="str">
        <f>raw_data!C154</f>
        <v>N/A</v>
      </c>
      <c r="E5" s="366" t="s">
        <v>219</v>
      </c>
      <c r="F5" s="51" t="str">
        <f>raw_data!D154</f>
        <v>N/A</v>
      </c>
      <c r="G5" s="50" t="str">
        <f>raw_data!E154</f>
        <v>N/A</v>
      </c>
      <c r="H5" s="52" t="str">
        <f>raw_data!F154</f>
        <v>N/A</v>
      </c>
    </row>
    <row r="6" spans="1:8" x14ac:dyDescent="0.25">
      <c r="A6" s="8" t="str">
        <f>raw_data!A155</f>
        <v>525-00038</v>
      </c>
      <c r="B6" s="444"/>
      <c r="C6" s="39" t="str">
        <f>raw_data!B155</f>
        <v>N/A</v>
      </c>
      <c r="D6" s="40" t="str">
        <f>raw_data!C155</f>
        <v>N/A</v>
      </c>
      <c r="E6" s="369"/>
      <c r="F6" s="53" t="str">
        <f>raw_data!D155</f>
        <v>N/A</v>
      </c>
      <c r="G6" s="40" t="str">
        <f>raw_data!E155</f>
        <v>N/A</v>
      </c>
      <c r="H6" s="26" t="str">
        <f>raw_data!F155</f>
        <v>N/A</v>
      </c>
    </row>
    <row r="7" spans="1:8" x14ac:dyDescent="0.25">
      <c r="A7" s="8" t="str">
        <f>raw_data!A156</f>
        <v>525-00038</v>
      </c>
      <c r="B7" s="444"/>
      <c r="C7" s="39" t="str">
        <f>raw_data!B156</f>
        <v>N/A</v>
      </c>
      <c r="D7" s="40" t="str">
        <f>raw_data!C156</f>
        <v>N/A</v>
      </c>
      <c r="E7" s="369"/>
      <c r="F7" s="53" t="str">
        <f>raw_data!D156</f>
        <v>N/A</v>
      </c>
      <c r="G7" s="40" t="str">
        <f>raw_data!E156</f>
        <v>N/A</v>
      </c>
      <c r="H7" s="26" t="str">
        <f>raw_data!F156</f>
        <v>N/A</v>
      </c>
    </row>
    <row r="8" spans="1:8" ht="15.75" thickBot="1" x14ac:dyDescent="0.3">
      <c r="A8" s="29" t="str">
        <f>raw_data!A157</f>
        <v>525-00038</v>
      </c>
      <c r="B8" s="445"/>
      <c r="C8" s="41" t="str">
        <f>raw_data!B157</f>
        <v>N/A</v>
      </c>
      <c r="D8" s="42" t="str">
        <f>raw_data!C157</f>
        <v>N/A</v>
      </c>
      <c r="E8" s="360"/>
      <c r="F8" s="54" t="str">
        <f>raw_data!D157</f>
        <v>N/A</v>
      </c>
      <c r="G8" s="42" t="str">
        <f>raw_data!E157</f>
        <v>N/A</v>
      </c>
      <c r="H8" s="30" t="str">
        <f>raw_data!F157</f>
        <v>N/A</v>
      </c>
    </row>
    <row r="9" spans="1:8" ht="15.75" thickBot="1" x14ac:dyDescent="0.3">
      <c r="A9" s="326" t="s">
        <v>0</v>
      </c>
      <c r="B9" s="327" t="s">
        <v>208</v>
      </c>
      <c r="C9" s="327" t="s">
        <v>1</v>
      </c>
      <c r="D9" s="328" t="s">
        <v>2</v>
      </c>
      <c r="E9" s="327" t="s">
        <v>8</v>
      </c>
      <c r="F9" s="327" t="s">
        <v>3</v>
      </c>
      <c r="G9" s="329" t="s">
        <v>4</v>
      </c>
      <c r="H9" s="330" t="s">
        <v>5</v>
      </c>
    </row>
    <row r="10" spans="1:8" x14ac:dyDescent="0.25">
      <c r="A10" s="324" t="str">
        <f>raw_data!A294</f>
        <v>525-00327</v>
      </c>
      <c r="B10" s="505" t="s">
        <v>243</v>
      </c>
      <c r="C10" s="266" t="str">
        <f>raw_data!B294</f>
        <v>022025VW</v>
      </c>
      <c r="D10" s="38">
        <f>raw_data!C294</f>
        <v>46073</v>
      </c>
      <c r="E10" s="423" t="s">
        <v>219</v>
      </c>
      <c r="F10" s="325" t="str">
        <f>raw_data!D294</f>
        <v>0.5 låda</v>
      </c>
      <c r="G10" s="40">
        <f>raw_data!E294</f>
        <v>45986</v>
      </c>
      <c r="H10" s="37" t="str">
        <f>raw_data!F294</f>
        <v>ELS</v>
      </c>
    </row>
    <row r="11" spans="1:8" x14ac:dyDescent="0.25">
      <c r="A11" s="8" t="str">
        <f>raw_data!A295</f>
        <v>525-00327</v>
      </c>
      <c r="B11" s="506"/>
      <c r="C11" s="266" t="str">
        <f>raw_data!B295</f>
        <v>021725ELIF</v>
      </c>
      <c r="D11" s="38">
        <f>raw_data!C295</f>
        <v>46070</v>
      </c>
      <c r="E11" s="369"/>
      <c r="F11" s="325">
        <f>raw_data!D295</f>
        <v>0.5</v>
      </c>
      <c r="G11" s="40">
        <f>raw_data!E295</f>
        <v>45986</v>
      </c>
      <c r="H11" s="37" t="str">
        <f>raw_data!F295</f>
        <v>ELS</v>
      </c>
    </row>
    <row r="12" spans="1:8" x14ac:dyDescent="0.25">
      <c r="A12" s="8" t="str">
        <f>raw_data!A296</f>
        <v>525-00327</v>
      </c>
      <c r="B12" s="506"/>
      <c r="C12" s="266" t="str">
        <f>raw_data!B296</f>
        <v>N/A</v>
      </c>
      <c r="D12" s="38" t="str">
        <f>raw_data!C296</f>
        <v>N/A</v>
      </c>
      <c r="E12" s="369"/>
      <c r="F12" s="325" t="str">
        <f>raw_data!D296</f>
        <v>N/A</v>
      </c>
      <c r="G12" s="40" t="str">
        <f>raw_data!E296</f>
        <v>N/A</v>
      </c>
      <c r="H12" s="37" t="str">
        <f>raw_data!F296</f>
        <v>N/A</v>
      </c>
    </row>
    <row r="13" spans="1:8" ht="15.75" thickBot="1" x14ac:dyDescent="0.3">
      <c r="A13" s="29" t="str">
        <f>raw_data!A297</f>
        <v>525-00327</v>
      </c>
      <c r="B13" s="507"/>
      <c r="C13" s="267" t="str">
        <f>raw_data!B297</f>
        <v>N/A</v>
      </c>
      <c r="D13" s="43" t="str">
        <f>raw_data!C297</f>
        <v>N/A</v>
      </c>
      <c r="E13" s="360"/>
      <c r="F13" s="331" t="str">
        <f>raw_data!D297</f>
        <v>N/A</v>
      </c>
      <c r="G13" s="42" t="str">
        <f>raw_data!E297</f>
        <v>N/A</v>
      </c>
      <c r="H13" s="44" t="str">
        <f>raw_data!F297</f>
        <v>N/A</v>
      </c>
    </row>
    <row r="14" spans="1:8" ht="15.75" thickBot="1" x14ac:dyDescent="0.3">
      <c r="A14" s="136" t="s">
        <v>0</v>
      </c>
      <c r="B14" s="137" t="s">
        <v>208</v>
      </c>
      <c r="C14" s="137" t="s">
        <v>1</v>
      </c>
      <c r="D14" s="138" t="s">
        <v>2</v>
      </c>
      <c r="E14" s="137" t="s">
        <v>8</v>
      </c>
      <c r="F14" s="137" t="s">
        <v>3</v>
      </c>
      <c r="G14" s="139" t="s">
        <v>4</v>
      </c>
      <c r="H14" s="140" t="s">
        <v>5</v>
      </c>
    </row>
    <row r="15" spans="1:8" x14ac:dyDescent="0.25">
      <c r="A15" s="48" t="str">
        <f>raw_data!A158</f>
        <v>525-00065</v>
      </c>
      <c r="B15" s="366" t="s">
        <v>118</v>
      </c>
      <c r="C15" s="49" t="str">
        <f>raw_data!B158</f>
        <v>031825ELIF</v>
      </c>
      <c r="D15" s="50">
        <f>raw_data!C158</f>
        <v>46274</v>
      </c>
      <c r="E15" s="366" t="s">
        <v>219</v>
      </c>
      <c r="F15" s="49" t="str">
        <f>raw_data!D158</f>
        <v>31 vialer</v>
      </c>
      <c r="G15" s="50">
        <f>raw_data!E158</f>
        <v>45986</v>
      </c>
      <c r="H15" s="52" t="str">
        <f>raw_data!F158</f>
        <v>ELS</v>
      </c>
    </row>
    <row r="16" spans="1:8" x14ac:dyDescent="0.25">
      <c r="A16" s="8" t="str">
        <f>raw_data!A159</f>
        <v>525-00065</v>
      </c>
      <c r="B16" s="369"/>
      <c r="C16" s="39" t="str">
        <f>raw_data!B159</f>
        <v>N/A</v>
      </c>
      <c r="D16" s="40" t="str">
        <f>raw_data!C159</f>
        <v>N/A</v>
      </c>
      <c r="E16" s="369"/>
      <c r="F16" s="39" t="str">
        <f>raw_data!D159</f>
        <v>N/A</v>
      </c>
      <c r="G16" s="40" t="str">
        <f>raw_data!E159</f>
        <v>N/A</v>
      </c>
      <c r="H16" s="26" t="str">
        <f>raw_data!F159</f>
        <v>N/A</v>
      </c>
    </row>
    <row r="17" spans="1:8" x14ac:dyDescent="0.25">
      <c r="A17" s="8" t="str">
        <f>raw_data!A160</f>
        <v>525-00065</v>
      </c>
      <c r="B17" s="369"/>
      <c r="C17" s="39" t="str">
        <f>raw_data!B160</f>
        <v>N/A</v>
      </c>
      <c r="D17" s="40" t="str">
        <f>raw_data!C160</f>
        <v>N/A</v>
      </c>
      <c r="E17" s="369"/>
      <c r="F17" s="39" t="str">
        <f>raw_data!D160</f>
        <v>N/A</v>
      </c>
      <c r="G17" s="40" t="str">
        <f>raw_data!E160</f>
        <v>N/A</v>
      </c>
      <c r="H17" s="26" t="str">
        <f>raw_data!F160</f>
        <v>N/A</v>
      </c>
    </row>
    <row r="18" spans="1:8" ht="15.75" thickBot="1" x14ac:dyDescent="0.3">
      <c r="A18" s="29" t="str">
        <f>raw_data!A161</f>
        <v>525-00065</v>
      </c>
      <c r="B18" s="360"/>
      <c r="C18" s="41" t="str">
        <f>raw_data!B161</f>
        <v>N/A</v>
      </c>
      <c r="D18" s="42" t="str">
        <f>raw_data!C161</f>
        <v>N/A</v>
      </c>
      <c r="E18" s="360"/>
      <c r="F18" s="41" t="str">
        <f>raw_data!D161</f>
        <v>N/A</v>
      </c>
      <c r="G18" s="42" t="str">
        <f>raw_data!E161</f>
        <v>N/A</v>
      </c>
      <c r="H18" s="30" t="str">
        <f>raw_data!F161</f>
        <v>N/A</v>
      </c>
    </row>
    <row r="19" spans="1:8" ht="15.75" thickBot="1" x14ac:dyDescent="0.3">
      <c r="A19" s="136" t="s">
        <v>0</v>
      </c>
      <c r="B19" s="137" t="s">
        <v>208</v>
      </c>
      <c r="C19" s="137" t="s">
        <v>1</v>
      </c>
      <c r="D19" s="138" t="s">
        <v>2</v>
      </c>
      <c r="E19" s="137" t="s">
        <v>8</v>
      </c>
      <c r="F19" s="137" t="s">
        <v>3</v>
      </c>
      <c r="G19" s="139" t="s">
        <v>4</v>
      </c>
      <c r="H19" s="140" t="s">
        <v>5</v>
      </c>
    </row>
    <row r="20" spans="1:8" x14ac:dyDescent="0.25">
      <c r="A20" s="48" t="str">
        <f>raw_data!A162</f>
        <v>525-00066</v>
      </c>
      <c r="B20" s="471" t="s">
        <v>120</v>
      </c>
      <c r="C20" s="49" t="str">
        <f>raw_data!B162</f>
        <v>031224VW-A</v>
      </c>
      <c r="D20" s="50">
        <f>raw_data!C162</f>
        <v>46203</v>
      </c>
      <c r="E20" s="503" t="s">
        <v>219</v>
      </c>
      <c r="F20" s="49" t="str">
        <f>raw_data!D162</f>
        <v>15 Vialer</v>
      </c>
      <c r="G20" s="50">
        <f>raw_data!E162</f>
        <v>45916</v>
      </c>
      <c r="H20" s="52" t="str">
        <f>raw_data!F162</f>
        <v>JESP</v>
      </c>
    </row>
    <row r="21" spans="1:8" x14ac:dyDescent="0.25">
      <c r="A21" s="8" t="str">
        <f>raw_data!A163</f>
        <v>525-00066</v>
      </c>
      <c r="B21" s="472"/>
      <c r="C21" s="39" t="str">
        <f>raw_data!B163</f>
        <v>N/A</v>
      </c>
      <c r="D21" s="40" t="str">
        <f>raw_data!C163</f>
        <v>N/A</v>
      </c>
      <c r="E21" s="504"/>
      <c r="F21" s="39" t="str">
        <f>raw_data!D163</f>
        <v>N/A</v>
      </c>
      <c r="G21" s="40" t="str">
        <f>raw_data!E163</f>
        <v>N/A</v>
      </c>
      <c r="H21" s="26" t="str">
        <f>raw_data!F163</f>
        <v>N/A</v>
      </c>
    </row>
    <row r="22" spans="1:8" x14ac:dyDescent="0.25">
      <c r="A22" s="8" t="str">
        <f>raw_data!A164</f>
        <v>525-00066</v>
      </c>
      <c r="B22" s="472"/>
      <c r="C22" s="39" t="str">
        <f>raw_data!B164</f>
        <v>N/A</v>
      </c>
      <c r="D22" s="40" t="str">
        <f>raw_data!C164</f>
        <v>N/A</v>
      </c>
      <c r="E22" s="504"/>
      <c r="F22" s="39" t="str">
        <f>raw_data!D164</f>
        <v>N/A</v>
      </c>
      <c r="G22" s="40" t="str">
        <f>raw_data!E164</f>
        <v>N/A</v>
      </c>
      <c r="H22" s="26" t="str">
        <f>raw_data!F164</f>
        <v>N/A</v>
      </c>
    </row>
    <row r="23" spans="1:8" ht="15.75" thickBot="1" x14ac:dyDescent="0.3">
      <c r="A23" s="29" t="str">
        <f>raw_data!A165</f>
        <v>525-00066</v>
      </c>
      <c r="B23" s="473"/>
      <c r="C23" s="41" t="str">
        <f>raw_data!B165</f>
        <v>N/A</v>
      </c>
      <c r="D23" s="42" t="str">
        <f>raw_data!C165</f>
        <v>N/A</v>
      </c>
      <c r="E23" s="438"/>
      <c r="F23" s="41" t="str">
        <f>raw_data!D165</f>
        <v>N/A</v>
      </c>
      <c r="G23" s="42" t="str">
        <f>raw_data!E165</f>
        <v>N/A</v>
      </c>
      <c r="H23" s="30" t="str">
        <f>raw_data!F165</f>
        <v>N/A</v>
      </c>
    </row>
  </sheetData>
  <sheetProtection algorithmName="SHA-512" hashValue="fYsSZL4XlrJ6BkWbtmpQFoWLb24ZhRCvgCL4A25xYfL89OihA+Ao+QWPPd6pzNIj3zSLS0saRoX2yEMxFqTiBg==" saltValue="u8IYt6bxz9yI+QzgBIeAVA==" spinCount="100000" sheet="1" formatCells="0" formatColumns="0" formatRows="0" insertColumns="0" insertRows="0" insertHyperlinks="0" deleteColumns="0" deleteRows="0" sort="0" autoFilter="0" pivotTables="0"/>
  <mergeCells count="9">
    <mergeCell ref="B20:B23"/>
    <mergeCell ref="E20:E23"/>
    <mergeCell ref="A2:H2"/>
    <mergeCell ref="B5:B8"/>
    <mergeCell ref="E5:E8"/>
    <mergeCell ref="B15:B18"/>
    <mergeCell ref="E15:E1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3399"/>
  </sheetPr>
  <dimension ref="A1:H26"/>
  <sheetViews>
    <sheetView workbookViewId="0"/>
  </sheetViews>
  <sheetFormatPr defaultRowHeight="15" x14ac:dyDescent="0.25"/>
  <cols>
    <col min="1" max="1" width="8.7109375" bestFit="1" customWidth="1"/>
    <col min="2" max="2" width="21.42578125" bestFit="1" customWidth="1"/>
    <col min="3" max="3" width="13.7109375" customWidth="1"/>
    <col min="4" max="4" width="14" bestFit="1" customWidth="1"/>
    <col min="5" max="5" width="14.5703125" bestFit="1" customWidth="1"/>
    <col min="6" max="6" width="31.28515625" customWidth="1"/>
    <col min="7" max="7" width="17.85546875" bestFit="1" customWidth="1"/>
    <col min="8" max="8" width="9.42578125" customWidth="1"/>
    <col min="9" max="9" width="9.7109375" bestFit="1" customWidth="1"/>
    <col min="10" max="10" width="8.5703125" bestFit="1" customWidth="1"/>
    <col min="11" max="11" width="7.42578125" bestFit="1" customWidth="1"/>
    <col min="12" max="12" width="9.85546875" bestFit="1" customWidth="1"/>
  </cols>
  <sheetData>
    <row r="1" spans="1:8" ht="15.75" thickBot="1" x14ac:dyDescent="0.3"/>
    <row r="2" spans="1:8" ht="24" thickBot="1" x14ac:dyDescent="0.3">
      <c r="A2" s="511" t="s">
        <v>35</v>
      </c>
      <c r="B2" s="512"/>
      <c r="C2" s="512"/>
      <c r="D2" s="512"/>
      <c r="E2" s="512"/>
      <c r="F2" s="512"/>
      <c r="G2" s="512"/>
      <c r="H2" s="513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211" t="s">
        <v>0</v>
      </c>
      <c r="B4" s="212" t="s">
        <v>208</v>
      </c>
      <c r="C4" s="212" t="s">
        <v>1</v>
      </c>
      <c r="D4" s="213" t="s">
        <v>2</v>
      </c>
      <c r="E4" s="212" t="s">
        <v>8</v>
      </c>
      <c r="F4" s="212" t="s">
        <v>3</v>
      </c>
      <c r="G4" s="214" t="s">
        <v>4</v>
      </c>
      <c r="H4" s="215" t="s">
        <v>5</v>
      </c>
    </row>
    <row r="5" spans="1:8" x14ac:dyDescent="0.25">
      <c r="A5" s="48" t="str">
        <f>raw_data!A106</f>
        <v>500-1917</v>
      </c>
      <c r="B5" s="366" t="s">
        <v>88</v>
      </c>
      <c r="C5" s="49" t="str">
        <f>raw_data!B106</f>
        <v>073125MATE</v>
      </c>
      <c r="D5" s="50">
        <f>raw_data!C106</f>
        <v>46889</v>
      </c>
      <c r="E5" s="366" t="s">
        <v>16</v>
      </c>
      <c r="F5" s="49" t="str">
        <f>raw_data!D106</f>
        <v>9 rör</v>
      </c>
      <c r="G5" s="50">
        <f>raw_data!E106</f>
        <v>45972</v>
      </c>
      <c r="H5" s="52" t="str">
        <f>raw_data!F106</f>
        <v>JESP</v>
      </c>
    </row>
    <row r="6" spans="1:8" x14ac:dyDescent="0.25">
      <c r="A6" s="8" t="str">
        <f>raw_data!A107</f>
        <v>500-1917</v>
      </c>
      <c r="B6" s="369"/>
      <c r="C6" s="39" t="str">
        <f>raw_data!B107</f>
        <v>N/A</v>
      </c>
      <c r="D6" s="40" t="str">
        <f>raw_data!C107</f>
        <v>N/A</v>
      </c>
      <c r="E6" s="369"/>
      <c r="F6" s="39" t="str">
        <f>raw_data!D107</f>
        <v>N/A</v>
      </c>
      <c r="G6" s="40" t="str">
        <f>raw_data!E107</f>
        <v>N/A</v>
      </c>
      <c r="H6" s="26" t="str">
        <f>raw_data!F107</f>
        <v>N/A</v>
      </c>
    </row>
    <row r="7" spans="1:8" x14ac:dyDescent="0.25">
      <c r="A7" s="8" t="str">
        <f>raw_data!A108</f>
        <v>500-1917</v>
      </c>
      <c r="B7" s="369"/>
      <c r="C7" s="39" t="str">
        <f>raw_data!B108</f>
        <v>N/A</v>
      </c>
      <c r="D7" s="40" t="str">
        <f>raw_data!C108</f>
        <v>N/A</v>
      </c>
      <c r="E7" s="369"/>
      <c r="F7" s="39" t="str">
        <f>raw_data!D108</f>
        <v>N/A</v>
      </c>
      <c r="G7" s="40" t="str">
        <f>raw_data!E108</f>
        <v>N/A</v>
      </c>
      <c r="H7" s="26" t="str">
        <f>raw_data!F108</f>
        <v>N/A</v>
      </c>
    </row>
    <row r="8" spans="1:8" ht="15.75" thickBot="1" x14ac:dyDescent="0.3">
      <c r="A8" s="29" t="str">
        <f>raw_data!A109</f>
        <v>500-1917</v>
      </c>
      <c r="B8" s="360"/>
      <c r="C8" s="41" t="str">
        <f>raw_data!B109</f>
        <v>N/A</v>
      </c>
      <c r="D8" s="42" t="str">
        <f>raw_data!C109</f>
        <v>N/A</v>
      </c>
      <c r="E8" s="360"/>
      <c r="F8" s="41" t="str">
        <f>raw_data!D109</f>
        <v>N/A</v>
      </c>
      <c r="G8" s="42" t="str">
        <f>raw_data!E109</f>
        <v>N/A</v>
      </c>
      <c r="H8" s="30" t="str">
        <f>raw_data!F109</f>
        <v>N/A</v>
      </c>
    </row>
    <row r="9" spans="1:8" ht="15.75" thickBot="1" x14ac:dyDescent="0.3">
      <c r="A9" s="216" t="s">
        <v>0</v>
      </c>
      <c r="B9" s="217" t="s">
        <v>208</v>
      </c>
      <c r="C9" s="217" t="s">
        <v>1</v>
      </c>
      <c r="D9" s="218" t="s">
        <v>2</v>
      </c>
      <c r="E9" s="217" t="s">
        <v>8</v>
      </c>
      <c r="F9" s="217" t="s">
        <v>3</v>
      </c>
      <c r="G9" s="219" t="s">
        <v>4</v>
      </c>
      <c r="H9" s="220" t="s">
        <v>5</v>
      </c>
    </row>
    <row r="10" spans="1:8" x14ac:dyDescent="0.25">
      <c r="A10" s="48" t="str">
        <f>raw_data!A110</f>
        <v>500-1918</v>
      </c>
      <c r="B10" s="366" t="s">
        <v>90</v>
      </c>
      <c r="C10" s="49" t="str">
        <f>raw_data!B110</f>
        <v>032525SAMI</v>
      </c>
      <c r="D10" s="50">
        <f>raw_data!C110</f>
        <v>46761</v>
      </c>
      <c r="E10" s="366" t="s">
        <v>16</v>
      </c>
      <c r="F10" s="49" t="str">
        <f>raw_data!D110</f>
        <v>1.5 Låda</v>
      </c>
      <c r="G10" s="50">
        <f>raw_data!E110</f>
        <v>45985</v>
      </c>
      <c r="H10" s="52" t="str">
        <f>raw_data!F110</f>
        <v>ELS</v>
      </c>
    </row>
    <row r="11" spans="1:8" x14ac:dyDescent="0.25">
      <c r="A11" s="8" t="str">
        <f>raw_data!A111</f>
        <v>500-1918</v>
      </c>
      <c r="B11" s="369"/>
      <c r="C11" s="39" t="str">
        <f>raw_data!B111</f>
        <v>N/A</v>
      </c>
      <c r="D11" s="40" t="str">
        <f>raw_data!C111</f>
        <v>N/A</v>
      </c>
      <c r="E11" s="369"/>
      <c r="F11" s="39" t="str">
        <f>raw_data!D111</f>
        <v>N/A</v>
      </c>
      <c r="G11" s="40" t="str">
        <f>raw_data!E111</f>
        <v>N/A</v>
      </c>
      <c r="H11" s="26" t="str">
        <f>raw_data!F111</f>
        <v>N/A</v>
      </c>
    </row>
    <row r="12" spans="1:8" x14ac:dyDescent="0.25">
      <c r="A12" s="8" t="str">
        <f>raw_data!A112</f>
        <v>500-1918</v>
      </c>
      <c r="B12" s="369"/>
      <c r="C12" s="39" t="str">
        <f>raw_data!B112</f>
        <v>N/A</v>
      </c>
      <c r="D12" s="40" t="str">
        <f>raw_data!C112</f>
        <v>N/A</v>
      </c>
      <c r="E12" s="369"/>
      <c r="F12" s="39" t="str">
        <f>raw_data!D112</f>
        <v>N/A</v>
      </c>
      <c r="G12" s="40" t="str">
        <f>raw_data!E112</f>
        <v>N/A</v>
      </c>
      <c r="H12" s="26" t="str">
        <f>raw_data!F112</f>
        <v>N/A</v>
      </c>
    </row>
    <row r="13" spans="1:8" ht="15.75" thickBot="1" x14ac:dyDescent="0.3">
      <c r="A13" s="29" t="str">
        <f>raw_data!A113</f>
        <v>500-1918</v>
      </c>
      <c r="B13" s="360"/>
      <c r="C13" s="41" t="str">
        <f>raw_data!B113</f>
        <v>N/A</v>
      </c>
      <c r="D13" s="42" t="str">
        <f>raw_data!C113</f>
        <v>N/A</v>
      </c>
      <c r="E13" s="360"/>
      <c r="F13" s="41" t="str">
        <f>raw_data!D113</f>
        <v>N/A</v>
      </c>
      <c r="G13" s="42" t="str">
        <f>raw_data!E113</f>
        <v>N/A</v>
      </c>
      <c r="H13" s="30" t="str">
        <f>raw_data!F113</f>
        <v>N/A</v>
      </c>
    </row>
    <row r="14" spans="1:8" ht="15.75" thickBot="1" x14ac:dyDescent="0.3">
      <c r="A14" s="216" t="s">
        <v>0</v>
      </c>
      <c r="B14" s="217" t="s">
        <v>208</v>
      </c>
      <c r="C14" s="217" t="s">
        <v>1</v>
      </c>
      <c r="D14" s="218" t="s">
        <v>2</v>
      </c>
      <c r="E14" s="217" t="s">
        <v>8</v>
      </c>
      <c r="F14" s="217" t="s">
        <v>3</v>
      </c>
      <c r="G14" s="219" t="s">
        <v>4</v>
      </c>
      <c r="H14" s="220" t="s">
        <v>5</v>
      </c>
    </row>
    <row r="15" spans="1:8" x14ac:dyDescent="0.25">
      <c r="A15" s="48" t="str">
        <f>raw_data!A122</f>
        <v>500-2616</v>
      </c>
      <c r="B15" s="443" t="s">
        <v>98</v>
      </c>
      <c r="C15" s="49" t="str">
        <f>raw_data!B122</f>
        <v>060425MMM-B</v>
      </c>
      <c r="D15" s="50">
        <f>raw_data!C122</f>
        <v>46295</v>
      </c>
      <c r="E15" s="366" t="s">
        <v>16</v>
      </c>
      <c r="F15" s="49" t="str">
        <f>raw_data!D122</f>
        <v>40 rör</v>
      </c>
      <c r="G15" s="50">
        <f>raw_data!E122</f>
        <v>45972</v>
      </c>
      <c r="H15" s="52" t="str">
        <f>raw_data!F122</f>
        <v>JESP</v>
      </c>
    </row>
    <row r="16" spans="1:8" x14ac:dyDescent="0.25">
      <c r="A16" s="8" t="str">
        <f>raw_data!A123</f>
        <v>500-2616</v>
      </c>
      <c r="B16" s="444"/>
      <c r="C16" s="39" t="str">
        <f>raw_data!B123</f>
        <v>N/A</v>
      </c>
      <c r="D16" s="40" t="str">
        <f>raw_data!C123</f>
        <v>N/A</v>
      </c>
      <c r="E16" s="369"/>
      <c r="F16" s="39" t="str">
        <f>raw_data!D123</f>
        <v>39 rör</v>
      </c>
      <c r="G16" s="40">
        <f>raw_data!E123</f>
        <v>45972</v>
      </c>
      <c r="H16" s="26" t="str">
        <f>raw_data!F123</f>
        <v>ELS</v>
      </c>
    </row>
    <row r="17" spans="1:8" x14ac:dyDescent="0.25">
      <c r="A17" s="8" t="str">
        <f>raw_data!A124</f>
        <v>500-2616</v>
      </c>
      <c r="B17" s="444"/>
      <c r="C17" s="39" t="str">
        <f>raw_data!B124</f>
        <v>N/A</v>
      </c>
      <c r="D17" s="40" t="str">
        <f>raw_data!C124</f>
        <v>N/A</v>
      </c>
      <c r="E17" s="369"/>
      <c r="F17" s="39" t="str">
        <f>raw_data!D124</f>
        <v>N/A</v>
      </c>
      <c r="G17" s="40" t="str">
        <f>raw_data!E124</f>
        <v>N/A</v>
      </c>
      <c r="H17" s="26" t="str">
        <f>raw_data!F124</f>
        <v>N/A</v>
      </c>
    </row>
    <row r="18" spans="1:8" ht="15.75" thickBot="1" x14ac:dyDescent="0.3">
      <c r="A18" s="29" t="str">
        <f>raw_data!A125</f>
        <v>500-2616</v>
      </c>
      <c r="B18" s="445"/>
      <c r="C18" s="41" t="str">
        <f>raw_data!B125</f>
        <v>N/A</v>
      </c>
      <c r="D18" s="42" t="str">
        <f>raw_data!C125</f>
        <v>N/A</v>
      </c>
      <c r="E18" s="360"/>
      <c r="F18" s="41" t="str">
        <f>raw_data!D125</f>
        <v>N/A</v>
      </c>
      <c r="G18" s="42" t="str">
        <f>raw_data!E125</f>
        <v>N/A</v>
      </c>
      <c r="H18" s="30" t="str">
        <f>raw_data!F125</f>
        <v>N/A</v>
      </c>
    </row>
    <row r="19" spans="1:8" ht="15.75" thickBot="1" x14ac:dyDescent="0.3"/>
    <row r="20" spans="1:8" ht="24" thickBot="1" x14ac:dyDescent="0.3">
      <c r="A20" s="428" t="s">
        <v>224</v>
      </c>
      <c r="B20" s="460"/>
      <c r="C20" s="460"/>
      <c r="D20" s="460"/>
      <c r="E20" s="460"/>
      <c r="F20" s="460"/>
      <c r="G20" s="460"/>
      <c r="H20" s="461"/>
    </row>
    <row r="21" spans="1:8" ht="15.75" thickBot="1" x14ac:dyDescent="0.3">
      <c r="A21" s="431" t="s">
        <v>36</v>
      </c>
      <c r="B21" s="432"/>
      <c r="C21" s="432"/>
      <c r="D21" s="432"/>
      <c r="E21" s="432"/>
      <c r="F21" s="432"/>
      <c r="G21" s="432"/>
      <c r="H21" s="433"/>
    </row>
    <row r="22" spans="1:8" x14ac:dyDescent="0.25">
      <c r="A22" s="508" t="s">
        <v>209</v>
      </c>
      <c r="B22" s="509"/>
      <c r="C22" s="509"/>
      <c r="D22" s="510" t="s">
        <v>2</v>
      </c>
      <c r="E22" s="510"/>
      <c r="F22" s="221" t="s">
        <v>205</v>
      </c>
      <c r="G22" s="221" t="s">
        <v>4</v>
      </c>
      <c r="H22" s="222" t="s">
        <v>5</v>
      </c>
    </row>
    <row r="23" spans="1:8" x14ac:dyDescent="0.25">
      <c r="A23" s="368" t="str">
        <f>raw_data!B26</f>
        <v>4141EA</v>
      </c>
      <c r="B23" s="369"/>
      <c r="C23" s="369"/>
      <c r="D23" s="370">
        <f>raw_data!C26</f>
        <v>46162</v>
      </c>
      <c r="E23" s="370"/>
      <c r="F23" s="39" t="str">
        <f>raw_data!D26</f>
        <v>3 L</v>
      </c>
      <c r="G23" s="40">
        <f>raw_data!E26</f>
        <v>45818</v>
      </c>
      <c r="H23" s="26" t="str">
        <f>raw_data!F26</f>
        <v>JESP</v>
      </c>
    </row>
    <row r="24" spans="1:8" x14ac:dyDescent="0.25">
      <c r="A24" s="368" t="str">
        <f>raw_data!B27</f>
        <v>N/A</v>
      </c>
      <c r="B24" s="369"/>
      <c r="C24" s="369"/>
      <c r="D24" s="370" t="str">
        <f>raw_data!C27</f>
        <v>N/A</v>
      </c>
      <c r="E24" s="370"/>
      <c r="F24" s="39" t="str">
        <f>raw_data!D27</f>
        <v>N/A</v>
      </c>
      <c r="G24" s="40" t="str">
        <f>raw_data!E27</f>
        <v>N/A</v>
      </c>
      <c r="H24" s="26" t="str">
        <f>raw_data!F27</f>
        <v>N/A</v>
      </c>
    </row>
    <row r="25" spans="1:8" x14ac:dyDescent="0.25">
      <c r="A25" s="368" t="str">
        <f>raw_data!B28</f>
        <v>N/A</v>
      </c>
      <c r="B25" s="369"/>
      <c r="C25" s="369"/>
      <c r="D25" s="370" t="str">
        <f>raw_data!C28</f>
        <v>N/A</v>
      </c>
      <c r="E25" s="370"/>
      <c r="F25" s="39" t="str">
        <f>raw_data!D28</f>
        <v>N/A</v>
      </c>
      <c r="G25" s="40" t="str">
        <f>raw_data!E28</f>
        <v>N/A</v>
      </c>
      <c r="H25" s="26" t="str">
        <f>raw_data!F28</f>
        <v>N/A</v>
      </c>
    </row>
    <row r="26" spans="1:8" ht="15.75" thickBot="1" x14ac:dyDescent="0.3">
      <c r="A26" s="359" t="str">
        <f>raw_data!B29</f>
        <v>N/A</v>
      </c>
      <c r="B26" s="360"/>
      <c r="C26" s="360"/>
      <c r="D26" s="361" t="str">
        <f>raw_data!C29</f>
        <v>N/A</v>
      </c>
      <c r="E26" s="361"/>
      <c r="F26" s="41" t="str">
        <f>raw_data!D29</f>
        <v>N/A</v>
      </c>
      <c r="G26" s="42" t="str">
        <f>raw_data!E29</f>
        <v>N/A</v>
      </c>
      <c r="H26" s="30" t="str">
        <f>raw_data!F29</f>
        <v>N/A</v>
      </c>
    </row>
  </sheetData>
  <sheetProtection algorithmName="SHA-512" hashValue="655cLnVNvsWae+cP7GrvervudT47cVksyAVlcdSecOR6QLl9Ct+SuMCEQm0Nl5NfQaimrMX9pVsz4nBlkR46vw==" saltValue="rUP4n25OMGYLS4r5mnieXg==" spinCount="100000" sheet="1" formatCells="0" formatColumns="0" formatRows="0" insertColumns="0" insertRows="0" insertHyperlinks="0" deleteColumns="0" deleteRows="0" sort="0" autoFilter="0" pivotTables="0"/>
  <mergeCells count="19">
    <mergeCell ref="A2:H2"/>
    <mergeCell ref="B5:B8"/>
    <mergeCell ref="E5:E8"/>
    <mergeCell ref="B10:B13"/>
    <mergeCell ref="E10:E13"/>
    <mergeCell ref="B15:B18"/>
    <mergeCell ref="E15:E18"/>
    <mergeCell ref="A26:C26"/>
    <mergeCell ref="A20:H20"/>
    <mergeCell ref="A21:H21"/>
    <mergeCell ref="A25:C25"/>
    <mergeCell ref="D25:E25"/>
    <mergeCell ref="D26:E26"/>
    <mergeCell ref="A22:C22"/>
    <mergeCell ref="D22:E22"/>
    <mergeCell ref="A23:C23"/>
    <mergeCell ref="D23:E23"/>
    <mergeCell ref="A24:C24"/>
    <mergeCell ref="D24:E24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0000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19.42578125" bestFit="1" customWidth="1"/>
    <col min="3" max="3" width="14.7109375" customWidth="1"/>
    <col min="4" max="4" width="14" bestFit="1" customWidth="1"/>
    <col min="5" max="5" width="14.5703125" bestFit="1" customWidth="1"/>
    <col min="6" max="6" width="13.28515625" customWidth="1"/>
    <col min="7" max="7" width="17.85546875" bestFit="1" customWidth="1"/>
    <col min="8" max="8" width="8.5703125" customWidth="1"/>
  </cols>
  <sheetData>
    <row r="1" spans="1:8" ht="15.75" thickBot="1" x14ac:dyDescent="0.3"/>
    <row r="2" spans="1:8" ht="24" thickBot="1" x14ac:dyDescent="0.3">
      <c r="A2" s="514" t="s">
        <v>220</v>
      </c>
      <c r="B2" s="515"/>
      <c r="C2" s="515"/>
      <c r="D2" s="515"/>
      <c r="E2" s="515"/>
      <c r="F2" s="515"/>
      <c r="G2" s="515"/>
      <c r="H2" s="516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41" t="s">
        <v>0</v>
      </c>
      <c r="B4" s="142" t="s">
        <v>208</v>
      </c>
      <c r="C4" s="142" t="s">
        <v>1</v>
      </c>
      <c r="D4" s="143" t="s">
        <v>2</v>
      </c>
      <c r="E4" s="142" t="s">
        <v>8</v>
      </c>
      <c r="F4" s="142" t="s">
        <v>3</v>
      </c>
      <c r="G4" s="144" t="s">
        <v>4</v>
      </c>
      <c r="H4" s="145" t="s">
        <v>5</v>
      </c>
    </row>
    <row r="5" spans="1:8" x14ac:dyDescent="0.25">
      <c r="A5" s="48" t="str">
        <f>raw_data!A234</f>
        <v>525-00114</v>
      </c>
      <c r="B5" s="366" t="s">
        <v>159</v>
      </c>
      <c r="C5" s="49" t="str">
        <f>raw_data!B234</f>
        <v>012524ELIF</v>
      </c>
      <c r="D5" s="50">
        <f>raw_data!C234</f>
        <v>46412</v>
      </c>
      <c r="E5" s="366" t="s">
        <v>221</v>
      </c>
      <c r="F5" s="51" t="str">
        <f>raw_data!D234</f>
        <v>1 rör</v>
      </c>
      <c r="G5" s="50">
        <f>raw_data!E234</f>
        <v>45895</v>
      </c>
      <c r="H5" s="52" t="str">
        <f>raw_data!F234</f>
        <v>ELS</v>
      </c>
    </row>
    <row r="6" spans="1:8" x14ac:dyDescent="0.25">
      <c r="A6" s="8" t="str">
        <f>raw_data!A235</f>
        <v>525-00114</v>
      </c>
      <c r="B6" s="369"/>
      <c r="C6" s="39" t="str">
        <f>raw_data!B235</f>
        <v>102424VW</v>
      </c>
      <c r="D6" s="40">
        <f>raw_data!C235</f>
        <v>46684</v>
      </c>
      <c r="E6" s="369"/>
      <c r="F6" s="53" t="str">
        <f>raw_data!D235</f>
        <v>1.5 låda NEG</v>
      </c>
      <c r="G6" s="40">
        <f>raw_data!E235</f>
        <v>45943</v>
      </c>
      <c r="H6" s="26" t="str">
        <f>raw_data!F235</f>
        <v>ELS</v>
      </c>
    </row>
    <row r="7" spans="1:8" x14ac:dyDescent="0.25">
      <c r="A7" s="8" t="str">
        <f>raw_data!A236</f>
        <v>525-00114</v>
      </c>
      <c r="B7" s="369"/>
      <c r="C7" s="39" t="str">
        <f>raw_data!B236</f>
        <v>102424VW</v>
      </c>
      <c r="D7" s="40">
        <f>raw_data!C236</f>
        <v>46684</v>
      </c>
      <c r="E7" s="369"/>
      <c r="F7" s="53" t="str">
        <f>raw_data!D236</f>
        <v>7 rör POS</v>
      </c>
      <c r="G7" s="40">
        <f>raw_data!E236</f>
        <v>45986</v>
      </c>
      <c r="H7" s="26" t="str">
        <f>raw_data!F236</f>
        <v>ELS</v>
      </c>
    </row>
    <row r="8" spans="1:8" ht="15.75" thickBot="1" x14ac:dyDescent="0.3">
      <c r="A8" s="29" t="str">
        <f>raw_data!A237</f>
        <v>525-00114</v>
      </c>
      <c r="B8" s="360"/>
      <c r="C8" s="41" t="str">
        <f>raw_data!B237</f>
        <v>111524MATE</v>
      </c>
      <c r="D8" s="42">
        <f>raw_data!C237</f>
        <v>46706</v>
      </c>
      <c r="E8" s="360"/>
      <c r="F8" s="54" t="str">
        <f>raw_data!D237</f>
        <v>2 lådor POS</v>
      </c>
      <c r="G8" s="42">
        <f>raw_data!E237</f>
        <v>45986</v>
      </c>
      <c r="H8" s="30" t="str">
        <f>raw_data!F237</f>
        <v>ELS</v>
      </c>
    </row>
    <row r="9" spans="1:8" ht="15.75" thickBot="1" x14ac:dyDescent="0.3">
      <c r="A9" s="146" t="s">
        <v>0</v>
      </c>
      <c r="B9" s="147" t="s">
        <v>208</v>
      </c>
      <c r="C9" s="147" t="s">
        <v>1</v>
      </c>
      <c r="D9" s="148" t="s">
        <v>2</v>
      </c>
      <c r="E9" s="147" t="s">
        <v>8</v>
      </c>
      <c r="F9" s="147" t="s">
        <v>3</v>
      </c>
      <c r="G9" s="149" t="s">
        <v>4</v>
      </c>
      <c r="H9" s="150" t="s">
        <v>5</v>
      </c>
    </row>
    <row r="10" spans="1:8" x14ac:dyDescent="0.25">
      <c r="A10" s="48" t="str">
        <f>raw_data!A166</f>
        <v>525-00071</v>
      </c>
      <c r="B10" s="366" t="s">
        <v>123</v>
      </c>
      <c r="C10" s="49" t="str">
        <f>raw_data!B166</f>
        <v>102924MOWA</v>
      </c>
      <c r="D10" s="50">
        <f>raw_data!C166</f>
        <v>46674</v>
      </c>
      <c r="E10" s="366" t="s">
        <v>221</v>
      </c>
      <c r="F10" s="49" t="str">
        <f>raw_data!D166</f>
        <v>8 rör</v>
      </c>
      <c r="G10" s="50">
        <f>raw_data!E166</f>
        <v>45986</v>
      </c>
      <c r="H10" s="52" t="str">
        <f>raw_data!F166</f>
        <v>ELS</v>
      </c>
    </row>
    <row r="11" spans="1:8" x14ac:dyDescent="0.25">
      <c r="A11" s="8" t="str">
        <f>raw_data!A167</f>
        <v>525-00071</v>
      </c>
      <c r="B11" s="369"/>
      <c r="C11" s="39" t="str">
        <f>raw_data!B167</f>
        <v>N/A</v>
      </c>
      <c r="D11" s="40" t="str">
        <f>raw_data!C167</f>
        <v>N/A</v>
      </c>
      <c r="E11" s="369"/>
      <c r="F11" s="39" t="str">
        <f>raw_data!D167</f>
        <v>N/A</v>
      </c>
      <c r="G11" s="40" t="str">
        <f>raw_data!E167</f>
        <v>N/A</v>
      </c>
      <c r="H11" s="26" t="str">
        <f>raw_data!F167</f>
        <v>N/A</v>
      </c>
    </row>
    <row r="12" spans="1:8" x14ac:dyDescent="0.25">
      <c r="A12" s="8" t="str">
        <f>raw_data!A168</f>
        <v>525-00071</v>
      </c>
      <c r="B12" s="369"/>
      <c r="C12" s="39" t="str">
        <f>raw_data!B168</f>
        <v>N/A</v>
      </c>
      <c r="D12" s="40" t="str">
        <f>raw_data!C168</f>
        <v>N/A</v>
      </c>
      <c r="E12" s="369"/>
      <c r="F12" s="39" t="str">
        <f>raw_data!D168</f>
        <v>N/A</v>
      </c>
      <c r="G12" s="40" t="str">
        <f>raw_data!E168</f>
        <v>N/A</v>
      </c>
      <c r="H12" s="26" t="str">
        <f>raw_data!F168</f>
        <v>N/A</v>
      </c>
    </row>
    <row r="13" spans="1:8" ht="15.75" thickBot="1" x14ac:dyDescent="0.3">
      <c r="A13" s="29" t="str">
        <f>raw_data!A169</f>
        <v>525-00071</v>
      </c>
      <c r="B13" s="360"/>
      <c r="C13" s="41" t="str">
        <f>raw_data!B169</f>
        <v>N/A</v>
      </c>
      <c r="D13" s="42" t="str">
        <f>raw_data!C169</f>
        <v>N/A</v>
      </c>
      <c r="E13" s="360"/>
      <c r="F13" s="41" t="str">
        <f>raw_data!D169</f>
        <v>N/A</v>
      </c>
      <c r="G13" s="42" t="str">
        <f>raw_data!E169</f>
        <v>N/A</v>
      </c>
      <c r="H13" s="30" t="str">
        <f>raw_data!F169</f>
        <v>N/A</v>
      </c>
    </row>
    <row r="14" spans="1:8" ht="15.75" thickBot="1" x14ac:dyDescent="0.3">
      <c r="A14" s="146" t="s">
        <v>0</v>
      </c>
      <c r="B14" s="147" t="s">
        <v>208</v>
      </c>
      <c r="C14" s="147" t="s">
        <v>1</v>
      </c>
      <c r="D14" s="148" t="s">
        <v>2</v>
      </c>
      <c r="E14" s="147" t="s">
        <v>8</v>
      </c>
      <c r="F14" s="147" t="s">
        <v>3</v>
      </c>
      <c r="G14" s="149" t="s">
        <v>4</v>
      </c>
      <c r="H14" s="150" t="s">
        <v>5</v>
      </c>
    </row>
    <row r="15" spans="1:8" x14ac:dyDescent="0.25">
      <c r="A15" s="48" t="str">
        <f>raw_data!A170</f>
        <v>525-00072</v>
      </c>
      <c r="B15" s="443" t="s">
        <v>125</v>
      </c>
      <c r="C15" s="49" t="str">
        <f>raw_data!B170</f>
        <v>062024MOWA</v>
      </c>
      <c r="D15" s="50">
        <f>raw_data!C170</f>
        <v>46130</v>
      </c>
      <c r="E15" s="366" t="s">
        <v>221</v>
      </c>
      <c r="F15" s="49" t="str">
        <f>raw_data!D170</f>
        <v>0.5 låda</v>
      </c>
      <c r="G15" s="50">
        <f>raw_data!E170</f>
        <v>45986</v>
      </c>
      <c r="H15" s="52" t="str">
        <f>raw_data!F170</f>
        <v>ELS</v>
      </c>
    </row>
    <row r="16" spans="1:8" x14ac:dyDescent="0.25">
      <c r="A16" s="8" t="str">
        <f>raw_data!A171</f>
        <v>525-00072</v>
      </c>
      <c r="B16" s="444"/>
      <c r="C16" s="39" t="str">
        <f>raw_data!B171</f>
        <v>N/A</v>
      </c>
      <c r="D16" s="40" t="str">
        <f>raw_data!C171</f>
        <v>N/A</v>
      </c>
      <c r="E16" s="369"/>
      <c r="F16" s="39" t="str">
        <f>raw_data!D171</f>
        <v>N/A</v>
      </c>
      <c r="G16" s="40" t="str">
        <f>raw_data!E171</f>
        <v>N/A</v>
      </c>
      <c r="H16" s="26" t="str">
        <f>raw_data!F171</f>
        <v>N/A</v>
      </c>
    </row>
    <row r="17" spans="1:8" x14ac:dyDescent="0.25">
      <c r="A17" s="8" t="str">
        <f>raw_data!A172</f>
        <v>525-00072</v>
      </c>
      <c r="B17" s="444"/>
      <c r="C17" s="39" t="str">
        <f>raw_data!B172</f>
        <v>N/A</v>
      </c>
      <c r="D17" s="40" t="str">
        <f>raw_data!C172</f>
        <v>N/A</v>
      </c>
      <c r="E17" s="369"/>
      <c r="F17" s="39" t="str">
        <f>raw_data!D172</f>
        <v>N/A</v>
      </c>
      <c r="G17" s="40" t="str">
        <f>raw_data!E172</f>
        <v>N/A</v>
      </c>
      <c r="H17" s="26" t="str">
        <f>raw_data!F172</f>
        <v>N/A</v>
      </c>
    </row>
    <row r="18" spans="1:8" ht="15.75" thickBot="1" x14ac:dyDescent="0.3">
      <c r="A18" s="29" t="str">
        <f>raw_data!A173</f>
        <v>525-00072</v>
      </c>
      <c r="B18" s="445"/>
      <c r="C18" s="41" t="str">
        <f>raw_data!B173</f>
        <v>N/A</v>
      </c>
      <c r="D18" s="42" t="str">
        <f>raw_data!C173</f>
        <v>N/A</v>
      </c>
      <c r="E18" s="360"/>
      <c r="F18" s="41" t="str">
        <f>raw_data!D173</f>
        <v>N/A</v>
      </c>
      <c r="G18" s="42" t="str">
        <f>raw_data!E173</f>
        <v>N/A</v>
      </c>
      <c r="H18" s="30" t="str">
        <f>raw_data!F173</f>
        <v>N/A</v>
      </c>
    </row>
  </sheetData>
  <sheetProtection algorithmName="SHA-512" hashValue="FrDFhXTK7fC4ZlM06URFUZz12lwVi3yFF0WU3n6CkDu6LTWKAewmB8PT034n4HSK02Ol5PnWEcSk4E2hKj8WDg==" saltValue="xNyx7scohsW1vnzpbVQHgg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FF00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7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8.42578125" customWidth="1"/>
  </cols>
  <sheetData>
    <row r="1" spans="1:8" ht="15.75" thickBot="1" x14ac:dyDescent="0.3"/>
    <row r="2" spans="1:8" ht="24" thickBot="1" x14ac:dyDescent="0.3">
      <c r="A2" s="517" t="s">
        <v>108</v>
      </c>
      <c r="B2" s="518"/>
      <c r="C2" s="518"/>
      <c r="D2" s="518"/>
      <c r="E2" s="518"/>
      <c r="F2" s="518"/>
      <c r="G2" s="518"/>
      <c r="H2" s="519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51" t="s">
        <v>0</v>
      </c>
      <c r="B4" s="152" t="s">
        <v>208</v>
      </c>
      <c r="C4" s="152" t="s">
        <v>1</v>
      </c>
      <c r="D4" s="153" t="s">
        <v>2</v>
      </c>
      <c r="E4" s="152" t="s">
        <v>8</v>
      </c>
      <c r="F4" s="152" t="s">
        <v>3</v>
      </c>
      <c r="G4" s="154" t="s">
        <v>4</v>
      </c>
      <c r="H4" s="155" t="s">
        <v>5</v>
      </c>
    </row>
    <row r="5" spans="1:8" x14ac:dyDescent="0.25">
      <c r="A5" s="48" t="str">
        <f>raw_data!A142</f>
        <v>525-00033</v>
      </c>
      <c r="B5" s="366" t="s">
        <v>110</v>
      </c>
      <c r="C5" s="49" t="str">
        <f>raw_data!B142</f>
        <v>042325MMM</v>
      </c>
      <c r="D5" s="50">
        <f>raw_data!C142</f>
        <v>46135</v>
      </c>
      <c r="E5" s="366" t="s">
        <v>219</v>
      </c>
      <c r="F5" s="51" t="str">
        <f>raw_data!D142</f>
        <v>1 Låda</v>
      </c>
      <c r="G5" s="50">
        <f>raw_data!E142</f>
        <v>45975</v>
      </c>
      <c r="H5" s="52" t="str">
        <f>raw_data!F142</f>
        <v>ELS</v>
      </c>
    </row>
    <row r="6" spans="1:8" x14ac:dyDescent="0.25">
      <c r="A6" s="8" t="str">
        <f>raw_data!A143</f>
        <v>525-00033</v>
      </c>
      <c r="B6" s="369"/>
      <c r="C6" s="39" t="str">
        <f>raw_data!B143</f>
        <v>041725MMM</v>
      </c>
      <c r="D6" s="40">
        <f>raw_data!C143</f>
        <v>46129</v>
      </c>
      <c r="E6" s="369"/>
      <c r="F6" s="53" t="str">
        <f>raw_data!D143</f>
        <v>1 Låda</v>
      </c>
      <c r="G6" s="40">
        <f>raw_data!E143</f>
        <v>45964</v>
      </c>
      <c r="H6" s="26" t="str">
        <f>raw_data!F143</f>
        <v>JESP</v>
      </c>
    </row>
    <row r="7" spans="1:8" x14ac:dyDescent="0.25">
      <c r="A7" s="8" t="str">
        <f>raw_data!A144</f>
        <v>525-00033</v>
      </c>
      <c r="B7" s="369"/>
      <c r="C7" s="39" t="str">
        <f>raw_data!B144</f>
        <v>040925ELIF</v>
      </c>
      <c r="D7" s="40">
        <f>raw_data!C144</f>
        <v>46121</v>
      </c>
      <c r="E7" s="369"/>
      <c r="F7" s="53" t="str">
        <f>raw_data!D144</f>
        <v>1 Låda</v>
      </c>
      <c r="G7" s="40">
        <f>raw_data!E144</f>
        <v>45975</v>
      </c>
      <c r="H7" s="26" t="str">
        <f>raw_data!F144</f>
        <v>ELS</v>
      </c>
    </row>
    <row r="8" spans="1:8" ht="15.75" thickBot="1" x14ac:dyDescent="0.3">
      <c r="A8" s="29" t="str">
        <f>raw_data!A145</f>
        <v>525-00033</v>
      </c>
      <c r="B8" s="360"/>
      <c r="C8" s="41" t="str">
        <f>raw_data!B145</f>
        <v>N/A</v>
      </c>
      <c r="D8" s="42" t="str">
        <f>raw_data!C145</f>
        <v>N/A</v>
      </c>
      <c r="E8" s="360"/>
      <c r="F8" s="54" t="str">
        <f>raw_data!D145</f>
        <v>N/A</v>
      </c>
      <c r="G8" s="42" t="str">
        <f>raw_data!E145</f>
        <v>N/A</v>
      </c>
      <c r="H8" s="30" t="str">
        <f>raw_data!F145</f>
        <v>N/A</v>
      </c>
    </row>
    <row r="9" spans="1:8" ht="15.75" thickBot="1" x14ac:dyDescent="0.3">
      <c r="A9" s="156" t="s">
        <v>0</v>
      </c>
      <c r="B9" s="157" t="s">
        <v>208</v>
      </c>
      <c r="C9" s="157" t="s">
        <v>1</v>
      </c>
      <c r="D9" s="158" t="s">
        <v>2</v>
      </c>
      <c r="E9" s="157" t="s">
        <v>8</v>
      </c>
      <c r="F9" s="157" t="s">
        <v>3</v>
      </c>
      <c r="G9" s="159" t="s">
        <v>4</v>
      </c>
      <c r="H9" s="160" t="s">
        <v>5</v>
      </c>
    </row>
    <row r="10" spans="1:8" x14ac:dyDescent="0.25">
      <c r="A10" s="48" t="str">
        <f>raw_data!A146</f>
        <v>525-00035</v>
      </c>
      <c r="B10" s="366" t="s">
        <v>222</v>
      </c>
      <c r="C10" s="49" t="str">
        <f>raw_data!B146</f>
        <v>082625Masa</v>
      </c>
      <c r="D10" s="50">
        <f>raw_data!C146</f>
        <v>46746</v>
      </c>
      <c r="E10" s="366" t="s">
        <v>219</v>
      </c>
      <c r="F10" s="49" t="str">
        <f>raw_data!D146</f>
        <v>2 Lådor</v>
      </c>
      <c r="G10" s="50">
        <f>raw_data!E146</f>
        <v>45986</v>
      </c>
      <c r="H10" s="52" t="str">
        <f>raw_data!F146</f>
        <v>ELS</v>
      </c>
    </row>
    <row r="11" spans="1:8" x14ac:dyDescent="0.25">
      <c r="A11" s="8" t="str">
        <f>raw_data!A147</f>
        <v>525-00035</v>
      </c>
      <c r="B11" s="369"/>
      <c r="C11" s="39" t="str">
        <f>raw_data!B147</f>
        <v>050525Masa</v>
      </c>
      <c r="D11" s="40">
        <f>raw_data!C147</f>
        <v>46633</v>
      </c>
      <c r="E11" s="369"/>
      <c r="F11" s="39" t="str">
        <f>raw_data!D147</f>
        <v>3 Lådor</v>
      </c>
      <c r="G11" s="40">
        <f>raw_data!E147</f>
        <v>45947</v>
      </c>
      <c r="H11" s="26" t="str">
        <f>raw_data!F147</f>
        <v>ELS</v>
      </c>
    </row>
    <row r="12" spans="1:8" x14ac:dyDescent="0.25">
      <c r="A12" s="8" t="str">
        <f>raw_data!A148</f>
        <v>525-00035</v>
      </c>
      <c r="B12" s="369"/>
      <c r="C12" s="39" t="str">
        <f>raw_data!B148</f>
        <v>N/A</v>
      </c>
      <c r="D12" s="40" t="str">
        <f>raw_data!C148</f>
        <v>N/A</v>
      </c>
      <c r="E12" s="369"/>
      <c r="F12" s="39" t="str">
        <f>raw_data!D148</f>
        <v>N/A</v>
      </c>
      <c r="G12" s="40" t="str">
        <f>raw_data!E148</f>
        <v>N/A</v>
      </c>
      <c r="H12" s="26" t="str">
        <f>raw_data!F148</f>
        <v>N/A</v>
      </c>
    </row>
    <row r="13" spans="1:8" ht="15.75" thickBot="1" x14ac:dyDescent="0.3">
      <c r="A13" s="29" t="str">
        <f>raw_data!A149</f>
        <v>525-00035</v>
      </c>
      <c r="B13" s="360"/>
      <c r="C13" s="41" t="str">
        <f>raw_data!B149</f>
        <v>N/A</v>
      </c>
      <c r="D13" s="42" t="str">
        <f>raw_data!C149</f>
        <v>N/A</v>
      </c>
      <c r="E13" s="360"/>
      <c r="F13" s="41" t="str">
        <f>raw_data!D149</f>
        <v>N/A</v>
      </c>
      <c r="G13" s="42" t="str">
        <f>raw_data!E149</f>
        <v>N/A</v>
      </c>
      <c r="H13" s="30" t="str">
        <f>raw_data!F149</f>
        <v>N/A</v>
      </c>
    </row>
    <row r="14" spans="1:8" ht="15.75" thickBot="1" x14ac:dyDescent="0.3">
      <c r="A14" s="156" t="s">
        <v>0</v>
      </c>
      <c r="B14" s="157" t="s">
        <v>208</v>
      </c>
      <c r="C14" s="157" t="s">
        <v>1</v>
      </c>
      <c r="D14" s="158" t="s">
        <v>2</v>
      </c>
      <c r="E14" s="157" t="s">
        <v>8</v>
      </c>
      <c r="F14" s="157" t="s">
        <v>3</v>
      </c>
      <c r="G14" s="159" t="s">
        <v>4</v>
      </c>
      <c r="H14" s="160" t="s">
        <v>5</v>
      </c>
    </row>
    <row r="15" spans="1:8" x14ac:dyDescent="0.25">
      <c r="A15" s="48" t="str">
        <f>raw_data!A150</f>
        <v>525-00036</v>
      </c>
      <c r="B15" s="443" t="s">
        <v>113</v>
      </c>
      <c r="C15" s="49" t="str">
        <f>raw_data!B150</f>
        <v>041625Masa</v>
      </c>
      <c r="D15" s="50">
        <f>raw_data!C150</f>
        <v>46766</v>
      </c>
      <c r="E15" s="366" t="s">
        <v>219</v>
      </c>
      <c r="F15" s="49" t="str">
        <f>raw_data!D150</f>
        <v>1 låda</v>
      </c>
      <c r="G15" s="50">
        <f>raw_data!E150</f>
        <v>45986</v>
      </c>
      <c r="H15" s="52" t="str">
        <f>raw_data!F150</f>
        <v>ELS</v>
      </c>
    </row>
    <row r="16" spans="1:8" x14ac:dyDescent="0.25">
      <c r="A16" s="8" t="str">
        <f>raw_data!A151</f>
        <v>525-00036</v>
      </c>
      <c r="B16" s="444"/>
      <c r="C16" s="39" t="str">
        <f>raw_data!B151</f>
        <v>N/A</v>
      </c>
      <c r="D16" s="40" t="str">
        <f>raw_data!C151</f>
        <v>N/A</v>
      </c>
      <c r="E16" s="369"/>
      <c r="F16" s="39" t="str">
        <f>raw_data!D151</f>
        <v>N/A</v>
      </c>
      <c r="G16" s="40" t="str">
        <f>raw_data!E151</f>
        <v>N/A</v>
      </c>
      <c r="H16" s="26" t="str">
        <f>raw_data!F151</f>
        <v>N/A</v>
      </c>
    </row>
    <row r="17" spans="1:8" x14ac:dyDescent="0.25">
      <c r="A17" s="8" t="str">
        <f>raw_data!A152</f>
        <v>525-00036</v>
      </c>
      <c r="B17" s="444"/>
      <c r="C17" s="39" t="str">
        <f>raw_data!B152</f>
        <v>N/A</v>
      </c>
      <c r="D17" s="40" t="str">
        <f>raw_data!C152</f>
        <v>N/A</v>
      </c>
      <c r="E17" s="369"/>
      <c r="F17" s="39" t="str">
        <f>raw_data!D152</f>
        <v>N/A</v>
      </c>
      <c r="G17" s="40" t="str">
        <f>raw_data!E152</f>
        <v>N/A</v>
      </c>
      <c r="H17" s="26" t="str">
        <f>raw_data!F152</f>
        <v>N/A</v>
      </c>
    </row>
    <row r="18" spans="1:8" ht="15.75" thickBot="1" x14ac:dyDescent="0.3">
      <c r="A18" s="29" t="str">
        <f>raw_data!A153</f>
        <v>525-00036</v>
      </c>
      <c r="B18" s="445"/>
      <c r="C18" s="41" t="str">
        <f>raw_data!B153</f>
        <v>N/A</v>
      </c>
      <c r="D18" s="42" t="str">
        <f>raw_data!C153</f>
        <v>N/A</v>
      </c>
      <c r="E18" s="360"/>
      <c r="F18" s="41" t="str">
        <f>raw_data!D153</f>
        <v>N/A</v>
      </c>
      <c r="G18" s="42" t="str">
        <f>raw_data!E153</f>
        <v>N/A</v>
      </c>
      <c r="H18" s="30" t="str">
        <f>raw_data!F153</f>
        <v>N/A</v>
      </c>
    </row>
  </sheetData>
  <sheetProtection algorithmName="SHA-512" hashValue="d1XVYLIHkSCWam/0kido9m7qn5HEiQI2mAvdsFA/8zgBvHstRx8N8BXo1+N4ytJX/I4/5CZ9Ppus8H6Ts9N0VA==" saltValue="otre0ei5gaeaIlKRRg8YMg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5.28515625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8.140625" customWidth="1"/>
  </cols>
  <sheetData>
    <row r="1" spans="1:8" ht="15.75" thickBot="1" x14ac:dyDescent="0.3"/>
    <row r="2" spans="1:8" ht="24" thickBot="1" x14ac:dyDescent="0.3">
      <c r="A2" s="520" t="s">
        <v>223</v>
      </c>
      <c r="B2" s="521"/>
      <c r="C2" s="521"/>
      <c r="D2" s="521"/>
      <c r="E2" s="521"/>
      <c r="F2" s="521"/>
      <c r="G2" s="521"/>
      <c r="H2" s="522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66" t="s">
        <v>0</v>
      </c>
      <c r="B4" s="167" t="s">
        <v>208</v>
      </c>
      <c r="C4" s="167" t="s">
        <v>1</v>
      </c>
      <c r="D4" s="168" t="s">
        <v>2</v>
      </c>
      <c r="E4" s="167" t="s">
        <v>8</v>
      </c>
      <c r="F4" s="167" t="s">
        <v>3</v>
      </c>
      <c r="G4" s="169" t="s">
        <v>4</v>
      </c>
      <c r="H4" s="170" t="s">
        <v>5</v>
      </c>
    </row>
    <row r="5" spans="1:8" x14ac:dyDescent="0.25">
      <c r="A5" s="48" t="str">
        <f>raw_data!A230</f>
        <v>525-00113</v>
      </c>
      <c r="B5" s="366" t="s">
        <v>157</v>
      </c>
      <c r="C5" s="49" t="str">
        <f>raw_data!B230</f>
        <v>120524ELIF</v>
      </c>
      <c r="D5" s="50">
        <f>raw_data!C230</f>
        <v>45996</v>
      </c>
      <c r="E5" s="366" t="s">
        <v>219</v>
      </c>
      <c r="F5" s="51" t="str">
        <f>raw_data!D230</f>
        <v>0.5 låda</v>
      </c>
      <c r="G5" s="50">
        <f>raw_data!E230</f>
        <v>45993</v>
      </c>
      <c r="H5" s="52" t="str">
        <f>raw_data!F230</f>
        <v>ELS</v>
      </c>
    </row>
    <row r="6" spans="1:8" x14ac:dyDescent="0.25">
      <c r="A6" s="8" t="str">
        <f>raw_data!A231</f>
        <v>525-00113</v>
      </c>
      <c r="B6" s="369"/>
      <c r="C6" s="39" t="str">
        <f>raw_data!B231</f>
        <v>N/A</v>
      </c>
      <c r="D6" s="40" t="str">
        <f>raw_data!C231</f>
        <v>N/A</v>
      </c>
      <c r="E6" s="369"/>
      <c r="F6" s="53" t="str">
        <f>raw_data!D231</f>
        <v>N/A</v>
      </c>
      <c r="G6" s="40" t="str">
        <f>raw_data!E231</f>
        <v>N/A</v>
      </c>
      <c r="H6" s="26" t="str">
        <f>raw_data!F231</f>
        <v>N/A</v>
      </c>
    </row>
    <row r="7" spans="1:8" x14ac:dyDescent="0.25">
      <c r="A7" s="8" t="str">
        <f>raw_data!A232</f>
        <v>525-00113</v>
      </c>
      <c r="B7" s="369"/>
      <c r="C7" s="39" t="str">
        <f>raw_data!B232</f>
        <v>N/A</v>
      </c>
      <c r="D7" s="40" t="str">
        <f>raw_data!C232</f>
        <v>N/A</v>
      </c>
      <c r="E7" s="369"/>
      <c r="F7" s="53" t="str">
        <f>raw_data!D232</f>
        <v>N/A</v>
      </c>
      <c r="G7" s="40" t="str">
        <f>raw_data!E232</f>
        <v>N/A</v>
      </c>
      <c r="H7" s="26" t="str">
        <f>raw_data!F232</f>
        <v>N/A</v>
      </c>
    </row>
    <row r="8" spans="1:8" ht="15.75" thickBot="1" x14ac:dyDescent="0.3">
      <c r="A8" s="29" t="str">
        <f>raw_data!A233</f>
        <v>525-00113</v>
      </c>
      <c r="B8" s="360"/>
      <c r="C8" s="41" t="str">
        <f>raw_data!B233</f>
        <v>N/A</v>
      </c>
      <c r="D8" s="42" t="str">
        <f>raw_data!C233</f>
        <v>N/A</v>
      </c>
      <c r="E8" s="360"/>
      <c r="F8" s="54" t="str">
        <f>raw_data!D233</f>
        <v>N/A</v>
      </c>
      <c r="G8" s="42" t="str">
        <f>raw_data!E233</f>
        <v>N/A</v>
      </c>
      <c r="H8" s="30" t="str">
        <f>raw_data!F233</f>
        <v>N/A</v>
      </c>
    </row>
    <row r="9" spans="1:8" ht="15.75" thickBot="1" x14ac:dyDescent="0.3">
      <c r="A9" s="161" t="s">
        <v>0</v>
      </c>
      <c r="B9" s="162" t="s">
        <v>208</v>
      </c>
      <c r="C9" s="162" t="s">
        <v>1</v>
      </c>
      <c r="D9" s="163" t="s">
        <v>2</v>
      </c>
      <c r="E9" s="162" t="s">
        <v>8</v>
      </c>
      <c r="F9" s="162" t="s">
        <v>3</v>
      </c>
      <c r="G9" s="164" t="s">
        <v>4</v>
      </c>
      <c r="H9" s="165" t="s">
        <v>5</v>
      </c>
    </row>
    <row r="10" spans="1:8" x14ac:dyDescent="0.25">
      <c r="A10" s="48" t="str">
        <f>raw_data!A222</f>
        <v>525-00103</v>
      </c>
      <c r="B10" s="366" t="s">
        <v>153</v>
      </c>
      <c r="C10" s="49" t="str">
        <f>raw_data!B222</f>
        <v>031225Masa</v>
      </c>
      <c r="D10" s="50">
        <f>raw_data!C222</f>
        <v>46568</v>
      </c>
      <c r="E10" s="366" t="s">
        <v>219</v>
      </c>
      <c r="F10" s="49" t="str">
        <f>raw_data!D222</f>
        <v>26 rör</v>
      </c>
      <c r="G10" s="50">
        <f>raw_data!E222</f>
        <v>45884</v>
      </c>
      <c r="H10" s="52" t="str">
        <f>raw_data!F222</f>
        <v>ELS</v>
      </c>
    </row>
    <row r="11" spans="1:8" x14ac:dyDescent="0.25">
      <c r="A11" s="8" t="str">
        <f>raw_data!A223</f>
        <v>525-00103</v>
      </c>
      <c r="B11" s="369"/>
      <c r="C11" s="39" t="str">
        <f>raw_data!B223</f>
        <v>070325Masa</v>
      </c>
      <c r="D11" s="40">
        <f>raw_data!C223</f>
        <v>46681</v>
      </c>
      <c r="E11" s="369"/>
      <c r="F11" s="39" t="str">
        <f>raw_data!D223</f>
        <v>12 rör</v>
      </c>
      <c r="G11" s="40">
        <f>raw_data!E223</f>
        <v>45947</v>
      </c>
      <c r="H11" s="26" t="str">
        <f>raw_data!F223</f>
        <v>ELS</v>
      </c>
    </row>
    <row r="12" spans="1:8" x14ac:dyDescent="0.25">
      <c r="A12" s="8" t="str">
        <f>raw_data!A224</f>
        <v>525-00103</v>
      </c>
      <c r="B12" s="369"/>
      <c r="C12" s="39" t="str">
        <f>raw_data!B224</f>
        <v>N/A</v>
      </c>
      <c r="D12" s="40" t="str">
        <f>raw_data!C224</f>
        <v>N/A</v>
      </c>
      <c r="E12" s="369"/>
      <c r="F12" s="39" t="str">
        <f>raw_data!D224</f>
        <v>N/A</v>
      </c>
      <c r="G12" s="40" t="str">
        <f>raw_data!E224</f>
        <v>N/A</v>
      </c>
      <c r="H12" s="26" t="str">
        <f>raw_data!F224</f>
        <v>N/A</v>
      </c>
    </row>
    <row r="13" spans="1:8" ht="15.75" thickBot="1" x14ac:dyDescent="0.3">
      <c r="A13" s="29" t="str">
        <f>raw_data!A225</f>
        <v>525-00103</v>
      </c>
      <c r="B13" s="360"/>
      <c r="C13" s="41" t="str">
        <f>raw_data!B225</f>
        <v>N/A</v>
      </c>
      <c r="D13" s="42" t="str">
        <f>raw_data!C225</f>
        <v>N/A</v>
      </c>
      <c r="E13" s="360"/>
      <c r="F13" s="41" t="str">
        <f>raw_data!D225</f>
        <v>N/A</v>
      </c>
      <c r="G13" s="42" t="str">
        <f>raw_data!E225</f>
        <v>N/A</v>
      </c>
      <c r="H13" s="30" t="str">
        <f>raw_data!F225</f>
        <v>N/A</v>
      </c>
    </row>
    <row r="14" spans="1:8" ht="15.75" thickBot="1" x14ac:dyDescent="0.3">
      <c r="A14" s="161" t="s">
        <v>0</v>
      </c>
      <c r="B14" s="162" t="s">
        <v>208</v>
      </c>
      <c r="C14" s="162" t="s">
        <v>1</v>
      </c>
      <c r="D14" s="163" t="s">
        <v>2</v>
      </c>
      <c r="E14" s="162" t="s">
        <v>8</v>
      </c>
      <c r="F14" s="162" t="s">
        <v>3</v>
      </c>
      <c r="G14" s="164" t="s">
        <v>4</v>
      </c>
      <c r="H14" s="165" t="s">
        <v>5</v>
      </c>
    </row>
    <row r="15" spans="1:8" x14ac:dyDescent="0.25">
      <c r="A15" s="48" t="str">
        <f>raw_data!A226</f>
        <v>525-00104</v>
      </c>
      <c r="B15" s="443" t="s">
        <v>155</v>
      </c>
      <c r="C15" s="49" t="str">
        <f>raw_data!B226</f>
        <v>030524VW-A</v>
      </c>
      <c r="D15" s="50">
        <f>raw_data!C226</f>
        <v>46196</v>
      </c>
      <c r="E15" s="366" t="s">
        <v>219</v>
      </c>
      <c r="F15" s="49" t="str">
        <f>raw_data!D226</f>
        <v>10 rör</v>
      </c>
      <c r="G15" s="50">
        <f>raw_data!E226</f>
        <v>45884</v>
      </c>
      <c r="H15" s="52" t="str">
        <f>raw_data!F226</f>
        <v>ELS</v>
      </c>
    </row>
    <row r="16" spans="1:8" x14ac:dyDescent="0.25">
      <c r="A16" s="8" t="str">
        <f>raw_data!A227</f>
        <v>525-00104</v>
      </c>
      <c r="B16" s="444"/>
      <c r="C16" s="39" t="str">
        <f>raw_data!B227</f>
        <v>N/A</v>
      </c>
      <c r="D16" s="40" t="str">
        <f>raw_data!C227</f>
        <v>N/A</v>
      </c>
      <c r="E16" s="369"/>
      <c r="F16" s="39" t="str">
        <f>raw_data!D227</f>
        <v>N/A</v>
      </c>
      <c r="G16" s="40" t="str">
        <f>raw_data!E227</f>
        <v>N/A</v>
      </c>
      <c r="H16" s="26" t="str">
        <f>raw_data!F227</f>
        <v>N/A</v>
      </c>
    </row>
    <row r="17" spans="1:8" x14ac:dyDescent="0.25">
      <c r="A17" s="8" t="str">
        <f>raw_data!A228</f>
        <v>525-00104</v>
      </c>
      <c r="B17" s="444"/>
      <c r="C17" s="39" t="str">
        <f>raw_data!B228</f>
        <v>N/A</v>
      </c>
      <c r="D17" s="40" t="str">
        <f>raw_data!C228</f>
        <v>N/A</v>
      </c>
      <c r="E17" s="369"/>
      <c r="F17" s="39" t="str">
        <f>raw_data!D228</f>
        <v>N/A</v>
      </c>
      <c r="G17" s="40" t="str">
        <f>raw_data!E228</f>
        <v>N/A</v>
      </c>
      <c r="H17" s="26" t="str">
        <f>raw_data!F228</f>
        <v>N/A</v>
      </c>
    </row>
    <row r="18" spans="1:8" ht="15.75" thickBot="1" x14ac:dyDescent="0.3">
      <c r="A18" s="29" t="str">
        <f>raw_data!A229</f>
        <v>525-00104</v>
      </c>
      <c r="B18" s="445"/>
      <c r="C18" s="41" t="str">
        <f>raw_data!B229</f>
        <v>N/A</v>
      </c>
      <c r="D18" s="42" t="str">
        <f>raw_data!C229</f>
        <v>N/A</v>
      </c>
      <c r="E18" s="360"/>
      <c r="F18" s="41" t="str">
        <f>raw_data!D229</f>
        <v>N/A</v>
      </c>
      <c r="G18" s="42" t="str">
        <f>raw_data!E229</f>
        <v>N/A</v>
      </c>
      <c r="H18" s="30" t="str">
        <f>raw_data!F229</f>
        <v>N/A</v>
      </c>
    </row>
  </sheetData>
  <sheetProtection algorithmName="SHA-512" hashValue="66SsLhhE8QFv18fqgPJSl+DnTLPFaMLh/bbS2Bf3KggNN7sRO/D5E1auJi3Ao8RTrboJjkeB9InfF7Jc1MYGfQ==" saltValue="DOrBqkAuIfQzLgOZnuFA+A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FFCC00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7.42578125" customWidth="1"/>
    <col min="4" max="4" width="14" bestFit="1" customWidth="1"/>
    <col min="5" max="5" width="14.5703125" bestFit="1" customWidth="1"/>
    <col min="6" max="6" width="15.7109375" customWidth="1"/>
    <col min="7" max="7" width="17.85546875" bestFit="1" customWidth="1"/>
    <col min="8" max="8" width="8.7109375" customWidth="1"/>
  </cols>
  <sheetData>
    <row r="1" spans="1:8" ht="15.75" thickBot="1" x14ac:dyDescent="0.3"/>
    <row r="2" spans="1:8" ht="24" thickBot="1" x14ac:dyDescent="0.3">
      <c r="A2" s="523" t="s">
        <v>100</v>
      </c>
      <c r="B2" s="524"/>
      <c r="C2" s="524"/>
      <c r="D2" s="524"/>
      <c r="E2" s="524"/>
      <c r="F2" s="524"/>
      <c r="G2" s="524"/>
      <c r="H2" s="525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71" t="s">
        <v>0</v>
      </c>
      <c r="B4" s="172" t="s">
        <v>208</v>
      </c>
      <c r="C4" s="172" t="s">
        <v>1</v>
      </c>
      <c r="D4" s="173" t="s">
        <v>2</v>
      </c>
      <c r="E4" s="172" t="s">
        <v>8</v>
      </c>
      <c r="F4" s="172" t="s">
        <v>3</v>
      </c>
      <c r="G4" s="174" t="s">
        <v>4</v>
      </c>
      <c r="H4" s="175" t="s">
        <v>5</v>
      </c>
    </row>
    <row r="5" spans="1:8" x14ac:dyDescent="0.25">
      <c r="A5" s="48" t="str">
        <f>raw_data!A142</f>
        <v>525-00033</v>
      </c>
      <c r="B5" s="366" t="s">
        <v>110</v>
      </c>
      <c r="C5" s="49" t="str">
        <f>raw_data!B142</f>
        <v>042325MMM</v>
      </c>
      <c r="D5" s="50">
        <f>raw_data!C142</f>
        <v>46135</v>
      </c>
      <c r="E5" s="366" t="s">
        <v>219</v>
      </c>
      <c r="F5" s="51" t="str">
        <f>raw_data!D142</f>
        <v>1 Låda</v>
      </c>
      <c r="G5" s="50">
        <f>raw_data!E142</f>
        <v>45975</v>
      </c>
      <c r="H5" s="52" t="str">
        <f>raw_data!F142</f>
        <v>ELS</v>
      </c>
    </row>
    <row r="6" spans="1:8" x14ac:dyDescent="0.25">
      <c r="A6" s="8" t="str">
        <f>raw_data!A143</f>
        <v>525-00033</v>
      </c>
      <c r="B6" s="369"/>
      <c r="C6" s="39" t="str">
        <f>raw_data!B143</f>
        <v>041725MMM</v>
      </c>
      <c r="D6" s="40">
        <f>raw_data!C143</f>
        <v>46129</v>
      </c>
      <c r="E6" s="369"/>
      <c r="F6" s="53" t="str">
        <f>raw_data!D143</f>
        <v>1 Låda</v>
      </c>
      <c r="G6" s="40">
        <f>raw_data!E143</f>
        <v>45964</v>
      </c>
      <c r="H6" s="26" t="str">
        <f>raw_data!F143</f>
        <v>JESP</v>
      </c>
    </row>
    <row r="7" spans="1:8" x14ac:dyDescent="0.25">
      <c r="A7" s="8" t="str">
        <f>raw_data!A144</f>
        <v>525-00033</v>
      </c>
      <c r="B7" s="369"/>
      <c r="C7" s="39" t="str">
        <f>raw_data!B144</f>
        <v>040925ELIF</v>
      </c>
      <c r="D7" s="40">
        <f>raw_data!C144</f>
        <v>46121</v>
      </c>
      <c r="E7" s="369"/>
      <c r="F7" s="53" t="str">
        <f>raw_data!D144</f>
        <v>1 Låda</v>
      </c>
      <c r="G7" s="40">
        <f>raw_data!E144</f>
        <v>45975</v>
      </c>
      <c r="H7" s="26" t="str">
        <f>raw_data!F144</f>
        <v>ELS</v>
      </c>
    </row>
    <row r="8" spans="1:8" ht="15.75" thickBot="1" x14ac:dyDescent="0.3">
      <c r="A8" s="29" t="str">
        <f>raw_data!A145</f>
        <v>525-00033</v>
      </c>
      <c r="B8" s="360"/>
      <c r="C8" s="41" t="str">
        <f>raw_data!B145</f>
        <v>N/A</v>
      </c>
      <c r="D8" s="42" t="str">
        <f>raw_data!C145</f>
        <v>N/A</v>
      </c>
      <c r="E8" s="360"/>
      <c r="F8" s="54" t="str">
        <f>raw_data!D145</f>
        <v>N/A</v>
      </c>
      <c r="G8" s="42" t="str">
        <f>raw_data!E145</f>
        <v>N/A</v>
      </c>
      <c r="H8" s="30" t="str">
        <f>raw_data!F145</f>
        <v>N/A</v>
      </c>
    </row>
    <row r="9" spans="1:8" ht="15.75" thickBot="1" x14ac:dyDescent="0.3">
      <c r="A9" s="176" t="s">
        <v>0</v>
      </c>
      <c r="B9" s="177" t="s">
        <v>208</v>
      </c>
      <c r="C9" s="177" t="s">
        <v>1</v>
      </c>
      <c r="D9" s="178" t="s">
        <v>2</v>
      </c>
      <c r="E9" s="177" t="s">
        <v>8</v>
      </c>
      <c r="F9" s="177" t="s">
        <v>3</v>
      </c>
      <c r="G9" s="179" t="s">
        <v>4</v>
      </c>
      <c r="H9" s="180" t="s">
        <v>5</v>
      </c>
    </row>
    <row r="10" spans="1:8" x14ac:dyDescent="0.25">
      <c r="A10" s="48" t="str">
        <f>raw_data!A126</f>
        <v>525-00017</v>
      </c>
      <c r="B10" s="366" t="s">
        <v>101</v>
      </c>
      <c r="C10" s="49" t="str">
        <f>raw_data!B126</f>
        <v>071924MATE</v>
      </c>
      <c r="D10" s="50">
        <f>raw_data!C126</f>
        <v>46332</v>
      </c>
      <c r="E10" s="366" t="s">
        <v>219</v>
      </c>
      <c r="F10" s="49" t="str">
        <f>raw_data!D126</f>
        <v>6.5 Lådor</v>
      </c>
      <c r="G10" s="50">
        <f>raw_data!E126</f>
        <v>45986</v>
      </c>
      <c r="H10" s="52" t="str">
        <f>raw_data!F126</f>
        <v>ELS</v>
      </c>
    </row>
    <row r="11" spans="1:8" x14ac:dyDescent="0.25">
      <c r="A11" s="8" t="str">
        <f>raw_data!A127</f>
        <v>525-00017</v>
      </c>
      <c r="B11" s="369"/>
      <c r="C11" s="39" t="str">
        <f>raw_data!B127</f>
        <v>N/A</v>
      </c>
      <c r="D11" s="40" t="str">
        <f>raw_data!C127</f>
        <v>N/A</v>
      </c>
      <c r="E11" s="369"/>
      <c r="F11" s="39" t="str">
        <f>raw_data!D127</f>
        <v>6 Lådor</v>
      </c>
      <c r="G11" s="40">
        <f>raw_data!E127</f>
        <v>45895</v>
      </c>
      <c r="H11" s="26" t="str">
        <f>raw_data!F127</f>
        <v>ELS</v>
      </c>
    </row>
    <row r="12" spans="1:8" x14ac:dyDescent="0.25">
      <c r="A12" s="8" t="str">
        <f>raw_data!A128</f>
        <v>525-00017</v>
      </c>
      <c r="B12" s="369"/>
      <c r="C12" s="39" t="str">
        <f>raw_data!B128</f>
        <v>N/A</v>
      </c>
      <c r="D12" s="40" t="str">
        <f>raw_data!C128</f>
        <v>N/A</v>
      </c>
      <c r="E12" s="369"/>
      <c r="F12" s="39" t="str">
        <f>raw_data!D128</f>
        <v>N/A</v>
      </c>
      <c r="G12" s="40" t="str">
        <f>raw_data!E128</f>
        <v>N/A</v>
      </c>
      <c r="H12" s="26" t="str">
        <f>raw_data!F128</f>
        <v>N/A</v>
      </c>
    </row>
    <row r="13" spans="1:8" ht="15.75" thickBot="1" x14ac:dyDescent="0.3">
      <c r="A13" s="29" t="str">
        <f>raw_data!A129</f>
        <v>525-00017</v>
      </c>
      <c r="B13" s="360"/>
      <c r="C13" s="41" t="str">
        <f>raw_data!B129</f>
        <v>N/A</v>
      </c>
      <c r="D13" s="42" t="str">
        <f>raw_data!C129</f>
        <v>N/A</v>
      </c>
      <c r="E13" s="360"/>
      <c r="F13" s="41" t="str">
        <f>raw_data!D129</f>
        <v>N/A</v>
      </c>
      <c r="G13" s="42" t="str">
        <f>raw_data!E129</f>
        <v>N/A</v>
      </c>
      <c r="H13" s="30" t="str">
        <f>raw_data!F129</f>
        <v>N/A</v>
      </c>
    </row>
    <row r="14" spans="1:8" ht="15.75" thickBot="1" x14ac:dyDescent="0.3">
      <c r="A14" s="176" t="s">
        <v>0</v>
      </c>
      <c r="B14" s="177" t="s">
        <v>208</v>
      </c>
      <c r="C14" s="177" t="s">
        <v>1</v>
      </c>
      <c r="D14" s="178" t="s">
        <v>2</v>
      </c>
      <c r="E14" s="177" t="s">
        <v>8</v>
      </c>
      <c r="F14" s="177" t="s">
        <v>3</v>
      </c>
      <c r="G14" s="179" t="s">
        <v>4</v>
      </c>
      <c r="H14" s="180" t="s">
        <v>5</v>
      </c>
    </row>
    <row r="15" spans="1:8" x14ac:dyDescent="0.25">
      <c r="A15" s="48" t="str">
        <f>raw_data!A130</f>
        <v>525-00018</v>
      </c>
      <c r="B15" s="443" t="s">
        <v>103</v>
      </c>
      <c r="C15" s="49" t="str">
        <f>raw_data!B130</f>
        <v>102125MMM</v>
      </c>
      <c r="D15" s="50">
        <f>raw_data!C130</f>
        <v>46791</v>
      </c>
      <c r="E15" s="366" t="s">
        <v>219</v>
      </c>
      <c r="F15" s="49" t="str">
        <f>raw_data!D130</f>
        <v>1 låda</v>
      </c>
      <c r="G15" s="50">
        <f>raw_data!E130</f>
        <v>45986</v>
      </c>
      <c r="H15" s="52" t="str">
        <f>raw_data!F130</f>
        <v>ELS</v>
      </c>
    </row>
    <row r="16" spans="1:8" x14ac:dyDescent="0.25">
      <c r="A16" s="8" t="str">
        <f>raw_data!A131</f>
        <v>525-00018</v>
      </c>
      <c r="B16" s="444"/>
      <c r="C16" s="39" t="str">
        <f>raw_data!B131</f>
        <v>071924MATE</v>
      </c>
      <c r="D16" s="40">
        <f>raw_data!C131</f>
        <v>46332</v>
      </c>
      <c r="E16" s="369"/>
      <c r="F16" s="39" t="str">
        <f>raw_data!D131</f>
        <v>0.5 Låda</v>
      </c>
      <c r="G16" s="40">
        <f>raw_data!E131</f>
        <v>45964</v>
      </c>
      <c r="H16" s="26" t="str">
        <f>raw_data!F131</f>
        <v>ELS</v>
      </c>
    </row>
    <row r="17" spans="1:8" x14ac:dyDescent="0.25">
      <c r="A17" s="8" t="str">
        <f>raw_data!A132</f>
        <v>525-00018</v>
      </c>
      <c r="B17" s="444"/>
      <c r="C17" s="39" t="str">
        <f>raw_data!B132</f>
        <v>N/A</v>
      </c>
      <c r="D17" s="40" t="str">
        <f>raw_data!C132</f>
        <v>N/A</v>
      </c>
      <c r="E17" s="369"/>
      <c r="F17" s="39" t="str">
        <f>raw_data!D132</f>
        <v>N/A</v>
      </c>
      <c r="G17" s="40" t="str">
        <f>raw_data!E132</f>
        <v>N/A</v>
      </c>
      <c r="H17" s="26" t="str">
        <f>raw_data!F132</f>
        <v>N/A</v>
      </c>
    </row>
    <row r="18" spans="1:8" ht="15.75" thickBot="1" x14ac:dyDescent="0.3">
      <c r="A18" s="29" t="str">
        <f>raw_data!A133</f>
        <v>525-00018</v>
      </c>
      <c r="B18" s="445"/>
      <c r="C18" s="41" t="str">
        <f>raw_data!B133</f>
        <v>N/A</v>
      </c>
      <c r="D18" s="42" t="str">
        <f>raw_data!C133</f>
        <v>N/A</v>
      </c>
      <c r="E18" s="360"/>
      <c r="F18" s="41" t="str">
        <f>raw_data!D133</f>
        <v>N/A</v>
      </c>
      <c r="G18" s="42" t="str">
        <f>raw_data!E133</f>
        <v>N/A</v>
      </c>
      <c r="H18" s="30" t="str">
        <f>raw_data!F133</f>
        <v>N/A</v>
      </c>
    </row>
  </sheetData>
  <sheetProtection algorithmName="SHA-512" hashValue="NjoLhlAfc/XarY91+/NsLsjbIOLzxs15ENtm8NXZnuNoiaJNi+iX8PH9e6wgk9LsRoD+i5wfctUDDkOtMbM5QQ==" saltValue="FOcoVBLcrVWfQhIvYqILsQ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1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6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9" customWidth="1"/>
  </cols>
  <sheetData>
    <row r="1" spans="1:8" ht="15.75" thickBot="1" x14ac:dyDescent="0.3"/>
    <row r="2" spans="1:8" ht="24" thickBot="1" x14ac:dyDescent="0.3">
      <c r="A2" s="526" t="s">
        <v>109</v>
      </c>
      <c r="B2" s="527"/>
      <c r="C2" s="527"/>
      <c r="D2" s="527"/>
      <c r="E2" s="527"/>
      <c r="F2" s="527"/>
      <c r="G2" s="527"/>
      <c r="H2" s="528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81" t="s">
        <v>0</v>
      </c>
      <c r="B4" s="182" t="s">
        <v>208</v>
      </c>
      <c r="C4" s="182" t="s">
        <v>1</v>
      </c>
      <c r="D4" s="183" t="s">
        <v>2</v>
      </c>
      <c r="E4" s="182" t="s">
        <v>8</v>
      </c>
      <c r="F4" s="182" t="s">
        <v>3</v>
      </c>
      <c r="G4" s="184" t="s">
        <v>4</v>
      </c>
      <c r="H4" s="185" t="s">
        <v>5</v>
      </c>
    </row>
    <row r="5" spans="1:8" x14ac:dyDescent="0.25">
      <c r="A5" s="48" t="str">
        <f>raw_data!A142</f>
        <v>525-00033</v>
      </c>
      <c r="B5" s="366" t="s">
        <v>110</v>
      </c>
      <c r="C5" s="49" t="str">
        <f>raw_data!B142</f>
        <v>042325MMM</v>
      </c>
      <c r="D5" s="50">
        <f>raw_data!C142</f>
        <v>46135</v>
      </c>
      <c r="E5" s="366" t="s">
        <v>219</v>
      </c>
      <c r="F5" s="49" t="str">
        <f>raw_data!D142</f>
        <v>1 Låda</v>
      </c>
      <c r="G5" s="50">
        <f>raw_data!E142</f>
        <v>45975</v>
      </c>
      <c r="H5" s="52" t="str">
        <f>raw_data!F142</f>
        <v>ELS</v>
      </c>
    </row>
    <row r="6" spans="1:8" x14ac:dyDescent="0.25">
      <c r="A6" s="8" t="str">
        <f>raw_data!A143</f>
        <v>525-00033</v>
      </c>
      <c r="B6" s="369"/>
      <c r="C6" s="39" t="str">
        <f>raw_data!B143</f>
        <v>041725MMM</v>
      </c>
      <c r="D6" s="40">
        <f>raw_data!C143</f>
        <v>46129</v>
      </c>
      <c r="E6" s="369"/>
      <c r="F6" s="39" t="str">
        <f>raw_data!D143</f>
        <v>1 Låda</v>
      </c>
      <c r="G6" s="40">
        <f>raw_data!E143</f>
        <v>45964</v>
      </c>
      <c r="H6" s="26" t="str">
        <f>raw_data!F143</f>
        <v>JESP</v>
      </c>
    </row>
    <row r="7" spans="1:8" x14ac:dyDescent="0.25">
      <c r="A7" s="8" t="str">
        <f>raw_data!A144</f>
        <v>525-00033</v>
      </c>
      <c r="B7" s="369"/>
      <c r="C7" s="39" t="str">
        <f>raw_data!B144</f>
        <v>040925ELIF</v>
      </c>
      <c r="D7" s="40">
        <f>raw_data!C144</f>
        <v>46121</v>
      </c>
      <c r="E7" s="369"/>
      <c r="F7" s="39" t="str">
        <f>raw_data!D144</f>
        <v>1 Låda</v>
      </c>
      <c r="G7" s="40">
        <f>raw_data!E144</f>
        <v>45975</v>
      </c>
      <c r="H7" s="26" t="str">
        <f>raw_data!F144</f>
        <v>ELS</v>
      </c>
    </row>
    <row r="8" spans="1:8" ht="15.75" thickBot="1" x14ac:dyDescent="0.3">
      <c r="A8" s="29" t="str">
        <f>raw_data!A145</f>
        <v>525-00033</v>
      </c>
      <c r="B8" s="360"/>
      <c r="C8" s="41" t="str">
        <f>raw_data!B145</f>
        <v>N/A</v>
      </c>
      <c r="D8" s="42" t="str">
        <f>raw_data!C145</f>
        <v>N/A</v>
      </c>
      <c r="E8" s="360"/>
      <c r="F8" s="41" t="str">
        <f>raw_data!D145</f>
        <v>N/A</v>
      </c>
      <c r="G8" s="42" t="str">
        <f>raw_data!E145</f>
        <v>N/A</v>
      </c>
      <c r="H8" s="30" t="str">
        <f>raw_data!F145</f>
        <v>N/A</v>
      </c>
    </row>
    <row r="9" spans="1:8" ht="15.75" thickBot="1" x14ac:dyDescent="0.3">
      <c r="A9" s="186" t="s">
        <v>0</v>
      </c>
      <c r="B9" s="187" t="s">
        <v>208</v>
      </c>
      <c r="C9" s="187" t="s">
        <v>1</v>
      </c>
      <c r="D9" s="188" t="s">
        <v>2</v>
      </c>
      <c r="E9" s="187" t="s">
        <v>8</v>
      </c>
      <c r="F9" s="187" t="s">
        <v>3</v>
      </c>
      <c r="G9" s="189" t="s">
        <v>4</v>
      </c>
      <c r="H9" s="190" t="s">
        <v>5</v>
      </c>
    </row>
    <row r="10" spans="1:8" x14ac:dyDescent="0.25">
      <c r="A10" s="48" t="str">
        <f>raw_data!A238</f>
        <v>525-00120</v>
      </c>
      <c r="B10" s="366" t="s">
        <v>161</v>
      </c>
      <c r="C10" s="49" t="str">
        <f>raw_data!B238</f>
        <v>032725SAMI</v>
      </c>
      <c r="D10" s="50">
        <f>raw_data!C238</f>
        <v>46108</v>
      </c>
      <c r="E10" s="366" t="s">
        <v>219</v>
      </c>
      <c r="F10" s="49" t="str">
        <f>raw_data!D238</f>
        <v>6 lådor</v>
      </c>
      <c r="G10" s="50">
        <f>raw_data!E238</f>
        <v>45986</v>
      </c>
      <c r="H10" s="52" t="str">
        <f>raw_data!F238</f>
        <v>ELS</v>
      </c>
    </row>
    <row r="11" spans="1:8" x14ac:dyDescent="0.25">
      <c r="A11" s="8" t="str">
        <f>raw_data!A239</f>
        <v>525-00120</v>
      </c>
      <c r="B11" s="369"/>
      <c r="C11" s="39" t="str">
        <f>raw_data!B239</f>
        <v>N/A</v>
      </c>
      <c r="D11" s="40" t="str">
        <f>raw_data!C239</f>
        <v>N/A</v>
      </c>
      <c r="E11" s="369"/>
      <c r="F11" s="39" t="str">
        <f>raw_data!D239</f>
        <v>N/A</v>
      </c>
      <c r="G11" s="40" t="str">
        <f>raw_data!E239</f>
        <v>N/A</v>
      </c>
      <c r="H11" s="26" t="str">
        <f>raw_data!F239</f>
        <v>N/A</v>
      </c>
    </row>
    <row r="12" spans="1:8" x14ac:dyDescent="0.25">
      <c r="A12" s="8" t="str">
        <f>raw_data!A240</f>
        <v>525-00120</v>
      </c>
      <c r="B12" s="369"/>
      <c r="C12" s="39" t="str">
        <f>raw_data!B240</f>
        <v>N/A</v>
      </c>
      <c r="D12" s="40" t="str">
        <f>raw_data!C240</f>
        <v>N/A</v>
      </c>
      <c r="E12" s="369"/>
      <c r="F12" s="39" t="str">
        <f>raw_data!D240</f>
        <v>N/A</v>
      </c>
      <c r="G12" s="40" t="str">
        <f>raw_data!E240</f>
        <v>N/A</v>
      </c>
      <c r="H12" s="26" t="str">
        <f>raw_data!F240</f>
        <v>N/A</v>
      </c>
    </row>
    <row r="13" spans="1:8" ht="15.75" thickBot="1" x14ac:dyDescent="0.3">
      <c r="A13" s="29" t="str">
        <f>raw_data!A241</f>
        <v>525-00120</v>
      </c>
      <c r="B13" s="360"/>
      <c r="C13" s="41" t="str">
        <f>raw_data!B241</f>
        <v>N/A</v>
      </c>
      <c r="D13" s="42" t="str">
        <f>raw_data!C241</f>
        <v>N/A</v>
      </c>
      <c r="E13" s="360"/>
      <c r="F13" s="41" t="str">
        <f>raw_data!D241</f>
        <v>N/A</v>
      </c>
      <c r="G13" s="42" t="str">
        <f>raw_data!E241</f>
        <v>N/A</v>
      </c>
      <c r="H13" s="30" t="str">
        <f>raw_data!F241</f>
        <v>N/A</v>
      </c>
    </row>
    <row r="14" spans="1:8" ht="15.75" thickBot="1" x14ac:dyDescent="0.3">
      <c r="A14" s="186" t="s">
        <v>0</v>
      </c>
      <c r="B14" s="187" t="s">
        <v>208</v>
      </c>
      <c r="C14" s="187" t="s">
        <v>1</v>
      </c>
      <c r="D14" s="188" t="s">
        <v>2</v>
      </c>
      <c r="E14" s="187" t="s">
        <v>8</v>
      </c>
      <c r="F14" s="187" t="s">
        <v>3</v>
      </c>
      <c r="G14" s="189" t="s">
        <v>4</v>
      </c>
      <c r="H14" s="190" t="s">
        <v>5</v>
      </c>
    </row>
    <row r="15" spans="1:8" x14ac:dyDescent="0.25">
      <c r="A15" s="48" t="str">
        <f>raw_data!A242</f>
        <v>525-00131</v>
      </c>
      <c r="B15" s="443" t="s">
        <v>163</v>
      </c>
      <c r="C15" s="49" t="str">
        <f>raw_data!B242</f>
        <v>032725SAMI</v>
      </c>
      <c r="D15" s="50">
        <f>raw_data!C242</f>
        <v>46108</v>
      </c>
      <c r="E15" s="366" t="s">
        <v>219</v>
      </c>
      <c r="F15" s="49" t="str">
        <f>raw_data!D242</f>
        <v>2 Lådor</v>
      </c>
      <c r="G15" s="50">
        <f>raw_data!E242</f>
        <v>45947</v>
      </c>
      <c r="H15" s="52" t="str">
        <f>raw_data!F242</f>
        <v>ELS</v>
      </c>
    </row>
    <row r="16" spans="1:8" x14ac:dyDescent="0.25">
      <c r="A16" s="8" t="str">
        <f>raw_data!A243</f>
        <v>525-00131</v>
      </c>
      <c r="B16" s="444"/>
      <c r="C16" s="39" t="str">
        <f>raw_data!B243</f>
        <v>081425ELIF</v>
      </c>
      <c r="D16" s="40">
        <f>raw_data!C243</f>
        <v>46248</v>
      </c>
      <c r="E16" s="369"/>
      <c r="F16" s="39" t="str">
        <f>raw_data!D243</f>
        <v>1 låda</v>
      </c>
      <c r="G16" s="40">
        <f>raw_data!E243</f>
        <v>45986</v>
      </c>
      <c r="H16" s="26" t="str">
        <f>raw_data!F243</f>
        <v>ELS</v>
      </c>
    </row>
    <row r="17" spans="1:8" x14ac:dyDescent="0.25">
      <c r="A17" s="8" t="str">
        <f>raw_data!A244</f>
        <v>525-00131</v>
      </c>
      <c r="B17" s="444"/>
      <c r="C17" s="39" t="str">
        <f>raw_data!B244</f>
        <v>N/A</v>
      </c>
      <c r="D17" s="40" t="str">
        <f>raw_data!C244</f>
        <v>N/A</v>
      </c>
      <c r="E17" s="369"/>
      <c r="F17" s="39" t="str">
        <f>raw_data!D244</f>
        <v>N/A</v>
      </c>
      <c r="G17" s="40" t="str">
        <f>raw_data!E244</f>
        <v>N/A</v>
      </c>
      <c r="H17" s="26" t="str">
        <f>raw_data!F244</f>
        <v>N/A</v>
      </c>
    </row>
    <row r="18" spans="1:8" ht="15.75" thickBot="1" x14ac:dyDescent="0.3">
      <c r="A18" s="29" t="str">
        <f>raw_data!A245</f>
        <v>525-00131</v>
      </c>
      <c r="B18" s="445"/>
      <c r="C18" s="41" t="str">
        <f>raw_data!B245</f>
        <v>N/A</v>
      </c>
      <c r="D18" s="42" t="str">
        <f>raw_data!C245</f>
        <v>N/A</v>
      </c>
      <c r="E18" s="360"/>
      <c r="F18" s="41" t="str">
        <f>raw_data!D245</f>
        <v>N/A</v>
      </c>
      <c r="G18" s="42" t="str">
        <f>raw_data!E245</f>
        <v>N/A</v>
      </c>
      <c r="H18" s="30" t="str">
        <f>raw_data!F245</f>
        <v>N/A</v>
      </c>
    </row>
  </sheetData>
  <sheetProtection algorithmName="SHA-512" hashValue="rusOHC+1eMMh6zr0b+D8PKFRDObEo59awsVsryVos4YCyYQRgCgwWcsbFIF0prpBYkalwKFQxhmbAfXhjblUSg==" saltValue="BDCWj0gCjjJKoSN/OqFAAQ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7" tint="-0.249977111117893"/>
  </sheetPr>
  <dimension ref="A1:H26"/>
  <sheetViews>
    <sheetView workbookViewId="0">
      <selection activeCell="A10" sqref="A10"/>
    </sheetView>
  </sheetViews>
  <sheetFormatPr defaultRowHeight="15" x14ac:dyDescent="0.25"/>
  <cols>
    <col min="1" max="1" width="14.140625" customWidth="1"/>
    <col min="2" max="2" width="24" bestFit="1" customWidth="1"/>
    <col min="3" max="3" width="15.140625" customWidth="1"/>
    <col min="4" max="4" width="14" bestFit="1" customWidth="1"/>
    <col min="5" max="5" width="22" customWidth="1"/>
    <col min="6" max="6" width="11.5703125" bestFit="1" customWidth="1"/>
    <col min="7" max="7" width="17.85546875" bestFit="1" customWidth="1"/>
    <col min="8" max="8" width="7.42578125" customWidth="1"/>
  </cols>
  <sheetData>
    <row r="1" spans="1:8" ht="15.75" thickBot="1" x14ac:dyDescent="0.3"/>
    <row r="2" spans="1:8" ht="24" thickBot="1" x14ac:dyDescent="0.3">
      <c r="A2" s="530" t="s">
        <v>68</v>
      </c>
      <c r="B2" s="531"/>
      <c r="C2" s="531"/>
      <c r="D2" s="531"/>
      <c r="E2" s="531"/>
      <c r="F2" s="531"/>
      <c r="G2" s="531"/>
      <c r="H2" s="532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92" t="s">
        <v>0</v>
      </c>
      <c r="B4" s="191" t="s">
        <v>208</v>
      </c>
      <c r="C4" s="191" t="s">
        <v>1</v>
      </c>
      <c r="D4" s="193" t="s">
        <v>2</v>
      </c>
      <c r="E4" s="191" t="s">
        <v>8</v>
      </c>
      <c r="F4" s="191" t="s">
        <v>3</v>
      </c>
      <c r="G4" s="194" t="s">
        <v>4</v>
      </c>
      <c r="H4" s="195" t="s">
        <v>5</v>
      </c>
    </row>
    <row r="5" spans="1:8" x14ac:dyDescent="0.25">
      <c r="A5" s="48" t="str">
        <f>raw_data!A154</f>
        <v>525-00038</v>
      </c>
      <c r="B5" s="443" t="s">
        <v>243</v>
      </c>
      <c r="C5" s="49" t="str">
        <f>raw_data!B154</f>
        <v>N/A</v>
      </c>
      <c r="D5" s="50" t="str">
        <f>raw_data!C154</f>
        <v>N/A</v>
      </c>
      <c r="E5" s="366" t="s">
        <v>219</v>
      </c>
      <c r="F5" s="51" t="str">
        <f>raw_data!D154</f>
        <v>N/A</v>
      </c>
      <c r="G5" s="50" t="str">
        <f>raw_data!E154</f>
        <v>N/A</v>
      </c>
      <c r="H5" s="52" t="str">
        <f>raw_data!F154</f>
        <v>N/A</v>
      </c>
    </row>
    <row r="6" spans="1:8" x14ac:dyDescent="0.25">
      <c r="A6" s="8" t="str">
        <f>raw_data!A155</f>
        <v>525-00038</v>
      </c>
      <c r="B6" s="444"/>
      <c r="C6" s="39" t="str">
        <f>raw_data!B155</f>
        <v>N/A</v>
      </c>
      <c r="D6" s="40" t="str">
        <f>raw_data!C155</f>
        <v>N/A</v>
      </c>
      <c r="E6" s="369"/>
      <c r="F6" s="53" t="str">
        <f>raw_data!D155</f>
        <v>N/A</v>
      </c>
      <c r="G6" s="40" t="str">
        <f>raw_data!E155</f>
        <v>N/A</v>
      </c>
      <c r="H6" s="26" t="str">
        <f>raw_data!F155</f>
        <v>N/A</v>
      </c>
    </row>
    <row r="7" spans="1:8" x14ac:dyDescent="0.25">
      <c r="A7" s="8" t="str">
        <f>raw_data!A156</f>
        <v>525-00038</v>
      </c>
      <c r="B7" s="444"/>
      <c r="C7" s="39" t="str">
        <f>raw_data!B156</f>
        <v>N/A</v>
      </c>
      <c r="D7" s="40" t="str">
        <f>raw_data!C156</f>
        <v>N/A</v>
      </c>
      <c r="E7" s="369"/>
      <c r="F7" s="53" t="str">
        <f>raw_data!D156</f>
        <v>N/A</v>
      </c>
      <c r="G7" s="40" t="str">
        <f>raw_data!E156</f>
        <v>N/A</v>
      </c>
      <c r="H7" s="26" t="str">
        <f>raw_data!F156</f>
        <v>N/A</v>
      </c>
    </row>
    <row r="8" spans="1:8" ht="15.75" thickBot="1" x14ac:dyDescent="0.3">
      <c r="A8" s="29" t="str">
        <f>raw_data!A157</f>
        <v>525-00038</v>
      </c>
      <c r="B8" s="445"/>
      <c r="C8" s="41" t="str">
        <f>raw_data!B157</f>
        <v>N/A</v>
      </c>
      <c r="D8" s="42" t="str">
        <f>raw_data!C157</f>
        <v>N/A</v>
      </c>
      <c r="E8" s="360"/>
      <c r="F8" s="54" t="str">
        <f>raw_data!D157</f>
        <v>N/A</v>
      </c>
      <c r="G8" s="42" t="str">
        <f>raw_data!E157</f>
        <v>N/A</v>
      </c>
      <c r="H8" s="30" t="str">
        <f>raw_data!F157</f>
        <v>N/A</v>
      </c>
    </row>
    <row r="9" spans="1:8" ht="15.75" thickBot="1" x14ac:dyDescent="0.3">
      <c r="A9" s="196" t="s">
        <v>0</v>
      </c>
      <c r="B9" s="197" t="s">
        <v>208</v>
      </c>
      <c r="C9" s="197" t="s">
        <v>1</v>
      </c>
      <c r="D9" s="198" t="s">
        <v>2</v>
      </c>
      <c r="E9" s="197" t="s">
        <v>8</v>
      </c>
      <c r="F9" s="197" t="s">
        <v>3</v>
      </c>
      <c r="G9" s="199" t="s">
        <v>4</v>
      </c>
      <c r="H9" s="200" t="s">
        <v>5</v>
      </c>
    </row>
    <row r="10" spans="1:8" x14ac:dyDescent="0.25">
      <c r="A10" s="48" t="str">
        <f>raw_data!A134</f>
        <v>525-00021</v>
      </c>
      <c r="B10" s="366" t="s">
        <v>105</v>
      </c>
      <c r="C10" s="49" t="str">
        <f>raw_data!B134</f>
        <v>N/A</v>
      </c>
      <c r="D10" s="50" t="str">
        <f>raw_data!C134</f>
        <v>N/A</v>
      </c>
      <c r="E10" s="366" t="s">
        <v>219</v>
      </c>
      <c r="F10" s="49" t="str">
        <f>raw_data!D134</f>
        <v>N/A</v>
      </c>
      <c r="G10" s="50" t="str">
        <f>raw_data!E134</f>
        <v>N/A</v>
      </c>
      <c r="H10" s="52" t="str">
        <f>raw_data!F134</f>
        <v>N/A</v>
      </c>
    </row>
    <row r="11" spans="1:8" x14ac:dyDescent="0.25">
      <c r="A11" s="8" t="str">
        <f>raw_data!A135</f>
        <v>525-00021</v>
      </c>
      <c r="B11" s="369"/>
      <c r="C11" s="39" t="str">
        <f>raw_data!B135</f>
        <v>N/A</v>
      </c>
      <c r="D11" s="40" t="str">
        <f>raw_data!C135</f>
        <v>N/A</v>
      </c>
      <c r="E11" s="369"/>
      <c r="F11" s="39" t="str">
        <f>raw_data!D135</f>
        <v>N/A</v>
      </c>
      <c r="G11" s="40" t="str">
        <f>raw_data!E135</f>
        <v>N/A</v>
      </c>
      <c r="H11" s="26" t="str">
        <f>raw_data!F135</f>
        <v>N/A</v>
      </c>
    </row>
    <row r="12" spans="1:8" x14ac:dyDescent="0.25">
      <c r="A12" s="8" t="str">
        <f>raw_data!A136</f>
        <v>525-00021</v>
      </c>
      <c r="B12" s="369"/>
      <c r="C12" s="39" t="str">
        <f>raw_data!B136</f>
        <v>N/A</v>
      </c>
      <c r="D12" s="40" t="str">
        <f>raw_data!C136</f>
        <v>N/A</v>
      </c>
      <c r="E12" s="369"/>
      <c r="F12" s="39" t="str">
        <f>raw_data!D136</f>
        <v>N/A</v>
      </c>
      <c r="G12" s="40" t="str">
        <f>raw_data!E136</f>
        <v>N/A</v>
      </c>
      <c r="H12" s="26" t="str">
        <f>raw_data!F136</f>
        <v>N/A</v>
      </c>
    </row>
    <row r="13" spans="1:8" ht="15.75" thickBot="1" x14ac:dyDescent="0.3">
      <c r="A13" s="29" t="str">
        <f>raw_data!A137</f>
        <v>525-00021</v>
      </c>
      <c r="B13" s="360"/>
      <c r="C13" s="41" t="str">
        <f>raw_data!B137</f>
        <v>N/A</v>
      </c>
      <c r="D13" s="42" t="str">
        <f>raw_data!C137</f>
        <v>N/A</v>
      </c>
      <c r="E13" s="360"/>
      <c r="F13" s="41" t="str">
        <f>raw_data!D137</f>
        <v>N/A</v>
      </c>
      <c r="G13" s="42" t="str">
        <f>raw_data!E137</f>
        <v>N/A</v>
      </c>
      <c r="H13" s="30" t="str">
        <f>raw_data!F137</f>
        <v>N/A</v>
      </c>
    </row>
    <row r="14" spans="1:8" ht="15.75" thickBot="1" x14ac:dyDescent="0.3">
      <c r="A14" s="196" t="s">
        <v>0</v>
      </c>
      <c r="B14" s="197" t="s">
        <v>208</v>
      </c>
      <c r="C14" s="197" t="s">
        <v>1</v>
      </c>
      <c r="D14" s="198" t="s">
        <v>2</v>
      </c>
      <c r="E14" s="197" t="s">
        <v>8</v>
      </c>
      <c r="F14" s="197" t="s">
        <v>3</v>
      </c>
      <c r="G14" s="199" t="s">
        <v>4</v>
      </c>
      <c r="H14" s="200" t="s">
        <v>5</v>
      </c>
    </row>
    <row r="15" spans="1:8" x14ac:dyDescent="0.25">
      <c r="A15" s="48" t="str">
        <f>raw_data!A138</f>
        <v>525-00022</v>
      </c>
      <c r="B15" s="471" t="s">
        <v>106</v>
      </c>
      <c r="C15" s="49" t="str">
        <f>raw_data!B138</f>
        <v>091923VW</v>
      </c>
      <c r="D15" s="50">
        <f>raw_data!C138</f>
        <v>46009</v>
      </c>
      <c r="E15" s="503" t="s">
        <v>219</v>
      </c>
      <c r="F15" s="49" t="str">
        <f>raw_data!D138</f>
        <v>1 Låda</v>
      </c>
      <c r="G15" s="50">
        <f>raw_data!E138</f>
        <v>45797</v>
      </c>
      <c r="H15" s="52" t="str">
        <f>raw_data!F138</f>
        <v>ELS</v>
      </c>
    </row>
    <row r="16" spans="1:8" x14ac:dyDescent="0.25">
      <c r="A16" s="8" t="str">
        <f>raw_data!A139</f>
        <v>525-00022</v>
      </c>
      <c r="B16" s="472"/>
      <c r="C16" s="39" t="str">
        <f>raw_data!B139</f>
        <v>N/A</v>
      </c>
      <c r="D16" s="40" t="str">
        <f>raw_data!C139</f>
        <v>N/A</v>
      </c>
      <c r="E16" s="504"/>
      <c r="F16" s="39" t="str">
        <f>raw_data!D139</f>
        <v>N/A</v>
      </c>
      <c r="G16" s="40" t="str">
        <f>raw_data!E139</f>
        <v>N/A</v>
      </c>
      <c r="H16" s="26" t="str">
        <f>raw_data!F139</f>
        <v>N/A</v>
      </c>
    </row>
    <row r="17" spans="1:8" ht="15.75" customHeight="1" x14ac:dyDescent="0.25">
      <c r="A17" s="8" t="str">
        <f>raw_data!A140</f>
        <v>525-00022</v>
      </c>
      <c r="B17" s="472"/>
      <c r="C17" s="39" t="str">
        <f>raw_data!B140</f>
        <v>N/A</v>
      </c>
      <c r="D17" s="40" t="str">
        <f>raw_data!C140</f>
        <v>N/A</v>
      </c>
      <c r="E17" s="504"/>
      <c r="F17" s="39" t="str">
        <f>raw_data!D140</f>
        <v>N/A</v>
      </c>
      <c r="G17" s="40" t="str">
        <f>raw_data!E140</f>
        <v>N/A</v>
      </c>
      <c r="H17" s="26" t="str">
        <f>raw_data!F140</f>
        <v>N/A</v>
      </c>
    </row>
    <row r="18" spans="1:8" ht="15.75" thickBot="1" x14ac:dyDescent="0.3">
      <c r="A18" s="29" t="str">
        <f>raw_data!A141</f>
        <v>525-00022</v>
      </c>
      <c r="B18" s="473"/>
      <c r="C18" s="41" t="str">
        <f>raw_data!B141</f>
        <v>N/A</v>
      </c>
      <c r="D18" s="42" t="str">
        <f>raw_data!C141</f>
        <v>N/A</v>
      </c>
      <c r="E18" s="438"/>
      <c r="F18" s="41" t="str">
        <f>raw_data!D141</f>
        <v>N/A</v>
      </c>
      <c r="G18" s="42" t="str">
        <f>raw_data!E141</f>
        <v>N/A</v>
      </c>
      <c r="H18" s="30" t="str">
        <f>raw_data!F141</f>
        <v>N/A</v>
      </c>
    </row>
    <row r="19" spans="1:8" ht="15.75" thickBot="1" x14ac:dyDescent="0.3"/>
    <row r="20" spans="1:8" ht="15.75" customHeight="1" thickBot="1" x14ac:dyDescent="0.3">
      <c r="A20" s="529" t="s">
        <v>225</v>
      </c>
      <c r="B20" s="460"/>
      <c r="C20" s="460"/>
      <c r="D20" s="460"/>
      <c r="E20" s="460"/>
      <c r="F20" s="460"/>
      <c r="G20" s="460"/>
      <c r="H20" s="461"/>
    </row>
    <row r="21" spans="1:8" ht="15.75" customHeight="1" thickBot="1" x14ac:dyDescent="0.3">
      <c r="A21" s="377" t="s">
        <v>259</v>
      </c>
      <c r="B21" s="378"/>
      <c r="C21" s="378"/>
      <c r="D21" s="378"/>
      <c r="E21" s="378"/>
      <c r="F21" s="378"/>
      <c r="G21" s="378"/>
      <c r="H21" s="379"/>
    </row>
    <row r="22" spans="1:8" ht="30.75" customHeight="1" thickBot="1" x14ac:dyDescent="0.3">
      <c r="A22" s="362" t="s">
        <v>195</v>
      </c>
      <c r="B22" s="363"/>
      <c r="C22" s="363"/>
      <c r="D22" s="364" t="s">
        <v>204</v>
      </c>
      <c r="E22" s="364"/>
      <c r="F22" s="57" t="s">
        <v>205</v>
      </c>
      <c r="G22" s="229" t="s">
        <v>4</v>
      </c>
      <c r="H22" s="265" t="s">
        <v>5</v>
      </c>
    </row>
    <row r="23" spans="1:8" x14ac:dyDescent="0.25">
      <c r="A23" s="365">
        <f>raw_data!B70</f>
        <v>1001511780</v>
      </c>
      <c r="B23" s="366"/>
      <c r="C23" s="366"/>
      <c r="D23" s="367">
        <f>raw_data!C70</f>
        <v>45681</v>
      </c>
      <c r="E23" s="367"/>
      <c r="F23" s="49" t="str">
        <f>raw_data!D70</f>
        <v>10L</v>
      </c>
      <c r="G23" s="50">
        <f>raw_data!E70</f>
        <v>45994</v>
      </c>
      <c r="H23" s="52" t="str">
        <f>raw_data!F70</f>
        <v>vdao</v>
      </c>
    </row>
    <row r="24" spans="1:8" x14ac:dyDescent="0.25">
      <c r="A24" s="368" t="str">
        <f>raw_data!B71</f>
        <v>N/A</v>
      </c>
      <c r="B24" s="369"/>
      <c r="C24" s="369"/>
      <c r="D24" s="370" t="str">
        <f>raw_data!C71</f>
        <v>N/A</v>
      </c>
      <c r="E24" s="370"/>
      <c r="F24" s="39" t="str">
        <f>raw_data!D71</f>
        <v>N/A</v>
      </c>
      <c r="G24" s="40" t="str">
        <f>raw_data!E71</f>
        <v>N/A</v>
      </c>
      <c r="H24" s="26" t="str">
        <f>raw_data!F71</f>
        <v>N/A</v>
      </c>
    </row>
    <row r="25" spans="1:8" x14ac:dyDescent="0.25">
      <c r="A25" s="368" t="str">
        <f>raw_data!B72</f>
        <v>N/A</v>
      </c>
      <c r="B25" s="369"/>
      <c r="C25" s="369"/>
      <c r="D25" s="370" t="str">
        <f>raw_data!C72</f>
        <v>N/A</v>
      </c>
      <c r="E25" s="370"/>
      <c r="F25" s="39" t="str">
        <f>raw_data!D72</f>
        <v>N/A</v>
      </c>
      <c r="G25" s="40" t="str">
        <f>raw_data!E72</f>
        <v>N/A</v>
      </c>
      <c r="H25" s="26" t="str">
        <f>raw_data!F72</f>
        <v>N/A</v>
      </c>
    </row>
    <row r="26" spans="1:8" ht="15.75" thickBot="1" x14ac:dyDescent="0.3">
      <c r="A26" s="359" t="str">
        <f>raw_data!B73</f>
        <v>N/A</v>
      </c>
      <c r="B26" s="360"/>
      <c r="C26" s="360"/>
      <c r="D26" s="361" t="str">
        <f>raw_data!C73</f>
        <v>N/A</v>
      </c>
      <c r="E26" s="361"/>
      <c r="F26" s="41" t="str">
        <f>raw_data!D73</f>
        <v>N/A</v>
      </c>
      <c r="G26" s="42" t="str">
        <f>raw_data!E73</f>
        <v>N/A</v>
      </c>
      <c r="H26" s="30" t="str">
        <f>raw_data!F73</f>
        <v>N/A</v>
      </c>
    </row>
  </sheetData>
  <sheetProtection algorithmName="SHA-512" hashValue="4mBIW/THAPNfR5KZKuYRK/DgKhfqkGq8BQCooivUZA+IMEJP7MAU8+NnZ5qvcZF7T9lJovNca8MXp+YGCMw6LQ==" saltValue="xZRTtuX3Fzchm+XrHdZnAA==" spinCount="100000" sheet="1" formatCells="0" formatColumns="0" formatRows="0" insertColumns="0" insertRows="0" insertHyperlinks="0" deleteColumns="0" deleteRows="0" sort="0" autoFilter="0" pivotTables="0"/>
  <mergeCells count="19">
    <mergeCell ref="A2:H2"/>
    <mergeCell ref="B5:B8"/>
    <mergeCell ref="E5:E8"/>
    <mergeCell ref="B10:B13"/>
    <mergeCell ref="E10:E13"/>
    <mergeCell ref="A25:C25"/>
    <mergeCell ref="D25:E25"/>
    <mergeCell ref="A26:C26"/>
    <mergeCell ref="D26:E26"/>
    <mergeCell ref="E15:E18"/>
    <mergeCell ref="A22:C22"/>
    <mergeCell ref="D22:E22"/>
    <mergeCell ref="A23:C23"/>
    <mergeCell ref="D23:E23"/>
    <mergeCell ref="A24:C24"/>
    <mergeCell ref="D24:E24"/>
    <mergeCell ref="B15:B18"/>
    <mergeCell ref="A20:H20"/>
    <mergeCell ref="A21:H21"/>
  </mergeCells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9" tint="0.59999389629810485"/>
  </sheetPr>
  <dimension ref="A1:H18"/>
  <sheetViews>
    <sheetView workbookViewId="0">
      <selection activeCell="A7" sqref="A7"/>
    </sheetView>
  </sheetViews>
  <sheetFormatPr defaultRowHeight="15" x14ac:dyDescent="0.25"/>
  <cols>
    <col min="1" max="1" width="9.7109375" bestFit="1" customWidth="1"/>
    <col min="2" max="2" width="24.5703125" bestFit="1" customWidth="1"/>
    <col min="3" max="3" width="15.42578125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9.140625" customWidth="1"/>
  </cols>
  <sheetData>
    <row r="1" spans="1:8" ht="15.75" thickBot="1" x14ac:dyDescent="0.3"/>
    <row r="2" spans="1:8" ht="24" thickBot="1" x14ac:dyDescent="0.3">
      <c r="A2" s="533" t="s">
        <v>69</v>
      </c>
      <c r="B2" s="534"/>
      <c r="C2" s="534"/>
      <c r="D2" s="534"/>
      <c r="E2" s="534"/>
      <c r="F2" s="534"/>
      <c r="G2" s="534"/>
      <c r="H2" s="535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201" t="s">
        <v>0</v>
      </c>
      <c r="B4" s="202" t="s">
        <v>208</v>
      </c>
      <c r="C4" s="202" t="s">
        <v>1</v>
      </c>
      <c r="D4" s="332" t="s">
        <v>2</v>
      </c>
      <c r="E4" s="202" t="s">
        <v>8</v>
      </c>
      <c r="F4" s="202" t="s">
        <v>3</v>
      </c>
      <c r="G4" s="204" t="s">
        <v>4</v>
      </c>
      <c r="H4" s="205" t="s">
        <v>5</v>
      </c>
    </row>
    <row r="5" spans="1:8" x14ac:dyDescent="0.25">
      <c r="A5" s="48" t="str">
        <f>raw_data!A230</f>
        <v>525-00113</v>
      </c>
      <c r="B5" s="366" t="s">
        <v>157</v>
      </c>
      <c r="C5" s="49" t="str">
        <f>raw_data!B230</f>
        <v>120524ELIF</v>
      </c>
      <c r="D5" s="50">
        <f>raw_data!C230</f>
        <v>45996</v>
      </c>
      <c r="E5" s="366" t="s">
        <v>219</v>
      </c>
      <c r="F5" s="51" t="str">
        <f>raw_data!D230</f>
        <v>0.5 låda</v>
      </c>
      <c r="G5" s="50">
        <f>raw_data!E230</f>
        <v>45993</v>
      </c>
      <c r="H5" s="52" t="str">
        <f>raw_data!F230</f>
        <v>ELS</v>
      </c>
    </row>
    <row r="6" spans="1:8" x14ac:dyDescent="0.25">
      <c r="A6" s="8" t="str">
        <f>raw_data!A231</f>
        <v>525-00113</v>
      </c>
      <c r="B6" s="369"/>
      <c r="C6" s="39" t="str">
        <f>raw_data!B231</f>
        <v>N/A</v>
      </c>
      <c r="D6" s="40" t="str">
        <f>raw_data!C231</f>
        <v>N/A</v>
      </c>
      <c r="E6" s="369"/>
      <c r="F6" s="53" t="str">
        <f>raw_data!D231</f>
        <v>N/A</v>
      </c>
      <c r="G6" s="40" t="str">
        <f>raw_data!E231</f>
        <v>N/A</v>
      </c>
      <c r="H6" s="26" t="str">
        <f>raw_data!F231</f>
        <v>N/A</v>
      </c>
    </row>
    <row r="7" spans="1:8" x14ac:dyDescent="0.25">
      <c r="A7" s="8" t="str">
        <f>raw_data!A232</f>
        <v>525-00113</v>
      </c>
      <c r="B7" s="369"/>
      <c r="C7" s="39" t="str">
        <f>raw_data!B232</f>
        <v>N/A</v>
      </c>
      <c r="D7" s="40" t="str">
        <f>raw_data!C232</f>
        <v>N/A</v>
      </c>
      <c r="E7" s="369"/>
      <c r="F7" s="53" t="str">
        <f>raw_data!D232</f>
        <v>N/A</v>
      </c>
      <c r="G7" s="40" t="str">
        <f>raw_data!E232</f>
        <v>N/A</v>
      </c>
      <c r="H7" s="26" t="str">
        <f>raw_data!F232</f>
        <v>N/A</v>
      </c>
    </row>
    <row r="8" spans="1:8" ht="15.75" thickBot="1" x14ac:dyDescent="0.3">
      <c r="A8" s="29" t="str">
        <f>raw_data!A233</f>
        <v>525-00113</v>
      </c>
      <c r="B8" s="360"/>
      <c r="C8" s="41" t="str">
        <f>raw_data!B233</f>
        <v>N/A</v>
      </c>
      <c r="D8" s="42" t="str">
        <f>raw_data!C233</f>
        <v>N/A</v>
      </c>
      <c r="E8" s="360"/>
      <c r="F8" s="54" t="str">
        <f>raw_data!D233</f>
        <v>N/A</v>
      </c>
      <c r="G8" s="42" t="str">
        <f>raw_data!E233</f>
        <v>N/A</v>
      </c>
      <c r="H8" s="30" t="str">
        <f>raw_data!F233</f>
        <v>N/A</v>
      </c>
    </row>
    <row r="9" spans="1:8" ht="15.75" thickBot="1" x14ac:dyDescent="0.3">
      <c r="A9" s="333" t="s">
        <v>0</v>
      </c>
      <c r="B9" s="334" t="s">
        <v>208</v>
      </c>
      <c r="C9" s="334" t="s">
        <v>1</v>
      </c>
      <c r="D9" s="335" t="s">
        <v>2</v>
      </c>
      <c r="E9" s="334" t="s">
        <v>8</v>
      </c>
      <c r="F9" s="334" t="s">
        <v>3</v>
      </c>
      <c r="G9" s="336" t="s">
        <v>4</v>
      </c>
      <c r="H9" s="337" t="s">
        <v>5</v>
      </c>
    </row>
    <row r="10" spans="1:8" x14ac:dyDescent="0.25">
      <c r="A10" s="324" t="str">
        <f>raw_data!A294</f>
        <v>525-00327</v>
      </c>
      <c r="B10" s="505" t="s">
        <v>243</v>
      </c>
      <c r="C10" s="266" t="str">
        <f>raw_data!B294</f>
        <v>022025VW</v>
      </c>
      <c r="D10" s="38">
        <f>raw_data!C294</f>
        <v>46073</v>
      </c>
      <c r="E10" s="423" t="s">
        <v>219</v>
      </c>
      <c r="F10" s="325" t="str">
        <f>raw_data!D294</f>
        <v>0.5 låda</v>
      </c>
      <c r="G10" s="40">
        <f>raw_data!E294</f>
        <v>45986</v>
      </c>
      <c r="H10" s="37" t="str">
        <f>raw_data!F294</f>
        <v>ELS</v>
      </c>
    </row>
    <row r="11" spans="1:8" x14ac:dyDescent="0.25">
      <c r="A11" s="8" t="str">
        <f>raw_data!A295</f>
        <v>525-00327</v>
      </c>
      <c r="B11" s="506"/>
      <c r="C11" s="266" t="str">
        <f>raw_data!B295</f>
        <v>021725ELIF</v>
      </c>
      <c r="D11" s="38">
        <f>raw_data!C295</f>
        <v>46070</v>
      </c>
      <c r="E11" s="369"/>
      <c r="F11" s="325">
        <f>raw_data!D295</f>
        <v>0.5</v>
      </c>
      <c r="G11" s="40">
        <f>raw_data!E295</f>
        <v>45986</v>
      </c>
      <c r="H11" s="37" t="str">
        <f>raw_data!F295</f>
        <v>ELS</v>
      </c>
    </row>
    <row r="12" spans="1:8" x14ac:dyDescent="0.25">
      <c r="A12" s="8" t="str">
        <f>raw_data!A296</f>
        <v>525-00327</v>
      </c>
      <c r="B12" s="506"/>
      <c r="C12" s="266" t="str">
        <f>raw_data!B296</f>
        <v>N/A</v>
      </c>
      <c r="D12" s="38" t="str">
        <f>raw_data!C296</f>
        <v>N/A</v>
      </c>
      <c r="E12" s="369"/>
      <c r="F12" s="325" t="str">
        <f>raw_data!D296</f>
        <v>N/A</v>
      </c>
      <c r="G12" s="40" t="str">
        <f>raw_data!E296</f>
        <v>N/A</v>
      </c>
      <c r="H12" s="37" t="str">
        <f>raw_data!F296</f>
        <v>N/A</v>
      </c>
    </row>
    <row r="13" spans="1:8" ht="15.75" thickBot="1" x14ac:dyDescent="0.3">
      <c r="A13" s="29" t="str">
        <f>raw_data!A297</f>
        <v>525-00327</v>
      </c>
      <c r="B13" s="507"/>
      <c r="C13" s="267" t="str">
        <f>raw_data!B297</f>
        <v>N/A</v>
      </c>
      <c r="D13" s="43" t="str">
        <f>raw_data!C297</f>
        <v>N/A</v>
      </c>
      <c r="E13" s="360"/>
      <c r="F13" s="331" t="str">
        <f>raw_data!D297</f>
        <v>N/A</v>
      </c>
      <c r="G13" s="42" t="str">
        <f>raw_data!E297</f>
        <v>N/A</v>
      </c>
      <c r="H13" s="44" t="str">
        <f>raw_data!F297</f>
        <v>N/A</v>
      </c>
    </row>
    <row r="14" spans="1:8" ht="15.75" thickBot="1" x14ac:dyDescent="0.3">
      <c r="A14" s="206" t="s">
        <v>0</v>
      </c>
      <c r="B14" s="207" t="s">
        <v>208</v>
      </c>
      <c r="C14" s="207" t="s">
        <v>1</v>
      </c>
      <c r="D14" s="208" t="s">
        <v>2</v>
      </c>
      <c r="E14" s="207" t="s">
        <v>8</v>
      </c>
      <c r="F14" s="207" t="s">
        <v>3</v>
      </c>
      <c r="G14" s="209" t="s">
        <v>4</v>
      </c>
      <c r="H14" s="210" t="s">
        <v>5</v>
      </c>
    </row>
    <row r="15" spans="1:8" x14ac:dyDescent="0.25">
      <c r="A15" s="48" t="str">
        <f>raw_data!A254</f>
        <v>525-00145</v>
      </c>
      <c r="B15" s="366" t="s">
        <v>169</v>
      </c>
      <c r="C15" s="49" t="str">
        <f>raw_data!B254</f>
        <v>031825SAMI</v>
      </c>
      <c r="D15" s="50">
        <f>raw_data!C254</f>
        <v>46099</v>
      </c>
      <c r="E15" s="366" t="s">
        <v>219</v>
      </c>
      <c r="F15" s="49" t="str">
        <f>raw_data!D254</f>
        <v>1 Låda</v>
      </c>
      <c r="G15" s="50">
        <f>raw_data!E254</f>
        <v>45995</v>
      </c>
      <c r="H15" s="52" t="str">
        <f>raw_data!F254</f>
        <v>ELS</v>
      </c>
    </row>
    <row r="16" spans="1:8" x14ac:dyDescent="0.25">
      <c r="A16" s="8" t="str">
        <f>raw_data!A255</f>
        <v>525-00145</v>
      </c>
      <c r="B16" s="369"/>
      <c r="C16" s="39" t="str">
        <f>raw_data!B255</f>
        <v>N/A</v>
      </c>
      <c r="D16" s="40" t="str">
        <f>raw_data!C255</f>
        <v>N/A</v>
      </c>
      <c r="E16" s="369"/>
      <c r="F16" s="39" t="str">
        <f>raw_data!D255</f>
        <v>N/A</v>
      </c>
      <c r="G16" s="40" t="str">
        <f>raw_data!E255</f>
        <v>N/A</v>
      </c>
      <c r="H16" s="26" t="str">
        <f>raw_data!F255</f>
        <v>N/A</v>
      </c>
    </row>
    <row r="17" spans="1:8" x14ac:dyDescent="0.25">
      <c r="A17" s="8" t="str">
        <f>raw_data!A256</f>
        <v>525-00145</v>
      </c>
      <c r="B17" s="369"/>
      <c r="C17" s="39" t="str">
        <f>raw_data!B256</f>
        <v>N/A</v>
      </c>
      <c r="D17" s="40" t="str">
        <f>raw_data!C256</f>
        <v>N/A</v>
      </c>
      <c r="E17" s="369"/>
      <c r="F17" s="39" t="str">
        <f>raw_data!D256</f>
        <v>N/A</v>
      </c>
      <c r="G17" s="40" t="str">
        <f>raw_data!E256</f>
        <v>N/A</v>
      </c>
      <c r="H17" s="26" t="str">
        <f>raw_data!F256</f>
        <v>N/A</v>
      </c>
    </row>
    <row r="18" spans="1:8" ht="15.75" thickBot="1" x14ac:dyDescent="0.3">
      <c r="A18" s="29" t="str">
        <f>raw_data!A257</f>
        <v>525-00145</v>
      </c>
      <c r="B18" s="360"/>
      <c r="C18" s="41" t="str">
        <f>raw_data!B257</f>
        <v>N/A</v>
      </c>
      <c r="D18" s="42" t="str">
        <f>raw_data!C257</f>
        <v>N/A</v>
      </c>
      <c r="E18" s="360"/>
      <c r="F18" s="41" t="str">
        <f>raw_data!D257</f>
        <v>N/A</v>
      </c>
      <c r="G18" s="42" t="str">
        <f>raw_data!E257</f>
        <v>N/A</v>
      </c>
      <c r="H18" s="30" t="str">
        <f>raw_data!F257</f>
        <v>N/A</v>
      </c>
    </row>
  </sheetData>
  <sheetProtection algorithmName="SHA-512" hashValue="R12n6tWumRZs32+JfWSKgAKLvy0TqIkIm2f9Tmr3qp2aAydNT1y7THY8E86JR0bHAIz5gw5hFeWAKnX3wfuoIw==" saltValue="ZUzQZijnha4706vB7YVZjQ==" spinCount="100000" sheet="1" formatCells="0" formatColumns="0" formatRows="0" insertColumns="0" insertRows="0" insertHyperlinks="0" deleteColumns="0" deleteRows="0" sort="0" autoFilter="0" pivotTables="0"/>
  <mergeCells count="7">
    <mergeCell ref="A2:H2"/>
    <mergeCell ref="B5:B8"/>
    <mergeCell ref="E5:E8"/>
    <mergeCell ref="B15:B18"/>
    <mergeCell ref="E15:E1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66FF33"/>
  </sheetPr>
  <dimension ref="A1:H14"/>
  <sheetViews>
    <sheetView workbookViewId="0"/>
  </sheetViews>
  <sheetFormatPr defaultRowHeight="15" x14ac:dyDescent="0.25"/>
  <cols>
    <col min="1" max="1" width="9.7109375" bestFit="1" customWidth="1"/>
    <col min="2" max="2" width="27.85546875" customWidth="1"/>
    <col min="3" max="3" width="15.5703125" customWidth="1"/>
    <col min="4" max="4" width="14" bestFit="1" customWidth="1"/>
    <col min="5" max="5" width="14.5703125" bestFit="1" customWidth="1"/>
    <col min="6" max="6" width="12.85546875" bestFit="1" customWidth="1"/>
    <col min="7" max="7" width="17.85546875" bestFit="1" customWidth="1"/>
    <col min="8" max="8" width="7.7109375" customWidth="1"/>
  </cols>
  <sheetData>
    <row r="1" spans="1:8" ht="15.75" thickBot="1" x14ac:dyDescent="0.3"/>
    <row r="2" spans="1:8" ht="24" thickBot="1" x14ac:dyDescent="0.3">
      <c r="A2" s="489" t="s">
        <v>13</v>
      </c>
      <c r="B2" s="490"/>
      <c r="C2" s="490"/>
      <c r="D2" s="490"/>
      <c r="E2" s="490"/>
      <c r="F2" s="490"/>
      <c r="G2" s="490"/>
      <c r="H2" s="491"/>
    </row>
    <row r="3" spans="1:8" ht="15.75" thickBot="1" x14ac:dyDescent="0.3"/>
    <row r="4" spans="1:8" ht="15.75" thickBot="1" x14ac:dyDescent="0.3">
      <c r="A4" s="223" t="s">
        <v>0</v>
      </c>
      <c r="B4" s="224" t="s">
        <v>208</v>
      </c>
      <c r="C4" s="224" t="s">
        <v>1</v>
      </c>
      <c r="D4" s="225" t="s">
        <v>2</v>
      </c>
      <c r="E4" s="224" t="s">
        <v>8</v>
      </c>
      <c r="F4" s="224" t="s">
        <v>3</v>
      </c>
      <c r="G4" s="226" t="s">
        <v>4</v>
      </c>
      <c r="H4" s="227" t="s">
        <v>5</v>
      </c>
    </row>
    <row r="5" spans="1:8" x14ac:dyDescent="0.25">
      <c r="A5" s="48" t="str">
        <f>raw_data!A258</f>
        <v>525-00163</v>
      </c>
      <c r="B5" s="443" t="s">
        <v>171</v>
      </c>
      <c r="C5" s="49" t="str">
        <f>raw_data!B258</f>
        <v>041125VW</v>
      </c>
      <c r="D5" s="50">
        <f>raw_data!C258</f>
        <v>46123</v>
      </c>
      <c r="E5" s="366" t="s">
        <v>16</v>
      </c>
      <c r="F5" s="49" t="str">
        <f>raw_data!D258</f>
        <v>10 rör</v>
      </c>
      <c r="G5" s="50">
        <f>raw_data!E258</f>
        <v>45987</v>
      </c>
      <c r="H5" s="52" t="str">
        <f>raw_data!F258</f>
        <v>vdao</v>
      </c>
    </row>
    <row r="6" spans="1:8" x14ac:dyDescent="0.25">
      <c r="A6" s="8" t="str">
        <f>raw_data!A259</f>
        <v>525-00163</v>
      </c>
      <c r="B6" s="444"/>
      <c r="C6" s="39" t="str">
        <f>raw_data!B259</f>
        <v>N/A</v>
      </c>
      <c r="D6" s="40" t="str">
        <f>raw_data!C259</f>
        <v>N/A</v>
      </c>
      <c r="E6" s="369"/>
      <c r="F6" s="39" t="str">
        <f>raw_data!D259</f>
        <v>N/A</v>
      </c>
      <c r="G6" s="40" t="str">
        <f>raw_data!E259</f>
        <v>N/A</v>
      </c>
      <c r="H6" s="26" t="str">
        <f>raw_data!F259</f>
        <v>N/A</v>
      </c>
    </row>
    <row r="7" spans="1:8" x14ac:dyDescent="0.25">
      <c r="A7" s="8" t="str">
        <f>raw_data!A260</f>
        <v>525-00163</v>
      </c>
      <c r="B7" s="444"/>
      <c r="C7" s="39" t="str">
        <f>raw_data!B260</f>
        <v>N/A</v>
      </c>
      <c r="D7" s="40" t="str">
        <f>raw_data!C260</f>
        <v>N/A</v>
      </c>
      <c r="E7" s="369"/>
      <c r="F7" s="39" t="str">
        <f>raw_data!D260</f>
        <v>N/A</v>
      </c>
      <c r="G7" s="40" t="str">
        <f>raw_data!E260</f>
        <v>N/A</v>
      </c>
      <c r="H7" s="26" t="str">
        <f>raw_data!F260</f>
        <v>N/A</v>
      </c>
    </row>
    <row r="8" spans="1:8" ht="15.75" thickBot="1" x14ac:dyDescent="0.3">
      <c r="A8" s="29" t="str">
        <f>raw_data!A261</f>
        <v>525-00163</v>
      </c>
      <c r="B8" s="445"/>
      <c r="C8" s="41" t="str">
        <f>raw_data!B261</f>
        <v>N/A</v>
      </c>
      <c r="D8" s="42" t="str">
        <f>raw_data!C261</f>
        <v>N/A</v>
      </c>
      <c r="E8" s="360"/>
      <c r="F8" s="41" t="str">
        <f>raw_data!D261</f>
        <v>N/A</v>
      </c>
      <c r="G8" s="42" t="str">
        <f>raw_data!E261</f>
        <v>N/A</v>
      </c>
      <c r="H8" s="30" t="str">
        <f>raw_data!F261</f>
        <v>N/A</v>
      </c>
    </row>
    <row r="9" spans="1:8" ht="15.75" thickBot="1" x14ac:dyDescent="0.3"/>
    <row r="10" spans="1:8" ht="15.75" thickBot="1" x14ac:dyDescent="0.3">
      <c r="A10" s="109" t="s">
        <v>0</v>
      </c>
      <c r="B10" s="110" t="s">
        <v>208</v>
      </c>
      <c r="C10" s="110" t="s">
        <v>1</v>
      </c>
      <c r="D10" s="111" t="s">
        <v>2</v>
      </c>
      <c r="E10" s="110" t="s">
        <v>8</v>
      </c>
      <c r="F10" s="110" t="s">
        <v>3</v>
      </c>
      <c r="G10" s="112" t="s">
        <v>4</v>
      </c>
      <c r="H10" s="113" t="s">
        <v>5</v>
      </c>
    </row>
    <row r="11" spans="1:8" x14ac:dyDescent="0.25">
      <c r="A11" s="48" t="str">
        <f>raw_data!A2</f>
        <v>001-1471</v>
      </c>
      <c r="B11" s="443" t="s">
        <v>15</v>
      </c>
      <c r="C11" s="49">
        <f>raw_data!B2</f>
        <v>334159</v>
      </c>
      <c r="D11" s="50">
        <f>raw_data!C2</f>
        <v>46023</v>
      </c>
      <c r="E11" s="366" t="s">
        <v>16</v>
      </c>
      <c r="F11" s="49" t="str">
        <f>raw_data!D2</f>
        <v>5 Flaskor NEG</v>
      </c>
      <c r="G11" s="50">
        <f>raw_data!E2</f>
        <v>45988</v>
      </c>
      <c r="H11" s="52" t="str">
        <f>raw_data!F2</f>
        <v>JESP</v>
      </c>
    </row>
    <row r="12" spans="1:8" x14ac:dyDescent="0.25">
      <c r="A12" s="8" t="str">
        <f>raw_data!A3</f>
        <v>001-1471</v>
      </c>
      <c r="B12" s="444"/>
      <c r="C12" s="39">
        <f>raw_data!B3</f>
        <v>334159</v>
      </c>
      <c r="D12" s="40">
        <f>raw_data!C3</f>
        <v>46023</v>
      </c>
      <c r="E12" s="369"/>
      <c r="F12" s="39" t="str">
        <f>raw_data!D3</f>
        <v>4.5 Flaskor POS</v>
      </c>
      <c r="G12" s="40">
        <f>raw_data!E3</f>
        <v>45985</v>
      </c>
      <c r="H12" s="26" t="str">
        <f>raw_data!F3</f>
        <v>ELS</v>
      </c>
    </row>
    <row r="13" spans="1:8" x14ac:dyDescent="0.25">
      <c r="A13" s="8" t="str">
        <f>raw_data!A4</f>
        <v>001-1471</v>
      </c>
      <c r="B13" s="444"/>
      <c r="C13" s="39" t="str">
        <f>raw_data!B4</f>
        <v>N/A</v>
      </c>
      <c r="D13" s="40" t="str">
        <f>raw_data!C4</f>
        <v>N/A</v>
      </c>
      <c r="E13" s="369"/>
      <c r="F13" s="39" t="str">
        <f>raw_data!D4</f>
        <v>N/A</v>
      </c>
      <c r="G13" s="40" t="str">
        <f>raw_data!E4</f>
        <v>N/A</v>
      </c>
      <c r="H13" s="26" t="str">
        <f>raw_data!F4</f>
        <v>N/A</v>
      </c>
    </row>
    <row r="14" spans="1:8" ht="15.75" thickBot="1" x14ac:dyDescent="0.3">
      <c r="A14" s="29" t="str">
        <f>raw_data!A5</f>
        <v>001-1471</v>
      </c>
      <c r="B14" s="445"/>
      <c r="C14" s="41" t="str">
        <f>raw_data!B5</f>
        <v>N/A</v>
      </c>
      <c r="D14" s="42" t="str">
        <f>raw_data!C5</f>
        <v>N/A</v>
      </c>
      <c r="E14" s="360"/>
      <c r="F14" s="41" t="str">
        <f>raw_data!D5</f>
        <v>N/A</v>
      </c>
      <c r="G14" s="42" t="str">
        <f>raw_data!E5</f>
        <v>N/A</v>
      </c>
      <c r="H14" s="30" t="str">
        <f>raw_data!F5</f>
        <v>N/A</v>
      </c>
    </row>
  </sheetData>
  <sheetProtection algorithmName="SHA-512" hashValue="pTOauodpb7kjUnBYLpQYtSBBLavvnKQ07uY65x2JGRkknBeJUQ8PdalvROtrtnOFruNZvXn3A5oL7iTrFmDlCg==" saltValue="Wo+Ui3GbiD8lJTqlrRRwPA==" spinCount="100000" sheet="1" formatCells="0" formatColumns="0" formatRows="0" insertColumns="0" insertRows="0" insertHyperlinks="0" deleteColumns="0" deleteRows="0" sort="0" autoFilter="0" pivotTables="0"/>
  <mergeCells count="5">
    <mergeCell ref="B11:B14"/>
    <mergeCell ref="E11:E14"/>
    <mergeCell ref="A2:H2"/>
    <mergeCell ref="B5:B8"/>
    <mergeCell ref="E5:E8"/>
  </mergeCells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FFFF00"/>
  </sheetPr>
  <dimension ref="A1:H44"/>
  <sheetViews>
    <sheetView workbookViewId="0"/>
  </sheetViews>
  <sheetFormatPr defaultRowHeight="15" x14ac:dyDescent="0.25"/>
  <cols>
    <col min="1" max="1" width="9.7109375" bestFit="1" customWidth="1"/>
    <col min="2" max="2" width="34.42578125" bestFit="1" customWidth="1"/>
    <col min="3" max="3" width="15.85546875" customWidth="1"/>
    <col min="4" max="4" width="14" style="75" bestFit="1" customWidth="1"/>
    <col min="5" max="5" width="14.85546875" bestFit="1" customWidth="1"/>
    <col min="6" max="6" width="20.140625" customWidth="1"/>
    <col min="7" max="7" width="17.85546875" style="75" bestFit="1" customWidth="1"/>
    <col min="8" max="8" width="7.28515625" customWidth="1"/>
  </cols>
  <sheetData>
    <row r="1" spans="1:8" ht="15.75" thickBot="1" x14ac:dyDescent="0.3"/>
    <row r="2" spans="1:8" ht="24" thickBot="1" x14ac:dyDescent="0.3">
      <c r="A2" s="517" t="s">
        <v>14</v>
      </c>
      <c r="B2" s="518"/>
      <c r="C2" s="518"/>
      <c r="D2" s="518"/>
      <c r="E2" s="518"/>
      <c r="F2" s="518"/>
      <c r="G2" s="518"/>
      <c r="H2" s="519"/>
    </row>
    <row r="3" spans="1:8" ht="15.75" thickBot="1" x14ac:dyDescent="0.3"/>
    <row r="4" spans="1:8" ht="15.75" thickBot="1" x14ac:dyDescent="0.3">
      <c r="A4" s="151" t="s">
        <v>0</v>
      </c>
      <c r="B4" s="152" t="s">
        <v>208</v>
      </c>
      <c r="C4" s="152" t="s">
        <v>1</v>
      </c>
      <c r="D4" s="153" t="s">
        <v>2</v>
      </c>
      <c r="E4" s="152" t="s">
        <v>8</v>
      </c>
      <c r="F4" s="152" t="s">
        <v>3</v>
      </c>
      <c r="G4" s="154" t="s">
        <v>4</v>
      </c>
      <c r="H4" s="155" t="s">
        <v>5</v>
      </c>
    </row>
    <row r="5" spans="1:8" x14ac:dyDescent="0.25">
      <c r="A5" s="48" t="str">
        <f>raw_data!A50</f>
        <v>500-1509</v>
      </c>
      <c r="B5" s="366" t="s">
        <v>53</v>
      </c>
      <c r="C5" s="49" t="str">
        <f>raw_data!B50</f>
        <v>011922DL</v>
      </c>
      <c r="D5" s="50">
        <f>raw_data!C50</f>
        <v>46406</v>
      </c>
      <c r="E5" s="366" t="s">
        <v>229</v>
      </c>
      <c r="F5" s="49" t="str">
        <f>raw_data!D50</f>
        <v>13 rör</v>
      </c>
      <c r="G5" s="50">
        <f>raw_data!E50</f>
        <v>45947</v>
      </c>
      <c r="H5" s="52" t="str">
        <f>raw_data!F50</f>
        <v>ELS</v>
      </c>
    </row>
    <row r="6" spans="1:8" x14ac:dyDescent="0.25">
      <c r="A6" s="8" t="str">
        <f>raw_data!A51</f>
        <v>500-1509</v>
      </c>
      <c r="B6" s="369"/>
      <c r="C6" s="39" t="str">
        <f>raw_data!B51</f>
        <v>N/A</v>
      </c>
      <c r="D6" s="40" t="str">
        <f>raw_data!C51</f>
        <v>N/A</v>
      </c>
      <c r="E6" s="369"/>
      <c r="F6" s="39" t="str">
        <f>raw_data!D51</f>
        <v>N/A</v>
      </c>
      <c r="G6" s="40" t="str">
        <f>raw_data!E51</f>
        <v>N/A</v>
      </c>
      <c r="H6" s="26" t="str">
        <f>raw_data!F51</f>
        <v>N/A</v>
      </c>
    </row>
    <row r="7" spans="1:8" x14ac:dyDescent="0.25">
      <c r="A7" s="8" t="str">
        <f>raw_data!A52</f>
        <v>500-1509</v>
      </c>
      <c r="B7" s="369"/>
      <c r="C7" s="39" t="str">
        <f>raw_data!B52</f>
        <v>N/A</v>
      </c>
      <c r="D7" s="40" t="str">
        <f>raw_data!C52</f>
        <v>N/A</v>
      </c>
      <c r="E7" s="369"/>
      <c r="F7" s="39" t="str">
        <f>raw_data!D52</f>
        <v>N/A</v>
      </c>
      <c r="G7" s="40" t="str">
        <f>raw_data!E52</f>
        <v>N/A</v>
      </c>
      <c r="H7" s="26" t="str">
        <f>raw_data!F52</f>
        <v>N/A</v>
      </c>
    </row>
    <row r="8" spans="1:8" ht="15.75" thickBot="1" x14ac:dyDescent="0.3">
      <c r="A8" s="29" t="str">
        <f>raw_data!A53</f>
        <v>500-1509</v>
      </c>
      <c r="B8" s="360"/>
      <c r="C8" s="41" t="str">
        <f>raw_data!B53</f>
        <v>N/A</v>
      </c>
      <c r="D8" s="42" t="str">
        <f>raw_data!C53</f>
        <v>N/A</v>
      </c>
      <c r="E8" s="360"/>
      <c r="F8" s="41" t="str">
        <f>raw_data!D53</f>
        <v>N/A</v>
      </c>
      <c r="G8" s="42" t="str">
        <f>raw_data!E53</f>
        <v>N/A</v>
      </c>
      <c r="H8" s="30" t="str">
        <f>raw_data!F53</f>
        <v>N/A</v>
      </c>
    </row>
    <row r="9" spans="1:8" ht="15.75" thickBot="1" x14ac:dyDescent="0.3">
      <c r="A9" s="151" t="s">
        <v>0</v>
      </c>
      <c r="B9" s="152" t="s">
        <v>208</v>
      </c>
      <c r="C9" s="152" t="s">
        <v>1</v>
      </c>
      <c r="D9" s="153" t="s">
        <v>2</v>
      </c>
      <c r="E9" s="152" t="s">
        <v>8</v>
      </c>
      <c r="F9" s="152" t="s">
        <v>3</v>
      </c>
      <c r="G9" s="154" t="s">
        <v>4</v>
      </c>
      <c r="H9" s="155" t="s">
        <v>5</v>
      </c>
    </row>
    <row r="10" spans="1:8" x14ac:dyDescent="0.25">
      <c r="A10" s="48" t="str">
        <f>raw_data!A198</f>
        <v>525-00096</v>
      </c>
      <c r="B10" s="366" t="s">
        <v>140</v>
      </c>
      <c r="C10" s="49" t="str">
        <f>raw_data!B198</f>
        <v>012425ML</v>
      </c>
      <c r="D10" s="50">
        <f>raw_data!C198</f>
        <v>46054</v>
      </c>
      <c r="E10" s="366" t="s">
        <v>226</v>
      </c>
      <c r="F10" s="49" t="str">
        <f>raw_data!D198</f>
        <v>1 rör</v>
      </c>
      <c r="G10" s="50">
        <f>raw_data!E198</f>
        <v>45895</v>
      </c>
      <c r="H10" s="52" t="str">
        <f>raw_data!F198</f>
        <v>ELS</v>
      </c>
    </row>
    <row r="11" spans="1:8" x14ac:dyDescent="0.25">
      <c r="A11" s="8" t="str">
        <f>raw_data!A199</f>
        <v>525-00096</v>
      </c>
      <c r="B11" s="369"/>
      <c r="C11" s="39" t="str">
        <f>raw_data!B199</f>
        <v>021025MOWA</v>
      </c>
      <c r="D11" s="40">
        <f>raw_data!C199</f>
        <v>46054</v>
      </c>
      <c r="E11" s="369"/>
      <c r="F11" s="39">
        <f>raw_data!D199</f>
        <v>4</v>
      </c>
      <c r="G11" s="40">
        <f>raw_data!E199</f>
        <v>45985</v>
      </c>
      <c r="H11" s="26" t="str">
        <f>raw_data!F199</f>
        <v>JESP</v>
      </c>
    </row>
    <row r="12" spans="1:8" x14ac:dyDescent="0.25">
      <c r="A12" s="8" t="str">
        <f>raw_data!A200</f>
        <v>525-00096</v>
      </c>
      <c r="B12" s="369"/>
      <c r="C12" s="39" t="str">
        <f>raw_data!B200</f>
        <v>N/A</v>
      </c>
      <c r="D12" s="40" t="str">
        <f>raw_data!C200</f>
        <v>N/A</v>
      </c>
      <c r="E12" s="369"/>
      <c r="F12" s="39" t="str">
        <f>raw_data!D200</f>
        <v>N/A</v>
      </c>
      <c r="G12" s="40" t="str">
        <f>raw_data!E200</f>
        <v>N/A</v>
      </c>
      <c r="H12" s="26" t="str">
        <f>raw_data!F200</f>
        <v>N/A</v>
      </c>
    </row>
    <row r="13" spans="1:8" ht="15.75" thickBot="1" x14ac:dyDescent="0.3">
      <c r="A13" s="29" t="str">
        <f>raw_data!A201</f>
        <v>525-00096</v>
      </c>
      <c r="B13" s="360"/>
      <c r="C13" s="41" t="str">
        <f>raw_data!B201</f>
        <v>N/A</v>
      </c>
      <c r="D13" s="42" t="str">
        <f>raw_data!C201</f>
        <v>N/A</v>
      </c>
      <c r="E13" s="360"/>
      <c r="F13" s="41" t="str">
        <f>raw_data!D201</f>
        <v>N/A</v>
      </c>
      <c r="G13" s="42" t="str">
        <f>raw_data!E201</f>
        <v>N/A</v>
      </c>
      <c r="H13" s="30" t="str">
        <f>raw_data!F201</f>
        <v>N/A</v>
      </c>
    </row>
    <row r="14" spans="1:8" ht="15.75" thickBot="1" x14ac:dyDescent="0.3">
      <c r="A14" s="151" t="s">
        <v>0</v>
      </c>
      <c r="B14" s="152" t="s">
        <v>208</v>
      </c>
      <c r="C14" s="152" t="s">
        <v>1</v>
      </c>
      <c r="D14" s="153" t="s">
        <v>2</v>
      </c>
      <c r="E14" s="152" t="s">
        <v>8</v>
      </c>
      <c r="F14" s="152" t="s">
        <v>3</v>
      </c>
      <c r="G14" s="154" t="s">
        <v>4</v>
      </c>
      <c r="H14" s="155" t="s">
        <v>5</v>
      </c>
    </row>
    <row r="15" spans="1:8" x14ac:dyDescent="0.25">
      <c r="A15" s="48" t="str">
        <f>raw_data!A202</f>
        <v>525-00097</v>
      </c>
      <c r="B15" s="366" t="s">
        <v>142</v>
      </c>
      <c r="C15" s="49" t="str">
        <f>raw_data!B202</f>
        <v>031025Masa</v>
      </c>
      <c r="D15" s="50">
        <f>raw_data!C202</f>
        <v>46054</v>
      </c>
      <c r="E15" s="366" t="s">
        <v>231</v>
      </c>
      <c r="F15" s="49" t="str">
        <f>raw_data!D202</f>
        <v>2,5 lådor</v>
      </c>
      <c r="G15" s="50">
        <f>raw_data!E202</f>
        <v>45985</v>
      </c>
      <c r="H15" s="52" t="str">
        <f>raw_data!F202</f>
        <v>ELS</v>
      </c>
    </row>
    <row r="16" spans="1:8" x14ac:dyDescent="0.25">
      <c r="A16" s="8" t="str">
        <f>raw_data!A203</f>
        <v>525-00097</v>
      </c>
      <c r="B16" s="369"/>
      <c r="C16" s="39" t="str">
        <f>raw_data!B203</f>
        <v>N/A</v>
      </c>
      <c r="D16" s="40" t="str">
        <f>raw_data!C203</f>
        <v>N/A</v>
      </c>
      <c r="E16" s="369"/>
      <c r="F16" s="39" t="str">
        <f>raw_data!D203</f>
        <v>N/A</v>
      </c>
      <c r="G16" s="40" t="str">
        <f>raw_data!E203</f>
        <v>N/A</v>
      </c>
      <c r="H16" s="26" t="str">
        <f>raw_data!F203</f>
        <v>N/A</v>
      </c>
    </row>
    <row r="17" spans="1:8" x14ac:dyDescent="0.25">
      <c r="A17" s="8" t="str">
        <f>raw_data!A204</f>
        <v>525-00097</v>
      </c>
      <c r="B17" s="369"/>
      <c r="C17" s="39" t="str">
        <f>raw_data!B204</f>
        <v>N/A</v>
      </c>
      <c r="D17" s="40" t="str">
        <f>raw_data!C204</f>
        <v>N/A</v>
      </c>
      <c r="E17" s="369"/>
      <c r="F17" s="39" t="str">
        <f>raw_data!D204</f>
        <v>N/A</v>
      </c>
      <c r="G17" s="40" t="str">
        <f>raw_data!E204</f>
        <v>N/A</v>
      </c>
      <c r="H17" s="26" t="str">
        <f>raw_data!F204</f>
        <v>N/A</v>
      </c>
    </row>
    <row r="18" spans="1:8" ht="15.75" thickBot="1" x14ac:dyDescent="0.3">
      <c r="A18" s="29" t="str">
        <f>raw_data!A205</f>
        <v>525-00097</v>
      </c>
      <c r="B18" s="360"/>
      <c r="C18" s="41" t="str">
        <f>raw_data!B205</f>
        <v>N/A</v>
      </c>
      <c r="D18" s="42" t="str">
        <f>raw_data!C205</f>
        <v>N/A</v>
      </c>
      <c r="E18" s="360"/>
      <c r="F18" s="41" t="str">
        <f>raw_data!D205</f>
        <v>N/A</v>
      </c>
      <c r="G18" s="42" t="str">
        <f>raw_data!E205</f>
        <v>N/A</v>
      </c>
      <c r="H18" s="30" t="str">
        <f>raw_data!F205</f>
        <v>N/A</v>
      </c>
    </row>
    <row r="19" spans="1:8" ht="15.75" thickBot="1" x14ac:dyDescent="0.3">
      <c r="A19" s="151" t="s">
        <v>0</v>
      </c>
      <c r="B19" s="152" t="s">
        <v>208</v>
      </c>
      <c r="C19" s="152" t="s">
        <v>1</v>
      </c>
      <c r="D19" s="153" t="s">
        <v>2</v>
      </c>
      <c r="E19" s="152" t="s">
        <v>8</v>
      </c>
      <c r="F19" s="152" t="s">
        <v>3</v>
      </c>
      <c r="G19" s="154" t="s">
        <v>4</v>
      </c>
      <c r="H19" s="155" t="s">
        <v>5</v>
      </c>
    </row>
    <row r="20" spans="1:8" x14ac:dyDescent="0.25">
      <c r="A20" s="48" t="str">
        <f>raw_data!A206</f>
        <v>525-00098</v>
      </c>
      <c r="B20" s="366" t="s">
        <v>144</v>
      </c>
      <c r="C20" s="49" t="str">
        <f>raw_data!B206</f>
        <v>021825VW</v>
      </c>
      <c r="D20" s="50">
        <f>raw_data!C206</f>
        <v>46054</v>
      </c>
      <c r="E20" s="366" t="s">
        <v>226</v>
      </c>
      <c r="F20" s="49" t="str">
        <f>raw_data!D206</f>
        <v>4 rör</v>
      </c>
      <c r="G20" s="50">
        <f>raw_data!E206</f>
        <v>45895</v>
      </c>
      <c r="H20" s="52" t="str">
        <f>raw_data!F206</f>
        <v>ELS</v>
      </c>
    </row>
    <row r="21" spans="1:8" x14ac:dyDescent="0.25">
      <c r="A21" s="8" t="str">
        <f>raw_data!A207</f>
        <v>525-00098</v>
      </c>
      <c r="B21" s="369"/>
      <c r="C21" s="39" t="str">
        <f>raw_data!B207</f>
        <v>032125ML</v>
      </c>
      <c r="D21" s="40">
        <f>raw_data!C207</f>
        <v>46054</v>
      </c>
      <c r="E21" s="369"/>
      <c r="F21" s="39" t="str">
        <f>raw_data!D207</f>
        <v>4 rör</v>
      </c>
      <c r="G21" s="40">
        <f>raw_data!E207</f>
        <v>45796</v>
      </c>
      <c r="H21" s="26" t="str">
        <f>raw_data!F207</f>
        <v>ELS</v>
      </c>
    </row>
    <row r="22" spans="1:8" x14ac:dyDescent="0.25">
      <c r="A22" s="8" t="str">
        <f>raw_data!A208</f>
        <v>525-00098</v>
      </c>
      <c r="B22" s="369"/>
      <c r="C22" s="39" t="str">
        <f>raw_data!B208</f>
        <v>N/A</v>
      </c>
      <c r="D22" s="40" t="str">
        <f>raw_data!C208</f>
        <v>N/A</v>
      </c>
      <c r="E22" s="369"/>
      <c r="F22" s="39" t="str">
        <f>raw_data!D208</f>
        <v>3 rör</v>
      </c>
      <c r="G22" s="40">
        <f>raw_data!E208</f>
        <v>45904</v>
      </c>
      <c r="H22" s="26" t="str">
        <f>raw_data!F208</f>
        <v>ELS</v>
      </c>
    </row>
    <row r="23" spans="1:8" ht="15.75" thickBot="1" x14ac:dyDescent="0.3">
      <c r="A23" s="29" t="str">
        <f>raw_data!A209</f>
        <v>525-00098</v>
      </c>
      <c r="B23" s="360"/>
      <c r="C23" s="41" t="str">
        <f>raw_data!B209</f>
        <v>N/A</v>
      </c>
      <c r="D23" s="42" t="str">
        <f>raw_data!C209</f>
        <v>N/A</v>
      </c>
      <c r="E23" s="360"/>
      <c r="F23" s="41" t="str">
        <f>raw_data!D209</f>
        <v>N/A</v>
      </c>
      <c r="G23" s="42" t="str">
        <f>raw_data!E209</f>
        <v>N/A</v>
      </c>
      <c r="H23" s="30" t="str">
        <f>raw_data!F209</f>
        <v>N/A</v>
      </c>
    </row>
    <row r="24" spans="1:8" ht="15.75" thickBot="1" x14ac:dyDescent="0.3">
      <c r="A24" s="151" t="s">
        <v>0</v>
      </c>
      <c r="B24" s="152" t="s">
        <v>208</v>
      </c>
      <c r="C24" s="152" t="s">
        <v>1</v>
      </c>
      <c r="D24" s="153" t="s">
        <v>2</v>
      </c>
      <c r="E24" s="152" t="s">
        <v>8</v>
      </c>
      <c r="F24" s="152" t="s">
        <v>3</v>
      </c>
      <c r="G24" s="154" t="s">
        <v>4</v>
      </c>
      <c r="H24" s="155" t="s">
        <v>5</v>
      </c>
    </row>
    <row r="25" spans="1:8" x14ac:dyDescent="0.25">
      <c r="A25" s="48" t="str">
        <f>raw_data!A210</f>
        <v>525-00099</v>
      </c>
      <c r="B25" s="366" t="s">
        <v>146</v>
      </c>
      <c r="C25" s="49" t="str">
        <f>raw_data!B210</f>
        <v>021825VW</v>
      </c>
      <c r="D25" s="50">
        <f>raw_data!C210</f>
        <v>46054</v>
      </c>
      <c r="E25" s="366" t="s">
        <v>226</v>
      </c>
      <c r="F25" s="49" t="str">
        <f>raw_data!D210</f>
        <v>10 rör</v>
      </c>
      <c r="G25" s="50">
        <f>raw_data!E210</f>
        <v>45985</v>
      </c>
      <c r="H25" s="52" t="str">
        <f>raw_data!F210</f>
        <v>ELS</v>
      </c>
    </row>
    <row r="26" spans="1:8" x14ac:dyDescent="0.25">
      <c r="A26" s="8" t="str">
        <f>raw_data!A211</f>
        <v>525-00099</v>
      </c>
      <c r="B26" s="369"/>
      <c r="C26" s="39" t="str">
        <f>raw_data!B211</f>
        <v>032125ML</v>
      </c>
      <c r="D26" s="40">
        <f>raw_data!C211</f>
        <v>46054</v>
      </c>
      <c r="E26" s="369"/>
      <c r="F26" s="39" t="str">
        <f>raw_data!D211</f>
        <v>1.5 låda</v>
      </c>
      <c r="G26" s="40">
        <f>raw_data!E211</f>
        <v>45985</v>
      </c>
      <c r="H26" s="26" t="str">
        <f>raw_data!F211</f>
        <v>ELS</v>
      </c>
    </row>
    <row r="27" spans="1:8" x14ac:dyDescent="0.25">
      <c r="A27" s="8" t="str">
        <f>raw_data!A212</f>
        <v>525-00099</v>
      </c>
      <c r="B27" s="369"/>
      <c r="C27" s="39" t="str">
        <f>raw_data!B212</f>
        <v>N/A</v>
      </c>
      <c r="D27" s="40" t="str">
        <f>raw_data!C212</f>
        <v>N/A</v>
      </c>
      <c r="E27" s="369"/>
      <c r="F27" s="39" t="str">
        <f>raw_data!D212</f>
        <v>N/A</v>
      </c>
      <c r="G27" s="40" t="str">
        <f>raw_data!E212</f>
        <v>N/A</v>
      </c>
      <c r="H27" s="26" t="str">
        <f>raw_data!F212</f>
        <v>N/A</v>
      </c>
    </row>
    <row r="28" spans="1:8" ht="15.75" thickBot="1" x14ac:dyDescent="0.3">
      <c r="A28" s="29" t="str">
        <f>raw_data!A213</f>
        <v>525-00099</v>
      </c>
      <c r="B28" s="360"/>
      <c r="C28" s="41" t="str">
        <f>raw_data!B213</f>
        <v>N/A</v>
      </c>
      <c r="D28" s="42" t="str">
        <f>raw_data!C213</f>
        <v>N/A</v>
      </c>
      <c r="E28" s="360"/>
      <c r="F28" s="41" t="str">
        <f>raw_data!D213</f>
        <v>N/A</v>
      </c>
      <c r="G28" s="42" t="str">
        <f>raw_data!E213</f>
        <v>N/A</v>
      </c>
      <c r="H28" s="30" t="str">
        <f>raw_data!F213</f>
        <v>N/A</v>
      </c>
    </row>
    <row r="29" spans="1:8" ht="15.75" thickBot="1" x14ac:dyDescent="0.3">
      <c r="A29" s="151" t="s">
        <v>0</v>
      </c>
      <c r="B29" s="152" t="s">
        <v>208</v>
      </c>
      <c r="C29" s="152" t="s">
        <v>1</v>
      </c>
      <c r="D29" s="153" t="s">
        <v>2</v>
      </c>
      <c r="E29" s="152" t="s">
        <v>8</v>
      </c>
      <c r="F29" s="152" t="s">
        <v>3</v>
      </c>
      <c r="G29" s="154" t="s">
        <v>4</v>
      </c>
      <c r="H29" s="155" t="s">
        <v>5</v>
      </c>
    </row>
    <row r="30" spans="1:8" x14ac:dyDescent="0.25">
      <c r="A30" s="48" t="str">
        <f>raw_data!A214</f>
        <v>525-00101</v>
      </c>
      <c r="B30" s="366" t="s">
        <v>148</v>
      </c>
      <c r="C30" s="49" t="str">
        <f>raw_data!B214</f>
        <v>021125ELIF</v>
      </c>
      <c r="D30" s="50">
        <f>raw_data!C214</f>
        <v>46054</v>
      </c>
      <c r="E30" s="366" t="s">
        <v>226</v>
      </c>
      <c r="F30" s="49" t="str">
        <f>raw_data!D214</f>
        <v>4 rör</v>
      </c>
      <c r="G30" s="50">
        <f>raw_data!E214</f>
        <v>45985</v>
      </c>
      <c r="H30" s="52" t="str">
        <f>raw_data!F214</f>
        <v>ELS</v>
      </c>
    </row>
    <row r="31" spans="1:8" x14ac:dyDescent="0.25">
      <c r="A31" s="8" t="str">
        <f>raw_data!A215</f>
        <v>525-00101</v>
      </c>
      <c r="B31" s="369"/>
      <c r="C31" s="39" t="str">
        <f>raw_data!B215</f>
        <v>N/A</v>
      </c>
      <c r="D31" s="40" t="str">
        <f>raw_data!C215</f>
        <v>N/A</v>
      </c>
      <c r="E31" s="369"/>
      <c r="F31" s="39" t="str">
        <f>raw_data!D215</f>
        <v>N/A</v>
      </c>
      <c r="G31" s="40" t="str">
        <f>raw_data!E215</f>
        <v>N/A</v>
      </c>
      <c r="H31" s="26" t="str">
        <f>raw_data!F215</f>
        <v>N/A</v>
      </c>
    </row>
    <row r="32" spans="1:8" x14ac:dyDescent="0.25">
      <c r="A32" s="8" t="str">
        <f>raw_data!A216</f>
        <v>525-00101</v>
      </c>
      <c r="B32" s="369"/>
      <c r="C32" s="39" t="str">
        <f>raw_data!B216</f>
        <v>N/A</v>
      </c>
      <c r="D32" s="40" t="str">
        <f>raw_data!C216</f>
        <v>N/A</v>
      </c>
      <c r="E32" s="369"/>
      <c r="F32" s="39" t="str">
        <f>raw_data!D216</f>
        <v>N/A</v>
      </c>
      <c r="G32" s="40" t="str">
        <f>raw_data!E216</f>
        <v>N/A</v>
      </c>
      <c r="H32" s="26" t="str">
        <f>raw_data!F216</f>
        <v>N/A</v>
      </c>
    </row>
    <row r="33" spans="1:8" ht="15.75" thickBot="1" x14ac:dyDescent="0.3">
      <c r="A33" s="29" t="str">
        <f>raw_data!A217</f>
        <v>525-00101</v>
      </c>
      <c r="B33" s="360"/>
      <c r="C33" s="41" t="str">
        <f>raw_data!B217</f>
        <v>N/A</v>
      </c>
      <c r="D33" s="42" t="str">
        <f>raw_data!C217</f>
        <v>N/A</v>
      </c>
      <c r="E33" s="360"/>
      <c r="F33" s="41" t="str">
        <f>raw_data!D217</f>
        <v>N/A</v>
      </c>
      <c r="G33" s="42" t="str">
        <f>raw_data!E217</f>
        <v>N/A</v>
      </c>
      <c r="H33" s="30" t="str">
        <f>raw_data!F217</f>
        <v>N/A</v>
      </c>
    </row>
    <row r="34" spans="1:8" ht="15.75" thickBot="1" x14ac:dyDescent="0.3">
      <c r="A34" s="151" t="s">
        <v>0</v>
      </c>
      <c r="B34" s="152" t="s">
        <v>208</v>
      </c>
      <c r="C34" s="152" t="s">
        <v>1</v>
      </c>
      <c r="D34" s="153" t="s">
        <v>2</v>
      </c>
      <c r="E34" s="152" t="s">
        <v>8</v>
      </c>
      <c r="F34" s="152" t="s">
        <v>3</v>
      </c>
      <c r="G34" s="154" t="s">
        <v>4</v>
      </c>
      <c r="H34" s="155" t="s">
        <v>5</v>
      </c>
    </row>
    <row r="35" spans="1:8" x14ac:dyDescent="0.25">
      <c r="A35" s="48" t="str">
        <f>raw_data!A218</f>
        <v>525-00102</v>
      </c>
      <c r="B35" s="366" t="s">
        <v>150</v>
      </c>
      <c r="C35" s="49" t="str">
        <f>raw_data!B218</f>
        <v>021125ELIF</v>
      </c>
      <c r="D35" s="50">
        <f>raw_data!C218</f>
        <v>46054</v>
      </c>
      <c r="E35" s="366" t="s">
        <v>226</v>
      </c>
      <c r="F35" s="49" t="str">
        <f>raw_data!D218</f>
        <v>0.5 låda</v>
      </c>
      <c r="G35" s="50">
        <f>raw_data!E218</f>
        <v>45985</v>
      </c>
      <c r="H35" s="52" t="str">
        <f>raw_data!F218</f>
        <v>ELS</v>
      </c>
    </row>
    <row r="36" spans="1:8" x14ac:dyDescent="0.25">
      <c r="A36" s="8" t="str">
        <f>raw_data!A219</f>
        <v>525-00102</v>
      </c>
      <c r="B36" s="369"/>
      <c r="C36" s="39" t="str">
        <f>raw_data!B219</f>
        <v>033125Masa</v>
      </c>
      <c r="D36" s="40">
        <f>raw_data!C219</f>
        <v>46054</v>
      </c>
      <c r="E36" s="369"/>
      <c r="F36" s="39" t="str">
        <f>raw_data!D219</f>
        <v>0.5 låda</v>
      </c>
      <c r="G36" s="40">
        <f>raw_data!E219</f>
        <v>45985</v>
      </c>
      <c r="H36" s="26" t="str">
        <f>raw_data!F219</f>
        <v>ELS</v>
      </c>
    </row>
    <row r="37" spans="1:8" x14ac:dyDescent="0.25">
      <c r="A37" s="8" t="str">
        <f>raw_data!A220</f>
        <v>525-00102</v>
      </c>
      <c r="B37" s="369"/>
      <c r="C37" s="39" t="str">
        <f>raw_data!B220</f>
        <v>N/A</v>
      </c>
      <c r="D37" s="40" t="str">
        <f>raw_data!C220</f>
        <v>N/A</v>
      </c>
      <c r="E37" s="369"/>
      <c r="F37" s="39" t="str">
        <f>raw_data!D220</f>
        <v>N/A</v>
      </c>
      <c r="G37" s="40" t="str">
        <f>raw_data!E220</f>
        <v>N/A</v>
      </c>
      <c r="H37" s="26" t="str">
        <f>raw_data!F220</f>
        <v>N/A</v>
      </c>
    </row>
    <row r="38" spans="1:8" ht="15.75" thickBot="1" x14ac:dyDescent="0.3">
      <c r="A38" s="29" t="str">
        <f>raw_data!A221</f>
        <v>525-00102</v>
      </c>
      <c r="B38" s="360"/>
      <c r="C38" s="41" t="str">
        <f>raw_data!B221</f>
        <v>N/A</v>
      </c>
      <c r="D38" s="42" t="str">
        <f>raw_data!C221</f>
        <v>N/A</v>
      </c>
      <c r="E38" s="360"/>
      <c r="F38" s="41" t="str">
        <f>raw_data!D221</f>
        <v>N/A</v>
      </c>
      <c r="G38" s="42" t="str">
        <f>raw_data!E221</f>
        <v>N/A</v>
      </c>
      <c r="H38" s="30" t="str">
        <f>raw_data!F221</f>
        <v>N/A</v>
      </c>
    </row>
    <row r="39" spans="1:8" ht="15.75" thickBot="1" x14ac:dyDescent="0.3"/>
    <row r="40" spans="1:8" ht="15.75" thickBot="1" x14ac:dyDescent="0.3">
      <c r="A40" s="109" t="s">
        <v>0</v>
      </c>
      <c r="B40" s="110" t="s">
        <v>208</v>
      </c>
      <c r="C40" s="110" t="s">
        <v>1</v>
      </c>
      <c r="D40" s="111" t="s">
        <v>2</v>
      </c>
      <c r="E40" s="110" t="s">
        <v>8</v>
      </c>
      <c r="F40" s="110" t="s">
        <v>3</v>
      </c>
      <c r="G40" s="112" t="s">
        <v>4</v>
      </c>
      <c r="H40" s="113" t="s">
        <v>5</v>
      </c>
    </row>
    <row r="41" spans="1:8" x14ac:dyDescent="0.25">
      <c r="A41" s="48" t="str">
        <f>raw_data!A2</f>
        <v>001-1471</v>
      </c>
      <c r="B41" s="443" t="s">
        <v>15</v>
      </c>
      <c r="C41" s="49">
        <f>raw_data!B2</f>
        <v>334159</v>
      </c>
      <c r="D41" s="50">
        <f>raw_data!C2</f>
        <v>46023</v>
      </c>
      <c r="E41" s="366" t="s">
        <v>16</v>
      </c>
      <c r="F41" s="49" t="str">
        <f>raw_data!D2</f>
        <v>5 Flaskor NEG</v>
      </c>
      <c r="G41" s="50">
        <f>raw_data!E2</f>
        <v>45988</v>
      </c>
      <c r="H41" s="52" t="str">
        <f>raw_data!F2</f>
        <v>JESP</v>
      </c>
    </row>
    <row r="42" spans="1:8" x14ac:dyDescent="0.25">
      <c r="A42" s="8" t="str">
        <f>raw_data!A3</f>
        <v>001-1471</v>
      </c>
      <c r="B42" s="444"/>
      <c r="C42" s="39">
        <f>raw_data!B3</f>
        <v>334159</v>
      </c>
      <c r="D42" s="40">
        <f>raw_data!C3</f>
        <v>46023</v>
      </c>
      <c r="E42" s="369"/>
      <c r="F42" s="39" t="str">
        <f>raw_data!D3</f>
        <v>4.5 Flaskor POS</v>
      </c>
      <c r="G42" s="40">
        <f>raw_data!E3</f>
        <v>45985</v>
      </c>
      <c r="H42" s="26" t="str">
        <f>raw_data!F3</f>
        <v>ELS</v>
      </c>
    </row>
    <row r="43" spans="1:8" x14ac:dyDescent="0.25">
      <c r="A43" s="8" t="str">
        <f>raw_data!A4</f>
        <v>001-1471</v>
      </c>
      <c r="B43" s="444"/>
      <c r="C43" s="39" t="str">
        <f>raw_data!B4</f>
        <v>N/A</v>
      </c>
      <c r="D43" s="40" t="str">
        <f>raw_data!C4</f>
        <v>N/A</v>
      </c>
      <c r="E43" s="369"/>
      <c r="F43" s="39" t="str">
        <f>raw_data!D4</f>
        <v>N/A</v>
      </c>
      <c r="G43" s="40" t="str">
        <f>raw_data!E4</f>
        <v>N/A</v>
      </c>
      <c r="H43" s="26" t="str">
        <f>raw_data!F4</f>
        <v>N/A</v>
      </c>
    </row>
    <row r="44" spans="1:8" ht="15.75" thickBot="1" x14ac:dyDescent="0.3">
      <c r="A44" s="29" t="str">
        <f>raw_data!A5</f>
        <v>001-1471</v>
      </c>
      <c r="B44" s="445"/>
      <c r="C44" s="41" t="str">
        <f>raw_data!B5</f>
        <v>N/A</v>
      </c>
      <c r="D44" s="42" t="str">
        <f>raw_data!C5</f>
        <v>N/A</v>
      </c>
      <c r="E44" s="360"/>
      <c r="F44" s="41" t="str">
        <f>raw_data!D5</f>
        <v>N/A</v>
      </c>
      <c r="G44" s="42" t="str">
        <f>raw_data!E35</f>
        <v>N/A</v>
      </c>
      <c r="H44" s="30" t="str">
        <f>raw_data!F5</f>
        <v>N/A</v>
      </c>
    </row>
  </sheetData>
  <sheetProtection algorithmName="SHA-512" hashValue="fgxxkIvXMBf/dJk0+uBqqCkzlRBk5rrp729u9KPCmHWj3eNzCzOpF2whCP2dkXEkVEH0ON/9El8o/+fPm7OiTQ==" saltValue="EMi1QJJ6h8q8UjucKK4ZqA==" spinCount="100000" sheet="1" formatCells="0" formatColumns="0" formatRows="0" insertColumns="0" insertRows="0" insertHyperlinks="0" deleteColumns="0" deleteRows="0" sort="0" autoFilter="0" pivotTables="0"/>
  <mergeCells count="17">
    <mergeCell ref="B35:B38"/>
    <mergeCell ref="E35:E38"/>
    <mergeCell ref="B41:B44"/>
    <mergeCell ref="E41:E44"/>
    <mergeCell ref="B20:B23"/>
    <mergeCell ref="E20:E23"/>
    <mergeCell ref="B25:B28"/>
    <mergeCell ref="E25:E28"/>
    <mergeCell ref="B30:B33"/>
    <mergeCell ref="E30:E33"/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3817C-79E6-478A-A0AB-71FCF0683194}">
  <sheetPr codeName="Sheet23">
    <tabColor theme="5"/>
  </sheetPr>
  <dimension ref="A1:H16"/>
  <sheetViews>
    <sheetView workbookViewId="0"/>
  </sheetViews>
  <sheetFormatPr defaultRowHeight="15" x14ac:dyDescent="0.25"/>
  <cols>
    <col min="1" max="1" width="9.7109375" bestFit="1" customWidth="1"/>
    <col min="2" max="2" width="21" bestFit="1" customWidth="1"/>
    <col min="3" max="3" width="13.425781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7.5703125" customWidth="1"/>
  </cols>
  <sheetData>
    <row r="1" spans="1:8" ht="15.75" thickBot="1" x14ac:dyDescent="0.3"/>
    <row r="2" spans="1:8" ht="24" thickBot="1" x14ac:dyDescent="0.3">
      <c r="A2" s="395" t="s">
        <v>252</v>
      </c>
      <c r="B2" s="396"/>
      <c r="C2" s="396"/>
      <c r="D2" s="396"/>
      <c r="E2" s="396"/>
      <c r="F2" s="396"/>
      <c r="G2" s="396"/>
      <c r="H2" s="397"/>
    </row>
    <row r="3" spans="1:8" ht="15.75" thickBot="1" x14ac:dyDescent="0.3"/>
    <row r="4" spans="1:8" ht="15.75" thickBot="1" x14ac:dyDescent="0.3">
      <c r="A4" s="269" t="s">
        <v>0</v>
      </c>
      <c r="B4" s="270" t="s">
        <v>208</v>
      </c>
      <c r="C4" s="270" t="s">
        <v>1</v>
      </c>
      <c r="D4" s="271" t="s">
        <v>2</v>
      </c>
      <c r="E4" s="270" t="s">
        <v>8</v>
      </c>
      <c r="F4" s="270" t="s">
        <v>3</v>
      </c>
      <c r="G4" s="272" t="s">
        <v>4</v>
      </c>
      <c r="H4" s="273" t="s">
        <v>5</v>
      </c>
    </row>
    <row r="5" spans="1:8" x14ac:dyDescent="0.25">
      <c r="A5" s="48" t="str">
        <f>raw_data!A38</f>
        <v>500-0905</v>
      </c>
      <c r="B5" s="366" t="s">
        <v>45</v>
      </c>
      <c r="C5" s="49" t="str">
        <f>raw_data!B38</f>
        <v>062425MZ</v>
      </c>
      <c r="D5" s="50">
        <f>raw_data!C38</f>
        <v>46928</v>
      </c>
      <c r="E5" s="366" t="s">
        <v>226</v>
      </c>
      <c r="F5" s="49" t="str">
        <f>raw_data!D38</f>
        <v>12 rör</v>
      </c>
      <c r="G5" s="50">
        <f>raw_data!E38</f>
        <v>45978</v>
      </c>
      <c r="H5" s="52" t="str">
        <f>raw_data!F38</f>
        <v>ELS</v>
      </c>
    </row>
    <row r="6" spans="1:8" x14ac:dyDescent="0.25">
      <c r="A6" s="8" t="str">
        <f>raw_data!A39</f>
        <v>500-0905</v>
      </c>
      <c r="B6" s="369"/>
      <c r="C6" s="39" t="str">
        <f>raw_data!B39</f>
        <v>N/A</v>
      </c>
      <c r="D6" s="40" t="str">
        <f>raw_data!C39</f>
        <v>N/A</v>
      </c>
      <c r="E6" s="369"/>
      <c r="F6" s="39" t="str">
        <f>raw_data!D39</f>
        <v>N/A</v>
      </c>
      <c r="G6" s="40" t="str">
        <f>raw_data!E39</f>
        <v>N/A</v>
      </c>
      <c r="H6" s="26" t="str">
        <f>raw_data!F39</f>
        <v>N/A</v>
      </c>
    </row>
    <row r="7" spans="1:8" x14ac:dyDescent="0.25">
      <c r="A7" s="8" t="str">
        <f>raw_data!A40</f>
        <v>500-0905</v>
      </c>
      <c r="B7" s="369"/>
      <c r="C7" s="39" t="str">
        <f>raw_data!B40</f>
        <v>N/A</v>
      </c>
      <c r="D7" s="40" t="str">
        <f>raw_data!C40</f>
        <v>N/A</v>
      </c>
      <c r="E7" s="369"/>
      <c r="F7" s="39" t="str">
        <f>raw_data!D40</f>
        <v>N/A</v>
      </c>
      <c r="G7" s="40" t="str">
        <f>raw_data!E40</f>
        <v>N/A</v>
      </c>
      <c r="H7" s="26" t="str">
        <f>raw_data!F40</f>
        <v>N/A</v>
      </c>
    </row>
    <row r="8" spans="1:8" ht="15.75" thickBot="1" x14ac:dyDescent="0.3">
      <c r="A8" s="29" t="str">
        <f>raw_data!A41</f>
        <v>500-0905</v>
      </c>
      <c r="B8" s="360"/>
      <c r="C8" s="41" t="str">
        <f>raw_data!B41</f>
        <v>N/A</v>
      </c>
      <c r="D8" s="42" t="str">
        <f>raw_data!C41</f>
        <v>N/A</v>
      </c>
      <c r="E8" s="360"/>
      <c r="F8" s="41" t="str">
        <f>raw_data!D41</f>
        <v>N/A</v>
      </c>
      <c r="G8" s="42" t="str">
        <f>raw_data!E41</f>
        <v>N/A</v>
      </c>
      <c r="H8" s="30" t="str">
        <f>raw_data!F41</f>
        <v>N/A</v>
      </c>
    </row>
    <row r="9" spans="1:8" ht="15.75" thickBot="1" x14ac:dyDescent="0.3"/>
    <row r="10" spans="1:8" ht="24" thickBot="1" x14ac:dyDescent="0.3">
      <c r="A10" s="428" t="s">
        <v>235</v>
      </c>
      <c r="B10" s="460"/>
      <c r="C10" s="460"/>
      <c r="D10" s="460"/>
      <c r="E10" s="460"/>
      <c r="F10" s="460"/>
      <c r="G10" s="460"/>
      <c r="H10" s="461"/>
    </row>
    <row r="11" spans="1:8" ht="15.75" thickBot="1" x14ac:dyDescent="0.3">
      <c r="A11" s="431" t="s">
        <v>94</v>
      </c>
      <c r="B11" s="432"/>
      <c r="C11" s="432"/>
      <c r="D11" s="432"/>
      <c r="E11" s="432"/>
      <c r="F11" s="432"/>
      <c r="G11" s="432"/>
      <c r="H11" s="433"/>
    </row>
    <row r="12" spans="1:8" x14ac:dyDescent="0.25">
      <c r="A12" s="508" t="s">
        <v>209</v>
      </c>
      <c r="B12" s="509"/>
      <c r="C12" s="509"/>
      <c r="D12" s="510" t="s">
        <v>2</v>
      </c>
      <c r="E12" s="510"/>
      <c r="F12" s="221" t="s">
        <v>205</v>
      </c>
      <c r="G12" s="221" t="s">
        <v>4</v>
      </c>
      <c r="H12" s="222" t="s">
        <v>5</v>
      </c>
    </row>
    <row r="13" spans="1:8" x14ac:dyDescent="0.25">
      <c r="A13" s="368">
        <f>raw_data!B114</f>
        <v>1001512409</v>
      </c>
      <c r="B13" s="369"/>
      <c r="C13" s="369"/>
      <c r="D13" s="370">
        <f>raw_data!C114</f>
        <v>46083</v>
      </c>
      <c r="E13" s="370"/>
      <c r="F13" s="39" t="str">
        <f>raw_data!D114</f>
        <v>5L</v>
      </c>
      <c r="G13" s="40">
        <f>raw_data!E114</f>
        <v>45994</v>
      </c>
      <c r="H13" s="26" t="str">
        <f>raw_data!F114</f>
        <v>vdao</v>
      </c>
    </row>
    <row r="14" spans="1:8" x14ac:dyDescent="0.25">
      <c r="A14" s="368">
        <f>raw_data!B115</f>
        <v>1001506031</v>
      </c>
      <c r="B14" s="369"/>
      <c r="C14" s="369"/>
      <c r="D14" s="370">
        <f>raw_data!C115</f>
        <v>46039</v>
      </c>
      <c r="E14" s="370"/>
      <c r="F14" s="39" t="str">
        <f>raw_data!D115</f>
        <v>4L</v>
      </c>
      <c r="G14" s="40">
        <f>raw_data!E115</f>
        <v>45986</v>
      </c>
      <c r="H14" s="26" t="str">
        <f>raw_data!F115</f>
        <v>ELS</v>
      </c>
    </row>
    <row r="15" spans="1:8" x14ac:dyDescent="0.25">
      <c r="A15" s="368" t="str">
        <f>raw_data!B116</f>
        <v>N/A</v>
      </c>
      <c r="B15" s="369"/>
      <c r="C15" s="369"/>
      <c r="D15" s="370" t="str">
        <f>raw_data!C116</f>
        <v>N/A</v>
      </c>
      <c r="E15" s="370"/>
      <c r="F15" s="39" t="str">
        <f>raw_data!D116</f>
        <v>N/A</v>
      </c>
      <c r="G15" s="40" t="str">
        <f>raw_data!E116</f>
        <v>N/A</v>
      </c>
      <c r="H15" s="26" t="str">
        <f>raw_data!F116</f>
        <v>N/A</v>
      </c>
    </row>
    <row r="16" spans="1:8" ht="15.75" thickBot="1" x14ac:dyDescent="0.3">
      <c r="A16" s="359" t="str">
        <f>raw_data!B117</f>
        <v>N/A</v>
      </c>
      <c r="B16" s="360"/>
      <c r="C16" s="360"/>
      <c r="D16" s="361" t="str">
        <f>raw_data!C117</f>
        <v>N/A</v>
      </c>
      <c r="E16" s="361"/>
      <c r="F16" s="41" t="str">
        <f>raw_data!D117</f>
        <v>N/A</v>
      </c>
      <c r="G16" s="42" t="str">
        <f>raw_data!E117</f>
        <v>N/A</v>
      </c>
      <c r="H16" s="30" t="str">
        <f>raw_data!F117</f>
        <v>N/A</v>
      </c>
    </row>
  </sheetData>
  <sheetProtection algorithmName="SHA-512" hashValue="ESSDslsUhKUl7f6S+IPb0bGCMmCBvai4LoB4AM7EGBUo5tFCNbUARwW0O0wLLKoBLUa9vK442IyyH+zNOM8A+A==" saltValue="t4IdUSj2p73D61XeU3pm7g==" spinCount="100000" sheet="1" formatCells="0" formatColumns="0" formatRows="0" insertColumns="0" insertRows="0" insertHyperlinks="0" deleteColumns="0" deleteRows="0" sort="0" autoFilter="0" pivotTables="0"/>
  <mergeCells count="15">
    <mergeCell ref="A16:C16"/>
    <mergeCell ref="D16:E16"/>
    <mergeCell ref="A13:C13"/>
    <mergeCell ref="D13:E13"/>
    <mergeCell ref="A14:C14"/>
    <mergeCell ref="D14:E14"/>
    <mergeCell ref="A15:C15"/>
    <mergeCell ref="D15:E15"/>
    <mergeCell ref="A12:C12"/>
    <mergeCell ref="D12:E12"/>
    <mergeCell ref="A2:H2"/>
    <mergeCell ref="B5:B8"/>
    <mergeCell ref="E5:E8"/>
    <mergeCell ref="A10:H10"/>
    <mergeCell ref="A11:H11"/>
  </mergeCells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>
    <tabColor theme="8" tint="0.39997558519241921"/>
  </sheetPr>
  <dimension ref="A1:H26"/>
  <sheetViews>
    <sheetView workbookViewId="0"/>
  </sheetViews>
  <sheetFormatPr defaultRowHeight="15" x14ac:dyDescent="0.25"/>
  <cols>
    <col min="1" max="1" width="9.7109375" bestFit="1" customWidth="1"/>
    <col min="2" max="2" width="34.42578125" bestFit="1" customWidth="1"/>
    <col min="3" max="3" width="14.85546875" customWidth="1"/>
    <col min="4" max="4" width="14" bestFit="1" customWidth="1"/>
    <col min="5" max="5" width="14.85546875" bestFit="1" customWidth="1"/>
    <col min="6" max="6" width="11.5703125" bestFit="1" customWidth="1"/>
    <col min="7" max="7" width="17.85546875" bestFit="1" customWidth="1"/>
    <col min="8" max="8" width="6.85546875" customWidth="1"/>
  </cols>
  <sheetData>
    <row r="1" spans="1:8" ht="15.75" thickBot="1" x14ac:dyDescent="0.3"/>
    <row r="2" spans="1:8" ht="24" thickBot="1" x14ac:dyDescent="0.3">
      <c r="A2" s="536" t="s">
        <v>234</v>
      </c>
      <c r="B2" s="537"/>
      <c r="C2" s="537"/>
      <c r="D2" s="537"/>
      <c r="E2" s="537"/>
      <c r="F2" s="537"/>
      <c r="G2" s="537"/>
      <c r="H2" s="538"/>
    </row>
    <row r="3" spans="1:8" ht="15.75" thickBot="1" x14ac:dyDescent="0.3"/>
    <row r="4" spans="1:8" ht="15.75" thickBot="1" x14ac:dyDescent="0.3">
      <c r="A4" s="230" t="s">
        <v>0</v>
      </c>
      <c r="B4" s="231" t="s">
        <v>208</v>
      </c>
      <c r="C4" s="231" t="s">
        <v>1</v>
      </c>
      <c r="D4" s="232" t="s">
        <v>2</v>
      </c>
      <c r="E4" s="231" t="s">
        <v>8</v>
      </c>
      <c r="F4" s="231" t="s">
        <v>3</v>
      </c>
      <c r="G4" s="233" t="s">
        <v>4</v>
      </c>
      <c r="H4" s="234" t="s">
        <v>5</v>
      </c>
    </row>
    <row r="5" spans="1:8" ht="15.75" customHeight="1" x14ac:dyDescent="0.25">
      <c r="A5" s="48" t="str">
        <f>raw_data!A182</f>
        <v>525-00081</v>
      </c>
      <c r="B5" s="366" t="s">
        <v>236</v>
      </c>
      <c r="C5" s="49" t="str">
        <f>raw_data!B182</f>
        <v>080525Masa</v>
      </c>
      <c r="D5" s="50">
        <f>raw_data!C182</f>
        <v>46113</v>
      </c>
      <c r="E5" s="366" t="s">
        <v>227</v>
      </c>
      <c r="F5" s="49" t="str">
        <f>raw_data!D182</f>
        <v>1 Låda</v>
      </c>
      <c r="G5" s="50">
        <f>raw_data!E182</f>
        <v>45985</v>
      </c>
      <c r="H5" s="52" t="str">
        <f>raw_data!F182</f>
        <v>ELS</v>
      </c>
    </row>
    <row r="6" spans="1:8" x14ac:dyDescent="0.25">
      <c r="A6" s="8" t="str">
        <f>raw_data!A183</f>
        <v>525-00081</v>
      </c>
      <c r="B6" s="369"/>
      <c r="C6" s="39" t="str">
        <f>raw_data!B183</f>
        <v>N/A</v>
      </c>
      <c r="D6" s="40" t="str">
        <f>raw_data!C183</f>
        <v>N/A</v>
      </c>
      <c r="E6" s="369"/>
      <c r="F6" s="39" t="str">
        <f>raw_data!D183</f>
        <v>N/A</v>
      </c>
      <c r="G6" s="40" t="str">
        <f>raw_data!E183</f>
        <v>N/A</v>
      </c>
      <c r="H6" s="26" t="str">
        <f>raw_data!F183</f>
        <v>N/A</v>
      </c>
    </row>
    <row r="7" spans="1:8" x14ac:dyDescent="0.25">
      <c r="A7" s="8" t="str">
        <f>raw_data!A184</f>
        <v>525-00081</v>
      </c>
      <c r="B7" s="369"/>
      <c r="C7" s="39" t="str">
        <f>raw_data!B184</f>
        <v>N/A</v>
      </c>
      <c r="D7" s="40" t="str">
        <f>raw_data!C184</f>
        <v>N/A</v>
      </c>
      <c r="E7" s="369"/>
      <c r="F7" s="39" t="str">
        <f>raw_data!D184</f>
        <v>N/A</v>
      </c>
      <c r="G7" s="40" t="str">
        <f>raw_data!E184</f>
        <v>N/A</v>
      </c>
      <c r="H7" s="26" t="str">
        <f>raw_data!F184</f>
        <v>N/A</v>
      </c>
    </row>
    <row r="8" spans="1:8" ht="15.75" thickBot="1" x14ac:dyDescent="0.3">
      <c r="A8" s="29" t="str">
        <f>raw_data!A185</f>
        <v>525-00081</v>
      </c>
      <c r="B8" s="360"/>
      <c r="C8" s="41" t="str">
        <f>raw_data!B185</f>
        <v>N/A</v>
      </c>
      <c r="D8" s="42" t="str">
        <f>raw_data!C185</f>
        <v>N/A</v>
      </c>
      <c r="E8" s="360"/>
      <c r="F8" s="41" t="str">
        <f>raw_data!D185</f>
        <v>N/A</v>
      </c>
      <c r="G8" s="42" t="str">
        <f>raw_data!E185</f>
        <v>N/A</v>
      </c>
      <c r="H8" s="30" t="str">
        <f>raw_data!F185</f>
        <v>N/A</v>
      </c>
    </row>
    <row r="9" spans="1:8" ht="15.75" thickBot="1" x14ac:dyDescent="0.3">
      <c r="A9" s="235" t="s">
        <v>0</v>
      </c>
      <c r="B9" s="236" t="s">
        <v>208</v>
      </c>
      <c r="C9" s="236" t="s">
        <v>1</v>
      </c>
      <c r="D9" s="237" t="s">
        <v>2</v>
      </c>
      <c r="E9" s="236" t="s">
        <v>8</v>
      </c>
      <c r="F9" s="236" t="s">
        <v>3</v>
      </c>
      <c r="G9" s="238" t="s">
        <v>4</v>
      </c>
      <c r="H9" s="239" t="s">
        <v>5</v>
      </c>
    </row>
    <row r="10" spans="1:8" x14ac:dyDescent="0.25">
      <c r="A10" s="48" t="str">
        <f>raw_data!A178</f>
        <v>525-00080</v>
      </c>
      <c r="B10" s="366" t="s">
        <v>237</v>
      </c>
      <c r="C10" s="49" t="str">
        <f>raw_data!B178</f>
        <v>051625MMM</v>
      </c>
      <c r="D10" s="50">
        <f>raw_data!C178</f>
        <v>46113</v>
      </c>
      <c r="E10" s="366" t="s">
        <v>226</v>
      </c>
      <c r="F10" s="49" t="str">
        <f>raw_data!D178</f>
        <v>1.5 låda</v>
      </c>
      <c r="G10" s="50">
        <f>raw_data!E178</f>
        <v>45944</v>
      </c>
      <c r="H10" s="52" t="str">
        <f>raw_data!F178</f>
        <v>vdao</v>
      </c>
    </row>
    <row r="11" spans="1:8" x14ac:dyDescent="0.25">
      <c r="A11" s="8" t="str">
        <f>raw_data!A179</f>
        <v>525-00080</v>
      </c>
      <c r="B11" s="369"/>
      <c r="C11" s="39" t="str">
        <f>raw_data!B179</f>
        <v>N/A</v>
      </c>
      <c r="D11" s="40" t="str">
        <f>raw_data!C179</f>
        <v>N/A</v>
      </c>
      <c r="E11" s="369"/>
      <c r="F11" s="39" t="str">
        <f>raw_data!D179</f>
        <v>N/A</v>
      </c>
      <c r="G11" s="40" t="str">
        <f>raw_data!E179</f>
        <v>N/A</v>
      </c>
      <c r="H11" s="26" t="str">
        <f>raw_data!F179</f>
        <v>N/A</v>
      </c>
    </row>
    <row r="12" spans="1:8" x14ac:dyDescent="0.25">
      <c r="A12" s="8" t="str">
        <f>raw_data!A180</f>
        <v>525-00080</v>
      </c>
      <c r="B12" s="369"/>
      <c r="C12" s="39" t="str">
        <f>raw_data!B180</f>
        <v>N/A</v>
      </c>
      <c r="D12" s="40" t="str">
        <f>raw_data!C180</f>
        <v>N/A</v>
      </c>
      <c r="E12" s="369"/>
      <c r="F12" s="39" t="str">
        <f>raw_data!D180</f>
        <v>N/A</v>
      </c>
      <c r="G12" s="40" t="str">
        <f>raw_data!E180</f>
        <v>N/A</v>
      </c>
      <c r="H12" s="26" t="str">
        <f>raw_data!F180</f>
        <v>N/A</v>
      </c>
    </row>
    <row r="13" spans="1:8" ht="15.75" thickBot="1" x14ac:dyDescent="0.3">
      <c r="A13" s="29" t="str">
        <f>raw_data!A181</f>
        <v>525-00080</v>
      </c>
      <c r="B13" s="360"/>
      <c r="C13" s="41" t="str">
        <f>raw_data!B181</f>
        <v>N/A</v>
      </c>
      <c r="D13" s="42" t="str">
        <f>raw_data!C181</f>
        <v>N/A</v>
      </c>
      <c r="E13" s="360"/>
      <c r="F13" s="41" t="str">
        <f>raw_data!D181</f>
        <v>N/A</v>
      </c>
      <c r="G13" s="42" t="str">
        <f>raw_data!E181</f>
        <v>N/A</v>
      </c>
      <c r="H13" s="30" t="str">
        <f>raw_data!F181</f>
        <v>N/A</v>
      </c>
    </row>
    <row r="14" spans="1:8" ht="15.75" thickBot="1" x14ac:dyDescent="0.3">
      <c r="A14" s="235" t="s">
        <v>0</v>
      </c>
      <c r="B14" s="236" t="s">
        <v>208</v>
      </c>
      <c r="C14" s="236" t="s">
        <v>1</v>
      </c>
      <c r="D14" s="237" t="s">
        <v>2</v>
      </c>
      <c r="E14" s="236" t="s">
        <v>8</v>
      </c>
      <c r="F14" s="236" t="s">
        <v>3</v>
      </c>
      <c r="G14" s="238" t="s">
        <v>4</v>
      </c>
      <c r="H14" s="239" t="s">
        <v>5</v>
      </c>
    </row>
    <row r="15" spans="1:8" x14ac:dyDescent="0.25">
      <c r="A15" s="48" t="str">
        <f>raw_data!A174</f>
        <v>525-00079</v>
      </c>
      <c r="B15" s="366" t="s">
        <v>238</v>
      </c>
      <c r="C15" s="49" t="str">
        <f>raw_data!B174</f>
        <v>041625MATE</v>
      </c>
      <c r="D15" s="50">
        <f>raw_data!C174</f>
        <v>46113</v>
      </c>
      <c r="E15" s="366" t="s">
        <v>226</v>
      </c>
      <c r="F15" s="49" t="str">
        <f>raw_data!D174</f>
        <v>9 rör</v>
      </c>
      <c r="G15" s="50">
        <f>raw_data!E174</f>
        <v>45901</v>
      </c>
      <c r="H15" s="52" t="str">
        <f>raw_data!F174</f>
        <v>ELS</v>
      </c>
    </row>
    <row r="16" spans="1:8" x14ac:dyDescent="0.25">
      <c r="A16" s="8" t="str">
        <f>raw_data!A175</f>
        <v>525-00079</v>
      </c>
      <c r="B16" s="369"/>
      <c r="C16" s="39" t="str">
        <f>raw_data!B175</f>
        <v>N/A</v>
      </c>
      <c r="D16" s="40" t="str">
        <f>raw_data!C175</f>
        <v>N/A</v>
      </c>
      <c r="E16" s="369"/>
      <c r="F16" s="39" t="str">
        <f>raw_data!D175</f>
        <v>N/A</v>
      </c>
      <c r="G16" s="40" t="str">
        <f>raw_data!E175</f>
        <v>N/A</v>
      </c>
      <c r="H16" s="26" t="str">
        <f>raw_data!F175</f>
        <v>N/A</v>
      </c>
    </row>
    <row r="17" spans="1:8" x14ac:dyDescent="0.25">
      <c r="A17" s="8" t="str">
        <f>raw_data!A176</f>
        <v>525-00079</v>
      </c>
      <c r="B17" s="369"/>
      <c r="C17" s="39" t="str">
        <f>raw_data!B176</f>
        <v>N/A</v>
      </c>
      <c r="D17" s="40" t="str">
        <f>raw_data!C176</f>
        <v>N/A</v>
      </c>
      <c r="E17" s="369"/>
      <c r="F17" s="39" t="str">
        <f>raw_data!D176</f>
        <v>N/A</v>
      </c>
      <c r="G17" s="40" t="str">
        <f>raw_data!E176</f>
        <v>N/A</v>
      </c>
      <c r="H17" s="26" t="str">
        <f>raw_data!F176</f>
        <v>N/A</v>
      </c>
    </row>
    <row r="18" spans="1:8" ht="15.75" thickBot="1" x14ac:dyDescent="0.3">
      <c r="A18" s="29" t="str">
        <f>raw_data!A177</f>
        <v>525-00079</v>
      </c>
      <c r="B18" s="360"/>
      <c r="C18" s="41" t="str">
        <f>raw_data!B177</f>
        <v>N/A</v>
      </c>
      <c r="D18" s="42" t="str">
        <f>raw_data!C177</f>
        <v>N/A</v>
      </c>
      <c r="E18" s="360"/>
      <c r="F18" s="41" t="str">
        <f>raw_data!D177</f>
        <v>N/A</v>
      </c>
      <c r="G18" s="42" t="str">
        <f>raw_data!E177</f>
        <v>N/A</v>
      </c>
      <c r="H18" s="30" t="str">
        <f>raw_data!F177</f>
        <v>N/A</v>
      </c>
    </row>
    <row r="19" spans="1:8" ht="15.75" thickBot="1" x14ac:dyDescent="0.3"/>
    <row r="20" spans="1:8" ht="24" customHeight="1" thickBot="1" x14ac:dyDescent="0.3">
      <c r="A20" s="428" t="s">
        <v>235</v>
      </c>
      <c r="B20" s="460"/>
      <c r="C20" s="460"/>
      <c r="D20" s="460"/>
      <c r="E20" s="460"/>
      <c r="F20" s="460"/>
      <c r="G20" s="460"/>
      <c r="H20" s="461"/>
    </row>
    <row r="21" spans="1:8" ht="15.75" thickBot="1" x14ac:dyDescent="0.3">
      <c r="A21" s="431" t="s">
        <v>94</v>
      </c>
      <c r="B21" s="432"/>
      <c r="C21" s="432"/>
      <c r="D21" s="432"/>
      <c r="E21" s="432"/>
      <c r="F21" s="432"/>
      <c r="G21" s="432"/>
      <c r="H21" s="433"/>
    </row>
    <row r="22" spans="1:8" ht="15.75" customHeight="1" x14ac:dyDescent="0.25">
      <c r="A22" s="508" t="s">
        <v>209</v>
      </c>
      <c r="B22" s="509"/>
      <c r="C22" s="509"/>
      <c r="D22" s="510" t="s">
        <v>2</v>
      </c>
      <c r="E22" s="510"/>
      <c r="F22" s="221" t="s">
        <v>205</v>
      </c>
      <c r="G22" s="221" t="s">
        <v>4</v>
      </c>
      <c r="H22" s="222" t="s">
        <v>5</v>
      </c>
    </row>
    <row r="23" spans="1:8" x14ac:dyDescent="0.25">
      <c r="A23" s="368">
        <f>raw_data!B114</f>
        <v>1001512409</v>
      </c>
      <c r="B23" s="369"/>
      <c r="C23" s="369"/>
      <c r="D23" s="370">
        <f>raw_data!C114</f>
        <v>46083</v>
      </c>
      <c r="E23" s="370"/>
      <c r="F23" s="39" t="str">
        <f>raw_data!D114</f>
        <v>5L</v>
      </c>
      <c r="G23" s="40">
        <f>raw_data!E114</f>
        <v>45994</v>
      </c>
      <c r="H23" s="26" t="str">
        <f>raw_data!F114</f>
        <v>vdao</v>
      </c>
    </row>
    <row r="24" spans="1:8" x14ac:dyDescent="0.25">
      <c r="A24" s="368">
        <f>raw_data!B115</f>
        <v>1001506031</v>
      </c>
      <c r="B24" s="369"/>
      <c r="C24" s="369"/>
      <c r="D24" s="370">
        <f>raw_data!C115</f>
        <v>46039</v>
      </c>
      <c r="E24" s="370"/>
      <c r="F24" s="39" t="str">
        <f>raw_data!D115</f>
        <v>4L</v>
      </c>
      <c r="G24" s="40">
        <f>raw_data!E115</f>
        <v>45986</v>
      </c>
      <c r="H24" s="26" t="str">
        <f>raw_data!F115</f>
        <v>ELS</v>
      </c>
    </row>
    <row r="25" spans="1:8" x14ac:dyDescent="0.25">
      <c r="A25" s="368" t="str">
        <f>raw_data!B116</f>
        <v>N/A</v>
      </c>
      <c r="B25" s="369"/>
      <c r="C25" s="369"/>
      <c r="D25" s="370" t="str">
        <f>raw_data!C116</f>
        <v>N/A</v>
      </c>
      <c r="E25" s="370"/>
      <c r="F25" s="39" t="str">
        <f>raw_data!D116</f>
        <v>N/A</v>
      </c>
      <c r="G25" s="40" t="str">
        <f>raw_data!E116</f>
        <v>N/A</v>
      </c>
      <c r="H25" s="26" t="str">
        <f>raw_data!F116</f>
        <v>N/A</v>
      </c>
    </row>
    <row r="26" spans="1:8" ht="15.75" thickBot="1" x14ac:dyDescent="0.3">
      <c r="A26" s="359" t="str">
        <f>raw_data!B117</f>
        <v>N/A</v>
      </c>
      <c r="B26" s="360"/>
      <c r="C26" s="360"/>
      <c r="D26" s="361" t="str">
        <f>raw_data!C117</f>
        <v>N/A</v>
      </c>
      <c r="E26" s="361"/>
      <c r="F26" s="41" t="str">
        <f>raw_data!D117</f>
        <v>N/A</v>
      </c>
      <c r="G26" s="42" t="str">
        <f>raw_data!E117</f>
        <v>N/A</v>
      </c>
      <c r="H26" s="30" t="str">
        <f>raw_data!F117</f>
        <v>N/A</v>
      </c>
    </row>
  </sheetData>
  <sheetProtection algorithmName="SHA-512" hashValue="thWK2pILwuwnA4L7bf/fEoFiQiimeeGz87/w70+hmAxtJmIy7HS4ahFKxjK196IQpaAVHOjBTcy2NkxQokZPYw==" saltValue="hlj+MNMZUzBz6SxujmMH/w==" spinCount="100000" sheet="1" formatCells="0" formatColumns="0" formatRows="0" insertColumns="0" insertRows="0" insertHyperlinks="0" deleteColumns="0" deleteRows="0" sort="0" autoFilter="0" pivotTables="0"/>
  <mergeCells count="19">
    <mergeCell ref="A24:C24"/>
    <mergeCell ref="D24:E24"/>
    <mergeCell ref="A25:C25"/>
    <mergeCell ref="D25:E25"/>
    <mergeCell ref="A26:C26"/>
    <mergeCell ref="D26:E26"/>
    <mergeCell ref="A20:H20"/>
    <mergeCell ref="A21:H21"/>
    <mergeCell ref="A22:C22"/>
    <mergeCell ref="D22:E22"/>
    <mergeCell ref="A23:C23"/>
    <mergeCell ref="D23:E23"/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theme="9" tint="0.59999389629810485"/>
  </sheetPr>
  <dimension ref="A1:H26"/>
  <sheetViews>
    <sheetView zoomScaleNormal="100" workbookViewId="0"/>
  </sheetViews>
  <sheetFormatPr defaultRowHeight="15" x14ac:dyDescent="0.25"/>
  <cols>
    <col min="1" max="1" width="9.7109375" bestFit="1" customWidth="1"/>
    <col min="2" max="2" width="27.140625" bestFit="1" customWidth="1"/>
    <col min="3" max="3" width="13.710937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8.140625" customWidth="1"/>
  </cols>
  <sheetData>
    <row r="1" spans="1:8" ht="15.75" thickBot="1" x14ac:dyDescent="0.3"/>
    <row r="2" spans="1:8" ht="24" thickBot="1" x14ac:dyDescent="0.3">
      <c r="A2" s="533" t="s">
        <v>67</v>
      </c>
      <c r="B2" s="534"/>
      <c r="C2" s="534"/>
      <c r="D2" s="534"/>
      <c r="E2" s="534"/>
      <c r="F2" s="534"/>
      <c r="G2" s="534"/>
      <c r="H2" s="535"/>
    </row>
    <row r="3" spans="1:8" ht="15.75" thickBot="1" x14ac:dyDescent="0.3"/>
    <row r="4" spans="1:8" ht="15.75" thickBot="1" x14ac:dyDescent="0.3">
      <c r="A4" s="201" t="s">
        <v>0</v>
      </c>
      <c r="B4" s="202" t="s">
        <v>208</v>
      </c>
      <c r="C4" s="202" t="s">
        <v>1</v>
      </c>
      <c r="D4" s="203" t="s">
        <v>2</v>
      </c>
      <c r="E4" s="202" t="s">
        <v>8</v>
      </c>
      <c r="F4" s="202" t="s">
        <v>3</v>
      </c>
      <c r="G4" s="204" t="s">
        <v>4</v>
      </c>
      <c r="H4" s="205" t="s">
        <v>5</v>
      </c>
    </row>
    <row r="5" spans="1:8" x14ac:dyDescent="0.25">
      <c r="A5" s="48" t="str">
        <f>raw_data!A102</f>
        <v>500-1882</v>
      </c>
      <c r="B5" s="443" t="s">
        <v>86</v>
      </c>
      <c r="C5" s="49" t="str">
        <f>raw_data!B102</f>
        <v>012725VW</v>
      </c>
      <c r="D5" s="50">
        <f>raw_data!C102</f>
        <v>46049</v>
      </c>
      <c r="E5" s="366" t="s">
        <v>227</v>
      </c>
      <c r="F5" s="49" t="str">
        <f>raw_data!D102</f>
        <v>2 Lådor</v>
      </c>
      <c r="G5" s="50">
        <f>raw_data!E102</f>
        <v>45985</v>
      </c>
      <c r="H5" s="52" t="str">
        <f>raw_data!F102</f>
        <v>ELS</v>
      </c>
    </row>
    <row r="6" spans="1:8" x14ac:dyDescent="0.25">
      <c r="A6" s="8" t="str">
        <f>raw_data!A103</f>
        <v>500-1882</v>
      </c>
      <c r="B6" s="444"/>
      <c r="C6" s="39" t="str">
        <f>raw_data!B103</f>
        <v>N/A</v>
      </c>
      <c r="D6" s="40" t="str">
        <f>raw_data!C103</f>
        <v>N/A</v>
      </c>
      <c r="E6" s="369"/>
      <c r="F6" s="39" t="str">
        <f>raw_data!D103</f>
        <v>N/A</v>
      </c>
      <c r="G6" s="40" t="str">
        <f>raw_data!E103</f>
        <v>N/A</v>
      </c>
      <c r="H6" s="26" t="str">
        <f>raw_data!F103</f>
        <v>N/A</v>
      </c>
    </row>
    <row r="7" spans="1:8" x14ac:dyDescent="0.25">
      <c r="A7" s="8" t="str">
        <f>raw_data!A104</f>
        <v>500-1882</v>
      </c>
      <c r="B7" s="444"/>
      <c r="C7" s="39" t="str">
        <f>raw_data!B104</f>
        <v>N/A</v>
      </c>
      <c r="D7" s="40" t="str">
        <f>raw_data!C104</f>
        <v>N/A</v>
      </c>
      <c r="E7" s="369"/>
      <c r="F7" s="39" t="str">
        <f>raw_data!D104</f>
        <v>N/A</v>
      </c>
      <c r="G7" s="40" t="str">
        <f>raw_data!E104</f>
        <v>N/A</v>
      </c>
      <c r="H7" s="26" t="str">
        <f>raw_data!F104</f>
        <v>N/A</v>
      </c>
    </row>
    <row r="8" spans="1:8" ht="15.75" thickBot="1" x14ac:dyDescent="0.3">
      <c r="A8" s="29" t="str">
        <f>raw_data!A105</f>
        <v>500-1882</v>
      </c>
      <c r="B8" s="445"/>
      <c r="C8" s="41" t="str">
        <f>raw_data!B105</f>
        <v>N/A</v>
      </c>
      <c r="D8" s="42" t="str">
        <f>raw_data!C105</f>
        <v>N/A</v>
      </c>
      <c r="E8" s="360"/>
      <c r="F8" s="41" t="str">
        <f>raw_data!D105</f>
        <v>N/A</v>
      </c>
      <c r="G8" s="42" t="str">
        <f>raw_data!E105</f>
        <v>N/A</v>
      </c>
      <c r="H8" s="30" t="str">
        <f>raw_data!F105</f>
        <v>N/A</v>
      </c>
    </row>
    <row r="9" spans="1:8" ht="15.75" thickBot="1" x14ac:dyDescent="0.3">
      <c r="A9" s="206" t="s">
        <v>0</v>
      </c>
      <c r="B9" s="207" t="s">
        <v>208</v>
      </c>
      <c r="C9" s="207" t="s">
        <v>1</v>
      </c>
      <c r="D9" s="208" t="s">
        <v>2</v>
      </c>
      <c r="E9" s="207" t="s">
        <v>8</v>
      </c>
      <c r="F9" s="207" t="s">
        <v>3</v>
      </c>
      <c r="G9" s="209" t="s">
        <v>4</v>
      </c>
      <c r="H9" s="210" t="s">
        <v>5</v>
      </c>
    </row>
    <row r="10" spans="1:8" x14ac:dyDescent="0.25">
      <c r="A10" s="48" t="str">
        <f>raw_data!A98</f>
        <v>500-1880</v>
      </c>
      <c r="B10" s="366" t="s">
        <v>237</v>
      </c>
      <c r="C10" s="49" t="str">
        <f>raw_data!B98</f>
        <v>082025MATE</v>
      </c>
      <c r="D10" s="50">
        <f>raw_data!C98</f>
        <v>46254</v>
      </c>
      <c r="E10" s="366" t="s">
        <v>226</v>
      </c>
      <c r="F10" s="49" t="str">
        <f>raw_data!D98</f>
        <v>20 rör</v>
      </c>
      <c r="G10" s="50">
        <f>raw_data!E98</f>
        <v>45986</v>
      </c>
      <c r="H10" s="52" t="str">
        <f>raw_data!F98</f>
        <v>ELS</v>
      </c>
    </row>
    <row r="11" spans="1:8" x14ac:dyDescent="0.25">
      <c r="A11" s="8" t="str">
        <f>raw_data!A99</f>
        <v>500-1880</v>
      </c>
      <c r="B11" s="369"/>
      <c r="C11" s="39" t="str">
        <f>raw_data!B99</f>
        <v>012825MOWA</v>
      </c>
      <c r="D11" s="40">
        <f>raw_data!C99</f>
        <v>46050</v>
      </c>
      <c r="E11" s="369"/>
      <c r="F11" s="39" t="str">
        <f>raw_data!D99</f>
        <v>16 rör</v>
      </c>
      <c r="G11" s="40">
        <f>raw_data!E99</f>
        <v>45986</v>
      </c>
      <c r="H11" s="26" t="str">
        <f>raw_data!F99</f>
        <v>ELS</v>
      </c>
    </row>
    <row r="12" spans="1:8" x14ac:dyDescent="0.25">
      <c r="A12" s="8" t="str">
        <f>raw_data!A100</f>
        <v>500-1880</v>
      </c>
      <c r="B12" s="369"/>
      <c r="C12" s="39" t="str">
        <f>raw_data!B100</f>
        <v>N/A</v>
      </c>
      <c r="D12" s="40" t="str">
        <f>raw_data!C100</f>
        <v>N/A</v>
      </c>
      <c r="E12" s="369"/>
      <c r="F12" s="39" t="str">
        <f>raw_data!D100</f>
        <v>N/A</v>
      </c>
      <c r="G12" s="40" t="str">
        <f>raw_data!E100</f>
        <v>N/A</v>
      </c>
      <c r="H12" s="26" t="str">
        <f>raw_data!F100</f>
        <v>N/A</v>
      </c>
    </row>
    <row r="13" spans="1:8" ht="15.75" thickBot="1" x14ac:dyDescent="0.3">
      <c r="A13" s="29" t="str">
        <f>raw_data!A101</f>
        <v>500-1880</v>
      </c>
      <c r="B13" s="360"/>
      <c r="C13" s="41" t="str">
        <f>raw_data!B101</f>
        <v>N/A</v>
      </c>
      <c r="D13" s="42" t="str">
        <f>raw_data!C101</f>
        <v>N/A</v>
      </c>
      <c r="E13" s="360"/>
      <c r="F13" s="41" t="str">
        <f>raw_data!D101</f>
        <v>N/A</v>
      </c>
      <c r="G13" s="42" t="str">
        <f>raw_data!E101</f>
        <v>N/A</v>
      </c>
      <c r="H13" s="30" t="str">
        <f>raw_data!F101</f>
        <v>N/A</v>
      </c>
    </row>
    <row r="14" spans="1:8" ht="15.75" thickBot="1" x14ac:dyDescent="0.3">
      <c r="A14" s="206" t="s">
        <v>0</v>
      </c>
      <c r="B14" s="207" t="s">
        <v>208</v>
      </c>
      <c r="C14" s="207" t="s">
        <v>1</v>
      </c>
      <c r="D14" s="208" t="s">
        <v>2</v>
      </c>
      <c r="E14" s="207" t="s">
        <v>8</v>
      </c>
      <c r="F14" s="207" t="s">
        <v>3</v>
      </c>
      <c r="G14" s="209" t="s">
        <v>4</v>
      </c>
      <c r="H14" s="210" t="s">
        <v>5</v>
      </c>
    </row>
    <row r="15" spans="1:8" x14ac:dyDescent="0.25">
      <c r="A15" s="48" t="str">
        <f>raw_data!A94</f>
        <v>500-1879</v>
      </c>
      <c r="B15" s="366" t="s">
        <v>239</v>
      </c>
      <c r="C15" s="49" t="str">
        <f>raw_data!B94</f>
        <v>N/A</v>
      </c>
      <c r="D15" s="50" t="str">
        <f>raw_data!C94</f>
        <v>N/A</v>
      </c>
      <c r="E15" s="366" t="s">
        <v>226</v>
      </c>
      <c r="F15" s="49" t="str">
        <f>raw_data!D94</f>
        <v>N/A</v>
      </c>
      <c r="G15" s="50" t="str">
        <f>raw_data!E94</f>
        <v>N/A</v>
      </c>
      <c r="H15" s="52" t="str">
        <f>raw_data!F94</f>
        <v>N/A</v>
      </c>
    </row>
    <row r="16" spans="1:8" x14ac:dyDescent="0.25">
      <c r="A16" s="8" t="str">
        <f>raw_data!A95</f>
        <v>500-1879</v>
      </c>
      <c r="B16" s="369"/>
      <c r="C16" s="39" t="str">
        <f>raw_data!B95</f>
        <v>N/A</v>
      </c>
      <c r="D16" s="40" t="str">
        <f>raw_data!C95</f>
        <v>N/A</v>
      </c>
      <c r="E16" s="369"/>
      <c r="F16" s="39" t="str">
        <f>raw_data!D95</f>
        <v>N/A</v>
      </c>
      <c r="G16" s="40" t="str">
        <f>raw_data!E95</f>
        <v>N/A</v>
      </c>
      <c r="H16" s="26" t="str">
        <f>raw_data!F95</f>
        <v>N/A</v>
      </c>
    </row>
    <row r="17" spans="1:8" x14ac:dyDescent="0.25">
      <c r="A17" s="8" t="str">
        <f>raw_data!A96</f>
        <v>500-1879</v>
      </c>
      <c r="B17" s="369"/>
      <c r="C17" s="39" t="str">
        <f>raw_data!B96</f>
        <v>N/A</v>
      </c>
      <c r="D17" s="40" t="str">
        <f>raw_data!C96</f>
        <v>N/A</v>
      </c>
      <c r="E17" s="369"/>
      <c r="F17" s="39" t="str">
        <f>raw_data!D96</f>
        <v>N/A</v>
      </c>
      <c r="G17" s="40" t="str">
        <f>raw_data!E96</f>
        <v>N/A</v>
      </c>
      <c r="H17" s="26" t="str">
        <f>raw_data!F96</f>
        <v>N/A</v>
      </c>
    </row>
    <row r="18" spans="1:8" ht="15.75" thickBot="1" x14ac:dyDescent="0.3">
      <c r="A18" s="29" t="str">
        <f>raw_data!A97</f>
        <v>500-1879</v>
      </c>
      <c r="B18" s="360"/>
      <c r="C18" s="41" t="str">
        <f>raw_data!B97</f>
        <v>N/A</v>
      </c>
      <c r="D18" s="42" t="str">
        <f>raw_data!C97</f>
        <v>N/A</v>
      </c>
      <c r="E18" s="360"/>
      <c r="F18" s="41" t="str">
        <f>raw_data!D97</f>
        <v>N/A</v>
      </c>
      <c r="G18" s="42" t="str">
        <f>raw_data!E97</f>
        <v>N/A</v>
      </c>
      <c r="H18" s="30" t="str">
        <f>raw_data!F97</f>
        <v>N/A</v>
      </c>
    </row>
    <row r="19" spans="1:8" ht="15.75" thickBot="1" x14ac:dyDescent="0.3"/>
    <row r="20" spans="1:8" ht="24" thickBot="1" x14ac:dyDescent="0.3">
      <c r="A20" s="428" t="s">
        <v>225</v>
      </c>
      <c r="B20" s="460"/>
      <c r="C20" s="460"/>
      <c r="D20" s="460"/>
      <c r="E20" s="460"/>
      <c r="F20" s="460"/>
      <c r="G20" s="460"/>
      <c r="H20" s="461"/>
    </row>
    <row r="21" spans="1:8" ht="15.75" thickBot="1" x14ac:dyDescent="0.3">
      <c r="A21" s="431" t="s">
        <v>70</v>
      </c>
      <c r="B21" s="432"/>
      <c r="C21" s="432"/>
      <c r="D21" s="432"/>
      <c r="E21" s="432"/>
      <c r="F21" s="432"/>
      <c r="G21" s="432"/>
      <c r="H21" s="433"/>
    </row>
    <row r="22" spans="1:8" ht="15.75" thickBot="1" x14ac:dyDescent="0.3">
      <c r="A22" s="362" t="s">
        <v>209</v>
      </c>
      <c r="B22" s="363"/>
      <c r="C22" s="363"/>
      <c r="D22" s="364" t="s">
        <v>2</v>
      </c>
      <c r="E22" s="364"/>
      <c r="F22" s="57" t="s">
        <v>205</v>
      </c>
      <c r="G22" s="57" t="s">
        <v>4</v>
      </c>
      <c r="H22" s="58" t="s">
        <v>5</v>
      </c>
    </row>
    <row r="23" spans="1:8" x14ac:dyDescent="0.25">
      <c r="A23" s="365">
        <f>raw_data!B70</f>
        <v>1001511780</v>
      </c>
      <c r="B23" s="366"/>
      <c r="C23" s="366"/>
      <c r="D23" s="367">
        <f>raw_data!C70</f>
        <v>45681</v>
      </c>
      <c r="E23" s="367"/>
      <c r="F23" s="49" t="str">
        <f>raw_data!D70</f>
        <v>10L</v>
      </c>
      <c r="G23" s="50">
        <f>raw_data!E70</f>
        <v>45994</v>
      </c>
      <c r="H23" s="52" t="str">
        <f>raw_data!F70</f>
        <v>vdao</v>
      </c>
    </row>
    <row r="24" spans="1:8" x14ac:dyDescent="0.25">
      <c r="A24" s="368" t="str">
        <f>raw_data!B71</f>
        <v>N/A</v>
      </c>
      <c r="B24" s="369"/>
      <c r="C24" s="369"/>
      <c r="D24" s="370" t="str">
        <f>raw_data!C71</f>
        <v>N/A</v>
      </c>
      <c r="E24" s="370"/>
      <c r="F24" s="39" t="str">
        <f>raw_data!D71</f>
        <v>N/A</v>
      </c>
      <c r="G24" s="40" t="str">
        <f>raw_data!E71</f>
        <v>N/A</v>
      </c>
      <c r="H24" s="26" t="str">
        <f>raw_data!F71</f>
        <v>N/A</v>
      </c>
    </row>
    <row r="25" spans="1:8" x14ac:dyDescent="0.25">
      <c r="A25" s="368" t="str">
        <f>raw_data!B72</f>
        <v>N/A</v>
      </c>
      <c r="B25" s="369"/>
      <c r="C25" s="369"/>
      <c r="D25" s="370" t="str">
        <f>raw_data!C72</f>
        <v>N/A</v>
      </c>
      <c r="E25" s="370"/>
      <c r="F25" s="39" t="str">
        <f>raw_data!D72</f>
        <v>N/A</v>
      </c>
      <c r="G25" s="40" t="str">
        <f>raw_data!E72</f>
        <v>N/A</v>
      </c>
      <c r="H25" s="26" t="str">
        <f>raw_data!F72</f>
        <v>N/A</v>
      </c>
    </row>
    <row r="26" spans="1:8" ht="15.75" thickBot="1" x14ac:dyDescent="0.3">
      <c r="A26" s="359" t="str">
        <f>raw_data!B73</f>
        <v>N/A</v>
      </c>
      <c r="B26" s="360"/>
      <c r="C26" s="360"/>
      <c r="D26" s="361" t="str">
        <f>raw_data!C73</f>
        <v>N/A</v>
      </c>
      <c r="E26" s="361"/>
      <c r="F26" s="41" t="str">
        <f>raw_data!D73</f>
        <v>N/A</v>
      </c>
      <c r="G26" s="42" t="str">
        <f>raw_data!E73</f>
        <v>N/A</v>
      </c>
      <c r="H26" s="30" t="str">
        <f>raw_data!F73</f>
        <v>N/A</v>
      </c>
    </row>
  </sheetData>
  <sheetProtection algorithmName="SHA-512" hashValue="ABU5qrkXxrbFHe8NGJ61Ci9/F6v9fXQhSxGTUKuN2NNMXhJOkwDkAFx3BI4Sfyj5pwnu0S0ivAXY12cw1wsZaQ==" saltValue="gzZJXwzPddvNdrFoargipg==" spinCount="100000" sheet="1" formatCells="0" formatColumns="0" formatRows="0" insertColumns="0" insertRows="0" insertHyperlinks="0" deleteColumns="0" deleteRows="0" sort="0" autoFilter="0" pivotTables="0"/>
  <mergeCells count="19">
    <mergeCell ref="B15:B18"/>
    <mergeCell ref="E15:E18"/>
    <mergeCell ref="A2:H2"/>
    <mergeCell ref="B5:B8"/>
    <mergeCell ref="E5:E8"/>
    <mergeCell ref="B10:B13"/>
    <mergeCell ref="E10:E13"/>
    <mergeCell ref="A24:C24"/>
    <mergeCell ref="D24:E24"/>
    <mergeCell ref="A25:C25"/>
    <mergeCell ref="D25:E25"/>
    <mergeCell ref="A26:C26"/>
    <mergeCell ref="D26:E26"/>
    <mergeCell ref="A20:H20"/>
    <mergeCell ref="A21:H21"/>
    <mergeCell ref="A22:C22"/>
    <mergeCell ref="D22:E22"/>
    <mergeCell ref="A23:C23"/>
    <mergeCell ref="D23:E23"/>
  </mergeCell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>
    <tabColor rgb="FF0070C0"/>
  </sheetPr>
  <dimension ref="A1:H16"/>
  <sheetViews>
    <sheetView workbookViewId="0">
      <selection activeCell="J27" sqref="J27"/>
    </sheetView>
  </sheetViews>
  <sheetFormatPr defaultRowHeight="15" x14ac:dyDescent="0.25"/>
  <cols>
    <col min="1" max="1" width="8.7109375" bestFit="1" customWidth="1"/>
    <col min="2" max="2" width="15.140625" bestFit="1" customWidth="1"/>
    <col min="3" max="3" width="13" customWidth="1"/>
    <col min="4" max="4" width="14" bestFit="1" customWidth="1"/>
    <col min="5" max="5" width="14.7109375" bestFit="1" customWidth="1"/>
    <col min="6" max="6" width="11.5703125" bestFit="1" customWidth="1"/>
    <col min="7" max="7" width="17.85546875" bestFit="1" customWidth="1"/>
    <col min="8" max="8" width="8.140625" customWidth="1"/>
  </cols>
  <sheetData>
    <row r="1" spans="1:8" ht="15.75" thickBot="1" x14ac:dyDescent="0.3"/>
    <row r="2" spans="1:8" ht="24" thickBot="1" x14ac:dyDescent="0.3">
      <c r="A2" s="539" t="s">
        <v>241</v>
      </c>
      <c r="B2" s="540"/>
      <c r="C2" s="540"/>
      <c r="D2" s="540"/>
      <c r="E2" s="540"/>
      <c r="F2" s="540"/>
      <c r="G2" s="540"/>
      <c r="H2" s="541"/>
    </row>
    <row r="3" spans="1:8" ht="15.75" thickBot="1" x14ac:dyDescent="0.3"/>
    <row r="4" spans="1:8" ht="15.75" thickBot="1" x14ac:dyDescent="0.3">
      <c r="A4" s="240" t="s">
        <v>0</v>
      </c>
      <c r="B4" s="241" t="s">
        <v>208</v>
      </c>
      <c r="C4" s="241" t="s">
        <v>1</v>
      </c>
      <c r="D4" s="242" t="s">
        <v>2</v>
      </c>
      <c r="E4" s="241" t="s">
        <v>8</v>
      </c>
      <c r="F4" s="241" t="s">
        <v>3</v>
      </c>
      <c r="G4" s="243" t="s">
        <v>4</v>
      </c>
      <c r="H4" s="244" t="s">
        <v>5</v>
      </c>
    </row>
    <row r="5" spans="1:8" x14ac:dyDescent="0.25">
      <c r="A5" s="48" t="str">
        <f>raw_data!A90</f>
        <v>500-1747</v>
      </c>
      <c r="B5" s="366" t="s">
        <v>80</v>
      </c>
      <c r="C5" s="49" t="str">
        <f>raw_data!B90</f>
        <v>052825MMM</v>
      </c>
      <c r="D5" s="50">
        <f>raw_data!C90</f>
        <v>46535</v>
      </c>
      <c r="E5" s="366" t="s">
        <v>228</v>
      </c>
      <c r="F5" s="49" t="str">
        <f>raw_data!D90</f>
        <v>11 RÖR</v>
      </c>
      <c r="G5" s="50">
        <f>raw_data!E90</f>
        <v>45947</v>
      </c>
      <c r="H5" s="52" t="str">
        <f>raw_data!F90</f>
        <v>ELS</v>
      </c>
    </row>
    <row r="6" spans="1:8" x14ac:dyDescent="0.25">
      <c r="A6" s="8" t="str">
        <f>raw_data!A91</f>
        <v>500-1747</v>
      </c>
      <c r="B6" s="369"/>
      <c r="C6" s="39" t="str">
        <f>raw_data!B91</f>
        <v>N/A</v>
      </c>
      <c r="D6" s="40" t="str">
        <f>raw_data!C91</f>
        <v>N/A</v>
      </c>
      <c r="E6" s="369"/>
      <c r="F6" s="39" t="str">
        <f>raw_data!D91</f>
        <v>N/A</v>
      </c>
      <c r="G6" s="40" t="str">
        <f>raw_data!E91</f>
        <v>N/A</v>
      </c>
      <c r="H6" s="26" t="str">
        <f>raw_data!F91</f>
        <v>N/A</v>
      </c>
    </row>
    <row r="7" spans="1:8" x14ac:dyDescent="0.25">
      <c r="A7" s="8" t="str">
        <f>raw_data!A92</f>
        <v>500-1747</v>
      </c>
      <c r="B7" s="369"/>
      <c r="C7" s="39" t="str">
        <f>raw_data!B92</f>
        <v>N/A</v>
      </c>
      <c r="D7" s="40" t="str">
        <f>raw_data!C92</f>
        <v>N/A</v>
      </c>
      <c r="E7" s="369"/>
      <c r="F7" s="39" t="str">
        <f>raw_data!D92</f>
        <v>N/A</v>
      </c>
      <c r="G7" s="40" t="str">
        <f>raw_data!E92</f>
        <v>N/A</v>
      </c>
      <c r="H7" s="26" t="str">
        <f>raw_data!F92</f>
        <v>N/A</v>
      </c>
    </row>
    <row r="8" spans="1:8" ht="15.75" thickBot="1" x14ac:dyDescent="0.3">
      <c r="A8" s="29" t="str">
        <f>raw_data!A93</f>
        <v>500-1747</v>
      </c>
      <c r="B8" s="360"/>
      <c r="C8" s="41" t="str">
        <f>raw_data!B93</f>
        <v>N/A</v>
      </c>
      <c r="D8" s="42" t="str">
        <f>raw_data!C93</f>
        <v>N/A</v>
      </c>
      <c r="E8" s="360"/>
      <c r="F8" s="41" t="str">
        <f>raw_data!D93</f>
        <v>N/A</v>
      </c>
      <c r="G8" s="42" t="str">
        <f>raw_data!E93</f>
        <v>N/A</v>
      </c>
      <c r="H8" s="30" t="str">
        <f>raw_data!F93</f>
        <v>N/A</v>
      </c>
    </row>
    <row r="9" spans="1:8" ht="15.75" thickBot="1" x14ac:dyDescent="0.3"/>
    <row r="10" spans="1:8" ht="24" thickBot="1" x14ac:dyDescent="0.3">
      <c r="A10" s="428" t="s">
        <v>240</v>
      </c>
      <c r="B10" s="460"/>
      <c r="C10" s="460"/>
      <c r="D10" s="460"/>
      <c r="E10" s="460"/>
      <c r="F10" s="460"/>
      <c r="G10" s="460"/>
      <c r="H10" s="461"/>
    </row>
    <row r="11" spans="1:8" ht="15.75" thickBot="1" x14ac:dyDescent="0.3">
      <c r="A11" s="462" t="s">
        <v>206</v>
      </c>
      <c r="B11" s="463"/>
      <c r="C11" s="463"/>
      <c r="D11" s="463"/>
      <c r="E11" s="463"/>
      <c r="F11" s="463"/>
      <c r="G11" s="463"/>
      <c r="H11" s="464"/>
    </row>
    <row r="12" spans="1:8" ht="15.75" thickBot="1" x14ac:dyDescent="0.3">
      <c r="A12" s="362" t="s">
        <v>209</v>
      </c>
      <c r="B12" s="363"/>
      <c r="C12" s="363"/>
      <c r="D12" s="364" t="s">
        <v>2</v>
      </c>
      <c r="E12" s="364"/>
      <c r="F12" s="56" t="s">
        <v>205</v>
      </c>
      <c r="G12" s="57" t="s">
        <v>4</v>
      </c>
      <c r="H12" s="58" t="s">
        <v>5</v>
      </c>
    </row>
    <row r="13" spans="1:8" x14ac:dyDescent="0.25">
      <c r="A13" s="365">
        <f>raw_data!B42</f>
        <v>1001496372</v>
      </c>
      <c r="B13" s="366"/>
      <c r="C13" s="366"/>
      <c r="D13" s="367">
        <f>raw_data!C42</f>
        <v>46064</v>
      </c>
      <c r="E13" s="367"/>
      <c r="F13" s="50" t="str">
        <f>raw_data!D42</f>
        <v>10 L</v>
      </c>
      <c r="G13" s="50">
        <f>raw_data!E42</f>
        <v>45950</v>
      </c>
      <c r="H13" s="52" t="str">
        <f>raw_data!F42</f>
        <v>JESP</v>
      </c>
    </row>
    <row r="14" spans="1:8" x14ac:dyDescent="0.25">
      <c r="A14" s="368" t="str">
        <f>raw_data!B43</f>
        <v>N/A</v>
      </c>
      <c r="B14" s="369"/>
      <c r="C14" s="369"/>
      <c r="D14" s="370" t="str">
        <f>raw_data!C43</f>
        <v>N/A</v>
      </c>
      <c r="E14" s="370"/>
      <c r="F14" s="40" t="str">
        <f>raw_data!D43</f>
        <v>N/A</v>
      </c>
      <c r="G14" s="40" t="str">
        <f>raw_data!E43</f>
        <v>N/A</v>
      </c>
      <c r="H14" s="26" t="str">
        <f>raw_data!F43</f>
        <v>N/A</v>
      </c>
    </row>
    <row r="15" spans="1:8" x14ac:dyDescent="0.25">
      <c r="A15" s="368" t="str">
        <f>raw_data!B44</f>
        <v>N/A</v>
      </c>
      <c r="B15" s="369"/>
      <c r="C15" s="369"/>
      <c r="D15" s="370" t="str">
        <f>raw_data!C44</f>
        <v>N/A</v>
      </c>
      <c r="E15" s="370"/>
      <c r="F15" s="40" t="str">
        <f>raw_data!D44</f>
        <v>N/A</v>
      </c>
      <c r="G15" s="40" t="str">
        <f>raw_data!E44</f>
        <v>N/A</v>
      </c>
      <c r="H15" s="26" t="str">
        <f>raw_data!F44</f>
        <v>N/A</v>
      </c>
    </row>
    <row r="16" spans="1:8" ht="15.75" thickBot="1" x14ac:dyDescent="0.3">
      <c r="A16" s="359" t="str">
        <f>raw_data!B45</f>
        <v>N/A</v>
      </c>
      <c r="B16" s="360"/>
      <c r="C16" s="360"/>
      <c r="D16" s="361" t="str">
        <f>raw_data!C45</f>
        <v>N/A</v>
      </c>
      <c r="E16" s="361"/>
      <c r="F16" s="42" t="str">
        <f>raw_data!D45</f>
        <v>N/A</v>
      </c>
      <c r="G16" s="42" t="str">
        <f>raw_data!E45</f>
        <v>N/A</v>
      </c>
      <c r="H16" s="30" t="str">
        <f>raw_data!F45</f>
        <v>N/A</v>
      </c>
    </row>
  </sheetData>
  <sheetProtection algorithmName="SHA-512" hashValue="cqsFap8vBNE5Fi3WoG+eqI+65w8dpHt/0Bw65nMZoXmqI9sB+pmvwh/v+L225yevxRKOdKLiH8XVHIbFkAT7+w==" saltValue="GA7b90cy1dh6wgJP+ios9w==" spinCount="100000" sheet="1" formatCells="0" formatColumns="0" formatRows="0" insertColumns="0" insertRows="0" insertHyperlinks="0" deleteColumns="0" deleteRows="0" sort="0" autoFilter="0" pivotTables="0"/>
  <mergeCells count="15">
    <mergeCell ref="A16:C16"/>
    <mergeCell ref="D16:E16"/>
    <mergeCell ref="A13:C13"/>
    <mergeCell ref="D13:E13"/>
    <mergeCell ref="A14:C14"/>
    <mergeCell ref="D14:E14"/>
    <mergeCell ref="A15:C15"/>
    <mergeCell ref="D15:E15"/>
    <mergeCell ref="A12:C12"/>
    <mergeCell ref="D12:E12"/>
    <mergeCell ref="A2:H2"/>
    <mergeCell ref="B5:B8"/>
    <mergeCell ref="E5:E8"/>
    <mergeCell ref="A10:H10"/>
    <mergeCell ref="A11:H11"/>
  </mergeCells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>
    <tabColor rgb="FF00B050"/>
  </sheetPr>
  <dimension ref="A1:H23"/>
  <sheetViews>
    <sheetView workbookViewId="0"/>
  </sheetViews>
  <sheetFormatPr defaultRowHeight="15" x14ac:dyDescent="0.25"/>
  <cols>
    <col min="1" max="1" width="9.7109375" bestFit="1" customWidth="1"/>
    <col min="2" max="2" width="27.140625" bestFit="1" customWidth="1"/>
    <col min="3" max="3" width="14.425781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7.7109375" customWidth="1"/>
  </cols>
  <sheetData>
    <row r="1" spans="1:8" ht="15.75" thickBot="1" x14ac:dyDescent="0.3"/>
    <row r="2" spans="1:8" ht="24" thickBot="1" x14ac:dyDescent="0.3">
      <c r="A2" s="542" t="s">
        <v>116</v>
      </c>
      <c r="B2" s="543"/>
      <c r="C2" s="543"/>
      <c r="D2" s="543"/>
      <c r="E2" s="543"/>
      <c r="F2" s="543"/>
      <c r="G2" s="543"/>
      <c r="H2" s="544"/>
    </row>
    <row r="3" spans="1:8" ht="15.75" thickBot="1" x14ac:dyDescent="0.3"/>
    <row r="4" spans="1:8" ht="15.75" thickBot="1" x14ac:dyDescent="0.3">
      <c r="A4" s="245" t="s">
        <v>0</v>
      </c>
      <c r="B4" s="246" t="s">
        <v>208</v>
      </c>
      <c r="C4" s="246" t="s">
        <v>1</v>
      </c>
      <c r="D4" s="247" t="s">
        <v>2</v>
      </c>
      <c r="E4" s="246" t="s">
        <v>8</v>
      </c>
      <c r="F4" s="246" t="s">
        <v>3</v>
      </c>
      <c r="G4" s="248" t="s">
        <v>4</v>
      </c>
      <c r="H4" s="249" t="s">
        <v>5</v>
      </c>
    </row>
    <row r="5" spans="1:8" x14ac:dyDescent="0.25">
      <c r="A5" s="48" t="str">
        <f>raw_data!A246</f>
        <v>525-00136</v>
      </c>
      <c r="B5" s="366" t="s">
        <v>244</v>
      </c>
      <c r="C5" s="49" t="str">
        <f>raw_data!B246</f>
        <v>060325Masa</v>
      </c>
      <c r="D5" s="50">
        <f>raw_data!C246</f>
        <v>46006</v>
      </c>
      <c r="E5" s="366" t="s">
        <v>227</v>
      </c>
      <c r="F5" s="49" t="str">
        <f>raw_data!D246</f>
        <v>11 rör</v>
      </c>
      <c r="G5" s="50">
        <f>raw_data!E246</f>
        <v>45985</v>
      </c>
      <c r="H5" s="52" t="str">
        <f>raw_data!F246</f>
        <v>ELS</v>
      </c>
    </row>
    <row r="6" spans="1:8" x14ac:dyDescent="0.25">
      <c r="A6" s="8" t="str">
        <f>raw_data!A247</f>
        <v>525-00136</v>
      </c>
      <c r="B6" s="369"/>
      <c r="C6" s="39" t="str">
        <f>raw_data!B247</f>
        <v>N/A</v>
      </c>
      <c r="D6" s="40" t="str">
        <f>raw_data!C247</f>
        <v>N/A</v>
      </c>
      <c r="E6" s="369"/>
      <c r="F6" s="39" t="str">
        <f>raw_data!D247</f>
        <v>N/A</v>
      </c>
      <c r="G6" s="40" t="str">
        <f>raw_data!E247</f>
        <v>N/A</v>
      </c>
      <c r="H6" s="26" t="str">
        <f>raw_data!F247</f>
        <v>N/A</v>
      </c>
    </row>
    <row r="7" spans="1:8" x14ac:dyDescent="0.25">
      <c r="A7" s="8" t="str">
        <f>raw_data!A248</f>
        <v>525-00136</v>
      </c>
      <c r="B7" s="369"/>
      <c r="C7" s="39" t="str">
        <f>raw_data!B248</f>
        <v>N/A</v>
      </c>
      <c r="D7" s="40" t="str">
        <f>raw_data!C248</f>
        <v>N/A</v>
      </c>
      <c r="E7" s="369"/>
      <c r="F7" s="39" t="str">
        <f>raw_data!D248</f>
        <v>N/A</v>
      </c>
      <c r="G7" s="40" t="str">
        <f>raw_data!E248</f>
        <v>N/A</v>
      </c>
      <c r="H7" s="26" t="str">
        <f>raw_data!F248</f>
        <v>N/A</v>
      </c>
    </row>
    <row r="8" spans="1:8" ht="15.75" thickBot="1" x14ac:dyDescent="0.3">
      <c r="A8" s="29" t="str">
        <f>raw_data!A249</f>
        <v>525-00136</v>
      </c>
      <c r="B8" s="360"/>
      <c r="C8" s="41" t="str">
        <f>raw_data!B249</f>
        <v>N/A</v>
      </c>
      <c r="D8" s="42" t="str">
        <f>raw_data!C249</f>
        <v>N/A</v>
      </c>
      <c r="E8" s="360"/>
      <c r="F8" s="41" t="str">
        <f>raw_data!D249</f>
        <v>N/A</v>
      </c>
      <c r="G8" s="42" t="str">
        <f>raw_data!E249</f>
        <v>N/A</v>
      </c>
      <c r="H8" s="30" t="str">
        <f>raw_data!F249</f>
        <v>N/A</v>
      </c>
    </row>
    <row r="9" spans="1:8" ht="15.75" thickBot="1" x14ac:dyDescent="0.3">
      <c r="A9" s="250" t="s">
        <v>0</v>
      </c>
      <c r="B9" s="251" t="s">
        <v>208</v>
      </c>
      <c r="C9" s="251" t="s">
        <v>1</v>
      </c>
      <c r="D9" s="252" t="s">
        <v>2</v>
      </c>
      <c r="E9" s="251" t="s">
        <v>8</v>
      </c>
      <c r="F9" s="251" t="s">
        <v>3</v>
      </c>
      <c r="G9" s="253" t="s">
        <v>4</v>
      </c>
      <c r="H9" s="254" t="s">
        <v>5</v>
      </c>
    </row>
    <row r="10" spans="1:8" x14ac:dyDescent="0.25">
      <c r="A10" s="48" t="str">
        <f>raw_data!A154</f>
        <v>525-00038</v>
      </c>
      <c r="B10" s="443" t="s">
        <v>242</v>
      </c>
      <c r="C10" s="49" t="str">
        <f>raw_data!B154</f>
        <v>N/A</v>
      </c>
      <c r="D10" s="50" t="str">
        <f>raw_data!C154</f>
        <v>N/A</v>
      </c>
      <c r="E10" s="366" t="s">
        <v>229</v>
      </c>
      <c r="F10" s="49" t="str">
        <f>raw_data!D154</f>
        <v>N/A</v>
      </c>
      <c r="G10" s="50" t="str">
        <f>raw_data!E154</f>
        <v>N/A</v>
      </c>
      <c r="H10" s="52" t="str">
        <f>raw_data!F154</f>
        <v>N/A</v>
      </c>
    </row>
    <row r="11" spans="1:8" x14ac:dyDescent="0.25">
      <c r="A11" s="8" t="str">
        <f>raw_data!A155</f>
        <v>525-00038</v>
      </c>
      <c r="B11" s="369"/>
      <c r="C11" s="39" t="str">
        <f>raw_data!B155</f>
        <v>N/A</v>
      </c>
      <c r="D11" s="40" t="str">
        <f>raw_data!C155</f>
        <v>N/A</v>
      </c>
      <c r="E11" s="369"/>
      <c r="F11" s="39" t="str">
        <f>raw_data!D155</f>
        <v>N/A</v>
      </c>
      <c r="G11" s="40" t="str">
        <f>raw_data!E155</f>
        <v>N/A</v>
      </c>
      <c r="H11" s="26" t="str">
        <f>raw_data!F155</f>
        <v>N/A</v>
      </c>
    </row>
    <row r="12" spans="1:8" x14ac:dyDescent="0.25">
      <c r="A12" s="8" t="str">
        <f>raw_data!A156</f>
        <v>525-00038</v>
      </c>
      <c r="B12" s="369"/>
      <c r="C12" s="39" t="str">
        <f>raw_data!B156</f>
        <v>N/A</v>
      </c>
      <c r="D12" s="40" t="str">
        <f>raw_data!C156</f>
        <v>N/A</v>
      </c>
      <c r="E12" s="369"/>
      <c r="F12" s="39" t="str">
        <f>raw_data!D156</f>
        <v>N/A</v>
      </c>
      <c r="G12" s="40" t="str">
        <f>raw_data!E156</f>
        <v>N/A</v>
      </c>
      <c r="H12" s="26" t="str">
        <f>raw_data!F156</f>
        <v>N/A</v>
      </c>
    </row>
    <row r="13" spans="1:8" ht="15.75" thickBot="1" x14ac:dyDescent="0.3">
      <c r="A13" s="29" t="str">
        <f>raw_data!A157</f>
        <v>525-00038</v>
      </c>
      <c r="B13" s="360"/>
      <c r="C13" s="41" t="str">
        <f>raw_data!B157</f>
        <v>N/A</v>
      </c>
      <c r="D13" s="42" t="str">
        <f>raw_data!C157</f>
        <v>N/A</v>
      </c>
      <c r="E13" s="360"/>
      <c r="F13" s="41" t="str">
        <f>raw_data!D157</f>
        <v>N/A</v>
      </c>
      <c r="G13" s="42" t="str">
        <f>raw_data!E157</f>
        <v>N/A</v>
      </c>
      <c r="H13" s="30" t="str">
        <f>raw_data!F157</f>
        <v>N/A</v>
      </c>
    </row>
    <row r="14" spans="1:8" ht="15.75" thickBot="1" x14ac:dyDescent="0.3">
      <c r="A14" s="338" t="s">
        <v>0</v>
      </c>
      <c r="B14" s="339" t="s">
        <v>208</v>
      </c>
      <c r="C14" s="339" t="s">
        <v>1</v>
      </c>
      <c r="D14" s="340" t="s">
        <v>2</v>
      </c>
      <c r="E14" s="339" t="s">
        <v>8</v>
      </c>
      <c r="F14" s="339" t="s">
        <v>3</v>
      </c>
      <c r="G14" s="341" t="s">
        <v>4</v>
      </c>
      <c r="H14" s="342" t="s">
        <v>5</v>
      </c>
    </row>
    <row r="15" spans="1:8" x14ac:dyDescent="0.25">
      <c r="A15" s="324" t="str">
        <f>raw_data!A294</f>
        <v>525-00327</v>
      </c>
      <c r="B15" s="505" t="s">
        <v>243</v>
      </c>
      <c r="C15" s="266" t="str">
        <f>raw_data!B294</f>
        <v>022025VW</v>
      </c>
      <c r="D15" s="38">
        <f>raw_data!C294</f>
        <v>46073</v>
      </c>
      <c r="E15" s="423" t="s">
        <v>219</v>
      </c>
      <c r="F15" s="325" t="str">
        <f>raw_data!D294</f>
        <v>0.5 låda</v>
      </c>
      <c r="G15" s="40">
        <f>raw_data!E294</f>
        <v>45986</v>
      </c>
      <c r="H15" s="37" t="str">
        <f>raw_data!F294</f>
        <v>ELS</v>
      </c>
    </row>
    <row r="16" spans="1:8" x14ac:dyDescent="0.25">
      <c r="A16" s="324" t="str">
        <f>raw_data!A295</f>
        <v>525-00327</v>
      </c>
      <c r="B16" s="506"/>
      <c r="C16" s="266" t="str">
        <f>raw_data!B295</f>
        <v>021725ELIF</v>
      </c>
      <c r="D16" s="38">
        <f>raw_data!C295</f>
        <v>46070</v>
      </c>
      <c r="E16" s="369"/>
      <c r="F16" s="325">
        <f>raw_data!D295</f>
        <v>0.5</v>
      </c>
      <c r="G16" s="40">
        <f>raw_data!E295</f>
        <v>45986</v>
      </c>
      <c r="H16" s="37" t="str">
        <f>raw_data!F295</f>
        <v>ELS</v>
      </c>
    </row>
    <row r="17" spans="1:8" x14ac:dyDescent="0.25">
      <c r="A17" s="324" t="str">
        <f>raw_data!A296</f>
        <v>525-00327</v>
      </c>
      <c r="B17" s="506"/>
      <c r="C17" s="266" t="str">
        <f>raw_data!B296</f>
        <v>N/A</v>
      </c>
      <c r="D17" s="38" t="str">
        <f>raw_data!C296</f>
        <v>N/A</v>
      </c>
      <c r="E17" s="369"/>
      <c r="F17" s="325" t="str">
        <f>raw_data!D296</f>
        <v>N/A</v>
      </c>
      <c r="G17" s="40" t="str">
        <f>raw_data!E296</f>
        <v>N/A</v>
      </c>
      <c r="H17" s="37" t="str">
        <f>raw_data!F296</f>
        <v>N/A</v>
      </c>
    </row>
    <row r="18" spans="1:8" ht="15.75" thickBot="1" x14ac:dyDescent="0.3">
      <c r="A18" s="324" t="str">
        <f>raw_data!A297</f>
        <v>525-00327</v>
      </c>
      <c r="B18" s="507"/>
      <c r="C18" s="266" t="str">
        <f>raw_data!B297</f>
        <v>N/A</v>
      </c>
      <c r="D18" s="38" t="str">
        <f>raw_data!C297</f>
        <v>N/A</v>
      </c>
      <c r="E18" s="360"/>
      <c r="F18" s="325" t="str">
        <f>raw_data!D297</f>
        <v>N/A</v>
      </c>
      <c r="G18" s="40" t="str">
        <f>raw_data!E297</f>
        <v>N/A</v>
      </c>
      <c r="H18" s="37" t="str">
        <f>raw_data!F297</f>
        <v>N/A</v>
      </c>
    </row>
    <row r="19" spans="1:8" ht="15.75" thickBot="1" x14ac:dyDescent="0.3">
      <c r="A19" s="250" t="s">
        <v>0</v>
      </c>
      <c r="B19" s="251" t="s">
        <v>208</v>
      </c>
      <c r="C19" s="251" t="s">
        <v>1</v>
      </c>
      <c r="D19" s="252" t="s">
        <v>2</v>
      </c>
      <c r="E19" s="251" t="s">
        <v>8</v>
      </c>
      <c r="F19" s="251" t="s">
        <v>3</v>
      </c>
      <c r="G19" s="253" t="s">
        <v>4</v>
      </c>
      <c r="H19" s="254" t="s">
        <v>5</v>
      </c>
    </row>
    <row r="20" spans="1:8" x14ac:dyDescent="0.25">
      <c r="A20" s="48" t="str">
        <f>raw_data!A250</f>
        <v>525-00137</v>
      </c>
      <c r="B20" s="366" t="s">
        <v>167</v>
      </c>
      <c r="C20" s="49" t="str">
        <f>raw_data!B250</f>
        <v>042325Masa</v>
      </c>
      <c r="D20" s="50">
        <f>raw_data!C250</f>
        <v>46023</v>
      </c>
      <c r="E20" s="366" t="s">
        <v>226</v>
      </c>
      <c r="F20" s="49" t="str">
        <f>raw_data!D250</f>
        <v>0,5 låda</v>
      </c>
      <c r="G20" s="50">
        <f>raw_data!E250</f>
        <v>45985</v>
      </c>
      <c r="H20" s="52" t="str">
        <f>raw_data!F250</f>
        <v>ELS</v>
      </c>
    </row>
    <row r="21" spans="1:8" x14ac:dyDescent="0.25">
      <c r="A21" s="8" t="str">
        <f>raw_data!A251</f>
        <v>525-00137</v>
      </c>
      <c r="B21" s="369"/>
      <c r="C21" s="39" t="str">
        <f>raw_data!B251</f>
        <v>051325ELIF</v>
      </c>
      <c r="D21" s="40">
        <f>raw_data!C251</f>
        <v>46023</v>
      </c>
      <c r="E21" s="369"/>
      <c r="F21" s="39" t="str">
        <f>raw_data!D251</f>
        <v>0.5 låda</v>
      </c>
      <c r="G21" s="40">
        <f>raw_data!E251</f>
        <v>45944</v>
      </c>
      <c r="H21" s="26" t="str">
        <f>raw_data!F251</f>
        <v>vdao</v>
      </c>
    </row>
    <row r="22" spans="1:8" x14ac:dyDescent="0.25">
      <c r="A22" s="8" t="str">
        <f>raw_data!A252</f>
        <v>525-00137</v>
      </c>
      <c r="B22" s="369"/>
      <c r="C22" s="39" t="str">
        <f>raw_data!B252</f>
        <v>N/A</v>
      </c>
      <c r="D22" s="40" t="str">
        <f>raw_data!C252</f>
        <v>N/A</v>
      </c>
      <c r="E22" s="369"/>
      <c r="F22" s="39" t="str">
        <f>raw_data!D252</f>
        <v>N/A</v>
      </c>
      <c r="G22" s="40" t="str">
        <f>raw_data!E252</f>
        <v>N/A</v>
      </c>
      <c r="H22" s="26" t="str">
        <f>raw_data!F252</f>
        <v>N/A</v>
      </c>
    </row>
    <row r="23" spans="1:8" ht="15.75" thickBot="1" x14ac:dyDescent="0.3">
      <c r="A23" s="29" t="str">
        <f>raw_data!A253</f>
        <v>525-00137</v>
      </c>
      <c r="B23" s="360"/>
      <c r="C23" s="41" t="str">
        <f>raw_data!B253</f>
        <v>N/A</v>
      </c>
      <c r="D23" s="42" t="str">
        <f>raw_data!C253</f>
        <v>N/A</v>
      </c>
      <c r="E23" s="360"/>
      <c r="F23" s="41" t="str">
        <f>raw_data!D253</f>
        <v>N/A</v>
      </c>
      <c r="G23" s="42" t="str">
        <f>raw_data!E253</f>
        <v>N/A</v>
      </c>
      <c r="H23" s="30" t="str">
        <f>raw_data!F253</f>
        <v>N/A</v>
      </c>
    </row>
  </sheetData>
  <sheetProtection algorithmName="SHA-512" hashValue="yNqeJdDTpm+XKE+lbNYH3Ftj2aZcNl0IycJ0U1+AL/6qxQgfORWCHsBjoycRhulq4AjCCuG/yBqwGDNbnxttcg==" saltValue="ykyF1WEb8VcYmuqncsYmDA==" spinCount="100000" sheet="1" formatCells="0" formatColumns="0" formatRows="0" insertColumns="0" insertRows="0" insertHyperlinks="0" deleteColumns="0" deleteRows="0" sort="0" autoFilter="0" pivotTables="0"/>
  <mergeCells count="9">
    <mergeCell ref="B20:B23"/>
    <mergeCell ref="E20:E23"/>
    <mergeCell ref="A2:H2"/>
    <mergeCell ref="B5:B8"/>
    <mergeCell ref="E5:E8"/>
    <mergeCell ref="B10:B13"/>
    <mergeCell ref="E10:E13"/>
    <mergeCell ref="B15:B18"/>
    <mergeCell ref="E15:E18"/>
  </mergeCells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>
    <tabColor theme="9" tint="0.79998168889431442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7.140625" bestFit="1" customWidth="1"/>
    <col min="3" max="3" width="13.285156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7.7109375" customWidth="1"/>
  </cols>
  <sheetData>
    <row r="1" spans="1:8" ht="15.75" thickBot="1" x14ac:dyDescent="0.3"/>
    <row r="2" spans="1:8" ht="24" thickBot="1" x14ac:dyDescent="0.3">
      <c r="A2" s="533" t="s">
        <v>245</v>
      </c>
      <c r="B2" s="534"/>
      <c r="C2" s="534"/>
      <c r="D2" s="534"/>
      <c r="E2" s="534"/>
      <c r="F2" s="534"/>
      <c r="G2" s="534"/>
      <c r="H2" s="535"/>
    </row>
    <row r="3" spans="1:8" ht="15.75" thickBot="1" x14ac:dyDescent="0.3"/>
    <row r="4" spans="1:8" ht="15.75" thickBot="1" x14ac:dyDescent="0.3">
      <c r="A4" s="201" t="s">
        <v>0</v>
      </c>
      <c r="B4" s="202" t="s">
        <v>208</v>
      </c>
      <c r="C4" s="202" t="s">
        <v>1</v>
      </c>
      <c r="D4" s="203" t="s">
        <v>2</v>
      </c>
      <c r="E4" s="202" t="s">
        <v>8</v>
      </c>
      <c r="F4" s="202" t="s">
        <v>3</v>
      </c>
      <c r="G4" s="204" t="s">
        <v>4</v>
      </c>
      <c r="H4" s="205" t="s">
        <v>5</v>
      </c>
    </row>
    <row r="5" spans="1:8" x14ac:dyDescent="0.25">
      <c r="A5" s="48" t="str">
        <f>raw_data!A194</f>
        <v>525-00090</v>
      </c>
      <c r="B5" s="366" t="s">
        <v>138</v>
      </c>
      <c r="C5" s="49" t="str">
        <f>raw_data!B194</f>
        <v>071625Masa</v>
      </c>
      <c r="D5" s="50">
        <f>raw_data!C194</f>
        <v>46174</v>
      </c>
      <c r="E5" s="366" t="s">
        <v>227</v>
      </c>
      <c r="F5" s="49" t="str">
        <f>raw_data!D194</f>
        <v>16 rör</v>
      </c>
      <c r="G5" s="50">
        <f>raw_data!E194</f>
        <v>45943</v>
      </c>
      <c r="H5" s="52" t="str">
        <f>raw_data!F194</f>
        <v>ELS</v>
      </c>
    </row>
    <row r="6" spans="1:8" x14ac:dyDescent="0.25">
      <c r="A6" s="8" t="str">
        <f>raw_data!A195</f>
        <v>525-00090</v>
      </c>
      <c r="B6" s="369"/>
      <c r="C6" s="39" t="str">
        <f>raw_data!B195</f>
        <v>N/A</v>
      </c>
      <c r="D6" s="40" t="str">
        <f>raw_data!C195</f>
        <v>N/A</v>
      </c>
      <c r="E6" s="369"/>
      <c r="F6" s="39" t="str">
        <f>raw_data!D195</f>
        <v>N/A</v>
      </c>
      <c r="G6" s="40" t="str">
        <f>raw_data!E195</f>
        <v>N/A</v>
      </c>
      <c r="H6" s="26" t="str">
        <f>raw_data!F195</f>
        <v>N/A</v>
      </c>
    </row>
    <row r="7" spans="1:8" x14ac:dyDescent="0.25">
      <c r="A7" s="8" t="str">
        <f>raw_data!A196</f>
        <v>525-00090</v>
      </c>
      <c r="B7" s="369"/>
      <c r="C7" s="39" t="str">
        <f>raw_data!B196</f>
        <v>N/A</v>
      </c>
      <c r="D7" s="40" t="str">
        <f>raw_data!C196</f>
        <v>N/A</v>
      </c>
      <c r="E7" s="369"/>
      <c r="F7" s="39" t="str">
        <f>raw_data!D196</f>
        <v>N/A</v>
      </c>
      <c r="G7" s="40" t="str">
        <f>raw_data!E196</f>
        <v>N/A</v>
      </c>
      <c r="H7" s="26" t="str">
        <f>raw_data!F196</f>
        <v>N/A</v>
      </c>
    </row>
    <row r="8" spans="1:8" ht="15.75" thickBot="1" x14ac:dyDescent="0.3">
      <c r="A8" s="29" t="str">
        <f>raw_data!A197</f>
        <v>525-00090</v>
      </c>
      <c r="B8" s="360"/>
      <c r="C8" s="41" t="str">
        <f>raw_data!B197</f>
        <v>N/A</v>
      </c>
      <c r="D8" s="42" t="str">
        <f>raw_data!C197</f>
        <v>N/A</v>
      </c>
      <c r="E8" s="360"/>
      <c r="F8" s="41" t="str">
        <f>raw_data!D197</f>
        <v>N/A</v>
      </c>
      <c r="G8" s="42" t="str">
        <f>raw_data!E197</f>
        <v>N/A</v>
      </c>
      <c r="H8" s="30" t="str">
        <f>raw_data!F197</f>
        <v>N/A</v>
      </c>
    </row>
    <row r="9" spans="1:8" ht="15.75" thickBot="1" x14ac:dyDescent="0.3">
      <c r="A9" s="206" t="s">
        <v>0</v>
      </c>
      <c r="B9" s="207" t="s">
        <v>208</v>
      </c>
      <c r="C9" s="207" t="s">
        <v>1</v>
      </c>
      <c r="D9" s="208" t="s">
        <v>2</v>
      </c>
      <c r="E9" s="207" t="s">
        <v>8</v>
      </c>
      <c r="F9" s="207" t="s">
        <v>3</v>
      </c>
      <c r="G9" s="209" t="s">
        <v>4</v>
      </c>
      <c r="H9" s="210" t="s">
        <v>5</v>
      </c>
    </row>
    <row r="10" spans="1:8" x14ac:dyDescent="0.25">
      <c r="A10" s="48" t="str">
        <f>raw_data!A190</f>
        <v>525-00089</v>
      </c>
      <c r="B10" s="366" t="s">
        <v>136</v>
      </c>
      <c r="C10" s="49" t="str">
        <f>raw_data!B190</f>
        <v>081925Masa</v>
      </c>
      <c r="D10" s="50">
        <f>raw_data!C190</f>
        <v>46174</v>
      </c>
      <c r="E10" s="366" t="s">
        <v>226</v>
      </c>
      <c r="F10" s="49" t="str">
        <f>raw_data!D190</f>
        <v>23 rör</v>
      </c>
      <c r="G10" s="50">
        <f>raw_data!E190</f>
        <v>45985</v>
      </c>
      <c r="H10" s="52" t="str">
        <f>raw_data!F190</f>
        <v>ELS</v>
      </c>
    </row>
    <row r="11" spans="1:8" x14ac:dyDescent="0.25">
      <c r="A11" s="8" t="str">
        <f>raw_data!A191</f>
        <v>525-00089</v>
      </c>
      <c r="B11" s="369"/>
      <c r="C11" s="39" t="str">
        <f>raw_data!B191</f>
        <v>N/A</v>
      </c>
      <c r="D11" s="40" t="str">
        <f>raw_data!C191</f>
        <v>N/A</v>
      </c>
      <c r="E11" s="369"/>
      <c r="F11" s="39" t="str">
        <f>raw_data!D191</f>
        <v>N/A</v>
      </c>
      <c r="G11" s="40" t="str">
        <f>raw_data!E191</f>
        <v>N/A</v>
      </c>
      <c r="H11" s="26" t="str">
        <f>raw_data!F191</f>
        <v>N/A</v>
      </c>
    </row>
    <row r="12" spans="1:8" x14ac:dyDescent="0.25">
      <c r="A12" s="8" t="str">
        <f>raw_data!A192</f>
        <v>525-00089</v>
      </c>
      <c r="B12" s="369"/>
      <c r="C12" s="39" t="str">
        <f>raw_data!B192</f>
        <v>N/A</v>
      </c>
      <c r="D12" s="40" t="str">
        <f>raw_data!C192</f>
        <v>N/A</v>
      </c>
      <c r="E12" s="369"/>
      <c r="F12" s="39" t="str">
        <f>raw_data!D192</f>
        <v>N/A</v>
      </c>
      <c r="G12" s="40" t="str">
        <f>raw_data!E192</f>
        <v>N/A</v>
      </c>
      <c r="H12" s="26" t="str">
        <f>raw_data!F192</f>
        <v>N/A</v>
      </c>
    </row>
    <row r="13" spans="1:8" ht="15.75" thickBot="1" x14ac:dyDescent="0.3">
      <c r="A13" s="29" t="str">
        <f>raw_data!A193</f>
        <v>525-00089</v>
      </c>
      <c r="B13" s="360"/>
      <c r="C13" s="41" t="str">
        <f>raw_data!B193</f>
        <v>N/A</v>
      </c>
      <c r="D13" s="42" t="str">
        <f>raw_data!C193</f>
        <v>N/A</v>
      </c>
      <c r="E13" s="360"/>
      <c r="F13" s="41" t="str">
        <f>raw_data!D193</f>
        <v>N/A</v>
      </c>
      <c r="G13" s="42" t="str">
        <f>raw_data!E193</f>
        <v>N/A</v>
      </c>
      <c r="H13" s="30" t="str">
        <f>raw_data!F193</f>
        <v>N/A</v>
      </c>
    </row>
    <row r="14" spans="1:8" ht="15.75" thickBot="1" x14ac:dyDescent="0.3">
      <c r="A14" s="206" t="s">
        <v>0</v>
      </c>
      <c r="B14" s="207" t="s">
        <v>208</v>
      </c>
      <c r="C14" s="207" t="s">
        <v>1</v>
      </c>
      <c r="D14" s="208" t="s">
        <v>2</v>
      </c>
      <c r="E14" s="207" t="s">
        <v>8</v>
      </c>
      <c r="F14" s="207" t="s">
        <v>3</v>
      </c>
      <c r="G14" s="209" t="s">
        <v>4</v>
      </c>
      <c r="H14" s="210" t="s">
        <v>5</v>
      </c>
    </row>
    <row r="15" spans="1:8" x14ac:dyDescent="0.25">
      <c r="A15" s="48" t="str">
        <f>raw_data!A186</f>
        <v>525-00088</v>
      </c>
      <c r="B15" s="366" t="s">
        <v>134</v>
      </c>
      <c r="C15" s="49" t="str">
        <f>raw_data!B186</f>
        <v>081925Masa</v>
      </c>
      <c r="D15" s="50">
        <f>raw_data!C186</f>
        <v>46174</v>
      </c>
      <c r="E15" s="366" t="s">
        <v>226</v>
      </c>
      <c r="F15" s="49" t="str">
        <f>raw_data!D186</f>
        <v>6 rör</v>
      </c>
      <c r="G15" s="50">
        <f>raw_data!E186</f>
        <v>45985</v>
      </c>
      <c r="H15" s="52" t="str">
        <f>raw_data!F186</f>
        <v>ELS</v>
      </c>
    </row>
    <row r="16" spans="1:8" x14ac:dyDescent="0.25">
      <c r="A16" s="8" t="str">
        <f>raw_data!A187</f>
        <v>525-00088</v>
      </c>
      <c r="B16" s="369"/>
      <c r="C16" s="39" t="str">
        <f>raw_data!B187</f>
        <v>N/A</v>
      </c>
      <c r="D16" s="40" t="str">
        <f>raw_data!C187</f>
        <v>N/A</v>
      </c>
      <c r="E16" s="369"/>
      <c r="F16" s="39" t="str">
        <f>raw_data!D187</f>
        <v>N/A</v>
      </c>
      <c r="G16" s="40" t="str">
        <f>raw_data!E187</f>
        <v>N/A</v>
      </c>
      <c r="H16" s="26" t="str">
        <f>raw_data!F187</f>
        <v>N/A</v>
      </c>
    </row>
    <row r="17" spans="1:8" x14ac:dyDescent="0.25">
      <c r="A17" s="8" t="str">
        <f>raw_data!A188</f>
        <v>525-00088</v>
      </c>
      <c r="B17" s="369"/>
      <c r="C17" s="39" t="str">
        <f>raw_data!B188</f>
        <v>N/A</v>
      </c>
      <c r="D17" s="40" t="str">
        <f>raw_data!C188</f>
        <v>N/A</v>
      </c>
      <c r="E17" s="369"/>
      <c r="F17" s="39" t="str">
        <f>raw_data!D188</f>
        <v>N/A</v>
      </c>
      <c r="G17" s="40" t="str">
        <f>raw_data!E188</f>
        <v>N/A</v>
      </c>
      <c r="H17" s="26" t="str">
        <f>raw_data!F188</f>
        <v>N/A</v>
      </c>
    </row>
    <row r="18" spans="1:8" ht="15.75" thickBot="1" x14ac:dyDescent="0.3">
      <c r="A18" s="29" t="str">
        <f>raw_data!A189</f>
        <v>525-00088</v>
      </c>
      <c r="B18" s="360"/>
      <c r="C18" s="41" t="str">
        <f>raw_data!B189</f>
        <v>N/A</v>
      </c>
      <c r="D18" s="42" t="str">
        <f>raw_data!C189</f>
        <v>N/A</v>
      </c>
      <c r="E18" s="360"/>
      <c r="F18" s="41" t="str">
        <f>raw_data!D189</f>
        <v>N/A</v>
      </c>
      <c r="G18" s="42" t="str">
        <f>raw_data!E189</f>
        <v>N/A</v>
      </c>
      <c r="H18" s="30" t="str">
        <f>raw_data!F189</f>
        <v>N/A</v>
      </c>
    </row>
  </sheetData>
  <sheetProtection algorithmName="SHA-512" hashValue="mGldCOevnG1vMjVMpqkJblQz6SSLA2OJiiL388gQr3BQ3CEzuiyzYrqBd4MxMp8hQbvAVVuzWbMr3bD5e9d5sg==" saltValue="nEtmAebEsHJmVZXewoDTYw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>
    <tabColor rgb="FF00FFFF"/>
  </sheetPr>
  <dimension ref="A1:H18"/>
  <sheetViews>
    <sheetView workbookViewId="0"/>
  </sheetViews>
  <sheetFormatPr defaultRowHeight="15" x14ac:dyDescent="0.25"/>
  <cols>
    <col min="1" max="1" width="8.7109375" bestFit="1" customWidth="1"/>
    <col min="2" max="2" width="23" bestFit="1" customWidth="1"/>
    <col min="3" max="3" width="14.1406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8" customWidth="1"/>
  </cols>
  <sheetData>
    <row r="1" spans="1:8" ht="15.75" thickBot="1" x14ac:dyDescent="0.3"/>
    <row r="2" spans="1:8" ht="24" thickBot="1" x14ac:dyDescent="0.3">
      <c r="A2" s="545" t="s">
        <v>246</v>
      </c>
      <c r="B2" s="546"/>
      <c r="C2" s="546"/>
      <c r="D2" s="546"/>
      <c r="E2" s="546"/>
      <c r="F2" s="546"/>
      <c r="G2" s="546"/>
      <c r="H2" s="547"/>
    </row>
    <row r="3" spans="1:8" ht="15.75" thickBot="1" x14ac:dyDescent="0.3"/>
    <row r="4" spans="1:8" ht="15.75" thickBot="1" x14ac:dyDescent="0.3">
      <c r="A4" s="255" t="s">
        <v>0</v>
      </c>
      <c r="B4" s="256" t="s">
        <v>208</v>
      </c>
      <c r="C4" s="256" t="s">
        <v>1</v>
      </c>
      <c r="D4" s="257" t="s">
        <v>2</v>
      </c>
      <c r="E4" s="256" t="s">
        <v>8</v>
      </c>
      <c r="F4" s="256" t="s">
        <v>3</v>
      </c>
      <c r="G4" s="258" t="s">
        <v>4</v>
      </c>
      <c r="H4" s="259" t="s">
        <v>5</v>
      </c>
    </row>
    <row r="5" spans="1:8" x14ac:dyDescent="0.25">
      <c r="A5" s="48" t="str">
        <f>raw_data!A22</f>
        <v>001-1688</v>
      </c>
      <c r="B5" s="366" t="s">
        <v>33</v>
      </c>
      <c r="C5" s="49" t="str">
        <f>raw_data!B22</f>
        <v>S19AUG24A</v>
      </c>
      <c r="D5" s="50">
        <f>raw_data!C22</f>
        <v>46081</v>
      </c>
      <c r="E5" s="366" t="s">
        <v>227</v>
      </c>
      <c r="F5" s="49" t="str">
        <f>raw_data!D22</f>
        <v>1.5 Låda</v>
      </c>
      <c r="G5" s="50">
        <f>raw_data!E22</f>
        <v>45943</v>
      </c>
      <c r="H5" s="52" t="str">
        <f>raw_data!F22</f>
        <v>ELS</v>
      </c>
    </row>
    <row r="6" spans="1:8" x14ac:dyDescent="0.25">
      <c r="A6" s="8" t="str">
        <f>raw_data!A23</f>
        <v>001-1688</v>
      </c>
      <c r="B6" s="369"/>
      <c r="C6" s="39" t="str">
        <f>raw_data!B23</f>
        <v>N/A</v>
      </c>
      <c r="D6" s="40" t="str">
        <f>raw_data!C23</f>
        <v>N/A</v>
      </c>
      <c r="E6" s="369"/>
      <c r="F6" s="39" t="str">
        <f>raw_data!D23</f>
        <v>N/A</v>
      </c>
      <c r="G6" s="40" t="str">
        <f>raw_data!E23</f>
        <v>N/A</v>
      </c>
      <c r="H6" s="26" t="str">
        <f>raw_data!F23</f>
        <v>N/A</v>
      </c>
    </row>
    <row r="7" spans="1:8" x14ac:dyDescent="0.25">
      <c r="A7" s="8" t="str">
        <f>raw_data!A24</f>
        <v>001-1688</v>
      </c>
      <c r="B7" s="369"/>
      <c r="C7" s="39" t="str">
        <f>raw_data!B24</f>
        <v>N/A</v>
      </c>
      <c r="D7" s="40" t="str">
        <f>raw_data!C24</f>
        <v>N/A</v>
      </c>
      <c r="E7" s="369"/>
      <c r="F7" s="39" t="str">
        <f>raw_data!D24</f>
        <v>N/A</v>
      </c>
      <c r="G7" s="40" t="str">
        <f>raw_data!E24</f>
        <v>N/A</v>
      </c>
      <c r="H7" s="26" t="str">
        <f>raw_data!F24</f>
        <v>N/A</v>
      </c>
    </row>
    <row r="8" spans="1:8" ht="15.75" thickBot="1" x14ac:dyDescent="0.3">
      <c r="A8" s="29" t="str">
        <f>raw_data!A25</f>
        <v>001-1688</v>
      </c>
      <c r="B8" s="360"/>
      <c r="C8" s="41" t="str">
        <f>raw_data!B25</f>
        <v>N/A</v>
      </c>
      <c r="D8" s="42" t="str">
        <f>raw_data!C25</f>
        <v>N/A</v>
      </c>
      <c r="E8" s="360"/>
      <c r="F8" s="41" t="str">
        <f>raw_data!D25</f>
        <v>N/A</v>
      </c>
      <c r="G8" s="42" t="str">
        <f>raw_data!E25</f>
        <v>N/A</v>
      </c>
      <c r="H8" s="30" t="str">
        <f>raw_data!F25</f>
        <v>N/A</v>
      </c>
    </row>
    <row r="9" spans="1:8" ht="15.75" thickBot="1" x14ac:dyDescent="0.3">
      <c r="A9" s="260" t="s">
        <v>0</v>
      </c>
      <c r="B9" s="261" t="s">
        <v>208</v>
      </c>
      <c r="C9" s="261" t="s">
        <v>1</v>
      </c>
      <c r="D9" s="262" t="s">
        <v>2</v>
      </c>
      <c r="E9" s="261" t="s">
        <v>8</v>
      </c>
      <c r="F9" s="261" t="s">
        <v>3</v>
      </c>
      <c r="G9" s="263" t="s">
        <v>4</v>
      </c>
      <c r="H9" s="264" t="s">
        <v>5</v>
      </c>
    </row>
    <row r="10" spans="1:8" x14ac:dyDescent="0.25">
      <c r="A10" s="48" t="str">
        <f>raw_data!A18</f>
        <v>001-1687</v>
      </c>
      <c r="B10" s="366" t="s">
        <v>31</v>
      </c>
      <c r="C10" s="49" t="str">
        <f>raw_data!B18</f>
        <v>D20AUG24A</v>
      </c>
      <c r="D10" s="50">
        <f>raw_data!C18</f>
        <v>46081</v>
      </c>
      <c r="E10" s="366" t="s">
        <v>226</v>
      </c>
      <c r="F10" s="49" t="str">
        <f>raw_data!D18</f>
        <v>2 lådor</v>
      </c>
      <c r="G10" s="50">
        <f>raw_data!E18</f>
        <v>45932</v>
      </c>
      <c r="H10" s="52" t="str">
        <f>raw_data!F18</f>
        <v>vdao</v>
      </c>
    </row>
    <row r="11" spans="1:8" x14ac:dyDescent="0.25">
      <c r="A11" s="8" t="str">
        <f>raw_data!A19</f>
        <v>001-1687</v>
      </c>
      <c r="B11" s="369"/>
      <c r="C11" s="39" t="str">
        <f>raw_data!B19</f>
        <v>N/A</v>
      </c>
      <c r="D11" s="40" t="str">
        <f>raw_data!C19</f>
        <v>N/A</v>
      </c>
      <c r="E11" s="369"/>
      <c r="F11" s="39" t="str">
        <f>raw_data!D19</f>
        <v>N/A</v>
      </c>
      <c r="G11" s="40" t="str">
        <f>raw_data!E19</f>
        <v>N/A</v>
      </c>
      <c r="H11" s="26" t="str">
        <f>raw_data!F19</f>
        <v>N/A</v>
      </c>
    </row>
    <row r="12" spans="1:8" x14ac:dyDescent="0.25">
      <c r="A12" s="8" t="str">
        <f>raw_data!A20</f>
        <v>001-1687</v>
      </c>
      <c r="B12" s="369"/>
      <c r="C12" s="39" t="str">
        <f>raw_data!B20</f>
        <v>N/A</v>
      </c>
      <c r="D12" s="40" t="str">
        <f>raw_data!C20</f>
        <v>N/A</v>
      </c>
      <c r="E12" s="369"/>
      <c r="F12" s="39" t="str">
        <f>raw_data!D20</f>
        <v>N/A</v>
      </c>
      <c r="G12" s="40" t="str">
        <f>raw_data!E20</f>
        <v>N/A</v>
      </c>
      <c r="H12" s="26" t="str">
        <f>raw_data!F20</f>
        <v>N/A</v>
      </c>
    </row>
    <row r="13" spans="1:8" ht="15.75" thickBot="1" x14ac:dyDescent="0.3">
      <c r="A13" s="29" t="str">
        <f>raw_data!A21</f>
        <v>001-1687</v>
      </c>
      <c r="B13" s="360"/>
      <c r="C13" s="41" t="str">
        <f>raw_data!B21</f>
        <v>N/A</v>
      </c>
      <c r="D13" s="42" t="str">
        <f>raw_data!C21</f>
        <v>N/A</v>
      </c>
      <c r="E13" s="360"/>
      <c r="F13" s="41" t="str">
        <f>raw_data!D21</f>
        <v>N/A</v>
      </c>
      <c r="G13" s="42" t="str">
        <f>raw_data!E21</f>
        <v>N/A</v>
      </c>
      <c r="H13" s="30" t="str">
        <f>raw_data!F21</f>
        <v>N/A</v>
      </c>
    </row>
    <row r="14" spans="1:8" ht="15.75" thickBot="1" x14ac:dyDescent="0.3">
      <c r="A14" s="260" t="s">
        <v>0</v>
      </c>
      <c r="B14" s="261" t="s">
        <v>208</v>
      </c>
      <c r="C14" s="261" t="s">
        <v>1</v>
      </c>
      <c r="D14" s="262" t="s">
        <v>2</v>
      </c>
      <c r="E14" s="261" t="s">
        <v>8</v>
      </c>
      <c r="F14" s="261" t="s">
        <v>3</v>
      </c>
      <c r="G14" s="263" t="s">
        <v>4</v>
      </c>
      <c r="H14" s="264" t="s">
        <v>5</v>
      </c>
    </row>
    <row r="15" spans="1:8" x14ac:dyDescent="0.25">
      <c r="A15" s="48" t="str">
        <f>raw_data!A14</f>
        <v>001-1686</v>
      </c>
      <c r="B15" s="366" t="s">
        <v>29</v>
      </c>
      <c r="C15" s="49" t="str">
        <f>raw_data!B14</f>
        <v>E20AUG24A</v>
      </c>
      <c r="D15" s="50">
        <f>raw_data!C14</f>
        <v>46081</v>
      </c>
      <c r="E15" s="366" t="s">
        <v>226</v>
      </c>
      <c r="F15" s="49" t="str">
        <f>raw_data!D14</f>
        <v>12 rör</v>
      </c>
      <c r="G15" s="50">
        <f>raw_data!E14</f>
        <v>45838</v>
      </c>
      <c r="H15" s="52" t="str">
        <f>raw_data!F14</f>
        <v>vdao</v>
      </c>
    </row>
    <row r="16" spans="1:8" x14ac:dyDescent="0.25">
      <c r="A16" s="8" t="str">
        <f>raw_data!A15</f>
        <v>001-1686</v>
      </c>
      <c r="B16" s="369"/>
      <c r="C16" s="39" t="str">
        <f>raw_data!B15</f>
        <v>N/A</v>
      </c>
      <c r="D16" s="40" t="str">
        <f>raw_data!C15</f>
        <v>N/A</v>
      </c>
      <c r="E16" s="369"/>
      <c r="F16" s="39" t="str">
        <f>raw_data!D15</f>
        <v>N/A</v>
      </c>
      <c r="G16" s="40" t="str">
        <f>raw_data!E15</f>
        <v>N/A</v>
      </c>
      <c r="H16" s="26" t="str">
        <f>raw_data!F15</f>
        <v>N/A</v>
      </c>
    </row>
    <row r="17" spans="1:8" x14ac:dyDescent="0.25">
      <c r="A17" s="8" t="str">
        <f>raw_data!A16</f>
        <v>001-1686</v>
      </c>
      <c r="B17" s="369"/>
      <c r="C17" s="39" t="str">
        <f>raw_data!B16</f>
        <v>N/A</v>
      </c>
      <c r="D17" s="40" t="str">
        <f>raw_data!C16</f>
        <v>N/A</v>
      </c>
      <c r="E17" s="369"/>
      <c r="F17" s="39" t="str">
        <f>raw_data!D16</f>
        <v>N/A</v>
      </c>
      <c r="G17" s="40" t="str">
        <f>raw_data!E16</f>
        <v>N/A</v>
      </c>
      <c r="H17" s="26" t="str">
        <f>raw_data!F16</f>
        <v>N/A</v>
      </c>
    </row>
    <row r="18" spans="1:8" ht="15.75" thickBot="1" x14ac:dyDescent="0.3">
      <c r="A18" s="29" t="str">
        <f>raw_data!A17</f>
        <v>001-1686</v>
      </c>
      <c r="B18" s="360"/>
      <c r="C18" s="41" t="str">
        <f>raw_data!B17</f>
        <v>N/A</v>
      </c>
      <c r="D18" s="42" t="str">
        <f>raw_data!C17</f>
        <v>N/A</v>
      </c>
      <c r="E18" s="360"/>
      <c r="F18" s="41" t="str">
        <f>raw_data!D17</f>
        <v>N/A</v>
      </c>
      <c r="G18" s="42" t="str">
        <f>raw_data!E17</f>
        <v>N/A</v>
      </c>
      <c r="H18" s="30" t="str">
        <f>raw_data!F17</f>
        <v>N/A</v>
      </c>
    </row>
  </sheetData>
  <sheetProtection algorithmName="SHA-512" hashValue="jR6EVZZyzaqneYXrYg10oVooVnBhg9xIUWY/Hfs1SQHhUBTwp8ea2daOeI3Wa/BRLFc+47kXi/ywHqoI+EP4JA==" saltValue="Ou6bo0V0PujQKV//ezaVsA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</vt:i4>
      </vt:variant>
    </vt:vector>
  </HeadingPairs>
  <TitlesOfParts>
    <vt:vector size="31" baseType="lpstr">
      <vt:lpstr>raw_data</vt:lpstr>
      <vt:lpstr>BULK SR</vt:lpstr>
      <vt:lpstr>KUND SR</vt:lpstr>
      <vt:lpstr>MTB RIF</vt:lpstr>
      <vt:lpstr>MTB ULTRA</vt:lpstr>
      <vt:lpstr>MTB JP</vt:lpstr>
      <vt:lpstr>MTB XDR</vt:lpstr>
      <vt:lpstr>FLUVID | FLUVID+</vt:lpstr>
      <vt:lpstr>SARS-COV-2 Plus</vt:lpstr>
      <vt:lpstr>Respiratory Panel</vt:lpstr>
      <vt:lpstr>CTNG | CTNG JP</vt:lpstr>
      <vt:lpstr>C.DIFF | C.DIFF JP</vt:lpstr>
      <vt:lpstr>EBOLA</vt:lpstr>
      <vt:lpstr>HPV</vt:lpstr>
      <vt:lpstr>HBV VL</vt:lpstr>
      <vt:lpstr>HCV VL</vt:lpstr>
      <vt:lpstr>HCV VL FS</vt:lpstr>
      <vt:lpstr>HIV VL</vt:lpstr>
      <vt:lpstr>HIV VL XC</vt:lpstr>
      <vt:lpstr>HIV QA</vt:lpstr>
      <vt:lpstr>HIV QA XC</vt:lpstr>
      <vt:lpstr>SARS-COV-2</vt:lpstr>
      <vt:lpstr>FLU RSV</vt:lpstr>
      <vt:lpstr>MRSA SA</vt:lpstr>
      <vt:lpstr>MRSA NxG</vt:lpstr>
      <vt:lpstr>NORO</vt:lpstr>
      <vt:lpstr>VAN AB</vt:lpstr>
      <vt:lpstr>GBS</vt:lpstr>
      <vt:lpstr>STREP A</vt:lpstr>
      <vt:lpstr>CARBA R</vt:lpstr>
      <vt:lpstr>'KUND SR'!Print_Area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Fredriksson, Jesper</dc:creator>
  <cp:lastModifiedBy>Fredriksson, Jesper</cp:lastModifiedBy>
  <cp:lastPrinted>2025-11-12T08:45:00Z</cp:lastPrinted>
  <dcterms:created xsi:type="dcterms:W3CDTF">2024-04-22T16:14:24Z</dcterms:created>
  <dcterms:modified xsi:type="dcterms:W3CDTF">2025-12-09T13:59:20Z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31ef649-45d3-4e5d-80df-d43468de9a5e_Enabled">
    <vt:lpwstr>true</vt:lpwstr>
  </property>
  <property fmtid="{D5CDD505-2E9C-101B-9397-08002B2CF9AE}" pid="3" name="MSIP_Label_631ef649-45d3-4e5d-80df-d43468de9a5e_SetDate">
    <vt:lpwstr>2024-04-22T16:15:41Z</vt:lpwstr>
  </property>
  <property fmtid="{D5CDD505-2E9C-101B-9397-08002B2CF9AE}" pid="4" name="MSIP_Label_631ef649-45d3-4e5d-80df-d43468de9a5e_Method">
    <vt:lpwstr>Privileged</vt:lpwstr>
  </property>
  <property fmtid="{D5CDD505-2E9C-101B-9397-08002B2CF9AE}" pid="5" name="MSIP_Label_631ef649-45d3-4e5d-80df-d43468de9a5e_Name">
    <vt:lpwstr>Unclassified</vt:lpwstr>
  </property>
  <property fmtid="{D5CDD505-2E9C-101B-9397-08002B2CF9AE}" pid="6" name="MSIP_Label_631ef649-45d3-4e5d-80df-d43468de9a5e_SiteId">
    <vt:lpwstr>771c9c47-7f24-44dc-958e-34f8713a8394</vt:lpwstr>
  </property>
  <property fmtid="{D5CDD505-2E9C-101B-9397-08002B2CF9AE}" pid="7" name="MSIP_Label_631ef649-45d3-4e5d-80df-d43468de9a5e_ActionId">
    <vt:lpwstr>010136f2-5928-447f-82c9-d0c0c4487713</vt:lpwstr>
  </property>
  <property fmtid="{D5CDD505-2E9C-101B-9397-08002B2CF9AE}" pid="8" name="MSIP_Label_631ef649-45d3-4e5d-80df-d43468de9a5e_ContentBits">
    <vt:lpwstr>0</vt:lpwstr>
  </property>
</Properties>
</file>